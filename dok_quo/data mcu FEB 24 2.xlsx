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-02\Documents\"/>
    </mc:Choice>
  </mc:AlternateContent>
  <xr:revisionPtr revIDLastSave="0" documentId="13_ncr:1_{DFA29B65-CFAE-4ECB-BD4B-1644275210E7}" xr6:coauthVersionLast="47" xr6:coauthVersionMax="47" xr10:uidLastSave="{00000000-0000-0000-0000-000000000000}"/>
  <bookViews>
    <workbookView xWindow="-120" yWindow="-120" windowWidth="21840" windowHeight="13140" firstSheet="7" activeTab="7" xr2:uid="{35FA371F-FFF5-4FF6-8198-02C870F11278}"/>
  </bookViews>
  <sheets>
    <sheet name="DATA MP" sheetId="3" r:id="rId1"/>
    <sheet name="08.00-08.30" sheetId="4" r:id="rId2"/>
    <sheet name="08.30-09.00" sheetId="1" r:id="rId3"/>
    <sheet name="09.00-09.30" sheetId="5" r:id="rId4"/>
    <sheet name="09.30-10.00" sheetId="6" r:id="rId5"/>
    <sheet name="10.00-11.30" sheetId="7" r:id="rId6"/>
    <sheet name="11.30-12.00" sheetId="8" r:id="rId7"/>
    <sheet name="12.00-12.30" sheetId="9" r:id="rId8"/>
    <sheet name="12.30-13.00" sheetId="10" r:id="rId9"/>
    <sheet name="13.00-13.30" sheetId="11" r:id="rId10"/>
    <sheet name="13.30-14.00" sheetId="12" r:id="rId11"/>
    <sheet name="14.00-14.30" sheetId="13" r:id="rId12"/>
    <sheet name="14.30-15.00" sheetId="14" r:id="rId13"/>
    <sheet name="15.00-15.30" sheetId="15" r:id="rId14"/>
  </sheets>
  <externalReferences>
    <externalReference r:id="rId15"/>
  </externalReferences>
  <definedNames>
    <definedName name="_xlnm._FilterDatabase" localSheetId="0" hidden="1">'DATA MP'!$A$1:$X$1600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4" l="1"/>
  <c r="D15" i="14"/>
  <c r="D16" i="14"/>
  <c r="D17" i="14"/>
  <c r="D18" i="14"/>
  <c r="D19" i="14"/>
  <c r="D20" i="14"/>
  <c r="D21" i="14"/>
  <c r="D22" i="14"/>
  <c r="D23" i="14"/>
  <c r="D24" i="14"/>
  <c r="D25" i="14"/>
  <c r="D26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H21" i="13"/>
  <c r="H22" i="13"/>
  <c r="H23" i="13"/>
  <c r="H24" i="13"/>
  <c r="H25" i="13"/>
  <c r="H26" i="13"/>
  <c r="G21" i="13"/>
  <c r="G22" i="13"/>
  <c r="G23" i="13"/>
  <c r="G24" i="13"/>
  <c r="G25" i="13"/>
  <c r="G26" i="13"/>
  <c r="F21" i="13"/>
  <c r="F22" i="13"/>
  <c r="F23" i="13"/>
  <c r="F24" i="13"/>
  <c r="F25" i="13"/>
  <c r="F26" i="13"/>
  <c r="D21" i="13"/>
  <c r="D22" i="13"/>
  <c r="D23" i="13"/>
  <c r="D24" i="13"/>
  <c r="D25" i="13"/>
  <c r="D26" i="13"/>
  <c r="C21" i="13"/>
  <c r="C22" i="13"/>
  <c r="C23" i="13"/>
  <c r="C24" i="13"/>
  <c r="C25" i="13"/>
  <c r="C26" i="13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H15" i="13"/>
  <c r="H16" i="13"/>
  <c r="H17" i="13"/>
  <c r="H18" i="13"/>
  <c r="H19" i="13"/>
  <c r="H20" i="13"/>
  <c r="G15" i="13"/>
  <c r="G16" i="13"/>
  <c r="G17" i="13"/>
  <c r="G18" i="13"/>
  <c r="G19" i="13"/>
  <c r="G20" i="13"/>
  <c r="F15" i="13"/>
  <c r="F16" i="13"/>
  <c r="F17" i="13"/>
  <c r="F18" i="13"/>
  <c r="F19" i="13"/>
  <c r="F20" i="13"/>
  <c r="D15" i="13"/>
  <c r="D16" i="13"/>
  <c r="D17" i="13"/>
  <c r="D18" i="13"/>
  <c r="D19" i="13"/>
  <c r="D20" i="13"/>
  <c r="C15" i="13"/>
  <c r="C16" i="13"/>
  <c r="C17" i="13"/>
  <c r="C18" i="13"/>
  <c r="C19" i="13"/>
  <c r="C20" i="13"/>
  <c r="H19" i="12"/>
  <c r="H20" i="12"/>
  <c r="H21" i="12"/>
  <c r="H22" i="12"/>
  <c r="H23" i="12"/>
  <c r="H24" i="12"/>
  <c r="H25" i="12"/>
  <c r="H26" i="12"/>
  <c r="G19" i="12"/>
  <c r="G20" i="12"/>
  <c r="G21" i="12"/>
  <c r="G22" i="12"/>
  <c r="G23" i="12"/>
  <c r="G24" i="12"/>
  <c r="G25" i="12"/>
  <c r="G26" i="12"/>
  <c r="F19" i="12"/>
  <c r="F20" i="12"/>
  <c r="F21" i="12"/>
  <c r="F22" i="12"/>
  <c r="F23" i="12"/>
  <c r="F24" i="12"/>
  <c r="F25" i="12"/>
  <c r="F26" i="12"/>
  <c r="D19" i="12"/>
  <c r="D20" i="12"/>
  <c r="D21" i="12"/>
  <c r="D22" i="12"/>
  <c r="D23" i="12"/>
  <c r="D24" i="12"/>
  <c r="D25" i="12"/>
  <c r="D26" i="12"/>
  <c r="C19" i="12"/>
  <c r="C20" i="12"/>
  <c r="C21" i="12"/>
  <c r="C22" i="12"/>
  <c r="C23" i="12"/>
  <c r="C24" i="12"/>
  <c r="C25" i="12"/>
  <c r="C26" i="12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2" i="12"/>
  <c r="E23" i="12"/>
  <c r="E24" i="12"/>
  <c r="E25" i="12"/>
  <c r="E26" i="12"/>
  <c r="E15" i="13"/>
  <c r="E16" i="13"/>
  <c r="E17" i="13"/>
  <c r="E18" i="13"/>
  <c r="E19" i="13"/>
  <c r="E20" i="13"/>
  <c r="E21" i="13"/>
  <c r="E22" i="13"/>
  <c r="E23" i="13"/>
  <c r="E24" i="13"/>
  <c r="E25" i="13"/>
  <c r="E26" i="13"/>
  <c r="E21" i="12"/>
  <c r="E19" i="12"/>
  <c r="E20" i="12"/>
  <c r="H18" i="12"/>
  <c r="G18" i="12"/>
  <c r="F18" i="12"/>
  <c r="E18" i="12"/>
  <c r="D18" i="12"/>
  <c r="C18" i="12"/>
  <c r="H24" i="11"/>
  <c r="G24" i="11"/>
  <c r="F24" i="11"/>
  <c r="E24" i="11"/>
  <c r="D24" i="11"/>
  <c r="C24" i="11"/>
  <c r="H17" i="12"/>
  <c r="G17" i="12"/>
  <c r="F17" i="12"/>
  <c r="E17" i="12"/>
  <c r="D17" i="12"/>
  <c r="C17" i="12"/>
  <c r="H21" i="11"/>
  <c r="H22" i="11"/>
  <c r="H23" i="11"/>
  <c r="H25" i="11"/>
  <c r="H26" i="11"/>
  <c r="G21" i="11"/>
  <c r="G22" i="11"/>
  <c r="G23" i="11"/>
  <c r="G25" i="11"/>
  <c r="G26" i="11"/>
  <c r="F21" i="11"/>
  <c r="F22" i="11"/>
  <c r="F23" i="11"/>
  <c r="F25" i="11"/>
  <c r="F26" i="11"/>
  <c r="E21" i="11"/>
  <c r="E22" i="11"/>
  <c r="E23" i="11"/>
  <c r="E25" i="11"/>
  <c r="E26" i="11"/>
  <c r="D21" i="11"/>
  <c r="D22" i="11"/>
  <c r="D23" i="11"/>
  <c r="D25" i="11"/>
  <c r="D26" i="11"/>
  <c r="C21" i="11"/>
  <c r="C22" i="11"/>
  <c r="C23" i="11"/>
  <c r="C25" i="11"/>
  <c r="C26" i="11"/>
  <c r="H17" i="11"/>
  <c r="H18" i="11"/>
  <c r="H19" i="11"/>
  <c r="H20" i="11"/>
  <c r="G17" i="11"/>
  <c r="G18" i="11"/>
  <c r="G19" i="11"/>
  <c r="G20" i="11"/>
  <c r="F17" i="11"/>
  <c r="F18" i="11"/>
  <c r="F19" i="11"/>
  <c r="F20" i="11"/>
  <c r="E17" i="11"/>
  <c r="E18" i="11"/>
  <c r="E19" i="11"/>
  <c r="E20" i="11"/>
  <c r="D17" i="11"/>
  <c r="D18" i="11"/>
  <c r="D19" i="11"/>
  <c r="D20" i="11"/>
  <c r="C17" i="11"/>
  <c r="C18" i="11"/>
  <c r="C19" i="11"/>
  <c r="C20" i="11"/>
  <c r="H23" i="10"/>
  <c r="H24" i="10"/>
  <c r="H25" i="10"/>
  <c r="H26" i="10"/>
  <c r="G23" i="10"/>
  <c r="G24" i="10"/>
  <c r="G25" i="10"/>
  <c r="G26" i="10"/>
  <c r="F23" i="10"/>
  <c r="F24" i="10"/>
  <c r="F25" i="10"/>
  <c r="F26" i="10"/>
  <c r="E23" i="10"/>
  <c r="E24" i="10"/>
  <c r="E25" i="10"/>
  <c r="E26" i="10"/>
  <c r="D23" i="10"/>
  <c r="D24" i="10"/>
  <c r="D25" i="10"/>
  <c r="D26" i="10"/>
  <c r="C23" i="10"/>
  <c r="C24" i="10"/>
  <c r="C25" i="10"/>
  <c r="C26" i="10"/>
  <c r="H14" i="12"/>
  <c r="H15" i="12"/>
  <c r="H16" i="12"/>
  <c r="G16" i="12"/>
  <c r="G14" i="12"/>
  <c r="G15" i="12"/>
  <c r="F14" i="12"/>
  <c r="F15" i="12"/>
  <c r="F16" i="12"/>
  <c r="E14" i="12"/>
  <c r="E15" i="12"/>
  <c r="E16" i="12"/>
  <c r="D14" i="12"/>
  <c r="D15" i="12"/>
  <c r="D16" i="12"/>
  <c r="C14" i="12"/>
  <c r="C15" i="12"/>
  <c r="C16" i="12"/>
  <c r="H22" i="10"/>
  <c r="G22" i="10"/>
  <c r="F22" i="10"/>
  <c r="E22" i="10"/>
  <c r="D22" i="10"/>
  <c r="C22" i="10"/>
  <c r="H13" i="13"/>
  <c r="G13" i="13"/>
  <c r="F13" i="13"/>
  <c r="E13" i="13"/>
  <c r="D13" i="13"/>
  <c r="C13" i="13"/>
  <c r="H13" i="14"/>
  <c r="G13" i="14"/>
  <c r="F13" i="14"/>
  <c r="E13" i="14"/>
  <c r="D13" i="14"/>
  <c r="C13" i="14"/>
  <c r="H21" i="10"/>
  <c r="G21" i="10"/>
  <c r="F21" i="10"/>
  <c r="E21" i="10"/>
  <c r="D21" i="10"/>
  <c r="C21" i="10"/>
  <c r="H15" i="11"/>
  <c r="H16" i="11"/>
  <c r="G15" i="11"/>
  <c r="G16" i="11"/>
  <c r="F15" i="11"/>
  <c r="F16" i="11"/>
  <c r="E15" i="11"/>
  <c r="E16" i="11"/>
  <c r="D15" i="11"/>
  <c r="D16" i="11"/>
  <c r="C15" i="11"/>
  <c r="C16" i="11"/>
  <c r="H19" i="10"/>
  <c r="H20" i="10"/>
  <c r="G19" i="10"/>
  <c r="G20" i="10"/>
  <c r="F19" i="10"/>
  <c r="F20" i="10"/>
  <c r="E19" i="10"/>
  <c r="E20" i="10"/>
  <c r="D19" i="10"/>
  <c r="D20" i="10"/>
  <c r="C19" i="10"/>
  <c r="C20" i="10"/>
  <c r="H18" i="10"/>
  <c r="G18" i="10"/>
  <c r="F18" i="10"/>
  <c r="E18" i="10"/>
  <c r="D18" i="10"/>
  <c r="C18" i="10"/>
  <c r="H26" i="9"/>
  <c r="G26" i="9"/>
  <c r="F26" i="9"/>
  <c r="E26" i="9"/>
  <c r="D26" i="9"/>
  <c r="C26" i="9"/>
  <c r="H17" i="10"/>
  <c r="G17" i="10"/>
  <c r="F17" i="10"/>
  <c r="E17" i="10"/>
  <c r="D17" i="10"/>
  <c r="C17" i="10"/>
  <c r="H13" i="11"/>
  <c r="H14" i="11"/>
  <c r="G13" i="11"/>
  <c r="G14" i="11"/>
  <c r="F13" i="11"/>
  <c r="F14" i="11"/>
  <c r="E13" i="11"/>
  <c r="E14" i="11"/>
  <c r="D13" i="11"/>
  <c r="D14" i="11"/>
  <c r="C13" i="11"/>
  <c r="C14" i="11"/>
  <c r="H13" i="12"/>
  <c r="G13" i="12"/>
  <c r="F13" i="12"/>
  <c r="E13" i="12"/>
  <c r="D13" i="12"/>
  <c r="C13" i="12"/>
  <c r="H14" i="13"/>
  <c r="G14" i="13"/>
  <c r="F14" i="13"/>
  <c r="E14" i="13"/>
  <c r="D14" i="13"/>
  <c r="C14" i="13"/>
  <c r="H13" i="10"/>
  <c r="H14" i="10"/>
  <c r="H15" i="10"/>
  <c r="H16" i="10"/>
  <c r="G13" i="10"/>
  <c r="G14" i="10"/>
  <c r="G15" i="10"/>
  <c r="G16" i="10"/>
  <c r="F13" i="10"/>
  <c r="F14" i="10"/>
  <c r="F15" i="10"/>
  <c r="F16" i="10"/>
  <c r="E13" i="10"/>
  <c r="E14" i="10"/>
  <c r="E15" i="10"/>
  <c r="E16" i="10"/>
  <c r="D13" i="10"/>
  <c r="D14" i="10"/>
  <c r="D15" i="10"/>
  <c r="D16" i="10"/>
  <c r="C13" i="10"/>
  <c r="C14" i="10"/>
  <c r="C15" i="10"/>
  <c r="C16" i="10"/>
  <c r="H25" i="9"/>
  <c r="G25" i="9"/>
  <c r="F25" i="9"/>
  <c r="E25" i="9"/>
  <c r="D25" i="9"/>
  <c r="C25" i="9"/>
  <c r="H24" i="9"/>
  <c r="G24" i="9"/>
  <c r="F24" i="9"/>
  <c r="E24" i="9"/>
  <c r="D24" i="9"/>
  <c r="C24" i="9"/>
  <c r="H23" i="9"/>
  <c r="G23" i="9"/>
  <c r="F23" i="9"/>
  <c r="E23" i="9"/>
  <c r="D23" i="9"/>
  <c r="C23" i="9"/>
  <c r="H21" i="9"/>
  <c r="H22" i="9"/>
  <c r="G21" i="9"/>
  <c r="G22" i="9"/>
  <c r="F21" i="9"/>
  <c r="F22" i="9"/>
  <c r="E21" i="9"/>
  <c r="E22" i="9"/>
  <c r="D21" i="9"/>
  <c r="D22" i="9"/>
  <c r="C21" i="9"/>
  <c r="C22" i="9"/>
  <c r="H19" i="9"/>
  <c r="H20" i="9"/>
  <c r="G19" i="9"/>
  <c r="G20" i="9"/>
  <c r="F19" i="9"/>
  <c r="F20" i="9"/>
  <c r="E19" i="9"/>
  <c r="E20" i="9"/>
  <c r="D19" i="9"/>
  <c r="D20" i="9"/>
  <c r="C19" i="9"/>
  <c r="C20" i="9"/>
  <c r="H16" i="9"/>
  <c r="H17" i="9"/>
  <c r="H18" i="9"/>
  <c r="G16" i="9"/>
  <c r="G17" i="9"/>
  <c r="G18" i="9"/>
  <c r="F16" i="9"/>
  <c r="F17" i="9"/>
  <c r="F18" i="9"/>
  <c r="E16" i="9"/>
  <c r="E17" i="9"/>
  <c r="E18" i="9"/>
  <c r="D16" i="9"/>
  <c r="D17" i="9"/>
  <c r="D18" i="9"/>
  <c r="C16" i="9"/>
  <c r="C17" i="9"/>
  <c r="C18" i="9"/>
  <c r="H15" i="9"/>
  <c r="G15" i="9"/>
  <c r="F15" i="9"/>
  <c r="E15" i="9"/>
  <c r="D15" i="9"/>
  <c r="C15" i="9"/>
  <c r="H25" i="8"/>
  <c r="H26" i="8"/>
  <c r="G25" i="8"/>
  <c r="G26" i="8"/>
  <c r="F26" i="8"/>
  <c r="F25" i="8"/>
  <c r="E25" i="8"/>
  <c r="E26" i="8"/>
  <c r="D25" i="8"/>
  <c r="D26" i="8"/>
  <c r="C25" i="8"/>
  <c r="C26" i="8"/>
  <c r="H13" i="9"/>
  <c r="H14" i="9"/>
  <c r="G13" i="9"/>
  <c r="G14" i="9"/>
  <c r="F13" i="9"/>
  <c r="F14" i="9"/>
  <c r="E13" i="9"/>
  <c r="E14" i="9"/>
  <c r="D13" i="9"/>
  <c r="D14" i="9"/>
  <c r="C13" i="9"/>
  <c r="C14" i="9"/>
  <c r="H24" i="8"/>
  <c r="G24" i="8"/>
  <c r="F24" i="8"/>
  <c r="E24" i="8"/>
  <c r="D24" i="8"/>
  <c r="C24" i="8"/>
  <c r="H23" i="8"/>
  <c r="G23" i="8"/>
  <c r="F23" i="8"/>
  <c r="E23" i="8"/>
  <c r="D23" i="8"/>
  <c r="C23" i="8"/>
  <c r="H25" i="7"/>
  <c r="H26" i="7"/>
  <c r="G25" i="7"/>
  <c r="G26" i="7"/>
  <c r="F25" i="7"/>
  <c r="F26" i="7"/>
  <c r="E25" i="7"/>
  <c r="E26" i="7"/>
  <c r="D25" i="7"/>
  <c r="D26" i="7"/>
  <c r="C25" i="7"/>
  <c r="C26" i="7"/>
  <c r="H21" i="8"/>
  <c r="H22" i="8"/>
  <c r="G21" i="8"/>
  <c r="G22" i="8"/>
  <c r="F21" i="8"/>
  <c r="F22" i="8"/>
  <c r="E21" i="8"/>
  <c r="E22" i="8"/>
  <c r="D21" i="8"/>
  <c r="D22" i="8"/>
  <c r="C21" i="8"/>
  <c r="C22" i="8"/>
  <c r="H18" i="8"/>
  <c r="H19" i="8"/>
  <c r="H20" i="8"/>
  <c r="G18" i="8"/>
  <c r="G19" i="8"/>
  <c r="G20" i="8"/>
  <c r="F18" i="8"/>
  <c r="F19" i="8"/>
  <c r="F20" i="8"/>
  <c r="E18" i="8"/>
  <c r="E19" i="8"/>
  <c r="E20" i="8"/>
  <c r="D18" i="8"/>
  <c r="D19" i="8"/>
  <c r="D20" i="8"/>
  <c r="C18" i="8"/>
  <c r="C19" i="8"/>
  <c r="C20" i="8"/>
  <c r="H19" i="7"/>
  <c r="H20" i="7"/>
  <c r="H21" i="7"/>
  <c r="H22" i="7"/>
  <c r="H23" i="7"/>
  <c r="H24" i="7"/>
  <c r="G19" i="7"/>
  <c r="G20" i="7"/>
  <c r="G21" i="7"/>
  <c r="G22" i="7"/>
  <c r="G23" i="7"/>
  <c r="G24" i="7"/>
  <c r="F19" i="7"/>
  <c r="F20" i="7"/>
  <c r="F21" i="7"/>
  <c r="F22" i="7"/>
  <c r="F23" i="7"/>
  <c r="F24" i="7"/>
  <c r="E19" i="7"/>
  <c r="E20" i="7"/>
  <c r="E21" i="7"/>
  <c r="E22" i="7"/>
  <c r="E23" i="7"/>
  <c r="E24" i="7"/>
  <c r="D19" i="7"/>
  <c r="D20" i="7"/>
  <c r="D21" i="7"/>
  <c r="D22" i="7"/>
  <c r="D23" i="7"/>
  <c r="D24" i="7"/>
  <c r="C19" i="7"/>
  <c r="C20" i="7"/>
  <c r="C21" i="7"/>
  <c r="C22" i="7"/>
  <c r="C23" i="7"/>
  <c r="C24" i="7"/>
  <c r="H16" i="8"/>
  <c r="H17" i="8"/>
  <c r="G16" i="8"/>
  <c r="G17" i="8"/>
  <c r="F16" i="8"/>
  <c r="F17" i="8"/>
  <c r="E16" i="8"/>
  <c r="E17" i="8"/>
  <c r="D16" i="8"/>
  <c r="D17" i="8"/>
  <c r="C16" i="8"/>
  <c r="C17" i="8"/>
  <c r="H25" i="6"/>
  <c r="G25" i="6"/>
  <c r="F25" i="6"/>
  <c r="E25" i="6"/>
  <c r="D25" i="6"/>
  <c r="C25" i="6"/>
  <c r="H12" i="15"/>
  <c r="G12" i="15"/>
  <c r="F12" i="15"/>
  <c r="E12" i="15"/>
  <c r="D12" i="15"/>
  <c r="C12" i="15"/>
  <c r="H12" i="14"/>
  <c r="G12" i="14"/>
  <c r="F12" i="14"/>
  <c r="E12" i="14"/>
  <c r="D12" i="14"/>
  <c r="C12" i="14"/>
  <c r="C26" i="6"/>
  <c r="D26" i="6"/>
  <c r="E26" i="6"/>
  <c r="F26" i="6"/>
  <c r="G26" i="6"/>
  <c r="H26" i="6"/>
  <c r="H18" i="7"/>
  <c r="G18" i="7"/>
  <c r="F18" i="7"/>
  <c r="E18" i="7"/>
  <c r="D18" i="7"/>
  <c r="C18" i="7"/>
  <c r="H24" i="6"/>
  <c r="G24" i="6"/>
  <c r="F24" i="6"/>
  <c r="E24" i="6"/>
  <c r="D24" i="6"/>
  <c r="C24" i="6"/>
  <c r="H13" i="8"/>
  <c r="H14" i="8"/>
  <c r="H15" i="8"/>
  <c r="G13" i="8"/>
  <c r="G14" i="8"/>
  <c r="G15" i="8"/>
  <c r="F13" i="8"/>
  <c r="F14" i="8"/>
  <c r="F15" i="8"/>
  <c r="E13" i="8"/>
  <c r="E14" i="8"/>
  <c r="E15" i="8"/>
  <c r="D13" i="8"/>
  <c r="D14" i="8"/>
  <c r="D15" i="8"/>
  <c r="C13" i="8"/>
  <c r="C14" i="8"/>
  <c r="C15" i="8"/>
  <c r="H15" i="7"/>
  <c r="H16" i="7"/>
  <c r="H17" i="7"/>
  <c r="G15" i="7"/>
  <c r="G16" i="7"/>
  <c r="G17" i="7"/>
  <c r="F15" i="7"/>
  <c r="F16" i="7"/>
  <c r="F17" i="7"/>
  <c r="E15" i="7"/>
  <c r="E16" i="7"/>
  <c r="E17" i="7"/>
  <c r="D15" i="7"/>
  <c r="D16" i="7"/>
  <c r="D17" i="7"/>
  <c r="C15" i="7"/>
  <c r="C16" i="7"/>
  <c r="C17" i="7"/>
  <c r="H22" i="6"/>
  <c r="H23" i="6"/>
  <c r="G22" i="6"/>
  <c r="G23" i="6"/>
  <c r="F22" i="6"/>
  <c r="F23" i="6"/>
  <c r="E22" i="6"/>
  <c r="E23" i="6"/>
  <c r="D22" i="6"/>
  <c r="D23" i="6"/>
  <c r="C22" i="6"/>
  <c r="C23" i="6"/>
  <c r="H21" i="6"/>
  <c r="G21" i="6"/>
  <c r="F21" i="6"/>
  <c r="E21" i="6"/>
  <c r="D21" i="6"/>
  <c r="C21" i="6"/>
  <c r="H20" i="6"/>
  <c r="G20" i="6"/>
  <c r="F20" i="6"/>
  <c r="E20" i="6"/>
  <c r="D20" i="6"/>
  <c r="C20" i="6"/>
  <c r="H13" i="6"/>
  <c r="H14" i="6"/>
  <c r="H15" i="6"/>
  <c r="H16" i="6"/>
  <c r="H17" i="6"/>
  <c r="H18" i="6"/>
  <c r="H19" i="6"/>
  <c r="G13" i="6"/>
  <c r="G14" i="6"/>
  <c r="G15" i="6"/>
  <c r="G16" i="6"/>
  <c r="G17" i="6"/>
  <c r="G18" i="6"/>
  <c r="G19" i="6"/>
  <c r="F13" i="6"/>
  <c r="F14" i="6"/>
  <c r="F15" i="6"/>
  <c r="F16" i="6"/>
  <c r="F17" i="6"/>
  <c r="F18" i="6"/>
  <c r="F19" i="6"/>
  <c r="E13" i="6"/>
  <c r="E14" i="6"/>
  <c r="E15" i="6"/>
  <c r="E16" i="6"/>
  <c r="E17" i="6"/>
  <c r="E18" i="6"/>
  <c r="E19" i="6"/>
  <c r="D13" i="6"/>
  <c r="D14" i="6"/>
  <c r="D15" i="6"/>
  <c r="D16" i="6"/>
  <c r="D17" i="6"/>
  <c r="D18" i="6"/>
  <c r="D19" i="6"/>
  <c r="C13" i="6"/>
  <c r="C14" i="6"/>
  <c r="C15" i="6"/>
  <c r="C16" i="6"/>
  <c r="C17" i="6"/>
  <c r="C18" i="6"/>
  <c r="C19" i="6"/>
  <c r="H26" i="5"/>
  <c r="G26" i="5"/>
  <c r="F26" i="5"/>
  <c r="E26" i="5"/>
  <c r="D26" i="5"/>
  <c r="C26" i="5"/>
  <c r="H25" i="5"/>
  <c r="G25" i="5"/>
  <c r="F25" i="5"/>
  <c r="E25" i="5"/>
  <c r="D25" i="5"/>
  <c r="C25" i="5"/>
  <c r="H19" i="5"/>
  <c r="H20" i="5"/>
  <c r="H21" i="5"/>
  <c r="H22" i="5"/>
  <c r="H23" i="5"/>
  <c r="H24" i="5"/>
  <c r="G19" i="5"/>
  <c r="G20" i="5"/>
  <c r="G21" i="5"/>
  <c r="G22" i="5"/>
  <c r="G23" i="5"/>
  <c r="G24" i="5"/>
  <c r="F19" i="5"/>
  <c r="F20" i="5"/>
  <c r="F21" i="5"/>
  <c r="F22" i="5"/>
  <c r="F23" i="5"/>
  <c r="F24" i="5"/>
  <c r="E19" i="5"/>
  <c r="E20" i="5"/>
  <c r="E21" i="5"/>
  <c r="E22" i="5"/>
  <c r="E23" i="5"/>
  <c r="E24" i="5"/>
  <c r="D19" i="5"/>
  <c r="D20" i="5"/>
  <c r="D21" i="5"/>
  <c r="D22" i="5"/>
  <c r="D23" i="5"/>
  <c r="D24" i="5"/>
  <c r="C19" i="5"/>
  <c r="C20" i="5"/>
  <c r="C21" i="5"/>
  <c r="C22" i="5"/>
  <c r="C23" i="5"/>
  <c r="C24" i="5"/>
  <c r="H23" i="1"/>
  <c r="G23" i="1"/>
  <c r="F23" i="1"/>
  <c r="E23" i="1"/>
  <c r="D23" i="1"/>
  <c r="C23" i="1"/>
  <c r="H18" i="1"/>
  <c r="G18" i="1"/>
  <c r="F18" i="1"/>
  <c r="E18" i="1"/>
  <c r="D18" i="1"/>
  <c r="C18" i="1"/>
  <c r="H16" i="1"/>
  <c r="G16" i="1"/>
  <c r="F16" i="1"/>
  <c r="E16" i="1"/>
  <c r="D16" i="1"/>
  <c r="C16" i="1"/>
  <c r="H13" i="7"/>
  <c r="H14" i="7"/>
  <c r="G13" i="7"/>
  <c r="G14" i="7"/>
  <c r="F13" i="7"/>
  <c r="F14" i="7"/>
  <c r="E13" i="7"/>
  <c r="E14" i="7"/>
  <c r="D13" i="7"/>
  <c r="D14" i="7"/>
  <c r="C13" i="7"/>
  <c r="C14" i="7"/>
  <c r="H17" i="5"/>
  <c r="H18" i="5"/>
  <c r="G17" i="5"/>
  <c r="G18" i="5"/>
  <c r="F17" i="5"/>
  <c r="F18" i="5"/>
  <c r="E17" i="5"/>
  <c r="E18" i="5"/>
  <c r="D17" i="5"/>
  <c r="D18" i="5"/>
  <c r="C17" i="5"/>
  <c r="C18" i="5"/>
  <c r="H13" i="5"/>
  <c r="H14" i="5"/>
  <c r="H15" i="5"/>
  <c r="H16" i="5"/>
  <c r="G13" i="5"/>
  <c r="G14" i="5"/>
  <c r="G15" i="5"/>
  <c r="G16" i="5"/>
  <c r="F13" i="5"/>
  <c r="F14" i="5"/>
  <c r="F15" i="5"/>
  <c r="F16" i="5"/>
  <c r="E13" i="5"/>
  <c r="E14" i="5"/>
  <c r="E15" i="5"/>
  <c r="E16" i="5"/>
  <c r="D13" i="5"/>
  <c r="D14" i="5"/>
  <c r="D15" i="5"/>
  <c r="D16" i="5"/>
  <c r="C13" i="5"/>
  <c r="C14" i="5"/>
  <c r="C15" i="5"/>
  <c r="C16" i="5"/>
  <c r="H12" i="8"/>
  <c r="G12" i="8"/>
  <c r="F12" i="8"/>
  <c r="E12" i="8"/>
  <c r="D12" i="8"/>
  <c r="C12" i="8"/>
  <c r="H12" i="7"/>
  <c r="G12" i="7"/>
  <c r="F12" i="7"/>
  <c r="E12" i="7"/>
  <c r="D12" i="7"/>
  <c r="C12" i="7"/>
  <c r="H12" i="6"/>
  <c r="G12" i="6"/>
  <c r="F12" i="6"/>
  <c r="E12" i="6"/>
  <c r="D12" i="6"/>
  <c r="C12" i="6"/>
  <c r="H12" i="5"/>
  <c r="G12" i="5"/>
  <c r="F12" i="5"/>
  <c r="E12" i="5"/>
  <c r="D12" i="5"/>
  <c r="C12" i="5"/>
  <c r="H17" i="1"/>
  <c r="H19" i="1"/>
  <c r="H20" i="1"/>
  <c r="H21" i="1"/>
  <c r="H22" i="1"/>
  <c r="H24" i="1"/>
  <c r="H25" i="1"/>
  <c r="H26" i="1"/>
  <c r="G17" i="1"/>
  <c r="G19" i="1"/>
  <c r="G20" i="1"/>
  <c r="G21" i="1"/>
  <c r="G22" i="1"/>
  <c r="G24" i="1"/>
  <c r="G25" i="1"/>
  <c r="G26" i="1"/>
  <c r="F17" i="1"/>
  <c r="F19" i="1"/>
  <c r="F20" i="1"/>
  <c r="F21" i="1"/>
  <c r="F22" i="1"/>
  <c r="F24" i="1"/>
  <c r="F25" i="1"/>
  <c r="F26" i="1"/>
  <c r="E17" i="1"/>
  <c r="E19" i="1"/>
  <c r="E20" i="1"/>
  <c r="E21" i="1"/>
  <c r="E22" i="1"/>
  <c r="E24" i="1"/>
  <c r="E25" i="1"/>
  <c r="E26" i="1"/>
  <c r="D17" i="1"/>
  <c r="D19" i="1"/>
  <c r="D20" i="1"/>
  <c r="D21" i="1"/>
  <c r="D22" i="1"/>
  <c r="D24" i="1"/>
  <c r="D25" i="1"/>
  <c r="D26" i="1"/>
  <c r="C17" i="1"/>
  <c r="C19" i="1"/>
  <c r="C20" i="1"/>
  <c r="C21" i="1"/>
  <c r="C22" i="1"/>
  <c r="C24" i="1"/>
  <c r="C25" i="1"/>
  <c r="C26" i="1"/>
  <c r="H13" i="1"/>
  <c r="H14" i="1"/>
  <c r="H15" i="1"/>
  <c r="G13" i="1"/>
  <c r="G14" i="1"/>
  <c r="G15" i="1"/>
  <c r="F13" i="1"/>
  <c r="F14" i="1"/>
  <c r="F15" i="1"/>
  <c r="E13" i="1"/>
  <c r="E14" i="1"/>
  <c r="E15" i="1"/>
  <c r="D13" i="1"/>
  <c r="D14" i="1"/>
  <c r="D15" i="1"/>
  <c r="C13" i="1"/>
  <c r="C14" i="1"/>
  <c r="C15" i="1"/>
  <c r="H23" i="4"/>
  <c r="H24" i="4"/>
  <c r="H25" i="4"/>
  <c r="H26" i="4"/>
  <c r="G23" i="4"/>
  <c r="G24" i="4"/>
  <c r="G25" i="4"/>
  <c r="G26" i="4"/>
  <c r="F23" i="4"/>
  <c r="F24" i="4"/>
  <c r="F25" i="4"/>
  <c r="F26" i="4"/>
  <c r="E23" i="4"/>
  <c r="E24" i="4"/>
  <c r="E25" i="4"/>
  <c r="E26" i="4"/>
  <c r="D23" i="4"/>
  <c r="D24" i="4"/>
  <c r="D25" i="4"/>
  <c r="D26" i="4"/>
  <c r="C26" i="4"/>
  <c r="C23" i="4"/>
  <c r="C24" i="4"/>
  <c r="C25" i="4"/>
  <c r="H22" i="4"/>
  <c r="G22" i="4"/>
  <c r="F22" i="4"/>
  <c r="E22" i="4"/>
  <c r="D22" i="4"/>
  <c r="C22" i="4"/>
  <c r="H14" i="4"/>
  <c r="H15" i="4"/>
  <c r="H16" i="4"/>
  <c r="H17" i="4"/>
  <c r="H18" i="4"/>
  <c r="H19" i="4"/>
  <c r="H20" i="4"/>
  <c r="H21" i="4"/>
  <c r="G14" i="4"/>
  <c r="G15" i="4"/>
  <c r="G16" i="4"/>
  <c r="G17" i="4"/>
  <c r="G18" i="4"/>
  <c r="G19" i="4"/>
  <c r="G20" i="4"/>
  <c r="G21" i="4"/>
  <c r="F14" i="4"/>
  <c r="F15" i="4"/>
  <c r="F16" i="4"/>
  <c r="F17" i="4"/>
  <c r="F18" i="4"/>
  <c r="F19" i="4"/>
  <c r="F20" i="4"/>
  <c r="F21" i="4"/>
  <c r="E14" i="4"/>
  <c r="E15" i="4"/>
  <c r="E16" i="4"/>
  <c r="E17" i="4"/>
  <c r="E18" i="4"/>
  <c r="E19" i="4"/>
  <c r="E20" i="4"/>
  <c r="E21" i="4"/>
  <c r="D14" i="4"/>
  <c r="D15" i="4"/>
  <c r="D16" i="4"/>
  <c r="D17" i="4"/>
  <c r="D18" i="4"/>
  <c r="D19" i="4"/>
  <c r="D20" i="4"/>
  <c r="D21" i="4"/>
  <c r="C14" i="4"/>
  <c r="C15" i="4"/>
  <c r="C16" i="4"/>
  <c r="C17" i="4"/>
  <c r="C18" i="4"/>
  <c r="C19" i="4"/>
  <c r="C20" i="4"/>
  <c r="C21" i="4"/>
  <c r="H13" i="4"/>
  <c r="G13" i="4"/>
  <c r="F13" i="4"/>
  <c r="E13" i="4"/>
  <c r="D13" i="4"/>
  <c r="C13" i="4"/>
  <c r="H12" i="13"/>
  <c r="G12" i="13"/>
  <c r="F12" i="13"/>
  <c r="E12" i="13"/>
  <c r="D12" i="13"/>
  <c r="C12" i="13"/>
  <c r="H12" i="12"/>
  <c r="G12" i="12"/>
  <c r="F12" i="12"/>
  <c r="E12" i="12"/>
  <c r="D12" i="12"/>
  <c r="C12" i="12"/>
  <c r="H12" i="11"/>
  <c r="G12" i="11"/>
  <c r="F12" i="11"/>
  <c r="E12" i="11"/>
  <c r="D12" i="11"/>
  <c r="C12" i="11"/>
  <c r="H12" i="10"/>
  <c r="G12" i="10"/>
  <c r="F12" i="10"/>
  <c r="E12" i="10"/>
  <c r="D12" i="10"/>
  <c r="C12" i="10"/>
  <c r="H12" i="9"/>
  <c r="G12" i="9"/>
  <c r="F12" i="9"/>
  <c r="E12" i="9"/>
  <c r="D12" i="9"/>
  <c r="C12" i="9"/>
  <c r="H12" i="1"/>
  <c r="G12" i="1"/>
  <c r="F12" i="1"/>
  <c r="E12" i="1"/>
  <c r="D12" i="1"/>
  <c r="C12" i="1"/>
  <c r="H12" i="4"/>
  <c r="G12" i="4"/>
  <c r="F12" i="4"/>
  <c r="E12" i="4"/>
  <c r="D12" i="4"/>
  <c r="C12" i="4"/>
</calcChain>
</file>

<file path=xl/sharedStrings.xml><?xml version="1.0" encoding="utf-8"?>
<sst xmlns="http://schemas.openxmlformats.org/spreadsheetml/2006/main" count="32534" uniqueCount="4351">
  <si>
    <t>P</t>
  </si>
  <si>
    <t>-</t>
  </si>
  <si>
    <t>OPT</t>
  </si>
  <si>
    <t>PRM</t>
  </si>
  <si>
    <t>PERMANENT</t>
  </si>
  <si>
    <t>DL</t>
  </si>
  <si>
    <t>B</t>
  </si>
  <si>
    <t>SUB ASSY</t>
  </si>
  <si>
    <t>S/A AB</t>
  </si>
  <si>
    <t>CV M01</t>
  </si>
  <si>
    <t>MAZDA REAR</t>
  </si>
  <si>
    <t>MAZDA 3</t>
  </si>
  <si>
    <t>FINAL ASSY</t>
  </si>
  <si>
    <t>PRD</t>
  </si>
  <si>
    <t>BBF-148</t>
  </si>
  <si>
    <t>SAMI</t>
  </si>
  <si>
    <t>RATIH APRILIA</t>
  </si>
  <si>
    <t>B03209</t>
  </si>
  <si>
    <t>L</t>
  </si>
  <si>
    <t>PJK</t>
  </si>
  <si>
    <t>PI</t>
  </si>
  <si>
    <t>RELIEF</t>
  </si>
  <si>
    <t>LQC</t>
  </si>
  <si>
    <t>CV M03</t>
  </si>
  <si>
    <t>MAZDA J72A</t>
  </si>
  <si>
    <t>MAZDA ATENZA</t>
  </si>
  <si>
    <t>BBF-140</t>
  </si>
  <si>
    <t>ANDI PRASETYO</t>
  </si>
  <si>
    <t>B03009</t>
  </si>
  <si>
    <t>GL</t>
  </si>
  <si>
    <t>A (NS)</t>
  </si>
  <si>
    <t>TRAINER</t>
  </si>
  <si>
    <t>TRAINER CPA</t>
  </si>
  <si>
    <t>ALL</t>
  </si>
  <si>
    <t>NON LINE</t>
  </si>
  <si>
    <t>OPT-224</t>
  </si>
  <si>
    <t>SEFTI PURWANTI</t>
  </si>
  <si>
    <t>009753</t>
  </si>
  <si>
    <t>LL</t>
  </si>
  <si>
    <t>FPI LL</t>
  </si>
  <si>
    <t>PRD LINE LEADER</t>
  </si>
  <si>
    <t>OPT-130</t>
  </si>
  <si>
    <t>SUPRIYANTO</t>
  </si>
  <si>
    <t>005550</t>
  </si>
  <si>
    <t>OPT-128</t>
  </si>
  <si>
    <t>IKA SULISTYOWATI</t>
  </si>
  <si>
    <t>005421</t>
  </si>
  <si>
    <t>PS</t>
  </si>
  <si>
    <t>LD</t>
  </si>
  <si>
    <t>L. DOCK</t>
  </si>
  <si>
    <t>LOG</t>
  </si>
  <si>
    <t>BBF-105</t>
  </si>
  <si>
    <t>PORWANTO</t>
  </si>
  <si>
    <t>B02422</t>
  </si>
  <si>
    <t>DIYAH KUMOROWATI</t>
  </si>
  <si>
    <t>005401</t>
  </si>
  <si>
    <t>OPT-27</t>
  </si>
  <si>
    <t>ARI WIDIYANTI</t>
  </si>
  <si>
    <t>001093</t>
  </si>
  <si>
    <t>VISUAL INSPECTION</t>
  </si>
  <si>
    <t>VISUAL 1</t>
  </si>
  <si>
    <t>CV HV 10A</t>
  </si>
  <si>
    <t xml:space="preserve">HV TOYOTA AC </t>
  </si>
  <si>
    <t>TOYOTA HV</t>
  </si>
  <si>
    <t>BBF-085</t>
  </si>
  <si>
    <t>ISNAINI</t>
  </si>
  <si>
    <t>B02122</t>
  </si>
  <si>
    <t>ELECTRICAL INSPECTION</t>
  </si>
  <si>
    <t>CHECKER 1</t>
  </si>
  <si>
    <t>BBF-071</t>
  </si>
  <si>
    <t>SISKA RAHMAWATI</t>
  </si>
  <si>
    <t>B01913</t>
  </si>
  <si>
    <t>A</t>
  </si>
  <si>
    <t>WHS SUPPLY</t>
  </si>
  <si>
    <t>Parts supply (piking &amp; material handling) from material werahouse</t>
  </si>
  <si>
    <t>WHS</t>
  </si>
  <si>
    <t>BBF-069</t>
  </si>
  <si>
    <t>ARIF AFANDI</t>
  </si>
  <si>
    <t>B01848</t>
  </si>
  <si>
    <t>VISUAL U2.2</t>
  </si>
  <si>
    <t>CV HV 14B</t>
  </si>
  <si>
    <t>HV TOYOTA 10PL</t>
  </si>
  <si>
    <t>BBF-066</t>
  </si>
  <si>
    <t>ANISA FITRIANI</t>
  </si>
  <si>
    <t>B01765</t>
  </si>
  <si>
    <t>OPT-24</t>
  </si>
  <si>
    <t>PUDJI RAHAYU</t>
  </si>
  <si>
    <t>000938</t>
  </si>
  <si>
    <t>TKN</t>
  </si>
  <si>
    <t>MTC</t>
  </si>
  <si>
    <t>BREAKDOWN FA</t>
  </si>
  <si>
    <t>JCN</t>
  </si>
  <si>
    <t>J/C BP</t>
  </si>
  <si>
    <t>PE</t>
  </si>
  <si>
    <t>TKN-72</t>
  </si>
  <si>
    <t>MUNDAKIR</t>
  </si>
  <si>
    <t>B01436</t>
  </si>
  <si>
    <t>OPT-16</t>
  </si>
  <si>
    <t>ANI LUSIANA</t>
  </si>
  <si>
    <t>000607</t>
  </si>
  <si>
    <t>OTHERS</t>
  </si>
  <si>
    <t>BUFFER</t>
  </si>
  <si>
    <t>TRAINER 2</t>
  </si>
  <si>
    <t>NURCAHYO RUSBIANTORO</t>
  </si>
  <si>
    <t>B01434</t>
  </si>
  <si>
    <t>QC</t>
  </si>
  <si>
    <t>BBF-017</t>
  </si>
  <si>
    <t>NUGROHO ADI SAPUTRO</t>
  </si>
  <si>
    <t>B00865</t>
  </si>
  <si>
    <t>BBF-001</t>
  </si>
  <si>
    <t>SITI REFATIN</t>
  </si>
  <si>
    <t>B00078</t>
  </si>
  <si>
    <t>OPT-505</t>
  </si>
  <si>
    <t>MEILISTIA SARI</t>
  </si>
  <si>
    <t>020613</t>
  </si>
  <si>
    <t>TKN-62</t>
  </si>
  <si>
    <t>JOKO SANTOSO</t>
  </si>
  <si>
    <t>013283</t>
  </si>
  <si>
    <t>OPT-322</t>
  </si>
  <si>
    <t>SITI MARFUAH</t>
  </si>
  <si>
    <t>012936</t>
  </si>
  <si>
    <t>ADM</t>
  </si>
  <si>
    <t>OTHERS IDL</t>
  </si>
  <si>
    <t>CUTI DI LUAR TANGGUNGAN</t>
  </si>
  <si>
    <t>AT HOME</t>
  </si>
  <si>
    <t>BBF-028</t>
  </si>
  <si>
    <t>NURKHAMILIA FITRIYANI</t>
  </si>
  <si>
    <t>B01085</t>
  </si>
  <si>
    <t>CUTTING WIRE</t>
  </si>
  <si>
    <t>CUTTING AC90-H-03</t>
  </si>
  <si>
    <t>CPA HONDA 36 CELL</t>
  </si>
  <si>
    <t>HONDA 36 CELL</t>
  </si>
  <si>
    <t>HONDA BBP</t>
  </si>
  <si>
    <t>PRE ASSY</t>
  </si>
  <si>
    <t>ANGGUN PUSPITA DEWI</t>
  </si>
  <si>
    <t>B01057</t>
  </si>
  <si>
    <t>OJT VISUAL 2.1</t>
  </si>
  <si>
    <t>CV HV 09</t>
  </si>
  <si>
    <t>HV TOYOTA UNDERFLOOR</t>
  </si>
  <si>
    <t>OPT-345</t>
  </si>
  <si>
    <t>ERNA RISTIOWATI</t>
  </si>
  <si>
    <t>B01016</t>
  </si>
  <si>
    <t>RCV</t>
  </si>
  <si>
    <t>SAMPLING &amp; CHECK 100%</t>
  </si>
  <si>
    <t>RCV - CANDI</t>
  </si>
  <si>
    <t>QA</t>
  </si>
  <si>
    <t>BBF-026</t>
  </si>
  <si>
    <t>EVA NOVIANTI</t>
  </si>
  <si>
    <t>B00999</t>
  </si>
  <si>
    <t>OPT-320</t>
  </si>
  <si>
    <t>ROMDONI</t>
  </si>
  <si>
    <t>012727</t>
  </si>
  <si>
    <t>KONTROL OJT LINE</t>
  </si>
  <si>
    <t>DAIHATSU</t>
  </si>
  <si>
    <t>OPT-318</t>
  </si>
  <si>
    <t>JAYANTO</t>
  </si>
  <si>
    <t>012477</t>
  </si>
  <si>
    <t>OPT-273</t>
  </si>
  <si>
    <t>SITI MUNFAATUN</t>
  </si>
  <si>
    <t>010528</t>
  </si>
  <si>
    <t>SUPPORT QA ADM</t>
  </si>
  <si>
    <t>OTHERS (BUFFER)</t>
  </si>
  <si>
    <t>BBF-023</t>
  </si>
  <si>
    <t>AYU SILFIANI</t>
  </si>
  <si>
    <t>B00956</t>
  </si>
  <si>
    <t>OPT-270</t>
  </si>
  <si>
    <t>TIWI NOVIANA</t>
  </si>
  <si>
    <t>010485</t>
  </si>
  <si>
    <t>OPT-251</t>
  </si>
  <si>
    <t>MERY ZUNIANINGSIH</t>
  </si>
  <si>
    <t>010142</t>
  </si>
  <si>
    <t>QA APPROVE</t>
  </si>
  <si>
    <t>SCANNER</t>
  </si>
  <si>
    <t>CV HV 14A</t>
  </si>
  <si>
    <t>TOYOTA HV 10PL</t>
  </si>
  <si>
    <t>BBF-018</t>
  </si>
  <si>
    <t>DESI ISTIQOMAH LESTARI H.</t>
  </si>
  <si>
    <t>B00872</t>
  </si>
  <si>
    <t>OPT-218</t>
  </si>
  <si>
    <t>HERU PONCO NUGROHO</t>
  </si>
  <si>
    <t>009598</t>
  </si>
  <si>
    <t>OPT-201</t>
  </si>
  <si>
    <t>TATIS DEVI M.</t>
  </si>
  <si>
    <t>009028</t>
  </si>
  <si>
    <t>P/A INSPECTOR</t>
  </si>
  <si>
    <t>INSP PRE ASSY</t>
  </si>
  <si>
    <t>CPA HONDA FIT HEV/PET</t>
  </si>
  <si>
    <t>HONDA FIT</t>
  </si>
  <si>
    <t>BBF-014</t>
  </si>
  <si>
    <t>ESTI PURWANINGSIH</t>
  </si>
  <si>
    <t>B00816</t>
  </si>
  <si>
    <t>OPT-196</t>
  </si>
  <si>
    <t>ZULITA</t>
  </si>
  <si>
    <t>008899</t>
  </si>
  <si>
    <t>CUTI KELAHIRAN</t>
  </si>
  <si>
    <t>BBF-013</t>
  </si>
  <si>
    <t>ENI NURHIKMAH</t>
  </si>
  <si>
    <t>B00764</t>
  </si>
  <si>
    <t>INSP CUTTING</t>
  </si>
  <si>
    <t>CPA MAZDA CX-5</t>
  </si>
  <si>
    <t>ALFIATU ROCHMANIA</t>
  </si>
  <si>
    <t>B00759</t>
  </si>
  <si>
    <t>OPT-195</t>
  </si>
  <si>
    <t>NURUL AINI</t>
  </si>
  <si>
    <t>008846</t>
  </si>
  <si>
    <t>BBF-012</t>
  </si>
  <si>
    <t>NURHAYATI</t>
  </si>
  <si>
    <t>B00741</t>
  </si>
  <si>
    <t>CROSS SECT.</t>
  </si>
  <si>
    <t>CROSS SECTION</t>
  </si>
  <si>
    <t>CPA SUZUKI</t>
  </si>
  <si>
    <t>SUZUKI YW0/Y0C/YEV</t>
  </si>
  <si>
    <t>SUZUKI WAGON R/HUSTLER</t>
  </si>
  <si>
    <t>EMA AYUNINGTIAS</t>
  </si>
  <si>
    <t>B00720</t>
  </si>
  <si>
    <t>EKA RATNAWATI</t>
  </si>
  <si>
    <t>008821</t>
  </si>
  <si>
    <t>CPA HONDA HV</t>
  </si>
  <si>
    <t>HV HONDA 5JLA BBP</t>
  </si>
  <si>
    <t>BBF-011</t>
  </si>
  <si>
    <t>INAYATUN NURHIKMAWATI</t>
  </si>
  <si>
    <t>B00677</t>
  </si>
  <si>
    <t>OPT-194</t>
  </si>
  <si>
    <t>SRI HIDAYATI</t>
  </si>
  <si>
    <t>008798</t>
  </si>
  <si>
    <t>OPT-189</t>
  </si>
  <si>
    <t>SITI KOMARIYAH</t>
  </si>
  <si>
    <t>008663</t>
  </si>
  <si>
    <t>CV H02</t>
  </si>
  <si>
    <t>HONDA FIT HEV PET ENGINE</t>
  </si>
  <si>
    <t>BBF-010</t>
  </si>
  <si>
    <t>NOVINA TRISNA SAPUTRI</t>
  </si>
  <si>
    <t>B00630</t>
  </si>
  <si>
    <t>CUTTING AC81-H-02</t>
  </si>
  <si>
    <t>BBF-009</t>
  </si>
  <si>
    <t>SITI SUNDARI</t>
  </si>
  <si>
    <t>B00599</t>
  </si>
  <si>
    <t>OPT-139</t>
  </si>
  <si>
    <t>KALISTIYAH</t>
  </si>
  <si>
    <t>006061</t>
  </si>
  <si>
    <t>QS</t>
  </si>
  <si>
    <t>ADMINISTRATION</t>
  </si>
  <si>
    <t>CALLIBRATION OF TOOL</t>
  </si>
  <si>
    <t>GHOFAR ABDUL GANI</t>
  </si>
  <si>
    <t>B00577</t>
  </si>
  <si>
    <t>BBF-008</t>
  </si>
  <si>
    <t>YULFAN TAUFIK</t>
  </si>
  <si>
    <t>B00558</t>
  </si>
  <si>
    <t>OPT-137</t>
  </si>
  <si>
    <t>SRIYANTI</t>
  </si>
  <si>
    <t>005948</t>
  </si>
  <si>
    <t>OPT-135</t>
  </si>
  <si>
    <t>SITI YULI QOIFAH</t>
  </si>
  <si>
    <t>005813</t>
  </si>
  <si>
    <t>PUJI HARJANTI</t>
  </si>
  <si>
    <t>005796</t>
  </si>
  <si>
    <t>SRI PURWANTI</t>
  </si>
  <si>
    <t>001081</t>
  </si>
  <si>
    <t>ASSEMBLY</t>
  </si>
  <si>
    <t>SHIAGE 3</t>
  </si>
  <si>
    <t>CV H04</t>
  </si>
  <si>
    <t>HONDA NES HEV PET ENGINE</t>
  </si>
  <si>
    <t>HONDA NES</t>
  </si>
  <si>
    <t>BBF-007</t>
  </si>
  <si>
    <t>FERDY ANSYAH</t>
  </si>
  <si>
    <t>B00441</t>
  </si>
  <si>
    <t>OPT-19</t>
  </si>
  <si>
    <t>NOVI WIDARYANTI</t>
  </si>
  <si>
    <t>000726</t>
  </si>
  <si>
    <t>GL INSPECTION</t>
  </si>
  <si>
    <t>DWI ANGGAR SULISTYO</t>
  </si>
  <si>
    <t>B00428</t>
  </si>
  <si>
    <t>VISUAL 1.3</t>
  </si>
  <si>
    <t>BBF-006</t>
  </si>
  <si>
    <t>ETIK SURYANI</t>
  </si>
  <si>
    <t>B00362</t>
  </si>
  <si>
    <t>INSP DOUBLE CHECK</t>
  </si>
  <si>
    <t>CPA HONDA NES HEV/PET</t>
  </si>
  <si>
    <t>BBF-005</t>
  </si>
  <si>
    <t>PUJI LESTARI</t>
  </si>
  <si>
    <t>B00329</t>
  </si>
  <si>
    <t>CV T01</t>
  </si>
  <si>
    <t>AQUA SIENTA</t>
  </si>
  <si>
    <t>TOYOTA</t>
  </si>
  <si>
    <t>MEIRATARI MARACHITA</t>
  </si>
  <si>
    <t>B00314</t>
  </si>
  <si>
    <t>ESTER SARI SETYANINGRUM</t>
  </si>
  <si>
    <t>B00284</t>
  </si>
  <si>
    <t>TENSILE TEST</t>
  </si>
  <si>
    <t>INSP TENSILE</t>
  </si>
  <si>
    <t>CPA MAZDA J03</t>
  </si>
  <si>
    <t>DEWI KHOLIFAH</t>
  </si>
  <si>
    <t>B00273</t>
  </si>
  <si>
    <t>BBF-004</t>
  </si>
  <si>
    <t>SANTI PUJI RAHAYU</t>
  </si>
  <si>
    <t>B00229</t>
  </si>
  <si>
    <t>EKO DANIATI</t>
  </si>
  <si>
    <t>000610</t>
  </si>
  <si>
    <t>OPT-10</t>
  </si>
  <si>
    <t>SITI AISAH</t>
  </si>
  <si>
    <t>000389</t>
  </si>
  <si>
    <t>OPT-9</t>
  </si>
  <si>
    <t>SARI RAHAYU</t>
  </si>
  <si>
    <t>000305</t>
  </si>
  <si>
    <t>OPT-7</t>
  </si>
  <si>
    <t>SRIANAH</t>
  </si>
  <si>
    <t>000244</t>
  </si>
  <si>
    <t>OPT-6</t>
  </si>
  <si>
    <t>NISWATIN FAUZIAH</t>
  </si>
  <si>
    <t>000213</t>
  </si>
  <si>
    <t>OPT-1</t>
  </si>
  <si>
    <t>TRI UTARI</t>
  </si>
  <si>
    <t>000074</t>
  </si>
  <si>
    <t>TRAINER 1</t>
  </si>
  <si>
    <t>BBF-030</t>
  </si>
  <si>
    <t>WAHYUNI</t>
  </si>
  <si>
    <t>B01176</t>
  </si>
  <si>
    <t>BBF-016</t>
  </si>
  <si>
    <t>EKO TRI ROHMANTO</t>
  </si>
  <si>
    <t>B00854</t>
  </si>
  <si>
    <t>VISUAL 2.1</t>
  </si>
  <si>
    <t>BBF-003</t>
  </si>
  <si>
    <t>EMMI OKTAVIANI</t>
  </si>
  <si>
    <t>B00127</t>
  </si>
  <si>
    <t>OPT-404</t>
  </si>
  <si>
    <t>SITI NELI ROHMAH</t>
  </si>
  <si>
    <t>016108</t>
  </si>
  <si>
    <t>TRI WIDIYASTUTI</t>
  </si>
  <si>
    <t>B00092</t>
  </si>
  <si>
    <t>CV H03</t>
  </si>
  <si>
    <t>SUHESTI</t>
  </si>
  <si>
    <t>B00085</t>
  </si>
  <si>
    <t>OPT-326</t>
  </si>
  <si>
    <t>MARGARETA PUJI RAHAYU</t>
  </si>
  <si>
    <t>013064</t>
  </si>
  <si>
    <t>OPT-321</t>
  </si>
  <si>
    <t>ZAINAL KAFIDZIN</t>
  </si>
  <si>
    <t>012837</t>
  </si>
  <si>
    <t>SPV</t>
  </si>
  <si>
    <t>IDL SPV</t>
  </si>
  <si>
    <t>SUPERVISOR TAX</t>
  </si>
  <si>
    <t>TAX</t>
  </si>
  <si>
    <t>FA</t>
  </si>
  <si>
    <t>SPV UP</t>
  </si>
  <si>
    <t>DIAN FITRIA SARI</t>
  </si>
  <si>
    <t>028613</t>
  </si>
  <si>
    <t>ES</t>
  </si>
  <si>
    <t>IDL LL</t>
  </si>
  <si>
    <t>LEADER</t>
  </si>
  <si>
    <t>ACCOUNTING</t>
  </si>
  <si>
    <t>ACC</t>
  </si>
  <si>
    <t>ES-81</t>
  </si>
  <si>
    <t>ANISA FETI AZIZAH</t>
  </si>
  <si>
    <t>028106</t>
  </si>
  <si>
    <t>SM</t>
  </si>
  <si>
    <t>MGR FPS</t>
  </si>
  <si>
    <t>SENIOR MANAGER PE</t>
  </si>
  <si>
    <t>MANAGEMENT</t>
  </si>
  <si>
    <t>TORU YAMAMOTO</t>
  </si>
  <si>
    <t>028032</t>
  </si>
  <si>
    <t>SENIOR MANAGER MTC</t>
  </si>
  <si>
    <t>KENTA KATO</t>
  </si>
  <si>
    <t>027983</t>
  </si>
  <si>
    <t>P.DIR</t>
  </si>
  <si>
    <t>PRESIDENT DIRECTOR</t>
  </si>
  <si>
    <t>PGA</t>
  </si>
  <si>
    <t>NOZOMI KAWASAKI</t>
  </si>
  <si>
    <t>027946</t>
  </si>
  <si>
    <t>FPS LL</t>
  </si>
  <si>
    <t>LEADER ANALISYS</t>
  </si>
  <si>
    <t>PPIC</t>
  </si>
  <si>
    <t>ES-79</t>
  </si>
  <si>
    <t>NARASWARI BASANTA</t>
  </si>
  <si>
    <t>027945</t>
  </si>
  <si>
    <t>Line Leader (PS) - Planner Masspro</t>
  </si>
  <si>
    <t>MASLAKHATUL MAFTUKHAH</t>
  </si>
  <si>
    <t>027944</t>
  </si>
  <si>
    <t>INTERPRETER</t>
  </si>
  <si>
    <t>ES-78</t>
  </si>
  <si>
    <t>TRIYONO SALAFUDIN</t>
  </si>
  <si>
    <t>027681</t>
  </si>
  <si>
    <t>RUMIYATI</t>
  </si>
  <si>
    <t>012525</t>
  </si>
  <si>
    <t>SENIOR MANAGER PP</t>
  </si>
  <si>
    <t>PP</t>
  </si>
  <si>
    <t>SHINICHI KISHIMOTO</t>
  </si>
  <si>
    <t>026848</t>
  </si>
  <si>
    <t>PROCESS ENG</t>
  </si>
  <si>
    <t>INTERPRETER, DOKUMEN PPM</t>
  </si>
  <si>
    <t>PPM/PPC/PLCT</t>
  </si>
  <si>
    <t>PPM</t>
  </si>
  <si>
    <t>OPT-629</t>
  </si>
  <si>
    <t>ELFIRA LUTFIA WAHYUDIN</t>
  </si>
  <si>
    <t>025998</t>
  </si>
  <si>
    <t>CBP</t>
  </si>
  <si>
    <t>TKN-227</t>
  </si>
  <si>
    <t>TRI AJI SUJATMIKO</t>
  </si>
  <si>
    <t>025413</t>
  </si>
  <si>
    <t>S/A 131-3, 132-3</t>
  </si>
  <si>
    <t>CV HV 11B</t>
  </si>
  <si>
    <t>HV HONDA 30B</t>
  </si>
  <si>
    <t>OPT-619</t>
  </si>
  <si>
    <t>DEMA FEBIA</t>
  </si>
  <si>
    <t>025380</t>
  </si>
  <si>
    <t>JANATUN</t>
  </si>
  <si>
    <t>012476</t>
  </si>
  <si>
    <t>SENIOR MANAGER QA</t>
  </si>
  <si>
    <t>KATSUHITO GONDA</t>
  </si>
  <si>
    <t>025252</t>
  </si>
  <si>
    <t>GM</t>
  </si>
  <si>
    <t>FM</t>
  </si>
  <si>
    <t>GENERAL MANAGER</t>
  </si>
  <si>
    <t>TEPPEI MIMURA</t>
  </si>
  <si>
    <t>025251</t>
  </si>
  <si>
    <t>OPT-612</t>
  </si>
  <si>
    <t>RIKA PUSPITASARI</t>
  </si>
  <si>
    <t>025249</t>
  </si>
  <si>
    <t>CUTTING AC90-3MO-01</t>
  </si>
  <si>
    <t>OPT-611</t>
  </si>
  <si>
    <t>IMROATUT TOHIROH</t>
  </si>
  <si>
    <t>025200</t>
  </si>
  <si>
    <t>OPT-314</t>
  </si>
  <si>
    <t>AIMATUS SHOLEKHAH</t>
  </si>
  <si>
    <t>012068</t>
  </si>
  <si>
    <t>OPT-308</t>
  </si>
  <si>
    <t>KHOLIS FATKHIYATUR ROHMANIYAH</t>
  </si>
  <si>
    <t>011724</t>
  </si>
  <si>
    <t>PROGRAMER CHECKER BOARD</t>
  </si>
  <si>
    <t>TKN-224</t>
  </si>
  <si>
    <t>GALIH RAKASIWI WICAKSONO</t>
  </si>
  <si>
    <t>024998</t>
  </si>
  <si>
    <t>OPT-607</t>
  </si>
  <si>
    <t>BOBBY BAGAS PRAKOSO</t>
  </si>
  <si>
    <t>024996</t>
  </si>
  <si>
    <t>LEADER TAX</t>
  </si>
  <si>
    <t>ES-76</t>
  </si>
  <si>
    <t>AYU INDRASARI SAPUTRI</t>
  </si>
  <si>
    <t>024995</t>
  </si>
  <si>
    <t>CUTTING AC90-HDA-25</t>
  </si>
  <si>
    <t>OPT-603</t>
  </si>
  <si>
    <t>MILADIYYA NOOR RAHMA</t>
  </si>
  <si>
    <t>024803</t>
  </si>
  <si>
    <t>OPT-278</t>
  </si>
  <si>
    <t>SITI ANJARWATI</t>
  </si>
  <si>
    <t>010635</t>
  </si>
  <si>
    <t>OPT-276</t>
  </si>
  <si>
    <t>QODARYANI</t>
  </si>
  <si>
    <t>010586</t>
  </si>
  <si>
    <t>PROGRAMER AND  INSPECTION BOARD FABRICATION</t>
  </si>
  <si>
    <t>NIP</t>
  </si>
  <si>
    <t>TKN-223</t>
  </si>
  <si>
    <t>HENDRAWAN BAYU PAMUNGKAS</t>
  </si>
  <si>
    <t>024411</t>
  </si>
  <si>
    <t>WFAP 2.2</t>
  </si>
  <si>
    <t>MAEKOTEI 1</t>
  </si>
  <si>
    <t>OPT-597</t>
  </si>
  <si>
    <t>SURYA AJI APRILLIANO</t>
  </si>
  <si>
    <t>024396</t>
  </si>
  <si>
    <t>FBB0-01, INTERMEDIATE, ASM BBM</t>
  </si>
  <si>
    <t>CV HV 07</t>
  </si>
  <si>
    <t>HV TOYOTA NIKEL</t>
  </si>
  <si>
    <t>BAYU AJI PAMUNGKAS</t>
  </si>
  <si>
    <t>024326</t>
  </si>
  <si>
    <t>TUNA DAKSA</t>
  </si>
  <si>
    <t>DATA &amp; ORDERING</t>
  </si>
  <si>
    <t>ADMINISTRASI &amp; BPS</t>
  </si>
  <si>
    <t>MTP</t>
  </si>
  <si>
    <t>OPT-572</t>
  </si>
  <si>
    <t>ALFI MUSMAWATI</t>
  </si>
  <si>
    <t>023185</t>
  </si>
  <si>
    <t>DESTY ARIYANI</t>
  </si>
  <si>
    <t>010580</t>
  </si>
  <si>
    <t>OJT ASM 2, ASM 3</t>
  </si>
  <si>
    <t>OPT-568</t>
  </si>
  <si>
    <t>TRI SETYOWATI</t>
  </si>
  <si>
    <t>022983</t>
  </si>
  <si>
    <t>OPT-253</t>
  </si>
  <si>
    <t>FITRIYANTI</t>
  </si>
  <si>
    <t>010179</t>
  </si>
  <si>
    <t>VISUAL 1, HVT</t>
  </si>
  <si>
    <t>CV HV 05A</t>
  </si>
  <si>
    <t>HV NISSAN</t>
  </si>
  <si>
    <t>NISSAN HV</t>
  </si>
  <si>
    <t>ARDANANG PRATAMA</t>
  </si>
  <si>
    <t>022909</t>
  </si>
  <si>
    <t>ANDRIYONO</t>
  </si>
  <si>
    <t>009578</t>
  </si>
  <si>
    <t>SHIAGE 2.1</t>
  </si>
  <si>
    <t>OPT-565</t>
  </si>
  <si>
    <t>RISKI MUSTOFA</t>
  </si>
  <si>
    <t>022793</t>
  </si>
  <si>
    <t>OPT-216</t>
  </si>
  <si>
    <t>MEKAR WIJAYANTI</t>
  </si>
  <si>
    <t>009453</t>
  </si>
  <si>
    <t>SHIAGE 1</t>
  </si>
  <si>
    <t>OPT-559</t>
  </si>
  <si>
    <t>CIPTO FATKHUROHMAN</t>
  </si>
  <si>
    <t>022447</t>
  </si>
  <si>
    <t>NAVIGATION SYSTEM FABRICATION</t>
  </si>
  <si>
    <t>TKN-118</t>
  </si>
  <si>
    <t>DEDI WIDODO</t>
  </si>
  <si>
    <t>022438</t>
  </si>
  <si>
    <t>WULANDARI</t>
  </si>
  <si>
    <t>009239</t>
  </si>
  <si>
    <t>MUKHASANAH</t>
  </si>
  <si>
    <t>009012</t>
  </si>
  <si>
    <t>TKN-116</t>
  </si>
  <si>
    <t>ARIS SETIA BUDI</t>
  </si>
  <si>
    <t>022323</t>
  </si>
  <si>
    <t>PRODUCTION ADM</t>
  </si>
  <si>
    <t>OPT-555</t>
  </si>
  <si>
    <t>WINDI LUSIANA DEVI</t>
  </si>
  <si>
    <t>022321</t>
  </si>
  <si>
    <t>YUNANDARI SABAHTI P.</t>
  </si>
  <si>
    <t>008677</t>
  </si>
  <si>
    <t>SITI KHAIZAH</t>
  </si>
  <si>
    <t>005943</t>
  </si>
  <si>
    <t>DYNA SEPTIANI</t>
  </si>
  <si>
    <t>005893</t>
  </si>
  <si>
    <t>ARI SUSILO</t>
  </si>
  <si>
    <t>005756</t>
  </si>
  <si>
    <t>OPT-549</t>
  </si>
  <si>
    <t>BAGAS FERNANDA PARIPURNA</t>
  </si>
  <si>
    <t>022117</t>
  </si>
  <si>
    <t>OPT-548</t>
  </si>
  <si>
    <t>ZULIANAH</t>
  </si>
  <si>
    <t>022110</t>
  </si>
  <si>
    <t>OPT-134</t>
  </si>
  <si>
    <t>TRI RUMIYATI</t>
  </si>
  <si>
    <t>005745</t>
  </si>
  <si>
    <t>IT</t>
  </si>
  <si>
    <t>MAGANG GL</t>
  </si>
  <si>
    <t>OPT-547</t>
  </si>
  <si>
    <t>LABBAIKA ALIFUL AUFA</t>
  </si>
  <si>
    <t>022033</t>
  </si>
  <si>
    <t>RITA ERTA ARI WINARNI</t>
  </si>
  <si>
    <t>005728</t>
  </si>
  <si>
    <t>CV S01</t>
  </si>
  <si>
    <t>SUZUKI YW0</t>
  </si>
  <si>
    <t>SUZUKI WAGON R</t>
  </si>
  <si>
    <t>AYU ARI UTAMI</t>
  </si>
  <si>
    <t>022015</t>
  </si>
  <si>
    <t>YANWAR NURJIYANTO</t>
  </si>
  <si>
    <t>005472</t>
  </si>
  <si>
    <t>OPT-545</t>
  </si>
  <si>
    <t>NOVIA YUNITA</t>
  </si>
  <si>
    <t>021968</t>
  </si>
  <si>
    <t>AGUS WIDODO</t>
  </si>
  <si>
    <t>005395</t>
  </si>
  <si>
    <t>FINAL ASSY PREVENTIVE</t>
  </si>
  <si>
    <t>TKN-111</t>
  </si>
  <si>
    <t>IRFAN EGO PRASTIKO</t>
  </si>
  <si>
    <t>021912</t>
  </si>
  <si>
    <t>OPT-120</t>
  </si>
  <si>
    <t>SUTRISNO</t>
  </si>
  <si>
    <t>004852</t>
  </si>
  <si>
    <t>OPT-28</t>
  </si>
  <si>
    <t>NUR FATMAWATI</t>
  </si>
  <si>
    <t>001146</t>
  </si>
  <si>
    <t>OPT-23</t>
  </si>
  <si>
    <t>PUSPANDARI</t>
  </si>
  <si>
    <t>000899</t>
  </si>
  <si>
    <t>WARTI</t>
  </si>
  <si>
    <t>000751</t>
  </si>
  <si>
    <t>ASM + CHECKER 2</t>
  </si>
  <si>
    <t>CV HV 10B</t>
  </si>
  <si>
    <t>OPT-540</t>
  </si>
  <si>
    <t>RETNO NURUL FATMAWATI</t>
  </si>
  <si>
    <t>021784</t>
  </si>
  <si>
    <t>OPT-539</t>
  </si>
  <si>
    <t>JOKO WAHYUDI</t>
  </si>
  <si>
    <t>021721</t>
  </si>
  <si>
    <t>OPT-4</t>
  </si>
  <si>
    <t>SURYAWATI</t>
  </si>
  <si>
    <t>000156</t>
  </si>
  <si>
    <t>CV HV 04B</t>
  </si>
  <si>
    <t>EKA RATNASARI</t>
  </si>
  <si>
    <t>021712</t>
  </si>
  <si>
    <t>OJT CAMERA FUSE + TPO</t>
  </si>
  <si>
    <t>ALIFUDIN MAULANA</t>
  </si>
  <si>
    <t>021702</t>
  </si>
  <si>
    <t>OPT-538</t>
  </si>
  <si>
    <t>JUHUDI</t>
  </si>
  <si>
    <t>021693</t>
  </si>
  <si>
    <t>OPT-537</t>
  </si>
  <si>
    <t>MUHAMMAD NURUL IKSAN MASDUQI</t>
  </si>
  <si>
    <t>021669</t>
  </si>
  <si>
    <t>OJT S/A 01</t>
  </si>
  <si>
    <t>INSANI ISTIFARI PUTRI</t>
  </si>
  <si>
    <t>021658</t>
  </si>
  <si>
    <t>ARIN DWI NUGROHO</t>
  </si>
  <si>
    <t>021640</t>
  </si>
  <si>
    <t>AHMAD ABDUL KOHAR</t>
  </si>
  <si>
    <t>021635</t>
  </si>
  <si>
    <t>OPT-535</t>
  </si>
  <si>
    <t>IIN AGUSTIN</t>
  </si>
  <si>
    <t>021531</t>
  </si>
  <si>
    <t>TKN-108</t>
  </si>
  <si>
    <t>MUHAMMAD SAIFUDIN</t>
  </si>
  <si>
    <t>021509</t>
  </si>
  <si>
    <t>CHECKER BOARD VALIDATION</t>
  </si>
  <si>
    <t>ADIP SARWONO</t>
  </si>
  <si>
    <t>021508</t>
  </si>
  <si>
    <t>OPT-3</t>
  </si>
  <si>
    <t>FILIA</t>
  </si>
  <si>
    <t>000086</t>
  </si>
  <si>
    <t>VISUAL 1.1</t>
  </si>
  <si>
    <t>OPT-532</t>
  </si>
  <si>
    <t>HANDAYANI</t>
  </si>
  <si>
    <t>021392</t>
  </si>
  <si>
    <t>PPC</t>
  </si>
  <si>
    <t>ORDERING OVERSEAS</t>
  </si>
  <si>
    <t>OPT-531</t>
  </si>
  <si>
    <t>TIRTA SATRIAWAN MAULANA</t>
  </si>
  <si>
    <t>021372</t>
  </si>
  <si>
    <t>FPI SPV</t>
  </si>
  <si>
    <t>QC PRD, SOOP, TRAINER</t>
  </si>
  <si>
    <t>SUPERVISOR NON LINE</t>
  </si>
  <si>
    <t>NUR FARID</t>
  </si>
  <si>
    <t>012032</t>
  </si>
  <si>
    <t>OJT T/P 2</t>
  </si>
  <si>
    <t>OPT-530</t>
  </si>
  <si>
    <t>AYU NOFITASARI</t>
  </si>
  <si>
    <t>021279</t>
  </si>
  <si>
    <t>FPS SPV</t>
  </si>
  <si>
    <t>PRODUCTION SYSTEM</t>
  </si>
  <si>
    <t>YUSUF DWI SUSILO</t>
  </si>
  <si>
    <t>006107</t>
  </si>
  <si>
    <t>VISUAL 1.2</t>
  </si>
  <si>
    <t>OPT-525</t>
  </si>
  <si>
    <t>HESTI WIDYAWATI</t>
  </si>
  <si>
    <t>021238</t>
  </si>
  <si>
    <t>SUPERVISOR FINANCE</t>
  </si>
  <si>
    <t>FINANCE</t>
  </si>
  <si>
    <t>FIN</t>
  </si>
  <si>
    <t>AMALIA PUJI RAHAYUNINGSIH</t>
  </si>
  <si>
    <t>021229</t>
  </si>
  <si>
    <t>ADMIN, CUTTING PROJECT &amp; WIRELOSS</t>
  </si>
  <si>
    <t>PADMI LESTARI</t>
  </si>
  <si>
    <t>004648</t>
  </si>
  <si>
    <t>PUDJI IDAYANI</t>
  </si>
  <si>
    <t>001170</t>
  </si>
  <si>
    <t>BLT, S/A 01</t>
  </si>
  <si>
    <t>OPT-523</t>
  </si>
  <si>
    <t>AHMADUN DWI RAHARJO</t>
  </si>
  <si>
    <t>021205</t>
  </si>
  <si>
    <t>CHECKER 2</t>
  </si>
  <si>
    <t>AHMAD FAHRUR ROZI</t>
  </si>
  <si>
    <t>021203</t>
  </si>
  <si>
    <t>OJT MAEKOTEI</t>
  </si>
  <si>
    <t>OPT-520</t>
  </si>
  <si>
    <t>WIDOWATI</t>
  </si>
  <si>
    <t>021086</t>
  </si>
  <si>
    <t>HV FINAL ASSY</t>
  </si>
  <si>
    <t>SUPERVISOR FA</t>
  </si>
  <si>
    <t>SETIYONO EKO NUGRAHO</t>
  </si>
  <si>
    <t>013789</t>
  </si>
  <si>
    <t>TUNA RUNGU</t>
  </si>
  <si>
    <t>OPT-519</t>
  </si>
  <si>
    <t>AZHARI JUNIAR W</t>
  </si>
  <si>
    <t>021037</t>
  </si>
  <si>
    <t>OPT-518</t>
  </si>
  <si>
    <t>WINTON PRASTYO</t>
  </si>
  <si>
    <t>021033</t>
  </si>
  <si>
    <t>OPT-516</t>
  </si>
  <si>
    <t>FADILLAH MARIZA ACHMAD</t>
  </si>
  <si>
    <t>021028</t>
  </si>
  <si>
    <t>N-VAN, DYNA FA, SUZUKI FA</t>
  </si>
  <si>
    <t>HERLAMBANG DIAN INDRA PRAJA</t>
  </si>
  <si>
    <t>013649</t>
  </si>
  <si>
    <t>MAZDA FA, HONDA CRV FA</t>
  </si>
  <si>
    <t>WIDODO PRASETIO</t>
  </si>
  <si>
    <t>013645</t>
  </si>
  <si>
    <t>PROTOTYPE, LSPO &amp; PL</t>
  </si>
  <si>
    <t>RAHMAT SAMUEL</t>
  </si>
  <si>
    <t>000711</t>
  </si>
  <si>
    <t>OPT-510</t>
  </si>
  <si>
    <t>HANIF RINALDY RAHMANUARIE</t>
  </si>
  <si>
    <t>020864</t>
  </si>
  <si>
    <t>S/A 7</t>
  </si>
  <si>
    <t>OPT-506</t>
  </si>
  <si>
    <t>RIZKI ULFA QOMARIYAH</t>
  </si>
  <si>
    <t>020785</t>
  </si>
  <si>
    <t>HONDA FIT, L-CABIN , HONDA NESS</t>
  </si>
  <si>
    <t>WIHARYANTI</t>
  </si>
  <si>
    <t>000126</t>
  </si>
  <si>
    <t>ALL CUTTING PRE ASSY &amp; CUTTING TUBE</t>
  </si>
  <si>
    <t>SUPERVISOR CPA</t>
  </si>
  <si>
    <t>TAUFIK WIDHIANTO</t>
  </si>
  <si>
    <t>000268</t>
  </si>
  <si>
    <t>CHECKER</t>
  </si>
  <si>
    <t>PROTOTYPE</t>
  </si>
  <si>
    <t>SARASWATI RATNA NINGSIH</t>
  </si>
  <si>
    <t>B00164</t>
  </si>
  <si>
    <t>QUALITY SYSTEM</t>
  </si>
  <si>
    <t>ES-73</t>
  </si>
  <si>
    <t>VINA SETIYANINGSIH</t>
  </si>
  <si>
    <t>020693</t>
  </si>
  <si>
    <t>CV T02</t>
  </si>
  <si>
    <t>ZIDA FARIHATUL ULFAH</t>
  </si>
  <si>
    <t>020692</t>
  </si>
  <si>
    <t>YUNI ROHMANTIKASARI</t>
  </si>
  <si>
    <t>020689</t>
  </si>
  <si>
    <t>ASM</t>
  </si>
  <si>
    <t>OPT-392</t>
  </si>
  <si>
    <t>LUHITA KUSUMA WARDANI</t>
  </si>
  <si>
    <t>015618</t>
  </si>
  <si>
    <t>OPT-331</t>
  </si>
  <si>
    <t>RETNANINGTYAS CANDRA K.</t>
  </si>
  <si>
    <t>013145</t>
  </si>
  <si>
    <t>VISUAL</t>
  </si>
  <si>
    <t>SITI KHOIRIYAH</t>
  </si>
  <si>
    <t>013065</t>
  </si>
  <si>
    <t>OPT-300</t>
  </si>
  <si>
    <t>ENI LUKMAWATI</t>
  </si>
  <si>
    <t>011321</t>
  </si>
  <si>
    <t>VISUAL 2</t>
  </si>
  <si>
    <t>OPT-504</t>
  </si>
  <si>
    <t>RISKA LAILIYAH</t>
  </si>
  <si>
    <t>020525</t>
  </si>
  <si>
    <t>MITRA LUSIANA</t>
  </si>
  <si>
    <t>020502</t>
  </si>
  <si>
    <t>OPT-290</t>
  </si>
  <si>
    <t>DEWANTRI FITRI</t>
  </si>
  <si>
    <t>011107</t>
  </si>
  <si>
    <t>OPT-265</t>
  </si>
  <si>
    <t>SITI FARIDAH</t>
  </si>
  <si>
    <t>010338</t>
  </si>
  <si>
    <t>P/A CONTROLLER</t>
  </si>
  <si>
    <t>KANBAN ( DIFABLE )</t>
  </si>
  <si>
    <t>OPT-502</t>
  </si>
  <si>
    <t>MUHAMMAD IMAM PRAYOGO</t>
  </si>
  <si>
    <t>020386</t>
  </si>
  <si>
    <t>LEADER EXIM</t>
  </si>
  <si>
    <t>EXIM</t>
  </si>
  <si>
    <t>ES-72</t>
  </si>
  <si>
    <t>MARGARETHA PANTOW</t>
  </si>
  <si>
    <t>020384</t>
  </si>
  <si>
    <t>TRN @ OVERSEAS</t>
  </si>
  <si>
    <t>TRN @ OVERSEAS - TCS 9</t>
  </si>
  <si>
    <t>OPT-501</t>
  </si>
  <si>
    <t>SITI DEVI RAHAYUNINGTIAS</t>
  </si>
  <si>
    <t>020358</t>
  </si>
  <si>
    <t>OPT-500</t>
  </si>
  <si>
    <t>RISMA KARTIKA LESTARI</t>
  </si>
  <si>
    <t>020250</t>
  </si>
  <si>
    <t>WISNU WARDANI</t>
  </si>
  <si>
    <t>008877</t>
  </si>
  <si>
    <t>CUTI CURRETAGE</t>
  </si>
  <si>
    <t>OPT-496</t>
  </si>
  <si>
    <t>SRI WULANDARI</t>
  </si>
  <si>
    <t>020084</t>
  </si>
  <si>
    <t>OPT-495</t>
  </si>
  <si>
    <t>DARUS KURNIAWAN FERNANDA</t>
  </si>
  <si>
    <t>020063</t>
  </si>
  <si>
    <t>T/P 5.1</t>
  </si>
  <si>
    <t>CV 4</t>
  </si>
  <si>
    <t>HONDA FREED W/H FLOOR</t>
  </si>
  <si>
    <t>HONDA FREED</t>
  </si>
  <si>
    <t>OPT-493</t>
  </si>
  <si>
    <t>LENI PUTRIYANI</t>
  </si>
  <si>
    <t>020015</t>
  </si>
  <si>
    <t>MAEKOTEI 2</t>
  </si>
  <si>
    <t>SITI LATIFAH</t>
  </si>
  <si>
    <t>019957</t>
  </si>
  <si>
    <t>OPT-148</t>
  </si>
  <si>
    <t>ALI SANTOSO</t>
  </si>
  <si>
    <t>006357</t>
  </si>
  <si>
    <t>OPT-140</t>
  </si>
  <si>
    <t>NURUL LATIFAH</t>
  </si>
  <si>
    <t>006150</t>
  </si>
  <si>
    <t>DC</t>
  </si>
  <si>
    <t>DC FUSE</t>
  </si>
  <si>
    <t>HV TOYOTA AC</t>
  </si>
  <si>
    <t>OPT-492</t>
  </si>
  <si>
    <t>LAILI PUJI ANAFI</t>
  </si>
  <si>
    <t>019784</t>
  </si>
  <si>
    <t>KHARIZAL HUDA</t>
  </si>
  <si>
    <t>019778</t>
  </si>
  <si>
    <t>BFT 2</t>
  </si>
  <si>
    <t>FAIKHATUN NIKMAH</t>
  </si>
  <si>
    <t>019762</t>
  </si>
  <si>
    <t>FITRI AMALIA</t>
  </si>
  <si>
    <t>005770</t>
  </si>
  <si>
    <t>T/P 2.2</t>
  </si>
  <si>
    <t>OPT-490</t>
  </si>
  <si>
    <t>NUR FAIZAH</t>
  </si>
  <si>
    <t>019661</t>
  </si>
  <si>
    <t>S/A 16</t>
  </si>
  <si>
    <t>KURNIA DEWI LESTARI</t>
  </si>
  <si>
    <t>019643</t>
  </si>
  <si>
    <t>BEKTI RAHAYU</t>
  </si>
  <si>
    <t>005690</t>
  </si>
  <si>
    <t>OPT-21</t>
  </si>
  <si>
    <t>TITIN CATUR MEIWATI</t>
  </si>
  <si>
    <t>000811</t>
  </si>
  <si>
    <t>HELPER</t>
  </si>
  <si>
    <t>OPT-489</t>
  </si>
  <si>
    <t>MOCH YUSUF IMMANUDIN</t>
  </si>
  <si>
    <t>019586</t>
  </si>
  <si>
    <t>SHIAGE</t>
  </si>
  <si>
    <t>KHOIRUL UMAM</t>
  </si>
  <si>
    <t>019580</t>
  </si>
  <si>
    <t>OPT-5</t>
  </si>
  <si>
    <t>SITI NUR KHASANAH</t>
  </si>
  <si>
    <t>000183</t>
  </si>
  <si>
    <t>DOKUMEN OS</t>
  </si>
  <si>
    <t>OS &amp; IMPR</t>
  </si>
  <si>
    <t>OPT-486</t>
  </si>
  <si>
    <t>NAILIL FARH</t>
  </si>
  <si>
    <t>019461</t>
  </si>
  <si>
    <t>TRAINING &amp; 136 RULES</t>
  </si>
  <si>
    <t>TRN</t>
  </si>
  <si>
    <t>TRN &amp; MOTO</t>
  </si>
  <si>
    <t>ES-69</t>
  </si>
  <si>
    <t>DYAH PUTRI PUSPITASARI</t>
  </si>
  <si>
    <t>019456</t>
  </si>
  <si>
    <t>OPT-483</t>
  </si>
  <si>
    <t>MUKHAMAD ALI</t>
  </si>
  <si>
    <t>019454</t>
  </si>
  <si>
    <t>OPT-482</t>
  </si>
  <si>
    <t>VIVI NURFAJRIYATI</t>
  </si>
  <si>
    <t>019446</t>
  </si>
  <si>
    <t>LL MANUFACTURING PURCHASING &amp; BEA CUKAI</t>
  </si>
  <si>
    <t>ES-67</t>
  </si>
  <si>
    <t>KURNIA MARDIYANI</t>
  </si>
  <si>
    <t>019444</t>
  </si>
  <si>
    <t>OPT-481</t>
  </si>
  <si>
    <t>SIGIT SAWIJI</t>
  </si>
  <si>
    <t>019443</t>
  </si>
  <si>
    <t>IMAM BUKORI</t>
  </si>
  <si>
    <t>019438</t>
  </si>
  <si>
    <t>WKS</t>
  </si>
  <si>
    <t>EQUIPMENT NEW PROJECT FINAL ASSY</t>
  </si>
  <si>
    <t>WORKSHOP</t>
  </si>
  <si>
    <t>HABIBUL MUHTAR</t>
  </si>
  <si>
    <t>019437</t>
  </si>
  <si>
    <t>KANBAN CONTROL</t>
  </si>
  <si>
    <t>KANBAN &amp; STANDART CPA</t>
  </si>
  <si>
    <t>OPT-546</t>
  </si>
  <si>
    <t>AZIS LUSIANA</t>
  </si>
  <si>
    <t>021987</t>
  </si>
  <si>
    <t>OJT SHIAGE 1</t>
  </si>
  <si>
    <t>OPT-480</t>
  </si>
  <si>
    <t>PURNOMO BUDI UTOMO</t>
  </si>
  <si>
    <t>019430</t>
  </si>
  <si>
    <t>KANBAN &amp; STANDART FA</t>
  </si>
  <si>
    <t>OPT-544</t>
  </si>
  <si>
    <t>TRI ANDRIYANI</t>
  </si>
  <si>
    <t>021935</t>
  </si>
  <si>
    <t>ADM-66</t>
  </si>
  <si>
    <t>ADAM SATRIA PUTRA DINATA</t>
  </si>
  <si>
    <t>020694</t>
  </si>
  <si>
    <t>OPT-478</t>
  </si>
  <si>
    <t>DYAH ARYANI</t>
  </si>
  <si>
    <t>019287</t>
  </si>
  <si>
    <t>OPT-476</t>
  </si>
  <si>
    <t>ROBI MAULANA</t>
  </si>
  <si>
    <t>019259</t>
  </si>
  <si>
    <t>M. SALAFUDIN</t>
  </si>
  <si>
    <t>019255</t>
  </si>
  <si>
    <t>DHARIS ABDUL FEBRIYAN</t>
  </si>
  <si>
    <t>019243</t>
  </si>
  <si>
    <t>BAYU TIRTA MAHARDIKA</t>
  </si>
  <si>
    <t>019241</t>
  </si>
  <si>
    <t>LL PrE</t>
  </si>
  <si>
    <t>PrE</t>
  </si>
  <si>
    <t>ES-65</t>
  </si>
  <si>
    <t>MOHAMMAD ARFIN RIFQI</t>
  </si>
  <si>
    <t>019208</t>
  </si>
  <si>
    <t>RELIEF 2</t>
  </si>
  <si>
    <t>OPT-475</t>
  </si>
  <si>
    <t>RANI MULIA AGUSTA</t>
  </si>
  <si>
    <t>019160</t>
  </si>
  <si>
    <t>TKN-101</t>
  </si>
  <si>
    <t>HADI PRAYITNO</t>
  </si>
  <si>
    <t>019433</t>
  </si>
  <si>
    <t>INSP BC</t>
  </si>
  <si>
    <t>CPA HONDA EXPORT</t>
  </si>
  <si>
    <t>HONDA EXPORT</t>
  </si>
  <si>
    <t>MUHAMMAD AZIS</t>
  </si>
  <si>
    <t>019137</t>
  </si>
  <si>
    <t>CUTTING AC90-SZK-02</t>
  </si>
  <si>
    <t>IIN NURUL AFIDAH</t>
  </si>
  <si>
    <t>019108</t>
  </si>
  <si>
    <t>ENI RAHMAWATI</t>
  </si>
  <si>
    <t>019100</t>
  </si>
  <si>
    <t>ANIK SETYOWATI</t>
  </si>
  <si>
    <t>019080</t>
  </si>
  <si>
    <t>OPT-473</t>
  </si>
  <si>
    <t>MUHAMMAD AINUR ROFIQ</t>
  </si>
  <si>
    <t>019063</t>
  </si>
  <si>
    <t>KANBAN</t>
  </si>
  <si>
    <t>TKN-75</t>
  </si>
  <si>
    <t>TOMY RONIAWAN</t>
  </si>
  <si>
    <t>014141</t>
  </si>
  <si>
    <t>SITI KHUMAISIYAH</t>
  </si>
  <si>
    <t>010607</t>
  </si>
  <si>
    <t>OJT T/P 7.2</t>
  </si>
  <si>
    <t>OPT-470</t>
  </si>
  <si>
    <t>LUSI FITRIANA</t>
  </si>
  <si>
    <t>018959</t>
  </si>
  <si>
    <t>OJT T/P S/P 2.1</t>
  </si>
  <si>
    <t>OPT-469</t>
  </si>
  <si>
    <t>HERU RETNO WIDYASTUTI</t>
  </si>
  <si>
    <t>018844</t>
  </si>
  <si>
    <t>TKN-91</t>
  </si>
  <si>
    <t>TEGUH YULIYANTO</t>
  </si>
  <si>
    <t>018808</t>
  </si>
  <si>
    <t>ADMINISTRASI</t>
  </si>
  <si>
    <t>OPT-468</t>
  </si>
  <si>
    <t>LIZA ADITYA</t>
  </si>
  <si>
    <t>018740</t>
  </si>
  <si>
    <t>EKA TINI ANJARWATI</t>
  </si>
  <si>
    <t>018699</t>
  </si>
  <si>
    <t>AYU WULANDARI</t>
  </si>
  <si>
    <t>018681</t>
  </si>
  <si>
    <t>LEGAL SPV</t>
  </si>
  <si>
    <t>GA</t>
  </si>
  <si>
    <t>SLAMET TIMBUL</t>
  </si>
  <si>
    <t>018666</t>
  </si>
  <si>
    <t>MGR IDL</t>
  </si>
  <si>
    <t>BAMBANG RIANTO</t>
  </si>
  <si>
    <t>018663</t>
  </si>
  <si>
    <t>MARYANTO</t>
  </si>
  <si>
    <t>018662</t>
  </si>
  <si>
    <t>CAMERA FUSE + INSPECT RELAY 1</t>
  </si>
  <si>
    <t>OPT-450</t>
  </si>
  <si>
    <t>SRI WIDIYANTI</t>
  </si>
  <si>
    <t>017920</t>
  </si>
  <si>
    <t>WEAR &amp; TEAR STOCK CONTROL</t>
  </si>
  <si>
    <t>TKN-83</t>
  </si>
  <si>
    <t>MUKHAMMAD AFIFUDDIN</t>
  </si>
  <si>
    <t>017888</t>
  </si>
  <si>
    <t>CRIMP STD</t>
  </si>
  <si>
    <t>PREPARATION, OVER HOUL, IMPROVEMENT</t>
  </si>
  <si>
    <t>MODIF</t>
  </si>
  <si>
    <t>ALVIN DONI KURNIAWAN</t>
  </si>
  <si>
    <t>017884</t>
  </si>
  <si>
    <t>SUPERVISOR</t>
  </si>
  <si>
    <t>TAUFIQ ZEIN AMRULLAH</t>
  </si>
  <si>
    <t>017880</t>
  </si>
  <si>
    <t>NUNIK WAHYUNI</t>
  </si>
  <si>
    <t>005924</t>
  </si>
  <si>
    <t>TQM</t>
  </si>
  <si>
    <t>MOTO, 4M, KAIZEN &amp; QCC</t>
  </si>
  <si>
    <t>TKN-82</t>
  </si>
  <si>
    <t>AHMAD MAHFUD ELA MAULANA</t>
  </si>
  <si>
    <t>017833</t>
  </si>
  <si>
    <t>OPT-448</t>
  </si>
  <si>
    <t>ISMATUL MAULA</t>
  </si>
  <si>
    <t>017801</t>
  </si>
  <si>
    <t>QA LINE LEADER</t>
  </si>
  <si>
    <t>QA LL</t>
  </si>
  <si>
    <t>ALL HONDA JAPAN , SOLENOID</t>
  </si>
  <si>
    <t>ES-57</t>
  </si>
  <si>
    <t>KHOLIS HARIADI</t>
  </si>
  <si>
    <t>017683</t>
  </si>
  <si>
    <t>S/A 17</t>
  </si>
  <si>
    <t>OPT-445</t>
  </si>
  <si>
    <t>ULFA SRI PANGESTU</t>
  </si>
  <si>
    <t>017672</t>
  </si>
  <si>
    <t>SITI RONDIYAH</t>
  </si>
  <si>
    <t>005812</t>
  </si>
  <si>
    <t>VISUAL U2.1</t>
  </si>
  <si>
    <t>OPT-444</t>
  </si>
  <si>
    <t>MUTIATUL KHASANAH</t>
  </si>
  <si>
    <t>017561</t>
  </si>
  <si>
    <t>ADM-28</t>
  </si>
  <si>
    <t>ABDUL MANAN</t>
  </si>
  <si>
    <t>005473</t>
  </si>
  <si>
    <t>OPT-443</t>
  </si>
  <si>
    <t>KHIKMATUS SHOLIKHAH</t>
  </si>
  <si>
    <t>017448</t>
  </si>
  <si>
    <t>LINE LEADER</t>
  </si>
  <si>
    <t>TKN-25</t>
  </si>
  <si>
    <t>AGUS TRIYONO</t>
  </si>
  <si>
    <t>004658</t>
  </si>
  <si>
    <t>CUTTING AC90-HDA-06</t>
  </si>
  <si>
    <t>OPT-442</t>
  </si>
  <si>
    <t>DIAH DWI JAYATI</t>
  </si>
  <si>
    <t>017363</t>
  </si>
  <si>
    <t>OPT-441</t>
  </si>
  <si>
    <t>NUR ALIMATUS SA'ADAH</t>
  </si>
  <si>
    <t>017334</t>
  </si>
  <si>
    <t>OFFLINE CLIP 4</t>
  </si>
  <si>
    <t>ANIS BERKAH WIJAYANTI</t>
  </si>
  <si>
    <t>017283</t>
  </si>
  <si>
    <t>BDM</t>
  </si>
  <si>
    <t>BUILDING MAINTENANCE</t>
  </si>
  <si>
    <t>TKN-80</t>
  </si>
  <si>
    <t>MAULIDINA AHSAN</t>
  </si>
  <si>
    <t>017278</t>
  </si>
  <si>
    <t>SOOP</t>
  </si>
  <si>
    <t>PRODUCTION SOOP</t>
  </si>
  <si>
    <t>ANIK RHOMAWATI</t>
  </si>
  <si>
    <t>008990</t>
  </si>
  <si>
    <t>OJT BM3-STA-02</t>
  </si>
  <si>
    <t>CPA TOYOTA LV</t>
  </si>
  <si>
    <t>HV TOYOTA LV</t>
  </si>
  <si>
    <t>OPT-439</t>
  </si>
  <si>
    <t>YESSI MAY SHELLA</t>
  </si>
  <si>
    <t>017180</t>
  </si>
  <si>
    <t>DEWI JAMIAH</t>
  </si>
  <si>
    <t>005887</t>
  </si>
  <si>
    <t>PATROLI ABNORMAL</t>
  </si>
  <si>
    <t>PRODUCTION QLP</t>
  </si>
  <si>
    <t>OPT-205</t>
  </si>
  <si>
    <t>SUSANTI</t>
  </si>
  <si>
    <t>009171</t>
  </si>
  <si>
    <t>CUTTING KDR-HDA-01</t>
  </si>
  <si>
    <t>OPT-437</t>
  </si>
  <si>
    <t>ARI YULIYANTO</t>
  </si>
  <si>
    <t>016978</t>
  </si>
  <si>
    <t>YULI RISTIANI</t>
  </si>
  <si>
    <t>005842</t>
  </si>
  <si>
    <t>KANBAN FA &amp; NAME PLATE</t>
  </si>
  <si>
    <t>PRODUCTION NAME PLATE</t>
  </si>
  <si>
    <t>OPT-386</t>
  </si>
  <si>
    <t>MUHAMAD NURIYANTO</t>
  </si>
  <si>
    <t>015260</t>
  </si>
  <si>
    <t>TUTUK APRIYANTI</t>
  </si>
  <si>
    <t>001128</t>
  </si>
  <si>
    <t>STAFF GA</t>
  </si>
  <si>
    <t>WAIS AL QURNIE</t>
  </si>
  <si>
    <t>016111</t>
  </si>
  <si>
    <t>HADIYANTI</t>
  </si>
  <si>
    <t>000058</t>
  </si>
  <si>
    <t>CHECKER 3</t>
  </si>
  <si>
    <t>OPT-400</t>
  </si>
  <si>
    <t>LULUK AFIFATUL LAFIFAH</t>
  </si>
  <si>
    <t>015966</t>
  </si>
  <si>
    <t>KONTROL MAN POWER</t>
  </si>
  <si>
    <t>PRODUCTION ADM MAN POWER</t>
  </si>
  <si>
    <t>OPT-248</t>
  </si>
  <si>
    <t>MUSTAAROH</t>
  </si>
  <si>
    <t>010102</t>
  </si>
  <si>
    <t>CHECKER CLIP 1</t>
  </si>
  <si>
    <t>OPT-396</t>
  </si>
  <si>
    <t>RAGIL LILIK SANDJANI</t>
  </si>
  <si>
    <t>015746</t>
  </si>
  <si>
    <t>OPT-246</t>
  </si>
  <si>
    <t>WAHYU SETYANING TYAS</t>
  </si>
  <si>
    <t>009987</t>
  </si>
  <si>
    <t>OPT-98</t>
  </si>
  <si>
    <t>SITI LESTARI</t>
  </si>
  <si>
    <t>003735</t>
  </si>
  <si>
    <t>ES-52</t>
  </si>
  <si>
    <t>ADE BUDI KURNIAWAN</t>
  </si>
  <si>
    <t>015582</t>
  </si>
  <si>
    <t>JBP</t>
  </si>
  <si>
    <t>DRAFTER JIG BOARD</t>
  </si>
  <si>
    <t>OPT-390</t>
  </si>
  <si>
    <t>ALFIAN NURI CAHYO</t>
  </si>
  <si>
    <t>015532</t>
  </si>
  <si>
    <t>JIG BOARD FABRICATION</t>
  </si>
  <si>
    <t>OPT-389</t>
  </si>
  <si>
    <t>ARI SUGIYANTO</t>
  </si>
  <si>
    <t>015487</t>
  </si>
  <si>
    <t>ACHMAD SHODIQ</t>
  </si>
  <si>
    <t>015479</t>
  </si>
  <si>
    <t>ADMINISTRATION (INTERPRETER)</t>
  </si>
  <si>
    <t>OPT-610</t>
  </si>
  <si>
    <t>FARID HERNANDA T</t>
  </si>
  <si>
    <t>025111</t>
  </si>
  <si>
    <t>VISUAL T2.1</t>
  </si>
  <si>
    <t>OPT-387</t>
  </si>
  <si>
    <t>LUVI OKVIANTI</t>
  </si>
  <si>
    <t>015339</t>
  </si>
  <si>
    <t>LINDA WULANDARI</t>
  </si>
  <si>
    <t>015337</t>
  </si>
  <si>
    <t>OPT IMPORT</t>
  </si>
  <si>
    <t>EXIM - CANDI</t>
  </si>
  <si>
    <t>SAEFUDIN ZUHRI</t>
  </si>
  <si>
    <t>015274</t>
  </si>
  <si>
    <t>ERWIN DWI PAMUNGKAS</t>
  </si>
  <si>
    <t>020205</t>
  </si>
  <si>
    <t>SLC</t>
  </si>
  <si>
    <t>SUB LINE CHO</t>
  </si>
  <si>
    <t>KARTIKA PUTRI MAYANGSARI</t>
  </si>
  <si>
    <t>015250</t>
  </si>
  <si>
    <t>IMAM BAROWI</t>
  </si>
  <si>
    <t>015247</t>
  </si>
  <si>
    <t>OPT-385</t>
  </si>
  <si>
    <t>NUR FITRIYA NINGSIH</t>
  </si>
  <si>
    <t>015197</t>
  </si>
  <si>
    <t>OPT-399</t>
  </si>
  <si>
    <t>PUTRI MEI ERAWATI</t>
  </si>
  <si>
    <t>015931</t>
  </si>
  <si>
    <t>OPT-309</t>
  </si>
  <si>
    <t>ULIN NIKMAH</t>
  </si>
  <si>
    <t>011860</t>
  </si>
  <si>
    <t>OPT-378</t>
  </si>
  <si>
    <t>014817</t>
  </si>
  <si>
    <t>PPAP</t>
  </si>
  <si>
    <t>NILA MUNANA</t>
  </si>
  <si>
    <t>014797</t>
  </si>
  <si>
    <t>OPT-377</t>
  </si>
  <si>
    <t>RIZAL FAUZI</t>
  </si>
  <si>
    <t>014675</t>
  </si>
  <si>
    <t>VISUAL 2.2</t>
  </si>
  <si>
    <t>OPT-376</t>
  </si>
  <si>
    <t>SRI SUNARSIH</t>
  </si>
  <si>
    <t>014618</t>
  </si>
  <si>
    <t>CHECKER T2</t>
  </si>
  <si>
    <t>OPT-375</t>
  </si>
  <si>
    <t>WIDA WIJAYANTI</t>
  </si>
  <si>
    <t>014548</t>
  </si>
  <si>
    <t>OPT-288</t>
  </si>
  <si>
    <t>ASROFAH</t>
  </si>
  <si>
    <t>011037</t>
  </si>
  <si>
    <t>DIANI WIJAYANTI</t>
  </si>
  <si>
    <t>014476</t>
  </si>
  <si>
    <t>NUR KHOLIFAH</t>
  </si>
  <si>
    <t>000625</t>
  </si>
  <si>
    <t>CIRCUIT SUPPLY</t>
  </si>
  <si>
    <t>WIRE SAMPLE</t>
  </si>
  <si>
    <t>PREGNANT LINE</t>
  </si>
  <si>
    <t>SOFIYANTI</t>
  </si>
  <si>
    <t>001139</t>
  </si>
  <si>
    <t>TKN-78</t>
  </si>
  <si>
    <t>ARI ANGGI YUDIANTORO</t>
  </si>
  <si>
    <t>014149</t>
  </si>
  <si>
    <t>Tool and Part Control</t>
  </si>
  <si>
    <t>TKN-77</t>
  </si>
  <si>
    <t>ARIYANTO</t>
  </si>
  <si>
    <t>014144</t>
  </si>
  <si>
    <t>Improvement Workshop</t>
  </si>
  <si>
    <t>TKN-76</t>
  </si>
  <si>
    <t>TRI ADI MULYONO</t>
  </si>
  <si>
    <t>014143</t>
  </si>
  <si>
    <t>PART JATUH</t>
  </si>
  <si>
    <t>ES-56</t>
  </si>
  <si>
    <t>ADITYA KURNIAWAN</t>
  </si>
  <si>
    <t>017459</t>
  </si>
  <si>
    <t>OPT-365</t>
  </si>
  <si>
    <t>AGUS SUMANTRI</t>
  </si>
  <si>
    <t>014135</t>
  </si>
  <si>
    <t>VENI KORNIAWAN</t>
  </si>
  <si>
    <t>014125</t>
  </si>
  <si>
    <t>PAYROLL</t>
  </si>
  <si>
    <t>Payroll</t>
  </si>
  <si>
    <t>HR</t>
  </si>
  <si>
    <t>OPT-364</t>
  </si>
  <si>
    <t>RIZKI KURNIADI</t>
  </si>
  <si>
    <t>014119</t>
  </si>
  <si>
    <t>CHECKER BOARD FABRICATION</t>
  </si>
  <si>
    <t>MUHAMMAD SAHAL JUNAIDI</t>
  </si>
  <si>
    <t>014110</t>
  </si>
  <si>
    <t>BREAKDOWN &amp; REPLACEMENT PIN</t>
  </si>
  <si>
    <t>MUCHAMAT ICHSAN</t>
  </si>
  <si>
    <t>014107</t>
  </si>
  <si>
    <t>PROGRAMER NAVIGATION SYSTEM</t>
  </si>
  <si>
    <t>MARIO</t>
  </si>
  <si>
    <t>014106</t>
  </si>
  <si>
    <t>MARGARA IMANURA</t>
  </si>
  <si>
    <t>014105</t>
  </si>
  <si>
    <t>ASSET CONTROL FINAL ASSY, JCP TOOLING CONTROL DAN PREPARE PART LIST JIG BOARD</t>
  </si>
  <si>
    <t>HENDRAWAN ADI BACHTIAR</t>
  </si>
  <si>
    <t>014103</t>
  </si>
  <si>
    <t>CNC &amp; MILLING MATTING PART DESIGN &amp; FABRICATION</t>
  </si>
  <si>
    <t>DWI AGUS ARIYANTO</t>
  </si>
  <si>
    <t>014100</t>
  </si>
  <si>
    <t>GL CHECKER BOARD PREPARATION</t>
  </si>
  <si>
    <t>ABDUL AZIS</t>
  </si>
  <si>
    <t>014094</t>
  </si>
  <si>
    <t>CS &amp; BS + IPS &amp; ORDERING</t>
  </si>
  <si>
    <t>CT</t>
  </si>
  <si>
    <t>MUKHAMMAD FAUZI</t>
  </si>
  <si>
    <t>014093</t>
  </si>
  <si>
    <t>ELGI HARMONO DWI SAPUTRA</t>
  </si>
  <si>
    <t>014091</t>
  </si>
  <si>
    <t>TKN-71</t>
  </si>
  <si>
    <t>IWAN ARYANTA</t>
  </si>
  <si>
    <t>014039</t>
  </si>
  <si>
    <t>ACHMAD BUKORI</t>
  </si>
  <si>
    <t>014038</t>
  </si>
  <si>
    <t>OPT-125</t>
  </si>
  <si>
    <t>RETNO ATMININGSIH</t>
  </si>
  <si>
    <t>005255</t>
  </si>
  <si>
    <t>OJT T/P</t>
  </si>
  <si>
    <t>PART &amp; SERVICE FA</t>
  </si>
  <si>
    <t>LSPO</t>
  </si>
  <si>
    <t>AHMAT TAUFIK JUWARNO</t>
  </si>
  <si>
    <t>021206</t>
  </si>
  <si>
    <t>GL PRICING (MAGANG)</t>
  </si>
  <si>
    <t>PRICING</t>
  </si>
  <si>
    <t>OPT-351</t>
  </si>
  <si>
    <t>LILIS NURYAWATI</t>
  </si>
  <si>
    <t>013774</t>
  </si>
  <si>
    <t>INDRIANI WIDYASTUTI</t>
  </si>
  <si>
    <t>012659</t>
  </si>
  <si>
    <t>VISUAL 2.3</t>
  </si>
  <si>
    <t>OPT-346</t>
  </si>
  <si>
    <t>RIYADZUL JANNAH</t>
  </si>
  <si>
    <t>013654</t>
  </si>
  <si>
    <t>PJK INSP</t>
  </si>
  <si>
    <t>PITA JUNIANI</t>
  </si>
  <si>
    <t>013653</t>
  </si>
  <si>
    <t>RISTI IKA SARI</t>
  </si>
  <si>
    <t>009961</t>
  </si>
  <si>
    <t>DENNY ANDRIATNO PRIBADI</t>
  </si>
  <si>
    <t>013648</t>
  </si>
  <si>
    <t>ADITYA FAHRIZAL</t>
  </si>
  <si>
    <t>013647</t>
  </si>
  <si>
    <t>S/T</t>
  </si>
  <si>
    <t>DIYAH FITRIYANI</t>
  </si>
  <si>
    <t>009133</t>
  </si>
  <si>
    <t>SUZUKI , MAZDA , All GL Rework, All PJK</t>
  </si>
  <si>
    <t>IRAWAN RAHARDIANTO</t>
  </si>
  <si>
    <t>013636</t>
  </si>
  <si>
    <t>PREVENTIVE</t>
  </si>
  <si>
    <t>TPM</t>
  </si>
  <si>
    <t>TKN-69</t>
  </si>
  <si>
    <t>IFNU ANGGRAITO</t>
  </si>
  <si>
    <t>013630</t>
  </si>
  <si>
    <t>BREAKDOWN</t>
  </si>
  <si>
    <t>TKN-68</t>
  </si>
  <si>
    <t>TAUFIK RAMA FARADISA</t>
  </si>
  <si>
    <t>013627</t>
  </si>
  <si>
    <t>TKN-67</t>
  </si>
  <si>
    <t>ANDI EKO VIRGO S.</t>
  </si>
  <si>
    <t>013604</t>
  </si>
  <si>
    <t>T/P</t>
  </si>
  <si>
    <t>MALIKAH</t>
  </si>
  <si>
    <t>001091</t>
  </si>
  <si>
    <t>DOKUMEN SWCT</t>
  </si>
  <si>
    <t>SWCT</t>
  </si>
  <si>
    <t>OPT-344</t>
  </si>
  <si>
    <t>AFIT RIYANI</t>
  </si>
  <si>
    <t>013587</t>
  </si>
  <si>
    <t>BONDER</t>
  </si>
  <si>
    <t>PART &amp; SERVICE CPA</t>
  </si>
  <si>
    <t>OPT-311</t>
  </si>
  <si>
    <t>ADHE IRMAWATI</t>
  </si>
  <si>
    <t>011913</t>
  </si>
  <si>
    <t>TWS, MC</t>
  </si>
  <si>
    <t>OPT-222</t>
  </si>
  <si>
    <t>NURKHAYATI</t>
  </si>
  <si>
    <t>009689</t>
  </si>
  <si>
    <t>CPA MAZDA ATENZA</t>
  </si>
  <si>
    <t>MAZDA J71E IPM3</t>
  </si>
  <si>
    <t>OPT-339</t>
  </si>
  <si>
    <t>NAILATUL MAHMUDAH</t>
  </si>
  <si>
    <t>013504</t>
  </si>
  <si>
    <t>INSPECTION</t>
  </si>
  <si>
    <t>FATIHAH</t>
  </si>
  <si>
    <t>013490</t>
  </si>
  <si>
    <t>DWI WAHYUNINGSIH</t>
  </si>
  <si>
    <t>005892</t>
  </si>
  <si>
    <t>OPT-338</t>
  </si>
  <si>
    <t>LANNY ANGGITA SARI</t>
  </si>
  <si>
    <t>013451</t>
  </si>
  <si>
    <t>ARIS SETIAWAN</t>
  </si>
  <si>
    <t>013439</t>
  </si>
  <si>
    <t>TKN-65</t>
  </si>
  <si>
    <t>YAHYA PRAYITNO</t>
  </si>
  <si>
    <t>013437</t>
  </si>
  <si>
    <t>DRAWING EQP, LAYOUT &amp; IMPROVEMENT</t>
  </si>
  <si>
    <t>TKN-64</t>
  </si>
  <si>
    <t>RANDY MARDITYO</t>
  </si>
  <si>
    <t>013429</t>
  </si>
  <si>
    <t>MOCH. MUSTOFA</t>
  </si>
  <si>
    <t>013425</t>
  </si>
  <si>
    <t>EKA WAHYUDI</t>
  </si>
  <si>
    <t>013424</t>
  </si>
  <si>
    <t>BUDHY PRASETIYO</t>
  </si>
  <si>
    <t>013423</t>
  </si>
  <si>
    <t>AHMAT SLAMET RIYADI</t>
  </si>
  <si>
    <t>013422</t>
  </si>
  <si>
    <t>ACHMAD NOOR RIYADI</t>
  </si>
  <si>
    <t>013418</t>
  </si>
  <si>
    <t>OPT-337</t>
  </si>
  <si>
    <t>FITRI IRAWATI</t>
  </si>
  <si>
    <t>013376</t>
  </si>
  <si>
    <t>OJT T/P 8</t>
  </si>
  <si>
    <t>ENI PUJI LESTARI</t>
  </si>
  <si>
    <t>013369</t>
  </si>
  <si>
    <t>TKN-63</t>
  </si>
  <si>
    <t>TEGUH MULYANTO</t>
  </si>
  <si>
    <t>013353</t>
  </si>
  <si>
    <t>REPLACEMENT PIN CHECKER FIXTURE, PREPARE DAN CONTROL TEMPORARY CHECKER PART, PREPARE MORENSHO DAN NCDR</t>
  </si>
  <si>
    <t>WIRATNO</t>
  </si>
  <si>
    <t>013349</t>
  </si>
  <si>
    <t>LL REPLACEMENT PIN</t>
  </si>
  <si>
    <t>SUROKO</t>
  </si>
  <si>
    <t>013346</t>
  </si>
  <si>
    <t>RIZKI RIADI PUTRANTO</t>
  </si>
  <si>
    <t>013344</t>
  </si>
  <si>
    <t>NANANG SETIAWAN</t>
  </si>
  <si>
    <t>013341</t>
  </si>
  <si>
    <t>LUCKY APRIYANTO</t>
  </si>
  <si>
    <t>013338</t>
  </si>
  <si>
    <t>INDRA DWI MAULANA</t>
  </si>
  <si>
    <t>013335</t>
  </si>
  <si>
    <t>BAMBANG LADIYO</t>
  </si>
  <si>
    <t>013331</t>
  </si>
  <si>
    <t>ARIF DWI SETYAWAN</t>
  </si>
  <si>
    <t>013330</t>
  </si>
  <si>
    <t>CHECKER A/B</t>
  </si>
  <si>
    <t>OPT-336</t>
  </si>
  <si>
    <t>ANA TRISNANINGSIH</t>
  </si>
  <si>
    <t>013287</t>
  </si>
  <si>
    <t>CUTTING AC81-P/S-01</t>
  </si>
  <si>
    <t>LASTRI</t>
  </si>
  <si>
    <t>005428</t>
  </si>
  <si>
    <t>OPT-335</t>
  </si>
  <si>
    <t>SITI AF'IDAH</t>
  </si>
  <si>
    <t>013268</t>
  </si>
  <si>
    <t>NIKMATUL MAGHFIROH</t>
  </si>
  <si>
    <t>013251</t>
  </si>
  <si>
    <t>NASEHAH</t>
  </si>
  <si>
    <t>013249</t>
  </si>
  <si>
    <t>S/A 2</t>
  </si>
  <si>
    <t>OPT-333</t>
  </si>
  <si>
    <t>YULLY DWITIANTI</t>
  </si>
  <si>
    <t>013194</t>
  </si>
  <si>
    <t>KEYMAN 39PL</t>
  </si>
  <si>
    <t>NEW PROJECT</t>
  </si>
  <si>
    <t>OPT-283</t>
  </si>
  <si>
    <t>010848</t>
  </si>
  <si>
    <t>VARIDA KUSTIYANI</t>
  </si>
  <si>
    <t>010640</t>
  </si>
  <si>
    <t>GL EXPORT</t>
  </si>
  <si>
    <t>ADM-54</t>
  </si>
  <si>
    <t>ANGKI FITRA ADITYA</t>
  </si>
  <si>
    <t>013139</t>
  </si>
  <si>
    <t>TKN-60</t>
  </si>
  <si>
    <t>MUCHAMAD ROSYID</t>
  </si>
  <si>
    <t>013138</t>
  </si>
  <si>
    <t>OPT-330</t>
  </si>
  <si>
    <t>ROBIATUN</t>
  </si>
  <si>
    <t>013135</t>
  </si>
  <si>
    <t>LOG. INVENTORY SYSTEM</t>
  </si>
  <si>
    <t>LIS</t>
  </si>
  <si>
    <t>ES-34</t>
  </si>
  <si>
    <t>AGUNG WIRANTO</t>
  </si>
  <si>
    <t>013113</t>
  </si>
  <si>
    <t>OPT-190</t>
  </si>
  <si>
    <t>INA MUFLICHAH</t>
  </si>
  <si>
    <t>008685</t>
  </si>
  <si>
    <t>FEPTI CATUR WULANDARI</t>
  </si>
  <si>
    <t>006137</t>
  </si>
  <si>
    <t>SUNARTO</t>
  </si>
  <si>
    <t>005824</t>
  </si>
  <si>
    <t>EDWIN NUR FAEZAR</t>
  </si>
  <si>
    <t>013063</t>
  </si>
  <si>
    <t>INT</t>
  </si>
  <si>
    <t>ES-32</t>
  </si>
  <si>
    <t>ANDRIANA WIDYASTUTI</t>
  </si>
  <si>
    <t>013060</t>
  </si>
  <si>
    <t>Line Leader (PS) - Planner Masspro &amp; Leader LD</t>
  </si>
  <si>
    <t>OPT-325</t>
  </si>
  <si>
    <t>AHMAD MAHBUB</t>
  </si>
  <si>
    <t>013059</t>
  </si>
  <si>
    <t>OJT DC</t>
  </si>
  <si>
    <t>OPT-324</t>
  </si>
  <si>
    <t>UMI AZIZAH</t>
  </si>
  <si>
    <t>013052</t>
  </si>
  <si>
    <t>MOHAMAD ISTAQORI</t>
  </si>
  <si>
    <t>005546</t>
  </si>
  <si>
    <t>LC</t>
  </si>
  <si>
    <t>PRD LINE CHO</t>
  </si>
  <si>
    <t>NURUL CHASANAH</t>
  </si>
  <si>
    <t>013041</t>
  </si>
  <si>
    <t>KHOMSATUN</t>
  </si>
  <si>
    <t>013027</t>
  </si>
  <si>
    <t>CHOLISATUN NI'MAH</t>
  </si>
  <si>
    <t>013005</t>
  </si>
  <si>
    <t>OPT-323</t>
  </si>
  <si>
    <t>PIPIT FITRIATI</t>
  </si>
  <si>
    <t>012986</t>
  </si>
  <si>
    <t>VISUAL 1.4</t>
  </si>
  <si>
    <t>NIKMATUL HIDAYAH</t>
  </si>
  <si>
    <t>012981</t>
  </si>
  <si>
    <t>MOH.FAHRUL IMAM</t>
  </si>
  <si>
    <t>005432</t>
  </si>
  <si>
    <t>ERMA SULISTIANINGSIH</t>
  </si>
  <si>
    <t>012972</t>
  </si>
  <si>
    <t>OPT-11</t>
  </si>
  <si>
    <t>INDAH MARGININGSIH</t>
  </si>
  <si>
    <t>000421</t>
  </si>
  <si>
    <t>TRI RATIH SETIYAWATI</t>
  </si>
  <si>
    <t>012950</t>
  </si>
  <si>
    <t>TRI RETNO SARI</t>
  </si>
  <si>
    <t>000332</t>
  </si>
  <si>
    <t>MGR FPI</t>
  </si>
  <si>
    <t>SENIOR MANAGER PRD</t>
  </si>
  <si>
    <t>YUICHIRO SUZUKI</t>
  </si>
  <si>
    <t>027106</t>
  </si>
  <si>
    <t>SETIANINGSIH</t>
  </si>
  <si>
    <t>012930</t>
  </si>
  <si>
    <t>RETNO KUMALASARI</t>
  </si>
  <si>
    <t>012923</t>
  </si>
  <si>
    <t>MGR</t>
  </si>
  <si>
    <t>MANAGER PRD</t>
  </si>
  <si>
    <t>AHMAD MUBARAK</t>
  </si>
  <si>
    <t>001651</t>
  </si>
  <si>
    <t>RCV - TUGU</t>
  </si>
  <si>
    <t>PUTRI TRAPSILO</t>
  </si>
  <si>
    <t>012914</t>
  </si>
  <si>
    <t>OJT VISUAL 2.2</t>
  </si>
  <si>
    <t>OPT-440</t>
  </si>
  <si>
    <t>NADYA KURNIA LARAS MITHA</t>
  </si>
  <si>
    <t>017230</t>
  </si>
  <si>
    <t>JARIYAH</t>
  </si>
  <si>
    <t>012883</t>
  </si>
  <si>
    <t>IFTA ASMANIAH</t>
  </si>
  <si>
    <t>012879</t>
  </si>
  <si>
    <t>CUTTING AC90-HDA-02</t>
  </si>
  <si>
    <t>IDA YATI</t>
  </si>
  <si>
    <t>012878</t>
  </si>
  <si>
    <t>OJT VISUAL 1.1</t>
  </si>
  <si>
    <t>ENDANG ERNAWATI</t>
  </si>
  <si>
    <t>012092</t>
  </si>
  <si>
    <t>DEWI MARYAM</t>
  </si>
  <si>
    <t>012859</t>
  </si>
  <si>
    <t>T/P 7.2</t>
  </si>
  <si>
    <t>DEWI ANDRIYANI</t>
  </si>
  <si>
    <t>012858</t>
  </si>
  <si>
    <t>HENY RAHMAWATI</t>
  </si>
  <si>
    <t>011696</t>
  </si>
  <si>
    <t>VISUAL T2.3</t>
  </si>
  <si>
    <t>ANDRI SUPRAPTI</t>
  </si>
  <si>
    <t>012842</t>
  </si>
  <si>
    <t>OJT T/P 8.1</t>
  </si>
  <si>
    <t>DEVI RINJANI</t>
  </si>
  <si>
    <t>011106</t>
  </si>
  <si>
    <t>EKO TRIYONO</t>
  </si>
  <si>
    <t>012813</t>
  </si>
  <si>
    <t>YUMROTUN</t>
  </si>
  <si>
    <t>011053</t>
  </si>
  <si>
    <t>ANI MARIANI</t>
  </si>
  <si>
    <t>012801</t>
  </si>
  <si>
    <t>OPT-287</t>
  </si>
  <si>
    <t>ISMAWATI</t>
  </si>
  <si>
    <t>011007</t>
  </si>
  <si>
    <t>OPT-282</t>
  </si>
  <si>
    <t>SUWANTI</t>
  </si>
  <si>
    <t>010804</t>
  </si>
  <si>
    <t>ULUL AMRIYAH</t>
  </si>
  <si>
    <t>012782</t>
  </si>
  <si>
    <t>TUTIK HARIYANTI</t>
  </si>
  <si>
    <t>012779</t>
  </si>
  <si>
    <t>SUSIANA</t>
  </si>
  <si>
    <t>012769</t>
  </si>
  <si>
    <t>T/P 3</t>
  </si>
  <si>
    <t>SULIS TYONINGSIH</t>
  </si>
  <si>
    <t>012766</t>
  </si>
  <si>
    <t>SUCI AJI MARYASA</t>
  </si>
  <si>
    <t>012764</t>
  </si>
  <si>
    <t>OJT VISUAL 1.2</t>
  </si>
  <si>
    <t>RETNO WULANDARI</t>
  </si>
  <si>
    <t>010604</t>
  </si>
  <si>
    <t>SUPPORT CV M01</t>
  </si>
  <si>
    <t>SITI NUR FAIZAH</t>
  </si>
  <si>
    <t>012748</t>
  </si>
  <si>
    <t>SITI MUNAYAH</t>
  </si>
  <si>
    <t>012746</t>
  </si>
  <si>
    <t>LESTARI PUTRI K.</t>
  </si>
  <si>
    <t>010583</t>
  </si>
  <si>
    <t>UJI UTAMI</t>
  </si>
  <si>
    <t>000410</t>
  </si>
  <si>
    <t>OJT T/P S/P 3</t>
  </si>
  <si>
    <t>JUMIATUN</t>
  </si>
  <si>
    <t>B00202</t>
  </si>
  <si>
    <t>RUSMIYATI</t>
  </si>
  <si>
    <t>012731</t>
  </si>
  <si>
    <t>CV HV 15</t>
  </si>
  <si>
    <t>HV TOYOTA 858W 874W BBM</t>
  </si>
  <si>
    <t>ROMYAN SILNUR</t>
  </si>
  <si>
    <t>012728</t>
  </si>
  <si>
    <t>OJT CHECKER 2</t>
  </si>
  <si>
    <t>OPT-564</t>
  </si>
  <si>
    <t>NOVA SETYANINGSIH</t>
  </si>
  <si>
    <t>022753</t>
  </si>
  <si>
    <t>OJT SHIAGE 2</t>
  </si>
  <si>
    <t>ARIF KURNIA ROCHMAN</t>
  </si>
  <si>
    <t>020914</t>
  </si>
  <si>
    <t>OJT T/P 6.2</t>
  </si>
  <si>
    <t>NOVIA EKA PUTRI</t>
  </si>
  <si>
    <t>018974</t>
  </si>
  <si>
    <t>SHIAGE 2</t>
  </si>
  <si>
    <t>NUR ALI MUCHLISIN</t>
  </si>
  <si>
    <t>012698</t>
  </si>
  <si>
    <t>NISAUL CHOIRIYAH</t>
  </si>
  <si>
    <t>012692</t>
  </si>
  <si>
    <t>OJT S/A 5.1</t>
  </si>
  <si>
    <t>DINA ANGGUN FUJI RAHAYU</t>
  </si>
  <si>
    <t>017432</t>
  </si>
  <si>
    <t>KIRNA PUJI UTAMI</t>
  </si>
  <si>
    <t>013592</t>
  </si>
  <si>
    <t>LINA LASMITA</t>
  </si>
  <si>
    <t>012665</t>
  </si>
  <si>
    <t>LUPIANA</t>
  </si>
  <si>
    <t>012979</t>
  </si>
  <si>
    <t>RETNO BUDIARSIH</t>
  </si>
  <si>
    <t>012922</t>
  </si>
  <si>
    <t>OPT-319</t>
  </si>
  <si>
    <t>FAJAR SUSILOWATI</t>
  </si>
  <si>
    <t>012611</t>
  </si>
  <si>
    <t>ANA MAFTUKHAH</t>
  </si>
  <si>
    <t>012629</t>
  </si>
  <si>
    <t>HDR - ES TEST</t>
  </si>
  <si>
    <t>IKA FATMAWATI</t>
  </si>
  <si>
    <t>012615</t>
  </si>
  <si>
    <t>OPT-317</t>
  </si>
  <si>
    <t>IDA BANGUN</t>
  </si>
  <si>
    <t>012370</t>
  </si>
  <si>
    <t>CHOIRUN NIKMAH</t>
  </si>
  <si>
    <t>012079</t>
  </si>
  <si>
    <t>OJT CHECKER 3</t>
  </si>
  <si>
    <t>OPT-275</t>
  </si>
  <si>
    <t>SITI CHOMSATUN</t>
  </si>
  <si>
    <t>010560</t>
  </si>
  <si>
    <t>OPT-268</t>
  </si>
  <si>
    <t>USWATUN KHASANAH</t>
  </si>
  <si>
    <t>010430</t>
  </si>
  <si>
    <t>OJT S/A 1.1</t>
  </si>
  <si>
    <t>RESA REGAL LESTA</t>
  </si>
  <si>
    <t>010329</t>
  </si>
  <si>
    <t>AMBARWATI</t>
  </si>
  <si>
    <t>012582</t>
  </si>
  <si>
    <t>YUNITA FITRIANI</t>
  </si>
  <si>
    <t>012580</t>
  </si>
  <si>
    <t>OJT CUTTING SCH-02</t>
  </si>
  <si>
    <t>YUNI RAHMAWATI</t>
  </si>
  <si>
    <t>012577</t>
  </si>
  <si>
    <t>SARAS NURAENI</t>
  </si>
  <si>
    <t>009212</t>
  </si>
  <si>
    <t>T/P 1.1</t>
  </si>
  <si>
    <t>WARTINAH</t>
  </si>
  <si>
    <t>012569</t>
  </si>
  <si>
    <t>WAHYUNINGSIH</t>
  </si>
  <si>
    <t>012568</t>
  </si>
  <si>
    <t>VITRIANI SETYOWATI</t>
  </si>
  <si>
    <t>012564</t>
  </si>
  <si>
    <t>UMMI MUALIFAH</t>
  </si>
  <si>
    <t>012562</t>
  </si>
  <si>
    <t>TITIK NOVIANTI</t>
  </si>
  <si>
    <t>012556</t>
  </si>
  <si>
    <t>SULIFAH</t>
  </si>
  <si>
    <t>012549</t>
  </si>
  <si>
    <t>SITI ROHMATUN</t>
  </si>
  <si>
    <t>012538</t>
  </si>
  <si>
    <t>BFT</t>
  </si>
  <si>
    <t>SITI MUSTOIFAH</t>
  </si>
  <si>
    <t>012536</t>
  </si>
  <si>
    <t>SITI ALIYAH</t>
  </si>
  <si>
    <t>012530</t>
  </si>
  <si>
    <t>JAMINAH</t>
  </si>
  <si>
    <t>008771</t>
  </si>
  <si>
    <t>VISUAL 2 131, 132</t>
  </si>
  <si>
    <t>RITA YULIYANTI</t>
  </si>
  <si>
    <t>012521</t>
  </si>
  <si>
    <t>OKTAVIA IKA SUDARWATI</t>
  </si>
  <si>
    <t>012514</t>
  </si>
  <si>
    <t>BFT 1</t>
  </si>
  <si>
    <t>012509</t>
  </si>
  <si>
    <t>NURAENI</t>
  </si>
  <si>
    <t>012508</t>
  </si>
  <si>
    <t>NUR LAILY FARIKHA</t>
  </si>
  <si>
    <t>012506</t>
  </si>
  <si>
    <t>NOVIANI ANISA PUTRI</t>
  </si>
  <si>
    <t>012500</t>
  </si>
  <si>
    <t>NOVIA SARI</t>
  </si>
  <si>
    <t>012499</t>
  </si>
  <si>
    <t>CV S03</t>
  </si>
  <si>
    <t>DOOR/DOOM</t>
  </si>
  <si>
    <t>LULUK KUSMAWATI</t>
  </si>
  <si>
    <t>012485</t>
  </si>
  <si>
    <t>NUR CHASANAH</t>
  </si>
  <si>
    <t>006149</t>
  </si>
  <si>
    <t>LAYLI NURHAYATI</t>
  </si>
  <si>
    <t>012483</t>
  </si>
  <si>
    <t>OJT S/A 2.1</t>
  </si>
  <si>
    <t>WARSITI</t>
  </si>
  <si>
    <t>005962</t>
  </si>
  <si>
    <t>OPT-108</t>
  </si>
  <si>
    <t>ALVI HERIYANTI</t>
  </si>
  <si>
    <t>004401</t>
  </si>
  <si>
    <t>OPT-31</t>
  </si>
  <si>
    <t>TITIK ROKHMAYANTI</t>
  </si>
  <si>
    <t>001265</t>
  </si>
  <si>
    <t>IKKA PRASETIYOWATI</t>
  </si>
  <si>
    <t>012470</t>
  </si>
  <si>
    <t>OPT-26</t>
  </si>
  <si>
    <t>SUKAMTI</t>
  </si>
  <si>
    <t>001037</t>
  </si>
  <si>
    <t>OJT S/T 2.1</t>
  </si>
  <si>
    <t>NURUL AIN</t>
  </si>
  <si>
    <t>000330</t>
  </si>
  <si>
    <t>OJT S/A 3.1</t>
  </si>
  <si>
    <t>TUTIK PURWANTI</t>
  </si>
  <si>
    <t>000246</t>
  </si>
  <si>
    <t>VISUAL 141, 172</t>
  </si>
  <si>
    <t>FAJAR OCTAVIANI</t>
  </si>
  <si>
    <t>012452</t>
  </si>
  <si>
    <t>BBF-020</t>
  </si>
  <si>
    <t>NURUL ISMILATUN ANISAH</t>
  </si>
  <si>
    <t>B00927</t>
  </si>
  <si>
    <t>SHE</t>
  </si>
  <si>
    <t>SUPPORT SHE</t>
  </si>
  <si>
    <t>EKO PRASETYO</t>
  </si>
  <si>
    <t>012444</t>
  </si>
  <si>
    <t>DIANA MAHARANI S.</t>
  </si>
  <si>
    <t>012435</t>
  </si>
  <si>
    <t>AL KHOIRIYAH</t>
  </si>
  <si>
    <t>012418</t>
  </si>
  <si>
    <t>CITRA SUSILOWATI</t>
  </si>
  <si>
    <t>012969</t>
  </si>
  <si>
    <t>T/P 7</t>
  </si>
  <si>
    <t>LINDA KURNIAWATI</t>
  </si>
  <si>
    <t>012484</t>
  </si>
  <si>
    <t>CHECKER ARUS 1</t>
  </si>
  <si>
    <t>ELI DWI ERSANTI</t>
  </si>
  <si>
    <t>012447</t>
  </si>
  <si>
    <t>INNAYATUL ROHMANIYAH</t>
  </si>
  <si>
    <t>012372</t>
  </si>
  <si>
    <t>CHECKER CLIP 2</t>
  </si>
  <si>
    <t>NOVI ANASARI</t>
  </si>
  <si>
    <t>012387</t>
  </si>
  <si>
    <t>TRI INDAH SARI</t>
  </si>
  <si>
    <t>012154</t>
  </si>
  <si>
    <t>CUTTING AC90-J03-02</t>
  </si>
  <si>
    <t>AGUSTINA WIJIATI</t>
  </si>
  <si>
    <t>012348</t>
  </si>
  <si>
    <t>RIZKI YULIANTI PUTRI</t>
  </si>
  <si>
    <t>011830</t>
  </si>
  <si>
    <t>S/A 14</t>
  </si>
  <si>
    <t>OPT-316</t>
  </si>
  <si>
    <t>UMUL BADRIYAH</t>
  </si>
  <si>
    <t>012336</t>
  </si>
  <si>
    <t>CPA TOYOTA 10 PL</t>
  </si>
  <si>
    <t>HV TOYOTA</t>
  </si>
  <si>
    <t>INAYAH</t>
  </si>
  <si>
    <t>012285</t>
  </si>
  <si>
    <t>MATERIAL SUPPLY</t>
  </si>
  <si>
    <t>MATERIAL SUPPLY 1</t>
  </si>
  <si>
    <t>OPT-285</t>
  </si>
  <si>
    <t>NENSI WIDYAWATI</t>
  </si>
  <si>
    <t>010936</t>
  </si>
  <si>
    <t>FARIDOTUS SOLIKHAH</t>
  </si>
  <si>
    <t>012273</t>
  </si>
  <si>
    <t>OPT-267</t>
  </si>
  <si>
    <t>DARMINI</t>
  </si>
  <si>
    <t>010361</t>
  </si>
  <si>
    <t>FARCHA NOR DINA</t>
  </si>
  <si>
    <t>012270</t>
  </si>
  <si>
    <t>ENI ISTIKOMAH</t>
  </si>
  <si>
    <t>012266</t>
  </si>
  <si>
    <t>DIAH PONCORINI</t>
  </si>
  <si>
    <t>012254</t>
  </si>
  <si>
    <t>SITI MUCHASANAH</t>
  </si>
  <si>
    <t>010118</t>
  </si>
  <si>
    <t>AHMAD ABDUL GHOFUR</t>
  </si>
  <si>
    <t>012234</t>
  </si>
  <si>
    <t>SUPPORT PREPARATION</t>
  </si>
  <si>
    <t>AGUS SAPUTRA</t>
  </si>
  <si>
    <t>012233</t>
  </si>
  <si>
    <t>KAIZEN</t>
  </si>
  <si>
    <t>IMPROVEMENT &amp; LAYOUT</t>
  </si>
  <si>
    <t>TKN-58</t>
  </si>
  <si>
    <t>CHOLIT MAWARDI</t>
  </si>
  <si>
    <t>012230</t>
  </si>
  <si>
    <t>SUPPORT LD</t>
  </si>
  <si>
    <t>OPT-315</t>
  </si>
  <si>
    <t>YULIYANTI</t>
  </si>
  <si>
    <t>012227</t>
  </si>
  <si>
    <t>UMI NIHLAH</t>
  </si>
  <si>
    <t>012224</t>
  </si>
  <si>
    <t>INDAH WIDYASTUTI</t>
  </si>
  <si>
    <t>009935</t>
  </si>
  <si>
    <t>CHECKER ARUS 2</t>
  </si>
  <si>
    <t>OPT-240</t>
  </si>
  <si>
    <t>NILNAL MINAH</t>
  </si>
  <si>
    <t>009857</t>
  </si>
  <si>
    <t>RIF'ATUL LAILI HIDAYATI</t>
  </si>
  <si>
    <t>012204</t>
  </si>
  <si>
    <t>PUJI TRISNIATI</t>
  </si>
  <si>
    <t>012203</t>
  </si>
  <si>
    <t>DIAN PURWANTARI</t>
  </si>
  <si>
    <t>008638</t>
  </si>
  <si>
    <t>S/A 8, S/A 9</t>
  </si>
  <si>
    <t>CV M04</t>
  </si>
  <si>
    <t>SITI ROKHAYATI</t>
  </si>
  <si>
    <t>B00483</t>
  </si>
  <si>
    <t>S/A 1.1, S/A 1.2</t>
  </si>
  <si>
    <t>RAFI TIA WATI</t>
  </si>
  <si>
    <t>B00220</t>
  </si>
  <si>
    <t>IC</t>
  </si>
  <si>
    <t>OPT ORDERING</t>
  </si>
  <si>
    <t>KIKI TRI NUR CAHYO L.</t>
  </si>
  <si>
    <t>012187</t>
  </si>
  <si>
    <t>KHOERINA</t>
  </si>
  <si>
    <t>012185</t>
  </si>
  <si>
    <t>EKA PUJI LESTARI</t>
  </si>
  <si>
    <t>012175</t>
  </si>
  <si>
    <t>TKN-57</t>
  </si>
  <si>
    <t>OKI DIDI GUNAWAN</t>
  </si>
  <si>
    <t>012163</t>
  </si>
  <si>
    <t>S/T SP</t>
  </si>
  <si>
    <t>DESI APRIYANI</t>
  </si>
  <si>
    <t>012080</t>
  </si>
  <si>
    <t>TITIK IKAWATI</t>
  </si>
  <si>
    <t>010616</t>
  </si>
  <si>
    <t>NUR CHOLIDAH</t>
  </si>
  <si>
    <t>010466</t>
  </si>
  <si>
    <t>ANALISYS</t>
  </si>
  <si>
    <t>PP-3</t>
  </si>
  <si>
    <t>ROUDLOTUN NI'MAH</t>
  </si>
  <si>
    <t>012138</t>
  </si>
  <si>
    <t>CUTTING AC90-HDA-16</t>
  </si>
  <si>
    <t>MAHMUDAH</t>
  </si>
  <si>
    <t>012117</t>
  </si>
  <si>
    <t>LILIK FATULIYAH</t>
  </si>
  <si>
    <t>012113</t>
  </si>
  <si>
    <t>INSP SILICON</t>
  </si>
  <si>
    <t>FITRIA HANDAHAYANI</t>
  </si>
  <si>
    <t>012100</t>
  </si>
  <si>
    <t>DWI SULISTYOWATI</t>
  </si>
  <si>
    <t>009926</t>
  </si>
  <si>
    <t>SIFA'UL MUYASSAROH</t>
  </si>
  <si>
    <t>009872</t>
  </si>
  <si>
    <t>ARIL KHOMAH</t>
  </si>
  <si>
    <t>000079</t>
  </si>
  <si>
    <t>WFAP 2.1</t>
  </si>
  <si>
    <t>ASKONAH</t>
  </si>
  <si>
    <t>012073</t>
  </si>
  <si>
    <t>TOPAN SAPUTRO</t>
  </si>
  <si>
    <t>B00487</t>
  </si>
  <si>
    <t>INSPECT CUTTING</t>
  </si>
  <si>
    <t>OPT-313</t>
  </si>
  <si>
    <t>MAYA CAHYA NINGSIH</t>
  </si>
  <si>
    <t>012044</t>
  </si>
  <si>
    <t>ATIK ROMADANI</t>
  </si>
  <si>
    <t>012040</t>
  </si>
  <si>
    <t>ARINA KHAQ</t>
  </si>
  <si>
    <t>020699</t>
  </si>
  <si>
    <t>JCP</t>
  </si>
  <si>
    <t>HARIS NURIDHO</t>
  </si>
  <si>
    <t>012029</t>
  </si>
  <si>
    <t>ARDI RISDIANTO</t>
  </si>
  <si>
    <t>012028</t>
  </si>
  <si>
    <t>RCV, PPAP, ALAT UKUR , PREPARATION &amp; PROTO</t>
  </si>
  <si>
    <t>AGIL ZHEGA PRASETYA</t>
  </si>
  <si>
    <t>012027</t>
  </si>
  <si>
    <t>TKN-55</t>
  </si>
  <si>
    <t>BAMBANG DILTA YULIANTO</t>
  </si>
  <si>
    <t>012026</t>
  </si>
  <si>
    <t>ARI EGASAPUTRA</t>
  </si>
  <si>
    <t>019866</t>
  </si>
  <si>
    <t>OPT-312</t>
  </si>
  <si>
    <t>DYAH SUSILOWATI</t>
  </si>
  <si>
    <t>011984</t>
  </si>
  <si>
    <t>ARIN RISMA SARI</t>
  </si>
  <si>
    <t>011976</t>
  </si>
  <si>
    <t>YASIR EFENDI</t>
  </si>
  <si>
    <t>019607</t>
  </si>
  <si>
    <t>INSERT RELAY</t>
  </si>
  <si>
    <t>OPT-327</t>
  </si>
  <si>
    <t>SITI ROHMAWATI</t>
  </si>
  <si>
    <t>013106</t>
  </si>
  <si>
    <t>OPT-307</t>
  </si>
  <si>
    <t>ANISAH NURUL QOMARIYAH</t>
  </si>
  <si>
    <t>011522</t>
  </si>
  <si>
    <t>CUTTING AC90-MZD-06</t>
  </si>
  <si>
    <t>NEILIS SA'ADATUSSANIYAH</t>
  </si>
  <si>
    <t>011947</t>
  </si>
  <si>
    <t>NADHIFATUL MAULA</t>
  </si>
  <si>
    <t>011946</t>
  </si>
  <si>
    <t>OPT-293</t>
  </si>
  <si>
    <t>RIZKY RAHMA SARI</t>
  </si>
  <si>
    <t>011222</t>
  </si>
  <si>
    <t>OKTAVIANA AMBARSARI</t>
  </si>
  <si>
    <t>011219</t>
  </si>
  <si>
    <t>ETY NUOR RICHA</t>
  </si>
  <si>
    <t>011930</t>
  </si>
  <si>
    <t>RINI KURNIASIH</t>
  </si>
  <si>
    <t>010949</t>
  </si>
  <si>
    <t>NINA RIA YUNITA</t>
  </si>
  <si>
    <t>010585</t>
  </si>
  <si>
    <t>INTERPRETER DAN LL ADMINISTRASI</t>
  </si>
  <si>
    <t>ES-30</t>
  </si>
  <si>
    <t>FATHARANI PUTRI QANITA</t>
  </si>
  <si>
    <t>011912</t>
  </si>
  <si>
    <t>S/T 2.1</t>
  </si>
  <si>
    <t>VIKRIANA</t>
  </si>
  <si>
    <t>010536</t>
  </si>
  <si>
    <t>OPT-310</t>
  </si>
  <si>
    <t>011903</t>
  </si>
  <si>
    <t>INSERTION GROUP</t>
  </si>
  <si>
    <t>OPT-259</t>
  </si>
  <si>
    <t>SITI SUBAEDAH</t>
  </si>
  <si>
    <t>010229</t>
  </si>
  <si>
    <t>SOFIANA QOLBA</t>
  </si>
  <si>
    <t>011894</t>
  </si>
  <si>
    <t>SITI NUR HIDAYAH</t>
  </si>
  <si>
    <t>010203</t>
  </si>
  <si>
    <t>TURNINGSIH</t>
  </si>
  <si>
    <t>010128</t>
  </si>
  <si>
    <t>UMI LAELIYAH</t>
  </si>
  <si>
    <t>011863</t>
  </si>
  <si>
    <t>ELEN NATANIA MANALU</t>
  </si>
  <si>
    <t>009928</t>
  </si>
  <si>
    <t>SUNDARI</t>
  </si>
  <si>
    <t>011854</t>
  </si>
  <si>
    <t>MP SAKIT</t>
  </si>
  <si>
    <t>SITI ROHANIYAH</t>
  </si>
  <si>
    <t>011845</t>
  </si>
  <si>
    <t>OFFLINE CLIP 1</t>
  </si>
  <si>
    <t>EFA YUNI SETIANI</t>
  </si>
  <si>
    <t>009591</t>
  </si>
  <si>
    <t>VISUAL 142, 173</t>
  </si>
  <si>
    <t>SITI ANISAH</t>
  </si>
  <si>
    <t>011838</t>
  </si>
  <si>
    <t>SILFIYA ANI YULIANA</t>
  </si>
  <si>
    <t>011836</t>
  </si>
  <si>
    <t>MUKHLIKHAH AL MAZDKUROH</t>
  </si>
  <si>
    <t>009455</t>
  </si>
  <si>
    <t>CAMERA FUSE &amp; INSPECT RELAY 2</t>
  </si>
  <si>
    <t>MUJI ASIH</t>
  </si>
  <si>
    <t>008779</t>
  </si>
  <si>
    <t>ANI MAGHFIROH</t>
  </si>
  <si>
    <t>006358</t>
  </si>
  <si>
    <t>NIKEN RAHAYU</t>
  </si>
  <si>
    <t>011824</t>
  </si>
  <si>
    <t>JAROH DWI HANDAYANI</t>
  </si>
  <si>
    <t>B01144</t>
  </si>
  <si>
    <t>VISUAL T2.2</t>
  </si>
  <si>
    <t>KUSPUATI</t>
  </si>
  <si>
    <t>011815</t>
  </si>
  <si>
    <t>DEASI ARIYANI</t>
  </si>
  <si>
    <t>011794</t>
  </si>
  <si>
    <t>YULIANA ULFAH HIDAYAH</t>
  </si>
  <si>
    <t>011791</t>
  </si>
  <si>
    <t>TRI APRILIANI</t>
  </si>
  <si>
    <t>011787</t>
  </si>
  <si>
    <t>SRI SUGIWATI</t>
  </si>
  <si>
    <t>B00752</t>
  </si>
  <si>
    <t>OPT-449</t>
  </si>
  <si>
    <t>EKA AGUSTINA</t>
  </si>
  <si>
    <t>017846</t>
  </si>
  <si>
    <t>S/T 4</t>
  </si>
  <si>
    <t>ULIF TRIYANTI</t>
  </si>
  <si>
    <t>013660</t>
  </si>
  <si>
    <t>DWI OCTA LASMIYATI</t>
  </si>
  <si>
    <t>012603</t>
  </si>
  <si>
    <t>RATNA WULANDARI</t>
  </si>
  <si>
    <t>011768</t>
  </si>
  <si>
    <t>OJT S/A 4</t>
  </si>
  <si>
    <t>NUR WAHYUNI</t>
  </si>
  <si>
    <t>011759</t>
  </si>
  <si>
    <t>NUR HIDAYAH</t>
  </si>
  <si>
    <t>011757</t>
  </si>
  <si>
    <t>S/A 142-2, 173-2</t>
  </si>
  <si>
    <t>011755</t>
  </si>
  <si>
    <t>MUSTHOFIAH</t>
  </si>
  <si>
    <t>011743</t>
  </si>
  <si>
    <t>MUFARIKHAH</t>
  </si>
  <si>
    <t>011739</t>
  </si>
  <si>
    <t>012339</t>
  </si>
  <si>
    <t>SITI ROKHIMATUL MAULA</t>
  </si>
  <si>
    <t>011783</t>
  </si>
  <si>
    <t>LAILIA NUR ARISTA</t>
  </si>
  <si>
    <t>011729</t>
  </si>
  <si>
    <t>FBB0-02, INTERMEDIATE , ASM BBM</t>
  </si>
  <si>
    <t>LAELATUL AROFAH</t>
  </si>
  <si>
    <t>011726</t>
  </si>
  <si>
    <t>OPT-306</t>
  </si>
  <si>
    <t>TRI NOVITA SARI</t>
  </si>
  <si>
    <t>011496</t>
  </si>
  <si>
    <t>KHOERUN NISA</t>
  </si>
  <si>
    <t>011723</t>
  </si>
  <si>
    <t>CHECKER 131, 132</t>
  </si>
  <si>
    <t>JUMALIYAH</t>
  </si>
  <si>
    <t>011721</t>
  </si>
  <si>
    <t>IRA AMBARWATI</t>
  </si>
  <si>
    <t>011711</t>
  </si>
  <si>
    <t>S/T 3.2</t>
  </si>
  <si>
    <t>RANY SORAYA</t>
  </si>
  <si>
    <t>010850</t>
  </si>
  <si>
    <t>NAIMATUS SALAFIYAH</t>
  </si>
  <si>
    <t>010320</t>
  </si>
  <si>
    <t>ENDANG NURDIATI</t>
  </si>
  <si>
    <t>010234</t>
  </si>
  <si>
    <t>ITA AYUNINGRUM</t>
  </si>
  <si>
    <t>009939</t>
  </si>
  <si>
    <t>CHECKER 141,142,172,173</t>
  </si>
  <si>
    <t>ENDRIYANI</t>
  </si>
  <si>
    <t>011683</t>
  </si>
  <si>
    <t>S/A 5</t>
  </si>
  <si>
    <t>EKA SINTYA DEWI</t>
  </si>
  <si>
    <t>011680</t>
  </si>
  <si>
    <t>S/A S/P 1</t>
  </si>
  <si>
    <t>FERA INDRIYANI</t>
  </si>
  <si>
    <t>009930</t>
  </si>
  <si>
    <t>ANITA WAHYU Y</t>
  </si>
  <si>
    <t>011658</t>
  </si>
  <si>
    <t>OPT-232</t>
  </si>
  <si>
    <t>SITI ANIFAH</t>
  </si>
  <si>
    <t>009800</t>
  </si>
  <si>
    <t>S/A A/B</t>
  </si>
  <si>
    <t>LISTIANA</t>
  </si>
  <si>
    <t>009200</t>
  </si>
  <si>
    <t>ANA ULUL AZMI</t>
  </si>
  <si>
    <t>011653</t>
  </si>
  <si>
    <t>TKN-54</t>
  </si>
  <si>
    <t>SAKRONI</t>
  </si>
  <si>
    <t>011648</t>
  </si>
  <si>
    <t>OPT-192</t>
  </si>
  <si>
    <t>AFNI ROCHAYANI</t>
  </si>
  <si>
    <t>008726</t>
  </si>
  <si>
    <t>PUJI MASRURROH</t>
  </si>
  <si>
    <t>005725</t>
  </si>
  <si>
    <t>WARLIN FITRIYANI</t>
  </si>
  <si>
    <t>011643</t>
  </si>
  <si>
    <t>TIKA MAHARANI</t>
  </si>
  <si>
    <t>011633</t>
  </si>
  <si>
    <t>TAHFIDHUL NI'MAH</t>
  </si>
  <si>
    <t>011632</t>
  </si>
  <si>
    <t>SRI LESTARI</t>
  </si>
  <si>
    <t>011627</t>
  </si>
  <si>
    <t>SITI MAFTUKHAH ZULFAH</t>
  </si>
  <si>
    <t>011619</t>
  </si>
  <si>
    <t>S/A BBM U2-1</t>
  </si>
  <si>
    <t>SITI MAESAROH</t>
  </si>
  <si>
    <t>011618</t>
  </si>
  <si>
    <t>T/P 4.1</t>
  </si>
  <si>
    <t>FITRIYAH</t>
  </si>
  <si>
    <t>005415</t>
  </si>
  <si>
    <t>CV H05</t>
  </si>
  <si>
    <t>R-CABIN</t>
  </si>
  <si>
    <t>FREED 25M</t>
  </si>
  <si>
    <t>SELLI WULAN LARASWATI</t>
  </si>
  <si>
    <t>011608</t>
  </si>
  <si>
    <t>RIZKA AWALIA</t>
  </si>
  <si>
    <t>011602</t>
  </si>
  <si>
    <t>NURUL AMALIA</t>
  </si>
  <si>
    <t>011589</t>
  </si>
  <si>
    <t>SITI BIYARTI</t>
  </si>
  <si>
    <t>005254</t>
  </si>
  <si>
    <t>OPT-29</t>
  </si>
  <si>
    <t>RATNA MARGARAHAYU</t>
  </si>
  <si>
    <t>001190</t>
  </si>
  <si>
    <t>NUR AINI</t>
  </si>
  <si>
    <t>011584</t>
  </si>
  <si>
    <t>OPT-8</t>
  </si>
  <si>
    <t>TITI KURNIAWATI</t>
  </si>
  <si>
    <t>000277</t>
  </si>
  <si>
    <t>FBBO</t>
  </si>
  <si>
    <t>LULUK AFIATUN NIMAH</t>
  </si>
  <si>
    <t>022035</t>
  </si>
  <si>
    <t>SERLI FARDELINA</t>
  </si>
  <si>
    <t>017149</t>
  </si>
  <si>
    <t>FARIDATUL AULIYAH</t>
  </si>
  <si>
    <t>011551</t>
  </si>
  <si>
    <t>S/A 560</t>
  </si>
  <si>
    <t>OPT-340</t>
  </si>
  <si>
    <t>MUNADHIROH</t>
  </si>
  <si>
    <t>013530</t>
  </si>
  <si>
    <t>DHATI ASTITI</t>
  </si>
  <si>
    <t>012598</t>
  </si>
  <si>
    <t>BM3-SZK-01</t>
  </si>
  <si>
    <t>ENDAH AYU ANJARWATI</t>
  </si>
  <si>
    <t>011546</t>
  </si>
  <si>
    <t>SITI ULIYAH</t>
  </si>
  <si>
    <t>009972</t>
  </si>
  <si>
    <t>CV HV 04A</t>
  </si>
  <si>
    <t>APRIANA RIZKI HAPY SAPUTRI</t>
  </si>
  <si>
    <t>011523</t>
  </si>
  <si>
    <t>OPT-217</t>
  </si>
  <si>
    <t>SUKENI</t>
  </si>
  <si>
    <t>009571</t>
  </si>
  <si>
    <t>DWI ALIN YANI</t>
  </si>
  <si>
    <t>009430</t>
  </si>
  <si>
    <t>ASM BBM U2-2</t>
  </si>
  <si>
    <t>BBF-139</t>
  </si>
  <si>
    <t>DIAH AYU PANGESTIKA</t>
  </si>
  <si>
    <t>B02978</t>
  </si>
  <si>
    <t>SITI MAISAROH</t>
  </si>
  <si>
    <t>011483</t>
  </si>
  <si>
    <t>NURAINI FITRI</t>
  </si>
  <si>
    <t>011461</t>
  </si>
  <si>
    <t>NOVI DYAH NINGRUM</t>
  </si>
  <si>
    <t>011455</t>
  </si>
  <si>
    <t>011448</t>
  </si>
  <si>
    <t>VISUAL 1.2 T2</t>
  </si>
  <si>
    <t>ERNA ROSITA DEWI</t>
  </si>
  <si>
    <t>B00024</t>
  </si>
  <si>
    <t>HANI ANUNG NUR TINI</t>
  </si>
  <si>
    <t>011436</t>
  </si>
  <si>
    <t>FITRI DIAN PERTIWI</t>
  </si>
  <si>
    <t>011433</t>
  </si>
  <si>
    <t>DWI LESTARI</t>
  </si>
  <si>
    <t>011419</t>
  </si>
  <si>
    <t>VISUAL 1.2 U2</t>
  </si>
  <si>
    <t>LIDYA SELVIANA</t>
  </si>
  <si>
    <t>022294</t>
  </si>
  <si>
    <t>ARI WIDIYANI</t>
  </si>
  <si>
    <t>011406</t>
  </si>
  <si>
    <t>VISUAL 1.1 U2</t>
  </si>
  <si>
    <t>LAMIK NADHIFAH</t>
  </si>
  <si>
    <t>012482</t>
  </si>
  <si>
    <t>OPT-305</t>
  </si>
  <si>
    <t>SOFIYAH</t>
  </si>
  <si>
    <t>011393</t>
  </si>
  <si>
    <t>MELINDA KURNIASARI</t>
  </si>
  <si>
    <t>011734</t>
  </si>
  <si>
    <t>VISUAL 1.1 T2</t>
  </si>
  <si>
    <t>RAHAYU SAPTONINGSIH</t>
  </si>
  <si>
    <t>010519</t>
  </si>
  <si>
    <t>VISUAL 1.3 T2</t>
  </si>
  <si>
    <t>OPT-203</t>
  </si>
  <si>
    <t>ANITA VIDYANWATI</t>
  </si>
  <si>
    <t>009058</t>
  </si>
  <si>
    <t>OPT-302</t>
  </si>
  <si>
    <t>SISKA WIJAYANTI</t>
  </si>
  <si>
    <t>011357</t>
  </si>
  <si>
    <t>OPT-301</t>
  </si>
  <si>
    <t>DEWI YULIANTI</t>
  </si>
  <si>
    <t>011352</t>
  </si>
  <si>
    <t>AVIANI SHOBIKAH</t>
  </si>
  <si>
    <t>008992</t>
  </si>
  <si>
    <t>011329</t>
  </si>
  <si>
    <t>ANJAR SETIYANI</t>
  </si>
  <si>
    <t>008991</t>
  </si>
  <si>
    <t>S/A THERMISTOR T2-2</t>
  </si>
  <si>
    <t>DWI SETYANINGSIH</t>
  </si>
  <si>
    <t>B00814</t>
  </si>
  <si>
    <t>OPT-299</t>
  </si>
  <si>
    <t>NOVI INDRIANI</t>
  </si>
  <si>
    <t>011316</t>
  </si>
  <si>
    <t>S/A THERMISTOR T2-1</t>
  </si>
  <si>
    <t>INAWATI AMIR</t>
  </si>
  <si>
    <t>022027</t>
  </si>
  <si>
    <t>OPT-297</t>
  </si>
  <si>
    <t>ANNA OCTAVIANI NUR HALIMAH</t>
  </si>
  <si>
    <t>011295</t>
  </si>
  <si>
    <t>TKN-53</t>
  </si>
  <si>
    <t>WIDODO</t>
  </si>
  <si>
    <t>011293</t>
  </si>
  <si>
    <t>GL WORKSHOP</t>
  </si>
  <si>
    <t>NUR MUJIYANTO</t>
  </si>
  <si>
    <t>011292</t>
  </si>
  <si>
    <t>ADM-47</t>
  </si>
  <si>
    <t>M. FATIH AL ICHSAN</t>
  </si>
  <si>
    <t>011291</t>
  </si>
  <si>
    <t>OPT-295</t>
  </si>
  <si>
    <t>NIKEN KRISTANTI</t>
  </si>
  <si>
    <t>011286</t>
  </si>
  <si>
    <t>S/A 141-1</t>
  </si>
  <si>
    <t>OPT-294</t>
  </si>
  <si>
    <t>SULISTIOWATI</t>
  </si>
  <si>
    <t>011275</t>
  </si>
  <si>
    <t>OPT-374</t>
  </si>
  <si>
    <t>LINDA NOVITA SARI</t>
  </si>
  <si>
    <t>014418</t>
  </si>
  <si>
    <t>S/A BBM T2-4</t>
  </si>
  <si>
    <t>OPT-367</t>
  </si>
  <si>
    <t>AFIDAH</t>
  </si>
  <si>
    <t>014153</t>
  </si>
  <si>
    <t>VALIDASI JIG BOARD</t>
  </si>
  <si>
    <t>IKE DIAH AGUSTIN</t>
  </si>
  <si>
    <t>011259</t>
  </si>
  <si>
    <t>DWI ASTUTI</t>
  </si>
  <si>
    <t>011248</t>
  </si>
  <si>
    <t>ASM BBM U2-1</t>
  </si>
  <si>
    <t>DESI RATNASARI</t>
  </si>
  <si>
    <t>012805</t>
  </si>
  <si>
    <t>DEVI NOVIAWATI</t>
  </si>
  <si>
    <t>012596</t>
  </si>
  <si>
    <t>FRANCISCA SULISTYOWATI</t>
  </si>
  <si>
    <t>012368</t>
  </si>
  <si>
    <t>KASIROH</t>
  </si>
  <si>
    <t>011207</t>
  </si>
  <si>
    <t>OJT CUTTING AC90-HDA-03</t>
  </si>
  <si>
    <t>AMBAR RIANAWATI</t>
  </si>
  <si>
    <t>011191</t>
  </si>
  <si>
    <t>MIFTAKHUL JANAH</t>
  </si>
  <si>
    <t>012194</t>
  </si>
  <si>
    <t>OJT T/P 6.1</t>
  </si>
  <si>
    <t>OPT-292</t>
  </si>
  <si>
    <t>SULISTYORINI</t>
  </si>
  <si>
    <t>011186</t>
  </si>
  <si>
    <t>KUSUMIARTI</t>
  </si>
  <si>
    <t>009942</t>
  </si>
  <si>
    <t>ANJELIZA INTAN PERMATASARI</t>
  </si>
  <si>
    <t>011166</t>
  </si>
  <si>
    <t>ANIFATUZAHROKH</t>
  </si>
  <si>
    <t>011165</t>
  </si>
  <si>
    <t>ADM EXPORT</t>
  </si>
  <si>
    <t>ADM-45</t>
  </si>
  <si>
    <t>FERRY ADI SAPUTRO</t>
  </si>
  <si>
    <t>011161</t>
  </si>
  <si>
    <t>SUTINI</t>
  </si>
  <si>
    <t>011137</t>
  </si>
  <si>
    <t>CHECKER 4</t>
  </si>
  <si>
    <t>NUR AINI DWITA SARI</t>
  </si>
  <si>
    <t>011124</t>
  </si>
  <si>
    <t>CHECKER 141</t>
  </si>
  <si>
    <t>IMA ZULFA</t>
  </si>
  <si>
    <t>011113</t>
  </si>
  <si>
    <t>IKA FITRIYANI</t>
  </si>
  <si>
    <t>009436</t>
  </si>
  <si>
    <t>ASM BBM U2-3</t>
  </si>
  <si>
    <t>DEBY DITA HAPSARI</t>
  </si>
  <si>
    <t>009426</t>
  </si>
  <si>
    <t>CUTTING AC90-3MO-07</t>
  </si>
  <si>
    <t>AGUSTIN PUSPITASARI</t>
  </si>
  <si>
    <t>011095</t>
  </si>
  <si>
    <t>OPT-289</t>
  </si>
  <si>
    <t>YULIYAH TRI HASTUTI</t>
  </si>
  <si>
    <t>011093</t>
  </si>
  <si>
    <t>PONCO YUNIA SISTANTI</t>
  </si>
  <si>
    <t>008786</t>
  </si>
  <si>
    <t>SITI NUR FITRIYAH</t>
  </si>
  <si>
    <t>011084</t>
  </si>
  <si>
    <t>PUTRI ESTIANA</t>
  </si>
  <si>
    <t>011079</t>
  </si>
  <si>
    <t>ASM THERMISTOR T2-3</t>
  </si>
  <si>
    <t>ARI SETIOWATI</t>
  </si>
  <si>
    <t>001273</t>
  </si>
  <si>
    <t>OPT-14</t>
  </si>
  <si>
    <t>LUSIA TRI WULANDARI</t>
  </si>
  <si>
    <t>000519</t>
  </si>
  <si>
    <t>SITI ROBANDIYAH</t>
  </si>
  <si>
    <t>011051</t>
  </si>
  <si>
    <t>NUR KHASANAH</t>
  </si>
  <si>
    <t>011047</t>
  </si>
  <si>
    <t>YULIANA INDAH FEBRI L.</t>
  </si>
  <si>
    <t>010538</t>
  </si>
  <si>
    <t>VISUAL 1 131, 132</t>
  </si>
  <si>
    <t>RIRIN AGUSTINA</t>
  </si>
  <si>
    <t>009960</t>
  </si>
  <si>
    <t>SYAADATUL ABADIYAH</t>
  </si>
  <si>
    <t>009558</t>
  </si>
  <si>
    <t>ROSIDAH</t>
  </si>
  <si>
    <t>005940</t>
  </si>
  <si>
    <t>RUDI YANTI</t>
  </si>
  <si>
    <t>011023</t>
  </si>
  <si>
    <t>RICHA LAILIA</t>
  </si>
  <si>
    <t>011019</t>
  </si>
  <si>
    <t>RATNA PUJI TRI U.</t>
  </si>
  <si>
    <t>B00469</t>
  </si>
  <si>
    <t>AMBAR WATI</t>
  </si>
  <si>
    <t>010995</t>
  </si>
  <si>
    <t>OPT-570</t>
  </si>
  <si>
    <t>LIDIYAWATI</t>
  </si>
  <si>
    <t>023131</t>
  </si>
  <si>
    <t>HENI INDRA SARI</t>
  </si>
  <si>
    <t>012466</t>
  </si>
  <si>
    <t>ASM + CHECKER 3</t>
  </si>
  <si>
    <t>SAUDI ALIYAH SADAMI</t>
  </si>
  <si>
    <t>012140</t>
  </si>
  <si>
    <t>BM4-MZD-03</t>
  </si>
  <si>
    <t>WAHYU OKTAVIANA</t>
  </si>
  <si>
    <t>010966</t>
  </si>
  <si>
    <t>VANIA RINDA MEYDITA</t>
  </si>
  <si>
    <t>010964</t>
  </si>
  <si>
    <t>MAEKOTEI 3</t>
  </si>
  <si>
    <t>MEGA SETIYANINGSIH</t>
  </si>
  <si>
    <t>011878</t>
  </si>
  <si>
    <t>RINAWATI</t>
  </si>
  <si>
    <t>010948</t>
  </si>
  <si>
    <t>PUDJI NOVIYANTI</t>
  </si>
  <si>
    <t>010946</t>
  </si>
  <si>
    <t>ASM + CHECKER 1</t>
  </si>
  <si>
    <t>OPT-304</t>
  </si>
  <si>
    <t>AFIA HAFIDZ</t>
  </si>
  <si>
    <t>011368</t>
  </si>
  <si>
    <t>CUTTING AC90-J03-03, AC90-J03-07</t>
  </si>
  <si>
    <t>010934</t>
  </si>
  <si>
    <t>MAKHMUDAH</t>
  </si>
  <si>
    <t>010187</t>
  </si>
  <si>
    <t>INAYATUL CHASANAH</t>
  </si>
  <si>
    <t>010931</t>
  </si>
  <si>
    <t>BFT-1, BFT-2</t>
  </si>
  <si>
    <t>010130</t>
  </si>
  <si>
    <t>OJT INSP 3</t>
  </si>
  <si>
    <t>OPT-284</t>
  </si>
  <si>
    <t>TUTUT BINTARI</t>
  </si>
  <si>
    <t>010908</t>
  </si>
  <si>
    <t>LIA EKOWATI</t>
  </si>
  <si>
    <t>008832</t>
  </si>
  <si>
    <t>RISA AMITA</t>
  </si>
  <si>
    <t>010895</t>
  </si>
  <si>
    <t>ELSA DIAH AYU PERTIWI</t>
  </si>
  <si>
    <t>010884</t>
  </si>
  <si>
    <t>VISUAL 1, HV TESTER</t>
  </si>
  <si>
    <t>SITI ROMDHONAH</t>
  </si>
  <si>
    <t>008665</t>
  </si>
  <si>
    <t>010868</t>
  </si>
  <si>
    <t>005548</t>
  </si>
  <si>
    <t>010858</t>
  </si>
  <si>
    <t>SEPTI MULYANI</t>
  </si>
  <si>
    <t>010853</t>
  </si>
  <si>
    <t>OPT-600</t>
  </si>
  <si>
    <t>NUNUNG DARWATI</t>
  </si>
  <si>
    <t>024641</t>
  </si>
  <si>
    <t>BFT-2</t>
  </si>
  <si>
    <t>MIFTAKUL KHOIR</t>
  </si>
  <si>
    <t>012677</t>
  </si>
  <si>
    <t>MUAZAMAH</t>
  </si>
  <si>
    <t>010845</t>
  </si>
  <si>
    <t>ANWAR MASHARI</t>
  </si>
  <si>
    <t>010823</t>
  </si>
  <si>
    <t>AKHMAD BISRI</t>
  </si>
  <si>
    <t>010821</t>
  </si>
  <si>
    <t>AIDHA AYU RACHANDINI PUTRI</t>
  </si>
  <si>
    <t>010820</t>
  </si>
  <si>
    <t>RATNA SARI</t>
  </si>
  <si>
    <t>011959</t>
  </si>
  <si>
    <t>ZHAWIN NIKMAH</t>
  </si>
  <si>
    <t>010816</t>
  </si>
  <si>
    <t>EVI KURNIASARI</t>
  </si>
  <si>
    <t>011550</t>
  </si>
  <si>
    <t>REWORK</t>
  </si>
  <si>
    <t>GL REWORK</t>
  </si>
  <si>
    <t>LILIA SETYOASIH</t>
  </si>
  <si>
    <t>010784</t>
  </si>
  <si>
    <t>ARIES UMI KUSMIAH</t>
  </si>
  <si>
    <t>010767</t>
  </si>
  <si>
    <t>NISA UMAROH</t>
  </si>
  <si>
    <t>011267</t>
  </si>
  <si>
    <t>OJT MAEKOTEI 3</t>
  </si>
  <si>
    <t>UMI CHOLIFAH</t>
  </si>
  <si>
    <t>010575</t>
  </si>
  <si>
    <t>BFT-1</t>
  </si>
  <si>
    <t>DEVI RATNA PUTRI</t>
  </si>
  <si>
    <t>010497</t>
  </si>
  <si>
    <t>OPT-281</t>
  </si>
  <si>
    <t>NINA BUDIYATI</t>
  </si>
  <si>
    <t>010746</t>
  </si>
  <si>
    <t>OPT-280</t>
  </si>
  <si>
    <t>ELNURANI MARTANINGRUM</t>
  </si>
  <si>
    <t>010698</t>
  </si>
  <si>
    <t>OPT-279</t>
  </si>
  <si>
    <t>TAUFIK PAMUJI R.</t>
  </si>
  <si>
    <t>010688</t>
  </si>
  <si>
    <t>SAFAROTUL MU'AZIZAH</t>
  </si>
  <si>
    <t>010679</t>
  </si>
  <si>
    <t>AHMAD YAENURI</t>
  </si>
  <si>
    <t>010646</t>
  </si>
  <si>
    <t>YANI WIDIASTUTI</t>
  </si>
  <si>
    <t>010642</t>
  </si>
  <si>
    <t>RUWAIDAH</t>
  </si>
  <si>
    <t>008695</t>
  </si>
  <si>
    <t>VISUAL 141, 142</t>
  </si>
  <si>
    <t>SITI MUTOHAROH</t>
  </si>
  <si>
    <t>010637</t>
  </si>
  <si>
    <t>SUMIYATI</t>
  </si>
  <si>
    <t>000324</t>
  </si>
  <si>
    <t>MUHAMMAD SHOLEH</t>
  </si>
  <si>
    <t>010632</t>
  </si>
  <si>
    <t>S/A 1, SILICON</t>
  </si>
  <si>
    <t>KUKOH SUKADEWI</t>
  </si>
  <si>
    <t>010629</t>
  </si>
  <si>
    <t>ENDAH NURLITA SARI</t>
  </si>
  <si>
    <t>010624</t>
  </si>
  <si>
    <t>CHRISIA GITA LINDANINGTYAS</t>
  </si>
  <si>
    <t>010619</t>
  </si>
  <si>
    <t>FBBO-01, INTERMEDIATE, ASM BBM</t>
  </si>
  <si>
    <t>OPT-609</t>
  </si>
  <si>
    <t>IKA SETYANINGSIH</t>
  </si>
  <si>
    <t>025041</t>
  </si>
  <si>
    <t>OPT-541</t>
  </si>
  <si>
    <t>NOVIA TRIANA PUTRI</t>
  </si>
  <si>
    <t>021845</t>
  </si>
  <si>
    <t>SITI MUKAROMAH</t>
  </si>
  <si>
    <t>010608</t>
  </si>
  <si>
    <t>OPT-511</t>
  </si>
  <si>
    <t>ULIL ALBAB SAPUTRA</t>
  </si>
  <si>
    <t>020963</t>
  </si>
  <si>
    <t>FBBO-02, INTERMEDIATE, ASM BBM</t>
  </si>
  <si>
    <t>MAR'ATUS SHOLIKAH</t>
  </si>
  <si>
    <t>011733</t>
  </si>
  <si>
    <t>NURUL SEPTIYANI</t>
  </si>
  <si>
    <t>010602</t>
  </si>
  <si>
    <t>NUR ALFI HIDAYAH</t>
  </si>
  <si>
    <t>010601</t>
  </si>
  <si>
    <t>LESTARI NINGSIH</t>
  </si>
  <si>
    <t>010600</t>
  </si>
  <si>
    <t>YESI NURWIANENGRUM</t>
  </si>
  <si>
    <t>010593</t>
  </si>
  <si>
    <t>RAGIL ISTIANA</t>
  </si>
  <si>
    <t>010587</t>
  </si>
  <si>
    <t>SUPRIYATI</t>
  </si>
  <si>
    <t>003732</t>
  </si>
  <si>
    <t>BOMI SUMARAH</t>
  </si>
  <si>
    <t>000163</t>
  </si>
  <si>
    <t>CV HV 05B</t>
  </si>
  <si>
    <t>BBF-092</t>
  </si>
  <si>
    <t>MUHAMMAD MUZAENI</t>
  </si>
  <si>
    <t>B02217</t>
  </si>
  <si>
    <t>HVT , VISUAL 01</t>
  </si>
  <si>
    <t>YENI YUNIAWATI</t>
  </si>
  <si>
    <t>012795</t>
  </si>
  <si>
    <t>APRILIA WULANDARI P.</t>
  </si>
  <si>
    <t>010578</t>
  </si>
  <si>
    <t>SULISTYOWATI</t>
  </si>
  <si>
    <t>010481</t>
  </si>
  <si>
    <t>SINTA DIANA PUTRI</t>
  </si>
  <si>
    <t>009629</t>
  </si>
  <si>
    <t>SITI NUR KHAYATI</t>
  </si>
  <si>
    <t>010564</t>
  </si>
  <si>
    <t>WINARNI</t>
  </si>
  <si>
    <t>001267</t>
  </si>
  <si>
    <t>S/A S/P 2</t>
  </si>
  <si>
    <t>SITI MULYATI</t>
  </si>
  <si>
    <t>010562</t>
  </si>
  <si>
    <t>WARSINI</t>
  </si>
  <si>
    <t>001266</t>
  </si>
  <si>
    <t>S/A 141, 142, 172, 173</t>
  </si>
  <si>
    <t>FARIDATUL RAHMAWATI</t>
  </si>
  <si>
    <t>011690</t>
  </si>
  <si>
    <t>AFI SYAIROTUL ALIYAH</t>
  </si>
  <si>
    <t>010818</t>
  </si>
  <si>
    <t>VISUAL 141, 142, 172, 173</t>
  </si>
  <si>
    <t>SARI KARYANI</t>
  </si>
  <si>
    <t>010526</t>
  </si>
  <si>
    <t>ENDANG SRI REJEKI</t>
  </si>
  <si>
    <t>010366</t>
  </si>
  <si>
    <t>OPT-199</t>
  </si>
  <si>
    <t>SRI HARYANTI</t>
  </si>
  <si>
    <t>008952</t>
  </si>
  <si>
    <t>RIMA NOVIYATI</t>
  </si>
  <si>
    <t>000217</t>
  </si>
  <si>
    <t>SOFA FATMAWATI</t>
  </si>
  <si>
    <t>010532</t>
  </si>
  <si>
    <t>OJT CUTTING AC90-STA-04</t>
  </si>
  <si>
    <t>SITI MUSTAQFIROH</t>
  </si>
  <si>
    <t>010530</t>
  </si>
  <si>
    <t>VISUAL 141</t>
  </si>
  <si>
    <t>OPT-479</t>
  </si>
  <si>
    <t>NDARNI</t>
  </si>
  <si>
    <t>019378</t>
  </si>
  <si>
    <t>TRI MULYANI</t>
  </si>
  <si>
    <t>013049</t>
  </si>
  <si>
    <t>S/A 151, 152, 141, 142</t>
  </si>
  <si>
    <t>LISTIANI NURHAYATI</t>
  </si>
  <si>
    <t>012891</t>
  </si>
  <si>
    <t>T/P 5.2</t>
  </si>
  <si>
    <t>RIA LESTARINA</t>
  </si>
  <si>
    <t>010523</t>
  </si>
  <si>
    <t>VISUAL 141, 142, 151, 152</t>
  </si>
  <si>
    <t>PRISANTI DWI A.</t>
  </si>
  <si>
    <t>012709</t>
  </si>
  <si>
    <t>EKA FITRIYANI</t>
  </si>
  <si>
    <t>011061</t>
  </si>
  <si>
    <t>NOOR LAELY</t>
  </si>
  <si>
    <t>010514</t>
  </si>
  <si>
    <t>UMI ZULIASTUTIK</t>
  </si>
  <si>
    <t>000404</t>
  </si>
  <si>
    <t>KEYMAN FREED 33FA</t>
  </si>
  <si>
    <t>CV H06</t>
  </si>
  <si>
    <t>L-CABIN</t>
  </si>
  <si>
    <t>BBF-095</t>
  </si>
  <si>
    <t>ANDI NUR EFENDI</t>
  </si>
  <si>
    <t>B02262</t>
  </si>
  <si>
    <t>PP-1</t>
  </si>
  <si>
    <t>MIFTAKHATUN NIKMAH</t>
  </si>
  <si>
    <t>010510</t>
  </si>
  <si>
    <t>OJT S/A 5</t>
  </si>
  <si>
    <t>MUSRIYAH</t>
  </si>
  <si>
    <t>B00213</t>
  </si>
  <si>
    <t>OJT CHECKER R/B 2</t>
  </si>
  <si>
    <t>OPT-542</t>
  </si>
  <si>
    <t>SILVESTER EKO KRISTIANTORO</t>
  </si>
  <si>
    <t>021903</t>
  </si>
  <si>
    <t>OJT CHECKER 4</t>
  </si>
  <si>
    <t>OPT-533</t>
  </si>
  <si>
    <t>IDA FITRIYAH</t>
  </si>
  <si>
    <t>021439</t>
  </si>
  <si>
    <t>ANIK SULISTYOWATI</t>
  </si>
  <si>
    <t>010493</t>
  </si>
  <si>
    <t>TRIYANTI</t>
  </si>
  <si>
    <t>010488</t>
  </si>
  <si>
    <t>OJT T/P 4.1</t>
  </si>
  <si>
    <t>WAHYU NOVIKA</t>
  </si>
  <si>
    <t>020773</t>
  </si>
  <si>
    <t>NUR KONDRAN</t>
  </si>
  <si>
    <t>020628</t>
  </si>
  <si>
    <t>PP-2</t>
  </si>
  <si>
    <t>RATNA FURI WIDYANINGRUM</t>
  </si>
  <si>
    <t>010470</t>
  </si>
  <si>
    <t>OJT CHECKER 1</t>
  </si>
  <si>
    <t>FEBRY HARJANTO</t>
  </si>
  <si>
    <t>020584</t>
  </si>
  <si>
    <t>S/A 1.2</t>
  </si>
  <si>
    <t>IDA MARDIYANA</t>
  </si>
  <si>
    <t>010452</t>
  </si>
  <si>
    <t>ENTIYATI</t>
  </si>
  <si>
    <t>010446</t>
  </si>
  <si>
    <t xml:space="preserve">CONTROL PROJECT DAN SUPPORT DATA </t>
  </si>
  <si>
    <t>ES-28</t>
  </si>
  <si>
    <t>ANDRI TRIANGGORO</t>
  </si>
  <si>
    <t>010439</t>
  </si>
  <si>
    <t>NISA US'SHOLIKHA</t>
  </si>
  <si>
    <t>018970</t>
  </si>
  <si>
    <t>SAFITRI DEWI KHOERIYAH</t>
  </si>
  <si>
    <t>010416</t>
  </si>
  <si>
    <t>OJT OFFLINE CLIP 3</t>
  </si>
  <si>
    <t>OPT-438</t>
  </si>
  <si>
    <t>FITRIANA RISKYANI</t>
  </si>
  <si>
    <t>017017</t>
  </si>
  <si>
    <t>OJT S/T 2.2</t>
  </si>
  <si>
    <t>MARTANTI KUSUMANINGTYAS</t>
  </si>
  <si>
    <t>010405</t>
  </si>
  <si>
    <t>EKA SURYANI</t>
  </si>
  <si>
    <t>010397</t>
  </si>
  <si>
    <t>OJT S/A 9</t>
  </si>
  <si>
    <t>OPT-423</t>
  </si>
  <si>
    <t>AVIATUN MUFIDAH</t>
  </si>
  <si>
    <t>016738</t>
  </si>
  <si>
    <t>SEPTIANI DWI AMIRA</t>
  </si>
  <si>
    <t>014537</t>
  </si>
  <si>
    <t>GROUP LEADER</t>
  </si>
  <si>
    <t>LILIS SURYANTI</t>
  </si>
  <si>
    <t>010376</t>
  </si>
  <si>
    <t>IDA FATQUL ROCHMAH</t>
  </si>
  <si>
    <t>010372</t>
  </si>
  <si>
    <t>FIFIANA ELFA NURROHMIATI</t>
  </si>
  <si>
    <t>012870</t>
  </si>
  <si>
    <t>OJT INSERTION GROUP</t>
  </si>
  <si>
    <t>DESI MURNIYATI</t>
  </si>
  <si>
    <t>012856</t>
  </si>
  <si>
    <t>ADHE ERMA S.</t>
  </si>
  <si>
    <t>010351</t>
  </si>
  <si>
    <t>OJT S/A 15</t>
  </si>
  <si>
    <t>SAYIDA NURUL CHIKMAH</t>
  </si>
  <si>
    <t>012735</t>
  </si>
  <si>
    <t>SEVIANA DWI SETYANINGSIH</t>
  </si>
  <si>
    <t>010335</t>
  </si>
  <si>
    <t>ROZALIYAH</t>
  </si>
  <si>
    <t>010331</t>
  </si>
  <si>
    <t>ARGO WINARSIH PRATIWI</t>
  </si>
  <si>
    <t>012632</t>
  </si>
  <si>
    <t>GABUNG AMIZEN, STMAC-02, AP3N-02</t>
  </si>
  <si>
    <t>PITA NURCHOERIYAH</t>
  </si>
  <si>
    <t>010326</t>
  </si>
  <si>
    <t>OKTY WIDYASTUTI</t>
  </si>
  <si>
    <t>012201</t>
  </si>
  <si>
    <t>OJT S/A 13</t>
  </si>
  <si>
    <t>SITI KHOINUNINGSIH</t>
  </si>
  <si>
    <t>011779</t>
  </si>
  <si>
    <t>OJT S/A 2</t>
  </si>
  <si>
    <t>RIZKI ASIH</t>
  </si>
  <si>
    <t>011774</t>
  </si>
  <si>
    <t>CUTTING AC90-T-09</t>
  </si>
  <si>
    <t>JUWARMI</t>
  </si>
  <si>
    <t>010310</t>
  </si>
  <si>
    <t>DEWI LESTARI</t>
  </si>
  <si>
    <t>010301</t>
  </si>
  <si>
    <t>ARINA FAOZIAH</t>
  </si>
  <si>
    <t>010299</t>
  </si>
  <si>
    <t>OPT-263</t>
  </si>
  <si>
    <t>UMI RAHAYU</t>
  </si>
  <si>
    <t>010296</t>
  </si>
  <si>
    <t>OJT T/P 4.2</t>
  </si>
  <si>
    <t>ISTIGHFAROTUN</t>
  </si>
  <si>
    <t>011562</t>
  </si>
  <si>
    <t>NANIK</t>
  </si>
  <si>
    <t>010287</t>
  </si>
  <si>
    <t>OJT T/P 2.1</t>
  </si>
  <si>
    <t>WIWIN ERMIDAH</t>
  </si>
  <si>
    <t>011036</t>
  </si>
  <si>
    <t>OPT-261</t>
  </si>
  <si>
    <t>WIDYA NURMALITASARI</t>
  </si>
  <si>
    <t>010274</t>
  </si>
  <si>
    <t>OJT CHECKER R/B 1</t>
  </si>
  <si>
    <t>SUPRIADI</t>
  </si>
  <si>
    <t>010863</t>
  </si>
  <si>
    <t>HANI WIDYA ASTUTIK</t>
  </si>
  <si>
    <t>010284</t>
  </si>
  <si>
    <t>RISKA BILLAH NOVIYANTI</t>
  </si>
  <si>
    <t>010257</t>
  </si>
  <si>
    <t>NURSITA AYU FATMANINGTYAS</t>
  </si>
  <si>
    <t>010254</t>
  </si>
  <si>
    <t>MUGI HAYUNINGATY</t>
  </si>
  <si>
    <t>010253</t>
  </si>
  <si>
    <t>OJT S/A 10</t>
  </si>
  <si>
    <t>SOLIKHATI</t>
  </si>
  <si>
    <t>010230</t>
  </si>
  <si>
    <t>OPT-247</t>
  </si>
  <si>
    <t>ARUM MULIASARI</t>
  </si>
  <si>
    <t>009998</t>
  </si>
  <si>
    <t>SUDARWATI</t>
  </si>
  <si>
    <t>010238</t>
  </si>
  <si>
    <t>RIKNA IDA SRI WAHYUNINGSIH</t>
  </si>
  <si>
    <t>010237</t>
  </si>
  <si>
    <t>HANA KUSUMAWARDANI</t>
  </si>
  <si>
    <t>010235</t>
  </si>
  <si>
    <t>OJT OFFLINE CLIP 1</t>
  </si>
  <si>
    <t>OPT-244</t>
  </si>
  <si>
    <t>MURINA MUKTI SIAMI</t>
  </si>
  <si>
    <t>009898</t>
  </si>
  <si>
    <t>TUTI ISNAWATI</t>
  </si>
  <si>
    <t>010232</t>
  </si>
  <si>
    <t>OJT VISUAL 1.3</t>
  </si>
  <si>
    <t>FITRIANA</t>
  </si>
  <si>
    <t>009684</t>
  </si>
  <si>
    <t>SRI SULASIH</t>
  </si>
  <si>
    <t>009478</t>
  </si>
  <si>
    <t>BM2-J03-02, 04, 05, JM2-J03-01, 02, JM3-J03-01, 02, JT-J03-01</t>
  </si>
  <si>
    <t>SITI HIDAYATI</t>
  </si>
  <si>
    <t>010228</t>
  </si>
  <si>
    <t>SITI KHOLIFAH</t>
  </si>
  <si>
    <t>009331</t>
  </si>
  <si>
    <t>JUNI AROFATUL M</t>
  </si>
  <si>
    <t>009145</t>
  </si>
  <si>
    <t>KHOIRIL UMAMAH</t>
  </si>
  <si>
    <t>008687</t>
  </si>
  <si>
    <t>NUR PADILAH</t>
  </si>
  <si>
    <t>010194</t>
  </si>
  <si>
    <t>BM3-3MO-01</t>
  </si>
  <si>
    <t>NINGTYAS ARYASTUTI</t>
  </si>
  <si>
    <t>010192</t>
  </si>
  <si>
    <t>OJT S/A A/B</t>
  </si>
  <si>
    <t>KHARISATUN NIKMAH</t>
  </si>
  <si>
    <t>008644</t>
  </si>
  <si>
    <t>LISTIYA FAJAR ISNAINI</t>
  </si>
  <si>
    <t>010186</t>
  </si>
  <si>
    <t>ADM, DOKUMEN PPM &amp; SWCT</t>
  </si>
  <si>
    <t>LINDA MUSTIKA SARI</t>
  </si>
  <si>
    <t>010185</t>
  </si>
  <si>
    <t>IRNA DIAN ISTININGRUM</t>
  </si>
  <si>
    <t>010184</t>
  </si>
  <si>
    <t>INDARI FUJI HARYATI</t>
  </si>
  <si>
    <t>005775</t>
  </si>
  <si>
    <t>ERMA DAYANTI</t>
  </si>
  <si>
    <t>005700</t>
  </si>
  <si>
    <t>ARI TRI YANTO</t>
  </si>
  <si>
    <t>005539</t>
  </si>
  <si>
    <t>FIRA FIRMANILA</t>
  </si>
  <si>
    <t>010177</t>
  </si>
  <si>
    <t>FIFI HANDAYANTI</t>
  </si>
  <si>
    <t>010176</t>
  </si>
  <si>
    <t>OJT T/P 3.2</t>
  </si>
  <si>
    <t>NUR JANAH</t>
  </si>
  <si>
    <t>005433</t>
  </si>
  <si>
    <t>OJT VISUAL 2.3</t>
  </si>
  <si>
    <t>OPT-104</t>
  </si>
  <si>
    <t>SEPTIYANING RAHAYU</t>
  </si>
  <si>
    <t>003959</t>
  </si>
  <si>
    <t>TKN-52</t>
  </si>
  <si>
    <t>LASIMIN</t>
  </si>
  <si>
    <t>010161</t>
  </si>
  <si>
    <t>EDY KOESMANTO</t>
  </si>
  <si>
    <t>010160</t>
  </si>
  <si>
    <t>SRI KUSTIYAH</t>
  </si>
  <si>
    <t>010156</t>
  </si>
  <si>
    <t>OJT S/A 6</t>
  </si>
  <si>
    <t>OPT-32</t>
  </si>
  <si>
    <t>WIDYA ASTUTI</t>
  </si>
  <si>
    <t>001313</t>
  </si>
  <si>
    <t>KOYIMAH</t>
  </si>
  <si>
    <t>B00203</t>
  </si>
  <si>
    <t>WIRE TRANSFER</t>
  </si>
  <si>
    <t>YUNI ISWANTI</t>
  </si>
  <si>
    <t>010134</t>
  </si>
  <si>
    <t>LUTFIANA</t>
  </si>
  <si>
    <t>019303</t>
  </si>
  <si>
    <t>ACHMAD ANDY MURSALIM</t>
  </si>
  <si>
    <t>012798</t>
  </si>
  <si>
    <t>TRI WAHYUNI PUDJI RAHAYU</t>
  </si>
  <si>
    <t>010127</t>
  </si>
  <si>
    <t>010126</t>
  </si>
  <si>
    <t>SURYO BUDI UTAMI</t>
  </si>
  <si>
    <t>010124</t>
  </si>
  <si>
    <t>SEPTIAN ADHITYA DWI S.</t>
  </si>
  <si>
    <t>012737</t>
  </si>
  <si>
    <t>OJT CUTTING AC90-STA-01</t>
  </si>
  <si>
    <t>SITI MUADHIMAH</t>
  </si>
  <si>
    <t>010117</t>
  </si>
  <si>
    <t>RENNY RAFIKA HAPSARI</t>
  </si>
  <si>
    <t>010112</t>
  </si>
  <si>
    <t>CUTTING AC90-3MO-05</t>
  </si>
  <si>
    <t>NURJANAH</t>
  </si>
  <si>
    <t>010108</t>
  </si>
  <si>
    <t>NOVILIA ARUM SARI</t>
  </si>
  <si>
    <t>010104</t>
  </si>
  <si>
    <t>AHMAD NUR WAHID</t>
  </si>
  <si>
    <t>012237</t>
  </si>
  <si>
    <t>OJT BM3-STA-01</t>
  </si>
  <si>
    <t>MENIK JAYANTI</t>
  </si>
  <si>
    <t>010100</t>
  </si>
  <si>
    <t>LAILATUN NASRIYAH</t>
  </si>
  <si>
    <t>010097</t>
  </si>
  <si>
    <t>TRI NANI</t>
  </si>
  <si>
    <t>012156</t>
  </si>
  <si>
    <t>JAZIROH</t>
  </si>
  <si>
    <t>010094</t>
  </si>
  <si>
    <t>ANA WAHYUNINGRUM</t>
  </si>
  <si>
    <t>011916</t>
  </si>
  <si>
    <t>FATIKHATUL AFIDAH</t>
  </si>
  <si>
    <t>010087</t>
  </si>
  <si>
    <t>TUTIK AMBARWATI</t>
  </si>
  <si>
    <t>011901</t>
  </si>
  <si>
    <t>OPT-286</t>
  </si>
  <si>
    <t>NUNIK SURYATI</t>
  </si>
  <si>
    <t>010986</t>
  </si>
  <si>
    <t>OJT CUTTING AC90-STA-02</t>
  </si>
  <si>
    <t>AYU CAHYANI</t>
  </si>
  <si>
    <t>010077</t>
  </si>
  <si>
    <t>VIPIT WULANINGSIH</t>
  </si>
  <si>
    <t>010062</t>
  </si>
  <si>
    <t>CUTTING AC90-HDA-21</t>
  </si>
  <si>
    <t>UPIK SITI ROCHANA</t>
  </si>
  <si>
    <t>010061</t>
  </si>
  <si>
    <t>ADMIN MACHINE LOADING</t>
  </si>
  <si>
    <t>MESIN LOADING</t>
  </si>
  <si>
    <t>TRI YUNIARTI</t>
  </si>
  <si>
    <t>010059</t>
  </si>
  <si>
    <t>SAULINA RUDIYANTI</t>
  </si>
  <si>
    <t>010048</t>
  </si>
  <si>
    <t>NURUL SHOBAH</t>
  </si>
  <si>
    <t>010036</t>
  </si>
  <si>
    <t>MAWAR RISTIANI</t>
  </si>
  <si>
    <t>010026</t>
  </si>
  <si>
    <t>OJT S/A 7</t>
  </si>
  <si>
    <t>SITI INAYAHWATI</t>
  </si>
  <si>
    <t>010899</t>
  </si>
  <si>
    <t>FITRI YANI DIAH ASTUTI</t>
  </si>
  <si>
    <t>010546</t>
  </si>
  <si>
    <t>ASTRI MAWAR SIWI</t>
  </si>
  <si>
    <t>009999</t>
  </si>
  <si>
    <t>SEKAR ASIH AMBARSARI</t>
  </si>
  <si>
    <t>010527</t>
  </si>
  <si>
    <t>SHARI IRIANI</t>
  </si>
  <si>
    <t>010383</t>
  </si>
  <si>
    <t>ANISAH TRI MURTININGSIH</t>
  </si>
  <si>
    <t>009994</t>
  </si>
  <si>
    <t>MARIANAH</t>
  </si>
  <si>
    <t>009895</t>
  </si>
  <si>
    <t>NUR KHAYATI</t>
  </si>
  <si>
    <t>009466</t>
  </si>
  <si>
    <t>CATUR SUHARTANTI</t>
  </si>
  <si>
    <t>009257</t>
  </si>
  <si>
    <t>OPT-204</t>
  </si>
  <si>
    <t>LISTIYANI MANISA</t>
  </si>
  <si>
    <t>009109</t>
  </si>
  <si>
    <t>ENI KUSRINI</t>
  </si>
  <si>
    <t>001188</t>
  </si>
  <si>
    <t>009954</t>
  </si>
  <si>
    <t>NURUL HIDAYATI</t>
  </si>
  <si>
    <t>009952</t>
  </si>
  <si>
    <t>NUR LATIFAH</t>
  </si>
  <si>
    <t>009951</t>
  </si>
  <si>
    <t>MUSDZALIFAH</t>
  </si>
  <si>
    <t>000299</t>
  </si>
  <si>
    <t>DEWI WURYAN</t>
  </si>
  <si>
    <t>000280</t>
  </si>
  <si>
    <t>009937</t>
  </si>
  <si>
    <t>MARIA NINGSIH</t>
  </si>
  <si>
    <t>000060</t>
  </si>
  <si>
    <t>INDAH UMI SAKINAH</t>
  </si>
  <si>
    <t>009934</t>
  </si>
  <si>
    <t>OPT-556</t>
  </si>
  <si>
    <t>LANA MILATUL KUSNA</t>
  </si>
  <si>
    <t>022342</t>
  </si>
  <si>
    <t>RISSA MAULANA</t>
  </si>
  <si>
    <t>022309</t>
  </si>
  <si>
    <t>JULYUS AGUNG KRIS PRIYANTO</t>
  </si>
  <si>
    <t>021344</t>
  </si>
  <si>
    <t>DWI SETIYANI</t>
  </si>
  <si>
    <t>009925</t>
  </si>
  <si>
    <t>BIATUN</t>
  </si>
  <si>
    <t>009917</t>
  </si>
  <si>
    <t>AMALIYAH RIZQI</t>
  </si>
  <si>
    <t>009912</t>
  </si>
  <si>
    <t>BFT 3</t>
  </si>
  <si>
    <t>SURAIDA YULIASAPUTRI</t>
  </si>
  <si>
    <t>009907</t>
  </si>
  <si>
    <t>MUHAMMAD RIYANTO</t>
  </si>
  <si>
    <t>021216</t>
  </si>
  <si>
    <t>NOFI MUAFIYAH</t>
  </si>
  <si>
    <t>009899</t>
  </si>
  <si>
    <t>INGGIT CONISA</t>
  </si>
  <si>
    <t>021056</t>
  </si>
  <si>
    <t>MEI SETYANINGSIH</t>
  </si>
  <si>
    <t>009896</t>
  </si>
  <si>
    <t>OPT-503</t>
  </si>
  <si>
    <t>PUJI LESTARI NINGSIH</t>
  </si>
  <si>
    <t>020429</t>
  </si>
  <si>
    <t>OPT-487</t>
  </si>
  <si>
    <t>LULUK ULFIYANTI</t>
  </si>
  <si>
    <t>019480</t>
  </si>
  <si>
    <t>SITI NUR CHOLIFAH</t>
  </si>
  <si>
    <t>009864</t>
  </si>
  <si>
    <t>SHIAGE 2.2</t>
  </si>
  <si>
    <t>OPT-427</t>
  </si>
  <si>
    <t>SARIR MUTTAQIN</t>
  </si>
  <si>
    <t>016833</t>
  </si>
  <si>
    <t>OPT-388</t>
  </si>
  <si>
    <t>NAWAROTUL ARDHIYAH</t>
  </si>
  <si>
    <t>015439</t>
  </si>
  <si>
    <t>OJT T/P S/P 2.2</t>
  </si>
  <si>
    <t>MAULIDATUL CHASANAH</t>
  </si>
  <si>
    <t>009853</t>
  </si>
  <si>
    <t>DEWI LESTARI BIASTUTI</t>
  </si>
  <si>
    <t>009849</t>
  </si>
  <si>
    <t>AGUSTINA DEWI WIJAYANTI</t>
  </si>
  <si>
    <t>013471</t>
  </si>
  <si>
    <t>SITI MAHMUDAH</t>
  </si>
  <si>
    <t>009801</t>
  </si>
  <si>
    <t>MUJIBUROKHMAN</t>
  </si>
  <si>
    <t>012683</t>
  </si>
  <si>
    <t>TKN-51</t>
  </si>
  <si>
    <t>MUJIONO</t>
  </si>
  <si>
    <t>009786</t>
  </si>
  <si>
    <t>ZULISTIYANI</t>
  </si>
  <si>
    <t>011911</t>
  </si>
  <si>
    <t>OPT-223</t>
  </si>
  <si>
    <t>SOLEKHAH TUNGGAL D.</t>
  </si>
  <si>
    <t>009716</t>
  </si>
  <si>
    <t>WULAN INTANNIA R.</t>
  </si>
  <si>
    <t>009707</t>
  </si>
  <si>
    <t>011841</t>
  </si>
  <si>
    <t>RANNY PRI AGUSTIANI</t>
  </si>
  <si>
    <t>009690</t>
  </si>
  <si>
    <t>IKA SARI</t>
  </si>
  <si>
    <t>011442</t>
  </si>
  <si>
    <t>ISWATUN HASANAH</t>
  </si>
  <si>
    <t>011324</t>
  </si>
  <si>
    <t>TRI LESTARI</t>
  </si>
  <si>
    <t>011301</t>
  </si>
  <si>
    <t>EKO WULAN SAFITRI</t>
  </si>
  <si>
    <t>009681</t>
  </si>
  <si>
    <t>T/P 6.2</t>
  </si>
  <si>
    <t>WIHAYA PURMANA SARI</t>
  </si>
  <si>
    <t>010762</t>
  </si>
  <si>
    <t>RETNO WULAN SETYANINGRUM</t>
  </si>
  <si>
    <t>010751</t>
  </si>
  <si>
    <t>UMI LATIFAH</t>
  </si>
  <si>
    <t>009644</t>
  </si>
  <si>
    <t>SITI NURIYAH</t>
  </si>
  <si>
    <t>009633</t>
  </si>
  <si>
    <t>T/P 8</t>
  </si>
  <si>
    <t>ANITA WIJI WINATA</t>
  </si>
  <si>
    <t>009995</t>
  </si>
  <si>
    <t>BUFFER MP</t>
  </si>
  <si>
    <t>BUFFER MP SAMI</t>
  </si>
  <si>
    <t>PRATOMO HADINATA</t>
  </si>
  <si>
    <t>009624</t>
  </si>
  <si>
    <t>SITI NURYATI</t>
  </si>
  <si>
    <t>009970</t>
  </si>
  <si>
    <t>RINA MARYANA</t>
  </si>
  <si>
    <t>009084</t>
  </si>
  <si>
    <t>WANTI</t>
  </si>
  <si>
    <t>009030</t>
  </si>
  <si>
    <t>FITRIA PURNAMA SARI</t>
  </si>
  <si>
    <t>009596</t>
  </si>
  <si>
    <t>YASTIKA YUAN RIFANA</t>
  </si>
  <si>
    <t>008808</t>
  </si>
  <si>
    <t>008635</t>
  </si>
  <si>
    <t>PONCO HANDAYANI</t>
  </si>
  <si>
    <t>005932</t>
  </si>
  <si>
    <t>T/P 3.2</t>
  </si>
  <si>
    <t>OPT-129</t>
  </si>
  <si>
    <t>ENDRA AFRIYANI</t>
  </si>
  <si>
    <t>005495</t>
  </si>
  <si>
    <t>WITRI SUMIYATI</t>
  </si>
  <si>
    <t>001268</t>
  </si>
  <si>
    <t>ANIK ANA NURJANAH</t>
  </si>
  <si>
    <t>009563</t>
  </si>
  <si>
    <t>CUTTING AC90-T-04</t>
  </si>
  <si>
    <t>NUR KHADHIROH</t>
  </si>
  <si>
    <t>009560</t>
  </si>
  <si>
    <t>T/P 6.1</t>
  </si>
  <si>
    <t>SITI NUR AINI</t>
  </si>
  <si>
    <t>001138</t>
  </si>
  <si>
    <t>SITI SUWARNI</t>
  </si>
  <si>
    <t>000884</t>
  </si>
  <si>
    <t>NUGRAHENI LARASTIWI</t>
  </si>
  <si>
    <t>009523</t>
  </si>
  <si>
    <t>NITA PURNAMA SARI</t>
  </si>
  <si>
    <t>009521</t>
  </si>
  <si>
    <t>MIRNA NINGSIH</t>
  </si>
  <si>
    <t>009519</t>
  </si>
  <si>
    <t>ISNA FITRIYATUR ROHMANIYAH</t>
  </si>
  <si>
    <t>009512</t>
  </si>
  <si>
    <t>AKHMAD YAZIDUL HUDA</t>
  </si>
  <si>
    <t>009488</t>
  </si>
  <si>
    <t>YUNI LESTARI</t>
  </si>
  <si>
    <t>009487</t>
  </si>
  <si>
    <t>WINDARWATI ZURIYANTI</t>
  </si>
  <si>
    <t>009486</t>
  </si>
  <si>
    <t>SUWASTI</t>
  </si>
  <si>
    <t>009481</t>
  </si>
  <si>
    <t>BBF-133</t>
  </si>
  <si>
    <t>AHMAD GHOZALI ZULKARNAEN</t>
  </si>
  <si>
    <t>B02823</t>
  </si>
  <si>
    <t>RISKA SATRIANI</t>
  </si>
  <si>
    <t>009473</t>
  </si>
  <si>
    <t>T/P 2.3</t>
  </si>
  <si>
    <t>LIANA INDRI ASTUTI</t>
  </si>
  <si>
    <t>B01148</t>
  </si>
  <si>
    <t>CUTTING AC81-3MO-01</t>
  </si>
  <si>
    <t>NUR ANGGRAINI</t>
  </si>
  <si>
    <t>009462</t>
  </si>
  <si>
    <t>NOVIA PRIHATININGSIH</t>
  </si>
  <si>
    <t>009458</t>
  </si>
  <si>
    <t>T/P 6.3</t>
  </si>
  <si>
    <t>ROFIQO SA'ADAH</t>
  </si>
  <si>
    <t>B00964</t>
  </si>
  <si>
    <t>CAMERA FUSE + TPO</t>
  </si>
  <si>
    <t>EKO HARTANTO</t>
  </si>
  <si>
    <t>B00436</t>
  </si>
  <si>
    <t>OJT IG</t>
  </si>
  <si>
    <t>YUNI UTAMI</t>
  </si>
  <si>
    <t>B00101</t>
  </si>
  <si>
    <t>INDAH SULISTIANI</t>
  </si>
  <si>
    <t>009443</t>
  </si>
  <si>
    <t>SHIAGE 2.4</t>
  </si>
  <si>
    <t>022966</t>
  </si>
  <si>
    <t>OJT INSP 2</t>
  </si>
  <si>
    <t>ESTHI SEPTIARINI</t>
  </si>
  <si>
    <t>009434</t>
  </si>
  <si>
    <t>ENI KHOIRIYAH</t>
  </si>
  <si>
    <t>020456</t>
  </si>
  <si>
    <t>DEWI SUNDARI</t>
  </si>
  <si>
    <t>009427</t>
  </si>
  <si>
    <t>MUHAMMAD AHLUN NAHZAR</t>
  </si>
  <si>
    <t>019796</t>
  </si>
  <si>
    <t>DE</t>
  </si>
  <si>
    <t>EDITOR (DOCUMENT &amp; GENBA)</t>
  </si>
  <si>
    <t>PD 2</t>
  </si>
  <si>
    <t>YULIA WULAN SARI</t>
  </si>
  <si>
    <t>009363</t>
  </si>
  <si>
    <t>S/T 4.2</t>
  </si>
  <si>
    <t>PRIHATIN</t>
  </si>
  <si>
    <t>019158</t>
  </si>
  <si>
    <t>T/P 8.1</t>
  </si>
  <si>
    <t>OPT-332</t>
  </si>
  <si>
    <t>NUR AENI</t>
  </si>
  <si>
    <t>013158</t>
  </si>
  <si>
    <t>WAHYU DWI IRNAWATI</t>
  </si>
  <si>
    <t>012404</t>
  </si>
  <si>
    <t>ADMINISTRASI &amp; ANALISIS CONTROL DOWNTIME, CONTROL ASET</t>
  </si>
  <si>
    <t>PUJI ASTUTI</t>
  </si>
  <si>
    <t>009312</t>
  </si>
  <si>
    <t>NUR FITRIANI</t>
  </si>
  <si>
    <t>009310</t>
  </si>
  <si>
    <t>CUTTING AC90-HDA-11</t>
  </si>
  <si>
    <t>NOAH NUR KHASANAH</t>
  </si>
  <si>
    <t>009305</t>
  </si>
  <si>
    <t>ERNI ERIYANTI</t>
  </si>
  <si>
    <t>009275</t>
  </si>
  <si>
    <t>DWI SUSIATI</t>
  </si>
  <si>
    <t>009267</t>
  </si>
  <si>
    <t>DINA PUSPASARI</t>
  </si>
  <si>
    <t>009263</t>
  </si>
  <si>
    <t>ARIYA AFIYANTI</t>
  </si>
  <si>
    <t>011661</t>
  </si>
  <si>
    <t>ANITA KAROLINA</t>
  </si>
  <si>
    <t>011657</t>
  </si>
  <si>
    <t>S/A 3</t>
  </si>
  <si>
    <t>WINDAH MARIYAH BAKTIANA</t>
  </si>
  <si>
    <t>009237</t>
  </si>
  <si>
    <t>SUTIYAH</t>
  </si>
  <si>
    <t>009230</t>
  </si>
  <si>
    <t>MALINDA</t>
  </si>
  <si>
    <t>011574</t>
  </si>
  <si>
    <t>LATHOIFUL LATHIFAH</t>
  </si>
  <si>
    <t>011567</t>
  </si>
  <si>
    <t>LEADER ORDERING</t>
  </si>
  <si>
    <t>FAJAR PANCA SULISTIYANI</t>
  </si>
  <si>
    <t>009191</t>
  </si>
  <si>
    <t>DESTY TRI NURHAYATI</t>
  </si>
  <si>
    <t>009184</t>
  </si>
  <si>
    <t>DESTIYA WERDI HASTARI</t>
  </si>
  <si>
    <t>009183</t>
  </si>
  <si>
    <t>T/P 9</t>
  </si>
  <si>
    <t>ANIS WULAN NINGSIH</t>
  </si>
  <si>
    <t>011521</t>
  </si>
  <si>
    <t>RATNA ROSANTI</t>
  </si>
  <si>
    <t>009160</t>
  </si>
  <si>
    <t>009159</t>
  </si>
  <si>
    <t>S/A 12</t>
  </si>
  <si>
    <t>ANGGUN RETNO WATI</t>
  </si>
  <si>
    <t>011369</t>
  </si>
  <si>
    <t>DEWI SURYANI</t>
  </si>
  <si>
    <t>011167</t>
  </si>
  <si>
    <t>DEWI APRILIYANI</t>
  </si>
  <si>
    <t>009132</t>
  </si>
  <si>
    <t>YUVITA ICA WARDHANY</t>
  </si>
  <si>
    <t>010969</t>
  </si>
  <si>
    <t>EKA FITRIANI</t>
  </si>
  <si>
    <t>009095</t>
  </si>
  <si>
    <t>VANI SETYANINGRUM</t>
  </si>
  <si>
    <t>010617</t>
  </si>
  <si>
    <t>S/A 10</t>
  </si>
  <si>
    <t>RETNO LISTIYONINGRUM</t>
  </si>
  <si>
    <t>010558</t>
  </si>
  <si>
    <t>NURUL FATONAH</t>
  </si>
  <si>
    <t>010517</t>
  </si>
  <si>
    <t>FINA PRATIWI</t>
  </si>
  <si>
    <t>010244</t>
  </si>
  <si>
    <t>CUTTING TUBE</t>
  </si>
  <si>
    <t>OPT-202</t>
  </si>
  <si>
    <t>SITI QOTIJAH</t>
  </si>
  <si>
    <t>009050</t>
  </si>
  <si>
    <t>ASM S2, S/A</t>
  </si>
  <si>
    <t>SAFRIDA AISYA M.</t>
  </si>
  <si>
    <t>009049</t>
  </si>
  <si>
    <t>ARI SETIAWATI</t>
  </si>
  <si>
    <t>009038</t>
  </si>
  <si>
    <t>YUNITA</t>
  </si>
  <si>
    <t>009034</t>
  </si>
  <si>
    <t>S/A 9</t>
  </si>
  <si>
    <t>FITRI AWALIYAH</t>
  </si>
  <si>
    <t>010178</t>
  </si>
  <si>
    <t>ASTARI DWIYANTI</t>
  </si>
  <si>
    <t>010167</t>
  </si>
  <si>
    <t>TATIK APRIYANTI</t>
  </si>
  <si>
    <t>009027</t>
  </si>
  <si>
    <t>HD 150, WEBO</t>
  </si>
  <si>
    <t>REVI WIDYAWATI</t>
  </si>
  <si>
    <t>009020</t>
  </si>
  <si>
    <t>CUTTING AC90-HDA-07</t>
  </si>
  <si>
    <t>NIA HARYANTI</t>
  </si>
  <si>
    <t>009014</t>
  </si>
  <si>
    <t>ELZA FREDIANTAMA NURTIAS</t>
  </si>
  <si>
    <t>010084</t>
  </si>
  <si>
    <t>IKVI KHOERA ULIT T.</t>
  </si>
  <si>
    <t>009005</t>
  </si>
  <si>
    <t>EKO WIDYANINGSIH</t>
  </si>
  <si>
    <t>010007</t>
  </si>
  <si>
    <t>NUR AWALIYAH</t>
  </si>
  <si>
    <t>009618</t>
  </si>
  <si>
    <t>009527</t>
  </si>
  <si>
    <t>CUTTING AC81-H-01</t>
  </si>
  <si>
    <t>ALFI MAYASARI</t>
  </si>
  <si>
    <t>008988</t>
  </si>
  <si>
    <t>OPT-193</t>
  </si>
  <si>
    <t>WAHYU AGUS TYANINGRUM</t>
  </si>
  <si>
    <t>008761</t>
  </si>
  <si>
    <t>T/P 8.2</t>
  </si>
  <si>
    <t>008698</t>
  </si>
  <si>
    <t>RINA SETYOWATI</t>
  </si>
  <si>
    <t>008951</t>
  </si>
  <si>
    <t>ARIF ROHIM</t>
  </si>
  <si>
    <t>006359</t>
  </si>
  <si>
    <t>T/P 3.1</t>
  </si>
  <si>
    <t>BIYANTI</t>
  </si>
  <si>
    <t>006125</t>
  </si>
  <si>
    <t>YANUR LISA MIKIYANTI</t>
  </si>
  <si>
    <t>005965</t>
  </si>
  <si>
    <t>DARNI</t>
  </si>
  <si>
    <t>001032</t>
  </si>
  <si>
    <t>DARYANI</t>
  </si>
  <si>
    <t>000360</t>
  </si>
  <si>
    <t>UMI SOLICHATUN</t>
  </si>
  <si>
    <t>008874</t>
  </si>
  <si>
    <t>CUTTING AC90-HDA-01</t>
  </si>
  <si>
    <t>SITI YULI ANI</t>
  </si>
  <si>
    <t>008864</t>
  </si>
  <si>
    <t>CV B01</t>
  </si>
  <si>
    <t>HONDA ENGINE ROOM L/R CABIN</t>
  </si>
  <si>
    <t>HONDA N-VAN</t>
  </si>
  <si>
    <t>OPT-567</t>
  </si>
  <si>
    <t>MUHAMMAD FAHMI FARIZ</t>
  </si>
  <si>
    <t>022856</t>
  </si>
  <si>
    <t>RISDIYANTI</t>
  </si>
  <si>
    <t>021848</t>
  </si>
  <si>
    <t>PROTECTOR</t>
  </si>
  <si>
    <t>OPT-491</t>
  </si>
  <si>
    <t>FAHRI KHUSAENI</t>
  </si>
  <si>
    <t>019696</t>
  </si>
  <si>
    <t>OPT-394</t>
  </si>
  <si>
    <t>WAHYU NURIYANTO</t>
  </si>
  <si>
    <t>015672</t>
  </si>
  <si>
    <t>OPT-379</t>
  </si>
  <si>
    <t>NUR AFRIDATUL KONA'AH</t>
  </si>
  <si>
    <t>014970</t>
  </si>
  <si>
    <t>RAGIL SURYANI</t>
  </si>
  <si>
    <t>013509</t>
  </si>
  <si>
    <t>FARIDAH</t>
  </si>
  <si>
    <t>008824</t>
  </si>
  <si>
    <t>NOBELA ISA OSELA</t>
  </si>
  <si>
    <t>012386</t>
  </si>
  <si>
    <t>DWI ARYANTI</t>
  </si>
  <si>
    <t>008819</t>
  </si>
  <si>
    <t>BODORIYAH</t>
  </si>
  <si>
    <t>008815</t>
  </si>
  <si>
    <t>AYU RESMI NOVISARI</t>
  </si>
  <si>
    <t>008814</t>
  </si>
  <si>
    <t>DANI ASIH</t>
  </si>
  <si>
    <t>011531</t>
  </si>
  <si>
    <t>SITI NUR JANAH</t>
  </si>
  <si>
    <t>010563</t>
  </si>
  <si>
    <t>RATNA AMBARWATI</t>
  </si>
  <si>
    <t>009902</t>
  </si>
  <si>
    <t>CUTI DILUAR TANGGUNGAN</t>
  </si>
  <si>
    <t>SITI MASRIAH</t>
  </si>
  <si>
    <t>008794</t>
  </si>
  <si>
    <t>RINI ASTUTI</t>
  </si>
  <si>
    <t>008790</t>
  </si>
  <si>
    <t>SARI NURHAYATI</t>
  </si>
  <si>
    <t>006086</t>
  </si>
  <si>
    <t>LILIK SETYOWATI</t>
  </si>
  <si>
    <t>005263</t>
  </si>
  <si>
    <t>MITA RATNANINGSIH</t>
  </si>
  <si>
    <t>008777</t>
  </si>
  <si>
    <t>HENDAH HASTATI</t>
  </si>
  <si>
    <t>000370</t>
  </si>
  <si>
    <t>SANTI TRI HASTUTI</t>
  </si>
  <si>
    <t>B00966</t>
  </si>
  <si>
    <t>DIANA NOVITASARI</t>
  </si>
  <si>
    <t>B00910</t>
  </si>
  <si>
    <t>CUTTING AC90-SZK-07</t>
  </si>
  <si>
    <t>AMININGSIH</t>
  </si>
  <si>
    <t>008727</t>
  </si>
  <si>
    <t>PROTECTOR 3</t>
  </si>
  <si>
    <t>YOHAN SETIAWAN</t>
  </si>
  <si>
    <t>B00495</t>
  </si>
  <si>
    <t>CUTTING AC90-T-08</t>
  </si>
  <si>
    <t>WIWIN RAHAYU</t>
  </si>
  <si>
    <t>008703</t>
  </si>
  <si>
    <t>OPT-554</t>
  </si>
  <si>
    <t>DYAH RAHMAWATI</t>
  </si>
  <si>
    <t>022266</t>
  </si>
  <si>
    <t>SELVIANA DEWI</t>
  </si>
  <si>
    <t>008697</t>
  </si>
  <si>
    <t>DESI ROMANDHONA</t>
  </si>
  <si>
    <t>022119</t>
  </si>
  <si>
    <t>LILIK HARTATIK</t>
  </si>
  <si>
    <t>008688</t>
  </si>
  <si>
    <t>ERIKA PUTRI WULANSARI</t>
  </si>
  <si>
    <t>021715</t>
  </si>
  <si>
    <t>AGUSTINA RASDIYANI</t>
  </si>
  <si>
    <t>019611</t>
  </si>
  <si>
    <t>017598</t>
  </si>
  <si>
    <t>ERNI YULIANTI</t>
  </si>
  <si>
    <t>012609</t>
  </si>
  <si>
    <t>ANA YULIYANA</t>
  </si>
  <si>
    <t>008680</t>
  </si>
  <si>
    <t>ROKHIYATI</t>
  </si>
  <si>
    <t>012209</t>
  </si>
  <si>
    <t>VERA ANGGRAINI</t>
  </si>
  <si>
    <t>008672</t>
  </si>
  <si>
    <t>TRI APRILIANINGRUM</t>
  </si>
  <si>
    <t>008669</t>
  </si>
  <si>
    <t>SOFIATUN</t>
  </si>
  <si>
    <t>008667</t>
  </si>
  <si>
    <t>CHECKER AB</t>
  </si>
  <si>
    <t>MERLIN SANJAYA</t>
  </si>
  <si>
    <t>012193</t>
  </si>
  <si>
    <t>LINDA LESTARI</t>
  </si>
  <si>
    <t>011938</t>
  </si>
  <si>
    <t>LILIS SULASIH</t>
  </si>
  <si>
    <t>008647</t>
  </si>
  <si>
    <t>KHARISMAWATI</t>
  </si>
  <si>
    <t>008645</t>
  </si>
  <si>
    <t>SUSI AMBARWATI</t>
  </si>
  <si>
    <t>011189</t>
  </si>
  <si>
    <t>IDA SOPIANA</t>
  </si>
  <si>
    <t>008643</t>
  </si>
  <si>
    <t>SRI SULASTRI</t>
  </si>
  <si>
    <t>010568</t>
  </si>
  <si>
    <t>ANY ISNAWATI</t>
  </si>
  <si>
    <t>008636</t>
  </si>
  <si>
    <t>ROHAYATI SAKDANAH</t>
  </si>
  <si>
    <t>010291</t>
  </si>
  <si>
    <t>CSPV</t>
  </si>
  <si>
    <t xml:space="preserve"> COORD. SUPERVISOR</t>
  </si>
  <si>
    <t>MAULVI BAHRUL MUHITH</t>
  </si>
  <si>
    <t>008381</t>
  </si>
  <si>
    <t>TKN-44</t>
  </si>
  <si>
    <t>SONY WAHYU ERLANTO</t>
  </si>
  <si>
    <t>008043</t>
  </si>
  <si>
    <t>ABDUL KARIS</t>
  </si>
  <si>
    <t>008038</t>
  </si>
  <si>
    <t>TKN-43</t>
  </si>
  <si>
    <t>PURWANTO</t>
  </si>
  <si>
    <t>007788</t>
  </si>
  <si>
    <t>ADM-36</t>
  </si>
  <si>
    <t>ROZIKIN</t>
  </si>
  <si>
    <t>007782</t>
  </si>
  <si>
    <t>LEADER FINANCE</t>
  </si>
  <si>
    <t>MIR'ATUL HIDAYAH</t>
  </si>
  <si>
    <t>007780</t>
  </si>
  <si>
    <t>TKN-42</t>
  </si>
  <si>
    <t>JUHADI</t>
  </si>
  <si>
    <t>007558</t>
  </si>
  <si>
    <t>OPT-173</t>
  </si>
  <si>
    <t>NADHIFATUN</t>
  </si>
  <si>
    <t>007498</t>
  </si>
  <si>
    <t>LICENSE</t>
  </si>
  <si>
    <t>ANIK MAWARTI</t>
  </si>
  <si>
    <t>007434</t>
  </si>
  <si>
    <t>TKN-40</t>
  </si>
  <si>
    <t>SISWOYO</t>
  </si>
  <si>
    <t>007260</t>
  </si>
  <si>
    <t>MUNHAMIR</t>
  </si>
  <si>
    <t>007094</t>
  </si>
  <si>
    <t>M.HUSNUL MUBAROK</t>
  </si>
  <si>
    <t>007091</t>
  </si>
  <si>
    <t>TKN-39</t>
  </si>
  <si>
    <t>PAIMIN</t>
  </si>
  <si>
    <t>007079</t>
  </si>
  <si>
    <t>JIG BOARD PREPARATION</t>
  </si>
  <si>
    <t>KAREP AMAD SUBAGIYO</t>
  </si>
  <si>
    <t>007078</t>
  </si>
  <si>
    <t>LL FINAL ASSY PREVENTIVE</t>
  </si>
  <si>
    <t>ARIE CAHYADI</t>
  </si>
  <si>
    <t>007077</t>
  </si>
  <si>
    <t>PREPARATION , PROTO , ALAT UKUR</t>
  </si>
  <si>
    <t>NUR KHOLIS</t>
  </si>
  <si>
    <t>006366</t>
  </si>
  <si>
    <t>DURORUL ALIYAH</t>
  </si>
  <si>
    <t>010082</t>
  </si>
  <si>
    <t>010005</t>
  </si>
  <si>
    <t>SITI JAMILATUL ARISAH</t>
  </si>
  <si>
    <t>009863</t>
  </si>
  <si>
    <t>SHOLEKHAH</t>
  </si>
  <si>
    <t>006088</t>
  </si>
  <si>
    <t>ADM-33</t>
  </si>
  <si>
    <t>WIWIK UTAMI</t>
  </si>
  <si>
    <t>006201</t>
  </si>
  <si>
    <t>ADM ORDERING</t>
  </si>
  <si>
    <t>SITI SOFIATUN</t>
  </si>
  <si>
    <t>006200</t>
  </si>
  <si>
    <t>RIYANTI</t>
  </si>
  <si>
    <t>006198</t>
  </si>
  <si>
    <t>EKO SUSANTO</t>
  </si>
  <si>
    <t>006196</t>
  </si>
  <si>
    <t>Production Request (PPW)</t>
  </si>
  <si>
    <t>OPT-141</t>
  </si>
  <si>
    <t>SUYONO</t>
  </si>
  <si>
    <t>006193</t>
  </si>
  <si>
    <t>SITI ANNISA</t>
  </si>
  <si>
    <t>006191</t>
  </si>
  <si>
    <t>EKO PUJIANTO</t>
  </si>
  <si>
    <t>006181</t>
  </si>
  <si>
    <t>CUTTING AC90-J03-09, SCH-J03-01, MC2-J03-03</t>
  </si>
  <si>
    <t>EKO HARYANTO</t>
  </si>
  <si>
    <t>006180</t>
  </si>
  <si>
    <t>BUDI SULISTIYO</t>
  </si>
  <si>
    <t>006177</t>
  </si>
  <si>
    <t>SRI MULYANI</t>
  </si>
  <si>
    <t>006165</t>
  </si>
  <si>
    <t>006163</t>
  </si>
  <si>
    <t>SAINUR HAKIM</t>
  </si>
  <si>
    <t>006156</t>
  </si>
  <si>
    <t>YULIANI</t>
  </si>
  <si>
    <t>005843</t>
  </si>
  <si>
    <t>KARTIKA SARI</t>
  </si>
  <si>
    <t>001200</t>
  </si>
  <si>
    <t>006147</t>
  </si>
  <si>
    <t>NAHDLOH</t>
  </si>
  <si>
    <t>006145</t>
  </si>
  <si>
    <t>HINDUN MEILANI</t>
  </si>
  <si>
    <t>006140</t>
  </si>
  <si>
    <t>MARINA</t>
  </si>
  <si>
    <t>000378</t>
  </si>
  <si>
    <t>LINE C S/T</t>
  </si>
  <si>
    <t>CV 24</t>
  </si>
  <si>
    <t>HONDA SOLENOID</t>
  </si>
  <si>
    <t>TITIK ZULIATI</t>
  </si>
  <si>
    <t>011966</t>
  </si>
  <si>
    <t>DWI INDARYANI</t>
  </si>
  <si>
    <t>006131</t>
  </si>
  <si>
    <t>LINE A S/T</t>
  </si>
  <si>
    <t>SANTI ERMAWATI</t>
  </si>
  <si>
    <t>011834</t>
  </si>
  <si>
    <t>SITI NURHIDAYAH</t>
  </si>
  <si>
    <t>011782</t>
  </si>
  <si>
    <t>AFRILIATI</t>
  </si>
  <si>
    <t>006122</t>
  </si>
  <si>
    <t>LEADER CONTROL PREVENTIV PC</t>
  </si>
  <si>
    <t>ADM-32</t>
  </si>
  <si>
    <t>MASBIKHIN</t>
  </si>
  <si>
    <t>006118</t>
  </si>
  <si>
    <t>LL BREAKDOWN</t>
  </si>
  <si>
    <t>TKN-37</t>
  </si>
  <si>
    <t>006116</t>
  </si>
  <si>
    <t>LEADER MACHINE LOADING</t>
  </si>
  <si>
    <t>GEDE WIJI SANTOSO</t>
  </si>
  <si>
    <t>006113</t>
  </si>
  <si>
    <t>ARIFIN</t>
  </si>
  <si>
    <t>006110</t>
  </si>
  <si>
    <t>LINE A VISUAL</t>
  </si>
  <si>
    <t>INDAH CAHYANINGRUM</t>
  </si>
  <si>
    <t>011707</t>
  </si>
  <si>
    <t>WAHYU NINGSIH</t>
  </si>
  <si>
    <t>006106</t>
  </si>
  <si>
    <t>Production Planning Control (PPC) (include Final assy kanban loading)</t>
  </si>
  <si>
    <t>SUTIYANI</t>
  </si>
  <si>
    <t>006099</t>
  </si>
  <si>
    <t>CHECKER 5</t>
  </si>
  <si>
    <t>SUSILOWATI</t>
  </si>
  <si>
    <t>006097</t>
  </si>
  <si>
    <t>SUPRIYONO</t>
  </si>
  <si>
    <t>006096</t>
  </si>
  <si>
    <t>006095</t>
  </si>
  <si>
    <t>NUR HIDAYANTI</t>
  </si>
  <si>
    <t>010409</t>
  </si>
  <si>
    <t>LINE B VISUAL</t>
  </si>
  <si>
    <t>SILMA MULIANA</t>
  </si>
  <si>
    <t>010201</t>
  </si>
  <si>
    <t>RUBIATUN</t>
  </si>
  <si>
    <t>006084</t>
  </si>
  <si>
    <t>GL WHS</t>
  </si>
  <si>
    <t>NUR FATONI</t>
  </si>
  <si>
    <t>006072</t>
  </si>
  <si>
    <t>T/P 5.3</t>
  </si>
  <si>
    <t>MUSYRIFAH</t>
  </si>
  <si>
    <t>006070</t>
  </si>
  <si>
    <t>LEADER MAZDA, SUZUKI, BC, HONDA 2</t>
  </si>
  <si>
    <t>PD 1</t>
  </si>
  <si>
    <t>MUH. SYARIFUDIN</t>
  </si>
  <si>
    <t>006066</t>
  </si>
  <si>
    <t>LEADER HONDA 1</t>
  </si>
  <si>
    <t>MOCH. SARIFUDIN</t>
  </si>
  <si>
    <t>006064</t>
  </si>
  <si>
    <t>BEKTI LARASATI</t>
  </si>
  <si>
    <t>008766</t>
  </si>
  <si>
    <t>ISTINI</t>
  </si>
  <si>
    <t>006058</t>
  </si>
  <si>
    <t>ISATUN</t>
  </si>
  <si>
    <t>006056</t>
  </si>
  <si>
    <t>FACHRURODZI</t>
  </si>
  <si>
    <t>006054</t>
  </si>
  <si>
    <t>DWI RETNOWATI</t>
  </si>
  <si>
    <t>006047</t>
  </si>
  <si>
    <t>BUDI PRIYANTO</t>
  </si>
  <si>
    <t>006038</t>
  </si>
  <si>
    <t>OJT S/A 6.2</t>
  </si>
  <si>
    <t>ASIH SETIYA WATI</t>
  </si>
  <si>
    <t>006036</t>
  </si>
  <si>
    <t>EDITOR (GENBA)</t>
  </si>
  <si>
    <t>ANGGA TIYAS ARYANTO</t>
  </si>
  <si>
    <t>006033</t>
  </si>
  <si>
    <t>ANDUNG SETYO</t>
  </si>
  <si>
    <t>006032</t>
  </si>
  <si>
    <t>001271</t>
  </si>
  <si>
    <t>AGUS VRIYANTO</t>
  </si>
  <si>
    <t>006029</t>
  </si>
  <si>
    <t>ADM ANALISYS</t>
  </si>
  <si>
    <t>ADM-31</t>
  </si>
  <si>
    <t>LINA HANAFIYAH</t>
  </si>
  <si>
    <t>005974</t>
  </si>
  <si>
    <t>TKN-35</t>
  </si>
  <si>
    <t>WAHYU DIONO</t>
  </si>
  <si>
    <t>005972</t>
  </si>
  <si>
    <t>DADANG ARDIANSYAH</t>
  </si>
  <si>
    <t>005967</t>
  </si>
  <si>
    <t>OPT-13</t>
  </si>
  <si>
    <t>IIN YUNANI</t>
  </si>
  <si>
    <t>000480</t>
  </si>
  <si>
    <t>LINE C VISUAL</t>
  </si>
  <si>
    <t>SRI LISTIANI</t>
  </si>
  <si>
    <t>000307</t>
  </si>
  <si>
    <t>KDA-07</t>
  </si>
  <si>
    <t>WAHYUDI</t>
  </si>
  <si>
    <t>009646</t>
  </si>
  <si>
    <t>WAHYU EKAWATI</t>
  </si>
  <si>
    <t>005961</t>
  </si>
  <si>
    <t>005957</t>
  </si>
  <si>
    <t>OPT-15</t>
  </si>
  <si>
    <t>000562</t>
  </si>
  <si>
    <t>000340</t>
  </si>
  <si>
    <t>WIRE LOSS &amp; NW</t>
  </si>
  <si>
    <t>CUTTING PROJECT</t>
  </si>
  <si>
    <t>005738</t>
  </si>
  <si>
    <t>OUTPUT CUTTING</t>
  </si>
  <si>
    <t>TKN-31</t>
  </si>
  <si>
    <t>SUMARTONO</t>
  </si>
  <si>
    <t>005484</t>
  </si>
  <si>
    <t>ROHMAT</t>
  </si>
  <si>
    <t>004851</t>
  </si>
  <si>
    <t>RIRIN HARINI</t>
  </si>
  <si>
    <t>000641</t>
  </si>
  <si>
    <t>OPT-12</t>
  </si>
  <si>
    <t>MISWATI</t>
  </si>
  <si>
    <t>000443</t>
  </si>
  <si>
    <t>CUTTING AC90-HDA-04, 08</t>
  </si>
  <si>
    <t>NUGRAHA</t>
  </si>
  <si>
    <t>005923</t>
  </si>
  <si>
    <t>005915</t>
  </si>
  <si>
    <t>KAMINI</t>
  </si>
  <si>
    <t>005912</t>
  </si>
  <si>
    <t>005906</t>
  </si>
  <si>
    <t>WHS IN</t>
  </si>
  <si>
    <t>Parts warehouse (receiving, handling in warehouse &amp; wire setting to reel)</t>
  </si>
  <si>
    <t>HERU SETIAWAN</t>
  </si>
  <si>
    <t>005905</t>
  </si>
  <si>
    <t>OJT CUTTING AC90-STA-03</t>
  </si>
  <si>
    <t>FITRI NURHIDAYAH</t>
  </si>
  <si>
    <t>012463</t>
  </si>
  <si>
    <t>MASTIK</t>
  </si>
  <si>
    <t>011372</t>
  </si>
  <si>
    <t>ANIK EKA HARYANTI</t>
  </si>
  <si>
    <t>011243</t>
  </si>
  <si>
    <t>OJT INSP CUTTING</t>
  </si>
  <si>
    <t>WATI NURJANAH</t>
  </si>
  <si>
    <t>010870</t>
  </si>
  <si>
    <t>ANIK MARYANI</t>
  </si>
  <si>
    <t>005882</t>
  </si>
  <si>
    <t>OJT CUTTING AC90-STA-06</t>
  </si>
  <si>
    <t>MUASSAMAH</t>
  </si>
  <si>
    <t>010512</t>
  </si>
  <si>
    <t>ACHMAD HANAFI</t>
  </si>
  <si>
    <t>009574</t>
  </si>
  <si>
    <t>MEI DWI ASTUTI</t>
  </si>
  <si>
    <t>009450</t>
  </si>
  <si>
    <t>GL RECEIVING</t>
  </si>
  <si>
    <t>SUWARNO</t>
  </si>
  <si>
    <t>005828</t>
  </si>
  <si>
    <t>SUSANTO</t>
  </si>
  <si>
    <t>005825</t>
  </si>
  <si>
    <t>OJT CUTTING AC90-STA-05</t>
  </si>
  <si>
    <t>FITRI FATIKAH</t>
  </si>
  <si>
    <t>008683</t>
  </si>
  <si>
    <t>SRI WAHYUNI</t>
  </si>
  <si>
    <t>005819</t>
  </si>
  <si>
    <t>MINTARSIH</t>
  </si>
  <si>
    <t>005786</t>
  </si>
  <si>
    <t>OJT INSP PRE ASSY</t>
  </si>
  <si>
    <t>FITRIA</t>
  </si>
  <si>
    <t>001144</t>
  </si>
  <si>
    <t>RINI ROHKAYATI</t>
  </si>
  <si>
    <t>005803</t>
  </si>
  <si>
    <t>RINA WAHYU WIJAYANTI</t>
  </si>
  <si>
    <t>005802</t>
  </si>
  <si>
    <t>OJT BONDER</t>
  </si>
  <si>
    <t>YULI EKAWATI</t>
  </si>
  <si>
    <t>000498</t>
  </si>
  <si>
    <t>RETNOWATI NAWANGSIH</t>
  </si>
  <si>
    <t>005799</t>
  </si>
  <si>
    <t>CUTTING AC90-T-07</t>
  </si>
  <si>
    <t>PURWANTI</t>
  </si>
  <si>
    <t>005797</t>
  </si>
  <si>
    <t>MURNIASIH</t>
  </si>
  <si>
    <t>000315</t>
  </si>
  <si>
    <t>NURUL KHOIRIYAH</t>
  </si>
  <si>
    <t>005794</t>
  </si>
  <si>
    <t>SOLIKAH</t>
  </si>
  <si>
    <t>B00643</t>
  </si>
  <si>
    <t>NOVITA</t>
  </si>
  <si>
    <t>005789</t>
  </si>
  <si>
    <t>GCA-T-01</t>
  </si>
  <si>
    <t>SITI NUR KHOLIJAH</t>
  </si>
  <si>
    <t>021905</t>
  </si>
  <si>
    <t>S/T 3</t>
  </si>
  <si>
    <t>MARIYATUN</t>
  </si>
  <si>
    <t>005783</t>
  </si>
  <si>
    <t>KRISWANTI</t>
  </si>
  <si>
    <t>005780</t>
  </si>
  <si>
    <t>DWI ARIYANTI</t>
  </si>
  <si>
    <t>012641</t>
  </si>
  <si>
    <t>HANY RAHAYU</t>
  </si>
  <si>
    <t>005772</t>
  </si>
  <si>
    <t>UST-T-04, 05</t>
  </si>
  <si>
    <t>FAILUL HIDAYAH</t>
  </si>
  <si>
    <t>011990</t>
  </si>
  <si>
    <t>ERNAWATI</t>
  </si>
  <si>
    <t>005767</t>
  </si>
  <si>
    <t>CUTTING AC90-MZD-07</t>
  </si>
  <si>
    <t>ENDANG SAYEKTI</t>
  </si>
  <si>
    <t>005764</t>
  </si>
  <si>
    <t>DWI YANTINI</t>
  </si>
  <si>
    <t>005762</t>
  </si>
  <si>
    <t>ERI DEVIA PRIHATININGRUM</t>
  </si>
  <si>
    <t>011549</t>
  </si>
  <si>
    <t>INSPECTION BOARD FABRICATION</t>
  </si>
  <si>
    <t>ABIL HUDA</t>
  </si>
  <si>
    <t>005754</t>
  </si>
  <si>
    <t>YULI SETIAWATI</t>
  </si>
  <si>
    <t>005751</t>
  </si>
  <si>
    <t>WARSIATMI</t>
  </si>
  <si>
    <t>005749</t>
  </si>
  <si>
    <t>WAHYU SUDRAJAT</t>
  </si>
  <si>
    <t>005748</t>
  </si>
  <si>
    <t>WAHYU ANGGRAINI S.</t>
  </si>
  <si>
    <t>005747</t>
  </si>
  <si>
    <t>NOVIANA ISFRIYANTI</t>
  </si>
  <si>
    <t>011345</t>
  </si>
  <si>
    <t>SUTIYONO</t>
  </si>
  <si>
    <t>005743</t>
  </si>
  <si>
    <t>005742</t>
  </si>
  <si>
    <t>SITI NURHIDAYATI EVY ANISA</t>
  </si>
  <si>
    <t>011026</t>
  </si>
  <si>
    <t>HIMMATUL AZIZAH</t>
  </si>
  <si>
    <t>010181</t>
  </si>
  <si>
    <t>CUTTING AC90-T-10</t>
  </si>
  <si>
    <t>HENNI SULISTYOWATI</t>
  </si>
  <si>
    <t>010090</t>
  </si>
  <si>
    <t>OPT-164</t>
  </si>
  <si>
    <t>MASHADIAH</t>
  </si>
  <si>
    <t>009825</t>
  </si>
  <si>
    <t>PENI LUSIANA</t>
  </si>
  <si>
    <t>005724</t>
  </si>
  <si>
    <t>OPT-36</t>
  </si>
  <si>
    <t>NUR BAETI</t>
  </si>
  <si>
    <t>001455</t>
  </si>
  <si>
    <t>DEWI SETYANINGSIH</t>
  </si>
  <si>
    <t>000165</t>
  </si>
  <si>
    <t>INNAYATUS SHOLIKHAH</t>
  </si>
  <si>
    <t>005706</t>
  </si>
  <si>
    <t>BM3-SZK-01, 02</t>
  </si>
  <si>
    <t>MURTI ARUM MAWARNI</t>
  </si>
  <si>
    <t>B00591</t>
  </si>
  <si>
    <t>GIYATNO</t>
  </si>
  <si>
    <t>005703</t>
  </si>
  <si>
    <t>FURSIAM</t>
  </si>
  <si>
    <t>005702</t>
  </si>
  <si>
    <t>012714</t>
  </si>
  <si>
    <t>WINARTI</t>
  </si>
  <si>
    <t>012571</t>
  </si>
  <si>
    <t>CUTTING AC90-SZK-03</t>
  </si>
  <si>
    <t>NURUL ARIFAH APRILIYANI</t>
  </si>
  <si>
    <t>011825</t>
  </si>
  <si>
    <t>CUTTING AC81-H-04</t>
  </si>
  <si>
    <t>DWI APRILANI</t>
  </si>
  <si>
    <t>005695</t>
  </si>
  <si>
    <t>DEWI MURWANTI</t>
  </si>
  <si>
    <t>005694</t>
  </si>
  <si>
    <t>LL WORKSHOP</t>
  </si>
  <si>
    <t>BUDI PURNOMO</t>
  </si>
  <si>
    <t>005692</t>
  </si>
  <si>
    <t>CUTTING AC90-SZK-05</t>
  </si>
  <si>
    <t>KHONITA FAUZIYAH</t>
  </si>
  <si>
    <t>010096</t>
  </si>
  <si>
    <t>T/P 1.2</t>
  </si>
  <si>
    <t>ANIK SAFAATI</t>
  </si>
  <si>
    <t>005688</t>
  </si>
  <si>
    <t>SUPERVISOR (MAGANG)</t>
  </si>
  <si>
    <t>ABDUL AZIS ALHUDHA</t>
  </si>
  <si>
    <t>005684</t>
  </si>
  <si>
    <t>ABAL MUGHOFAR</t>
  </si>
  <si>
    <t>005683</t>
  </si>
  <si>
    <t>SULIS HARIYANTO</t>
  </si>
  <si>
    <t>005561</t>
  </si>
  <si>
    <t>LL NAVIGATION AND INSPECTION BOARD PREPARATION</t>
  </si>
  <si>
    <t>TKN-33</t>
  </si>
  <si>
    <t>MUHAMMAD ARIFIN</t>
  </si>
  <si>
    <t>005559</t>
  </si>
  <si>
    <t>MATIYAS NURUL FAJAR</t>
  </si>
  <si>
    <t>005558</t>
  </si>
  <si>
    <t>LL JIG BOARD PREPARATION</t>
  </si>
  <si>
    <t>GIYARNA</t>
  </si>
  <si>
    <t>005557</t>
  </si>
  <si>
    <t>DEDDY YUDHA KUSUMA</t>
  </si>
  <si>
    <t>005556</t>
  </si>
  <si>
    <t>ARIF PRAMONO</t>
  </si>
  <si>
    <t>005555</t>
  </si>
  <si>
    <t>ADM-30</t>
  </si>
  <si>
    <t>HENY YULIASTUTI</t>
  </si>
  <si>
    <t>005553</t>
  </si>
  <si>
    <t>ISTIANI AGUSTINA</t>
  </si>
  <si>
    <t>009074</t>
  </si>
  <si>
    <t>SRI WINARNI</t>
  </si>
  <si>
    <t>005549</t>
  </si>
  <si>
    <t>MUNASIYAH</t>
  </si>
  <si>
    <t>008885</t>
  </si>
  <si>
    <t>SETYARINI</t>
  </si>
  <si>
    <t>008859</t>
  </si>
  <si>
    <t>M.LUKMAN HAKIM</t>
  </si>
  <si>
    <t>005545</t>
  </si>
  <si>
    <t>OPT-111</t>
  </si>
  <si>
    <t>004530</t>
  </si>
  <si>
    <t>GL IMPROVEMENT &amp; LAYOUT</t>
  </si>
  <si>
    <t>AHMAD ISNAPUN</t>
  </si>
  <si>
    <t>005538</t>
  </si>
  <si>
    <t>AGUS SANTOSO</t>
  </si>
  <si>
    <t>005537</t>
  </si>
  <si>
    <t>AM</t>
  </si>
  <si>
    <t>PUPUT ANDRIYANTO</t>
  </si>
  <si>
    <t>005535</t>
  </si>
  <si>
    <t>TKN-3</t>
  </si>
  <si>
    <t>000786</t>
  </si>
  <si>
    <t>ADMIN PURCHASING</t>
  </si>
  <si>
    <t>ADM-29</t>
  </si>
  <si>
    <t>NUNIK MANDARWATI</t>
  </si>
  <si>
    <t>005528</t>
  </si>
  <si>
    <t>AMALIA ULFA</t>
  </si>
  <si>
    <t>005527</t>
  </si>
  <si>
    <t>WIWIK FIKANIATI</t>
  </si>
  <si>
    <t>005522</t>
  </si>
  <si>
    <t>TRI MEI WULANDARI</t>
  </si>
  <si>
    <t>005518</t>
  </si>
  <si>
    <t>QA LEADER</t>
  </si>
  <si>
    <t>QA ADM</t>
  </si>
  <si>
    <t>005510</t>
  </si>
  <si>
    <t>ROFI'AH</t>
  </si>
  <si>
    <t>005506</t>
  </si>
  <si>
    <t>RIKA HANDAYANI</t>
  </si>
  <si>
    <t>000067</t>
  </si>
  <si>
    <t>HEQMATUL KASANAH</t>
  </si>
  <si>
    <t>B00672</t>
  </si>
  <si>
    <t>SITI AISYAH</t>
  </si>
  <si>
    <t>011610</t>
  </si>
  <si>
    <t>AMANTO FERI PURNOMO</t>
  </si>
  <si>
    <t>005483</t>
  </si>
  <si>
    <t>TOYI'IN</t>
  </si>
  <si>
    <t>005480</t>
  </si>
  <si>
    <t>NOVI KARTIKA SETYANINGRUM</t>
  </si>
  <si>
    <t>011268</t>
  </si>
  <si>
    <t>005477</t>
  </si>
  <si>
    <t>ERMA LATIFAH</t>
  </si>
  <si>
    <t>005475</t>
  </si>
  <si>
    <t>LL STOCK CONTROL</t>
  </si>
  <si>
    <t>DENDI CAHYONO</t>
  </si>
  <si>
    <t>005474</t>
  </si>
  <si>
    <t>ANNA FAIZAH</t>
  </si>
  <si>
    <t>RISA PUJIANTI</t>
  </si>
  <si>
    <t>009319</t>
  </si>
  <si>
    <t>WAHYU NUR DIYANINGSIH</t>
  </si>
  <si>
    <t>005467</t>
  </si>
  <si>
    <t>TITIK WAHYUNI</t>
  </si>
  <si>
    <t>005465</t>
  </si>
  <si>
    <t>OPT-198</t>
  </si>
  <si>
    <t>WITJAYANTI</t>
  </si>
  <si>
    <t>008941</t>
  </si>
  <si>
    <t>CUTTING AC90-J03-09, SCH</t>
  </si>
  <si>
    <t>AHMAD MAHFUDLON</t>
  </si>
  <si>
    <t>006030</t>
  </si>
  <si>
    <t>SURIATI</t>
  </si>
  <si>
    <t>005460</t>
  </si>
  <si>
    <t>005459</t>
  </si>
  <si>
    <t>KHUTMAWATI</t>
  </si>
  <si>
    <t>005710</t>
  </si>
  <si>
    <t>BM2-J03-02, 04, 05</t>
  </si>
  <si>
    <t>SURYA HINDRIYANI</t>
  </si>
  <si>
    <t>005479</t>
  </si>
  <si>
    <t>005441</t>
  </si>
  <si>
    <t>SPV DYNA, HV, HONDA 3</t>
  </si>
  <si>
    <t>RINY CUSYANINGSIH</t>
  </si>
  <si>
    <t>005439</t>
  </si>
  <si>
    <t>PUJIATI</t>
  </si>
  <si>
    <t>005435</t>
  </si>
  <si>
    <t>OPT-37</t>
  </si>
  <si>
    <t>APRILIA SULISTIYOWATI</t>
  </si>
  <si>
    <t>001498</t>
  </si>
  <si>
    <t>CUTTING AC90-J03-04</t>
  </si>
  <si>
    <t>AULIYA RAHMAN</t>
  </si>
  <si>
    <t>001205</t>
  </si>
  <si>
    <t>MOCHAMAT SOBIRIN</t>
  </si>
  <si>
    <t>005431</t>
  </si>
  <si>
    <t>MAS ENDI</t>
  </si>
  <si>
    <t>005430</t>
  </si>
  <si>
    <t>BM1-J03-01, BM3-J03-01, BM2-J03-06</t>
  </si>
  <si>
    <t>MUDJI TRININGSIH</t>
  </si>
  <si>
    <t>001107</t>
  </si>
  <si>
    <t>JULIATI</t>
  </si>
  <si>
    <t>005425</t>
  </si>
  <si>
    <t>OPT-20</t>
  </si>
  <si>
    <t>TRI ROCHANIYATI</t>
  </si>
  <si>
    <t>000756</t>
  </si>
  <si>
    <t>OPT-17</t>
  </si>
  <si>
    <t>FAJARINI DWI WAHYUNI</t>
  </si>
  <si>
    <t>000649</t>
  </si>
  <si>
    <t>BBF-036</t>
  </si>
  <si>
    <t>SUNARTI</t>
  </si>
  <si>
    <t>B01276</t>
  </si>
  <si>
    <t>DWI YULIYATI</t>
  </si>
  <si>
    <t>005403</t>
  </si>
  <si>
    <t>LISA DEWI AMINATI</t>
  </si>
  <si>
    <t>B00962</t>
  </si>
  <si>
    <t>BEKTI UTAMI</t>
  </si>
  <si>
    <t>005400</t>
  </si>
  <si>
    <t>ANI ROHMANIYAH</t>
  </si>
  <si>
    <t>010541</t>
  </si>
  <si>
    <t>TRI RAHAYU</t>
  </si>
  <si>
    <t>005275</t>
  </si>
  <si>
    <t>GL PPAP</t>
  </si>
  <si>
    <t>SITI ASROFAH</t>
  </si>
  <si>
    <t>005269</t>
  </si>
  <si>
    <t>BM1-MZD-01</t>
  </si>
  <si>
    <t>NAJIKHATUL MU'ALIFAH</t>
  </si>
  <si>
    <t>010513</t>
  </si>
  <si>
    <t>MUKHAYATI</t>
  </si>
  <si>
    <t>005256</t>
  </si>
  <si>
    <t>NANING HASANAH</t>
  </si>
  <si>
    <t>009615</t>
  </si>
  <si>
    <t>CUTTING AC81-MZD-04</t>
  </si>
  <si>
    <t>NUR TIAS MAHARDIKA</t>
  </si>
  <si>
    <t>008845</t>
  </si>
  <si>
    <t>IDENTITAS</t>
  </si>
  <si>
    <t>ZUSTINA</t>
  </si>
  <si>
    <t>005252</t>
  </si>
  <si>
    <t>SITI NADHIYAH</t>
  </si>
  <si>
    <t>005444</t>
  </si>
  <si>
    <t>CUTTING AC90-MZD-02</t>
  </si>
  <si>
    <t>DWI INDARWATI</t>
  </si>
  <si>
    <t>005245</t>
  </si>
  <si>
    <t>SUS MULYANI</t>
  </si>
  <si>
    <t>005233</t>
  </si>
  <si>
    <t>BM4-MZD-02</t>
  </si>
  <si>
    <t>YULI SETYONINGSIH</t>
  </si>
  <si>
    <t>001074</t>
  </si>
  <si>
    <t>IKA YULIANI</t>
  </si>
  <si>
    <t>005230</t>
  </si>
  <si>
    <t>DINA MARYANI</t>
  </si>
  <si>
    <t>005227</t>
  </si>
  <si>
    <t>TKN-27</t>
  </si>
  <si>
    <t>SUPRAYOGI</t>
  </si>
  <si>
    <t>005226</t>
  </si>
  <si>
    <t>MUGO SIHONO</t>
  </si>
  <si>
    <t>005222</t>
  </si>
  <si>
    <t>PREPARATION CT &amp; MODIF APPL</t>
  </si>
  <si>
    <t>PURWANTORO</t>
  </si>
  <si>
    <t>005220</t>
  </si>
  <si>
    <t>COORD. SUPERVISOR</t>
  </si>
  <si>
    <t>004960</t>
  </si>
  <si>
    <t>SUPPORT CV HV 04A</t>
  </si>
  <si>
    <t>NUR ASIYAH</t>
  </si>
  <si>
    <t>004857</t>
  </si>
  <si>
    <t>SETYORINI</t>
  </si>
  <si>
    <t>000630</t>
  </si>
  <si>
    <t>OPT-2</t>
  </si>
  <si>
    <t>DWI WIDIYANA</t>
  </si>
  <si>
    <t>000082</t>
  </si>
  <si>
    <t>YENY FADILAH</t>
  </si>
  <si>
    <t>004849</t>
  </si>
  <si>
    <t>CUTTING AC90-MZD-08</t>
  </si>
  <si>
    <t>BBF-047</t>
  </si>
  <si>
    <t>UMI ATIKA</t>
  </si>
  <si>
    <t>B01433</t>
  </si>
  <si>
    <t>DEDEK KUSMANA</t>
  </si>
  <si>
    <t>004657</t>
  </si>
  <si>
    <t>FINISHING &amp; GROMMET INJECTION</t>
  </si>
  <si>
    <t>EXPANDER GROMMET</t>
  </si>
  <si>
    <t>OPT-115</t>
  </si>
  <si>
    <t>BUDI HARTONO</t>
  </si>
  <si>
    <t>004655</t>
  </si>
  <si>
    <t>EKA SULISTIYANI</t>
  </si>
  <si>
    <t>004653</t>
  </si>
  <si>
    <t>SRI SULASMI</t>
  </si>
  <si>
    <t>004651</t>
  </si>
  <si>
    <t>CUTTING AC90-MZD-03, 04</t>
  </si>
  <si>
    <t>B00153</t>
  </si>
  <si>
    <t>CUTTING AC90-MZD-05</t>
  </si>
  <si>
    <t>MUALIFAH</t>
  </si>
  <si>
    <t>011942</t>
  </si>
  <si>
    <t>YUDA ROHMAULLAH</t>
  </si>
  <si>
    <t>009693</t>
  </si>
  <si>
    <t>KHUSWATUN KHASANAH</t>
  </si>
  <si>
    <t>001106</t>
  </si>
  <si>
    <t>JR. MGR</t>
  </si>
  <si>
    <t>JUNIOR MANAGER QA</t>
  </si>
  <si>
    <t>AGUS NUGROHO</t>
  </si>
  <si>
    <t>004488</t>
  </si>
  <si>
    <t>BM2-MZD-01, BM4-MZD-01, JM2-MZD-01, JM2-MZD-02, JM3-MZD-01</t>
  </si>
  <si>
    <t>ENDANG DEWI MURNI</t>
  </si>
  <si>
    <t>001044</t>
  </si>
  <si>
    <t>KUS HERYYONO</t>
  </si>
  <si>
    <t>004356</t>
  </si>
  <si>
    <t>TKN-21</t>
  </si>
  <si>
    <t>YUDHISTIRA SETYABUDI</t>
  </si>
  <si>
    <t>004041</t>
  </si>
  <si>
    <t>CUTTING AC90-HDS-02</t>
  </si>
  <si>
    <t>CPA HONDA SOLENOID</t>
  </si>
  <si>
    <t>FITA RATNAWATI</t>
  </si>
  <si>
    <t>012460</t>
  </si>
  <si>
    <t>MC2-HDS-01, 03 &amp; UST</t>
  </si>
  <si>
    <t>ULYATI</t>
  </si>
  <si>
    <t>010909</t>
  </si>
  <si>
    <t>ENY KUMAESAROCH</t>
  </si>
  <si>
    <t>008682</t>
  </si>
  <si>
    <t>SRI RETNO ISTIYANI</t>
  </si>
  <si>
    <t>003725</t>
  </si>
  <si>
    <t>NURUL KHASANAH</t>
  </si>
  <si>
    <t>003723</t>
  </si>
  <si>
    <t>MUHAMMAD FATKUL</t>
  </si>
  <si>
    <t>003718</t>
  </si>
  <si>
    <t>HONDA HV, NISSAN HV, TOYOTA HV, BATTERY CABLE  &amp; All Tensile and Cross Section &amp; QAV 1</t>
  </si>
  <si>
    <t>HENDRIA AYUNITA SAPUTRA</t>
  </si>
  <si>
    <t>003644</t>
  </si>
  <si>
    <t>ASS. MANAGER PP (MAGANG)</t>
  </si>
  <si>
    <t>AGUS NANANG SETYAWAN</t>
  </si>
  <si>
    <t>003640</t>
  </si>
  <si>
    <t>SPV HONDA 1 &amp; 2, MAZDA, SUZUKI, BC</t>
  </si>
  <si>
    <t>HARI SASONGKO</t>
  </si>
  <si>
    <t>003102</t>
  </si>
  <si>
    <t>SUPERVISOR PED</t>
  </si>
  <si>
    <t>NUNING DIAN PERTIWI</t>
  </si>
  <si>
    <t>002412</t>
  </si>
  <si>
    <t>COORD. SUPERVISOR (MAGANG)</t>
  </si>
  <si>
    <t>PREPARATION</t>
  </si>
  <si>
    <t>BONIR ARIO TUBAGUS</t>
  </si>
  <si>
    <t>002409</t>
  </si>
  <si>
    <t>FITRIA ENDAH PRATIWI</t>
  </si>
  <si>
    <t>002227</t>
  </si>
  <si>
    <t>SUPERVISOR IT</t>
  </si>
  <si>
    <t>AGUS FREDDY KURNIAWAN</t>
  </si>
  <si>
    <t>001908</t>
  </si>
  <si>
    <t>COORD. SPV PRODUKSI</t>
  </si>
  <si>
    <t>JOKO PURWANTO</t>
  </si>
  <si>
    <t>001655</t>
  </si>
  <si>
    <t>CUTTING AC90-HDS-01 + IG</t>
  </si>
  <si>
    <t>DIAN ANGGRAENI</t>
  </si>
  <si>
    <t>006129</t>
  </si>
  <si>
    <t>IDA ASTUTIK</t>
  </si>
  <si>
    <t>000328</t>
  </si>
  <si>
    <t>BBF-113</t>
  </si>
  <si>
    <t>ENI MARLINA</t>
  </si>
  <si>
    <t>B02497</t>
  </si>
  <si>
    <t>LL IMPROVEMENT AND LAYOUT</t>
  </si>
  <si>
    <t>TKN-7</t>
  </si>
  <si>
    <t>PEBRIYANTO</t>
  </si>
  <si>
    <t>001447</t>
  </si>
  <si>
    <t>OPT-35</t>
  </si>
  <si>
    <t>NINA SULISTYA</t>
  </si>
  <si>
    <t>001436</t>
  </si>
  <si>
    <t>CUTTING AC90-J03-01</t>
  </si>
  <si>
    <t>ENDANG KUSFIATI</t>
  </si>
  <si>
    <t>001315</t>
  </si>
  <si>
    <t>CUTTING AC90-3MO-06</t>
  </si>
  <si>
    <t>DARYATI</t>
  </si>
  <si>
    <t>001314</t>
  </si>
  <si>
    <t>OPT-513</t>
  </si>
  <si>
    <t>IDA FARIKHAH</t>
  </si>
  <si>
    <t>020977</t>
  </si>
  <si>
    <t>RAKHMA ROSITA INDAH</t>
  </si>
  <si>
    <t>001306</t>
  </si>
  <si>
    <t>MUSAROFAH</t>
  </si>
  <si>
    <t>001305</t>
  </si>
  <si>
    <t>PEOPLE DEVELOPMENT</t>
  </si>
  <si>
    <t>CATUR KUMALA DEWI</t>
  </si>
  <si>
    <t>001301</t>
  </si>
  <si>
    <t>OJT INSP 1</t>
  </si>
  <si>
    <t>SITI TRISNAWATI</t>
  </si>
  <si>
    <t>001286</t>
  </si>
  <si>
    <t>RINI LISTIANINGSIH</t>
  </si>
  <si>
    <t>001284</t>
  </si>
  <si>
    <t>SITI KHADARIYAH</t>
  </si>
  <si>
    <t>012743</t>
  </si>
  <si>
    <t>CUTTING AC90-3MO-03</t>
  </si>
  <si>
    <t>LIYA SETIYANINGSIH</t>
  </si>
  <si>
    <t>011820</t>
  </si>
  <si>
    <t>YETTI APRILLIANINGSIH</t>
  </si>
  <si>
    <t>011645</t>
  </si>
  <si>
    <t>WIWIN INDRIYANI</t>
  </si>
  <si>
    <t>001269</t>
  </si>
  <si>
    <t>ANA RAHAYU</t>
  </si>
  <si>
    <t>010540</t>
  </si>
  <si>
    <t>FANY LISTRI ANY</t>
  </si>
  <si>
    <t>010502</t>
  </si>
  <si>
    <t>BETI WIDIYASTUTI</t>
  </si>
  <si>
    <t>010496</t>
  </si>
  <si>
    <t>SUMIATUN</t>
  </si>
  <si>
    <t>008957</t>
  </si>
  <si>
    <t>SETIANI</t>
  </si>
  <si>
    <t>001259</t>
  </si>
  <si>
    <t>MUAYANAH</t>
  </si>
  <si>
    <t>001251</t>
  </si>
  <si>
    <t>VISUAL 151, 152</t>
  </si>
  <si>
    <t>OPT-30</t>
  </si>
  <si>
    <t>NOVITA FAJAR SAPUTRI</t>
  </si>
  <si>
    <t>001236</t>
  </si>
  <si>
    <t>SULIYANINGSIH</t>
  </si>
  <si>
    <t>001229</t>
  </si>
  <si>
    <t>OJT INSP 4</t>
  </si>
  <si>
    <t>NADIATUS SOLIKHAH</t>
  </si>
  <si>
    <t>001226</t>
  </si>
  <si>
    <t>SURYANI</t>
  </si>
  <si>
    <t>001220</t>
  </si>
  <si>
    <t>001206</t>
  </si>
  <si>
    <t>SITI ROKHANA</t>
  </si>
  <si>
    <t>008939</t>
  </si>
  <si>
    <t>GL JIG BOARD PREPARATION</t>
  </si>
  <si>
    <t>TKN-5</t>
  </si>
  <si>
    <t>JEHEZKIEL KURNIAWAN</t>
  </si>
  <si>
    <t>001204</t>
  </si>
  <si>
    <t>CS &amp; BS + IPS</t>
  </si>
  <si>
    <t>EKO RIYANTO</t>
  </si>
  <si>
    <t>001203</t>
  </si>
  <si>
    <t>LULUK ATUL FATKHIYYAH</t>
  </si>
  <si>
    <t>008834</t>
  </si>
  <si>
    <t>EXI MULYATI</t>
  </si>
  <si>
    <t>001193</t>
  </si>
  <si>
    <t>VERAWATI</t>
  </si>
  <si>
    <t>001192</t>
  </si>
  <si>
    <t>CUTTING AC90-3MO-02</t>
  </si>
  <si>
    <t>ISTIHANAH</t>
  </si>
  <si>
    <t>006364</t>
  </si>
  <si>
    <t>WIJI LESTARI</t>
  </si>
  <si>
    <t>005963</t>
  </si>
  <si>
    <t>TRI PALUPI HANDAYANI</t>
  </si>
  <si>
    <t>001171</t>
  </si>
  <si>
    <t>CUTTING AC90-3MO-07, AC81-3MO-01</t>
  </si>
  <si>
    <t>TRI SUNARTI</t>
  </si>
  <si>
    <t>005835</t>
  </si>
  <si>
    <t>EVIN MEI SETA</t>
  </si>
  <si>
    <t>001168</t>
  </si>
  <si>
    <t>FAJAR ADIDEWA</t>
  </si>
  <si>
    <t>001160</t>
  </si>
  <si>
    <t>DARMUJI</t>
  </si>
  <si>
    <t>001158</t>
  </si>
  <si>
    <t>AFIK MUFARIDHO</t>
  </si>
  <si>
    <t>001154</t>
  </si>
  <si>
    <t>SRI REJEKI</t>
  </si>
  <si>
    <t>001153</t>
  </si>
  <si>
    <t>NUR WAHID</t>
  </si>
  <si>
    <t>005791</t>
  </si>
  <si>
    <t>DWI FAJAR RIYANTI</t>
  </si>
  <si>
    <t>005493</t>
  </si>
  <si>
    <t>ENDANG SARWITRI</t>
  </si>
  <si>
    <t>001143</t>
  </si>
  <si>
    <t>DIAN INDRIANA</t>
  </si>
  <si>
    <t>001141</t>
  </si>
  <si>
    <t>SITI MONDOLIFAH</t>
  </si>
  <si>
    <t>005443</t>
  </si>
  <si>
    <t>CHUSNUL CHOTIMAH</t>
  </si>
  <si>
    <t>001275</t>
  </si>
  <si>
    <t>NURUL SYAMSIYAH HANDAYANI</t>
  </si>
  <si>
    <t>001137</t>
  </si>
  <si>
    <t>ISTI HANDAYANI</t>
  </si>
  <si>
    <t>001133</t>
  </si>
  <si>
    <t>DWI FAJAR RINI</t>
  </si>
  <si>
    <t>000365</t>
  </si>
  <si>
    <t>001126</t>
  </si>
  <si>
    <t>RITA UTAMI</t>
  </si>
  <si>
    <t>001123</t>
  </si>
  <si>
    <t>ADM-8</t>
  </si>
  <si>
    <t>JOKO PAMUNGKAS S.N</t>
  </si>
  <si>
    <t>001113</t>
  </si>
  <si>
    <t>NURHIDAYAT</t>
  </si>
  <si>
    <t>001111</t>
  </si>
  <si>
    <t>DIAN PUSPITASARI</t>
  </si>
  <si>
    <t>001109</t>
  </si>
  <si>
    <t>ENI PUJI ASTUTI</t>
  </si>
  <si>
    <t>000055</t>
  </si>
  <si>
    <t>OPT-356</t>
  </si>
  <si>
    <t>MAHFIROH</t>
  </si>
  <si>
    <t>013871</t>
  </si>
  <si>
    <t>INTERMEDIATE 2</t>
  </si>
  <si>
    <t>FATIKHATUL AINI</t>
  </si>
  <si>
    <t>012274</t>
  </si>
  <si>
    <t>KHODIJAH</t>
  </si>
  <si>
    <t>001104</t>
  </si>
  <si>
    <t>AMBAR LIR TIMAS</t>
  </si>
  <si>
    <t>001099</t>
  </si>
  <si>
    <t>INTERMEDIATE 1</t>
  </si>
  <si>
    <t>ANIS KHOIDAH</t>
  </si>
  <si>
    <t>011656</t>
  </si>
  <si>
    <t>INTERMEDIATE 3</t>
  </si>
  <si>
    <t>RISTANTI</t>
  </si>
  <si>
    <t>009320</t>
  </si>
  <si>
    <t>PURINAWATI</t>
  </si>
  <si>
    <t>005933</t>
  </si>
  <si>
    <t>US-T-04, 05</t>
  </si>
  <si>
    <t>NUR KHOTIMAH</t>
  </si>
  <si>
    <t>001090</t>
  </si>
  <si>
    <t>DWI ASIHANTI</t>
  </si>
  <si>
    <t>001088</t>
  </si>
  <si>
    <t>CUTTING AC90-HDA-30</t>
  </si>
  <si>
    <t>EKA SEFIANI</t>
  </si>
  <si>
    <t>001086</t>
  </si>
  <si>
    <t>EMA FITRIANI</t>
  </si>
  <si>
    <t>001083</t>
  </si>
  <si>
    <t>ETIK APRIYANTI</t>
  </si>
  <si>
    <t>000614</t>
  </si>
  <si>
    <t>JUMIATI</t>
  </si>
  <si>
    <t>001079</t>
  </si>
  <si>
    <t>ISMIATININGSIH</t>
  </si>
  <si>
    <t>001076</t>
  </si>
  <si>
    <t>BM3-HDA-01</t>
  </si>
  <si>
    <t>MILA AYU KORITA PUTRI</t>
  </si>
  <si>
    <t>B00684</t>
  </si>
  <si>
    <t>SEPTIAN ANDRIANTO</t>
  </si>
  <si>
    <t>001064</t>
  </si>
  <si>
    <t>NUR KOSIM</t>
  </si>
  <si>
    <t>001060</t>
  </si>
  <si>
    <t>CUTTING AC90-HDA-13</t>
  </si>
  <si>
    <t>SIGIT WIJANARKO</t>
  </si>
  <si>
    <t>001058</t>
  </si>
  <si>
    <t>SRI SUDARYANI</t>
  </si>
  <si>
    <t>001054</t>
  </si>
  <si>
    <t>NIDYAH ARI TRIANINGRUM</t>
  </si>
  <si>
    <t>001049</t>
  </si>
  <si>
    <t>ENI DWI PURYANTI</t>
  </si>
  <si>
    <t>001045</t>
  </si>
  <si>
    <t>IRMA LATIFAH</t>
  </si>
  <si>
    <t>024795</t>
  </si>
  <si>
    <t>ELMA MEILANY</t>
  </si>
  <si>
    <t>020577</t>
  </si>
  <si>
    <t>SITI KHALIMATUS SADIYAH</t>
  </si>
  <si>
    <t>012934</t>
  </si>
  <si>
    <t>WIWIN OKTAVIARY</t>
  </si>
  <si>
    <t>001021</t>
  </si>
  <si>
    <t>TKN-4</t>
  </si>
  <si>
    <t>ADI SUCIPTO</t>
  </si>
  <si>
    <t>001016</t>
  </si>
  <si>
    <t>ASS. MANAGER MTC</t>
  </si>
  <si>
    <t>EKO ARIF SUSIANTO</t>
  </si>
  <si>
    <t>001014</t>
  </si>
  <si>
    <t>LEADER MTC BREAKDOWN</t>
  </si>
  <si>
    <t>ZAENAL ARIFIN</t>
  </si>
  <si>
    <t>001013</t>
  </si>
  <si>
    <t>MUH. ABDUL M.</t>
  </si>
  <si>
    <t>001012</t>
  </si>
  <si>
    <t>LEADER ACCOUNTING ( COST ACCOUNTING )</t>
  </si>
  <si>
    <t>ADM-7</t>
  </si>
  <si>
    <t>YULI SUPRIYATININGSIH</t>
  </si>
  <si>
    <t>001011</t>
  </si>
  <si>
    <t>COORD. SUPERVISOR ACCOUNTING (MAGANG)</t>
  </si>
  <si>
    <t>MEI RUBIRITANTI</t>
  </si>
  <si>
    <t>001009</t>
  </si>
  <si>
    <t>OPT-25</t>
  </si>
  <si>
    <t>PUDJI UTAMI</t>
  </si>
  <si>
    <t>001007</t>
  </si>
  <si>
    <t>ISTIKOMSATUN</t>
  </si>
  <si>
    <t>001004</t>
  </si>
  <si>
    <t>SAPARLINA RATNAWATI</t>
  </si>
  <si>
    <t>000999</t>
  </si>
  <si>
    <t>CUTTING AC90-HDA-05</t>
  </si>
  <si>
    <t>SOLEKAH</t>
  </si>
  <si>
    <t>012757</t>
  </si>
  <si>
    <t>HARTINI</t>
  </si>
  <si>
    <t>000986</t>
  </si>
  <si>
    <t>MUGI RAHAYU</t>
  </si>
  <si>
    <t>000976</t>
  </si>
  <si>
    <t>ENDANG MARGIYATI</t>
  </si>
  <si>
    <t>000974</t>
  </si>
  <si>
    <t>SEVI DIAH MAYASARI</t>
  </si>
  <si>
    <t>000969</t>
  </si>
  <si>
    <t>LEADER DYNA</t>
  </si>
  <si>
    <t>SRIYATI</t>
  </si>
  <si>
    <t>000957</t>
  </si>
  <si>
    <t>MUNTAPIAH</t>
  </si>
  <si>
    <t>000951</t>
  </si>
  <si>
    <t>FARIDA HIKMAWATI</t>
  </si>
  <si>
    <t>000939</t>
  </si>
  <si>
    <t>011965</t>
  </si>
  <si>
    <t>UTAMI</t>
  </si>
  <si>
    <t>000934</t>
  </si>
  <si>
    <t>SITI NUR KUMALASARI</t>
  </si>
  <si>
    <t>000928</t>
  </si>
  <si>
    <t>WINASIH</t>
  </si>
  <si>
    <t>000916</t>
  </si>
  <si>
    <t>S/A 3.1</t>
  </si>
  <si>
    <t>SULASMI</t>
  </si>
  <si>
    <t>000903</t>
  </si>
  <si>
    <t>000901</t>
  </si>
  <si>
    <t>SRI AYU MANDANI</t>
  </si>
  <si>
    <t>000900</t>
  </si>
  <si>
    <t>CUTTING AC90-HDA-02, 05</t>
  </si>
  <si>
    <t>011586</t>
  </si>
  <si>
    <t>SITI ROKHIMAH</t>
  </si>
  <si>
    <t>000890</t>
  </si>
  <si>
    <t>011089</t>
  </si>
  <si>
    <t>OPT-22</t>
  </si>
  <si>
    <t>KHOLILAH</t>
  </si>
  <si>
    <t>000871</t>
  </si>
  <si>
    <t>AKHADIYATI TRI HANDAYANI</t>
  </si>
  <si>
    <t>000818</t>
  </si>
  <si>
    <t>SRI HASNANI</t>
  </si>
  <si>
    <t>000815</t>
  </si>
  <si>
    <t>CUTTING AC90-HDA-07, 21</t>
  </si>
  <si>
    <t>MUSHTAFIDAH</t>
  </si>
  <si>
    <t>008841</t>
  </si>
  <si>
    <t>HENI TRI HAYATI</t>
  </si>
  <si>
    <t>006139</t>
  </si>
  <si>
    <t>MASRIAH</t>
  </si>
  <si>
    <t>000802</t>
  </si>
  <si>
    <t>MANAGER LOG</t>
  </si>
  <si>
    <t>YOEN YOEDONO SOEBROTO</t>
  </si>
  <si>
    <t>000796</t>
  </si>
  <si>
    <t>HENDAR NOVIYANTO</t>
  </si>
  <si>
    <t>000790</t>
  </si>
  <si>
    <t>SUPRIONO</t>
  </si>
  <si>
    <t>000788</t>
  </si>
  <si>
    <t>DEWI MAYASARI</t>
  </si>
  <si>
    <t>005888</t>
  </si>
  <si>
    <t>BFT-3</t>
  </si>
  <si>
    <t>MASUDAH</t>
  </si>
  <si>
    <t>005713</t>
  </si>
  <si>
    <t>EDY PURWITO</t>
  </si>
  <si>
    <t>005698</t>
  </si>
  <si>
    <t>SUSILO DWI SUWARNI</t>
  </si>
  <si>
    <t>005461</t>
  </si>
  <si>
    <t>NUNUNG SETIARINI</t>
  </si>
  <si>
    <t>000725</t>
  </si>
  <si>
    <t>UMI KHOLIFAH</t>
  </si>
  <si>
    <t>000724</t>
  </si>
  <si>
    <t>ATIK KRISTIYANTI</t>
  </si>
  <si>
    <t>000723</t>
  </si>
  <si>
    <t>SEPTI HANDAYANI</t>
  </si>
  <si>
    <t>005248</t>
  </si>
  <si>
    <t>TUTIK</t>
  </si>
  <si>
    <t>004531</t>
  </si>
  <si>
    <t>COORD. SPV QA</t>
  </si>
  <si>
    <t>ARY SUSANTO</t>
  </si>
  <si>
    <t>000703</t>
  </si>
  <si>
    <t>ARI KRISTANTO</t>
  </si>
  <si>
    <t>000702</t>
  </si>
  <si>
    <t>001105</t>
  </si>
  <si>
    <t>ARIYANI</t>
  </si>
  <si>
    <t>000053</t>
  </si>
  <si>
    <t>AISAH NUR UMIYATI</t>
  </si>
  <si>
    <t>B01763</t>
  </si>
  <si>
    <t>BM2-J03-06, BM1-J03-01, BM3-J03-01, MSU-J03-01, RYC-J03-01, JT-J03-02</t>
  </si>
  <si>
    <t>DIAH WAHYUNINGSIH</t>
  </si>
  <si>
    <t>000638</t>
  </si>
  <si>
    <t>OPT-421</t>
  </si>
  <si>
    <t>MUHAMAD TOHA</t>
  </si>
  <si>
    <t>016561</t>
  </si>
  <si>
    <t>SETYO RAHAYUNINGSIH</t>
  </si>
  <si>
    <t>000629</t>
  </si>
  <si>
    <t>ROSA SOFIYARANI</t>
  </si>
  <si>
    <t>000628</t>
  </si>
  <si>
    <t>INSP-BC-01</t>
  </si>
  <si>
    <t>ARI WAHYUDI</t>
  </si>
  <si>
    <t>014896</t>
  </si>
  <si>
    <t>TYAS AYU CHOLISNASARI</t>
  </si>
  <si>
    <t>010390</t>
  </si>
  <si>
    <t>MUFLIKHATUL FAUZIYAH</t>
  </si>
  <si>
    <t>010319</t>
  </si>
  <si>
    <t>MARTA MEILANI</t>
  </si>
  <si>
    <t>010316</t>
  </si>
  <si>
    <t>ISTI NUR FITRIANA</t>
  </si>
  <si>
    <t>010248</t>
  </si>
  <si>
    <t>DWI DESYIANAWATI</t>
  </si>
  <si>
    <t>000609</t>
  </si>
  <si>
    <t>YUTIKA TRI LISTIYA</t>
  </si>
  <si>
    <t>010136</t>
  </si>
  <si>
    <t>ASYAIFU HENDRO MULYONO</t>
  </si>
  <si>
    <t>000602</t>
  </si>
  <si>
    <t>SPV PrE</t>
  </si>
  <si>
    <t>ANDRY SUSANTO</t>
  </si>
  <si>
    <t>000596</t>
  </si>
  <si>
    <t>BEA CUKAI ADMINISTRATION</t>
  </si>
  <si>
    <t>ADM-5</t>
  </si>
  <si>
    <t>ULFA ADHIM</t>
  </si>
  <si>
    <t>000594</t>
  </si>
  <si>
    <t>Employee Benefit, Manpower Data</t>
  </si>
  <si>
    <t>NORMA NILA HAPSARI</t>
  </si>
  <si>
    <t>000591</t>
  </si>
  <si>
    <t>KURNIATI</t>
  </si>
  <si>
    <t>000589</t>
  </si>
  <si>
    <t>ADM EXIM</t>
  </si>
  <si>
    <t>EKA NUR RAHMAWATI</t>
  </si>
  <si>
    <t>000587</t>
  </si>
  <si>
    <t>DIAN BERLIAN PERDANA S.</t>
  </si>
  <si>
    <t>000586</t>
  </si>
  <si>
    <t>ABDUL GHONI</t>
  </si>
  <si>
    <t>000585</t>
  </si>
  <si>
    <t>FARIDA NUR KHASANAH</t>
  </si>
  <si>
    <t>000581</t>
  </si>
  <si>
    <t>NANIK SETIYAWATI</t>
  </si>
  <si>
    <t>000574</t>
  </si>
  <si>
    <t>005733</t>
  </si>
  <si>
    <t>SUBKI</t>
  </si>
  <si>
    <t>000552</t>
  </si>
  <si>
    <t>YUS SANTI</t>
  </si>
  <si>
    <t>000541</t>
  </si>
  <si>
    <t>TEMU RAHAYU</t>
  </si>
  <si>
    <t>000530</t>
  </si>
  <si>
    <t>CUTTING AC90-HDA-10</t>
  </si>
  <si>
    <t>INDRI SETIYOWATI</t>
  </si>
  <si>
    <t>005705</t>
  </si>
  <si>
    <t>005462</t>
  </si>
  <si>
    <t>TRI HARYANTI</t>
  </si>
  <si>
    <t>000515</t>
  </si>
  <si>
    <t>SUYOKO</t>
  </si>
  <si>
    <t>000509</t>
  </si>
  <si>
    <t>SUKADI</t>
  </si>
  <si>
    <t>000508</t>
  </si>
  <si>
    <t>INDAH MAWADDAH</t>
  </si>
  <si>
    <t>004521</t>
  </si>
  <si>
    <t>MC2-HDA-06</t>
  </si>
  <si>
    <t>HELLIN DEWI RIZQIYAH</t>
  </si>
  <si>
    <t>000814</t>
  </si>
  <si>
    <t>EMY APRIYANTI</t>
  </si>
  <si>
    <t>000468</t>
  </si>
  <si>
    <t>RINI FAJARSARI</t>
  </si>
  <si>
    <t>000466</t>
  </si>
  <si>
    <t>NUR QOMARIYAH</t>
  </si>
  <si>
    <t>000454</t>
  </si>
  <si>
    <t>ASM CONTINUITY 1</t>
  </si>
  <si>
    <t>MASRIKHAH</t>
  </si>
  <si>
    <t>000453</t>
  </si>
  <si>
    <t>IKA SUCI MANDASARI</t>
  </si>
  <si>
    <t>000616</t>
  </si>
  <si>
    <t>IDA NASRIA</t>
  </si>
  <si>
    <t>000439</t>
  </si>
  <si>
    <t>ADMINISTRASI DAN PREPARE ORDERING PART JCP DAN WKS</t>
  </si>
  <si>
    <t>TEGUH NUR HIDAYAH</t>
  </si>
  <si>
    <t>000430</t>
  </si>
  <si>
    <t>MARIYANI</t>
  </si>
  <si>
    <t>000424</t>
  </si>
  <si>
    <t>RIYANA PUJI LESTARI</t>
  </si>
  <si>
    <t>000523</t>
  </si>
  <si>
    <t>ARIYATUN</t>
  </si>
  <si>
    <t>000414</t>
  </si>
  <si>
    <t>NURHUDA</t>
  </si>
  <si>
    <t>000317</t>
  </si>
  <si>
    <t>CUTTING AC90-H-03, 04</t>
  </si>
  <si>
    <t>OPT-618</t>
  </si>
  <si>
    <t>NISA LAILATUL MUNAWAROH</t>
  </si>
  <si>
    <t>025358</t>
  </si>
  <si>
    <t>ADMIN LABEL BOX</t>
  </si>
  <si>
    <t>ADM-3</t>
  </si>
  <si>
    <t>TRI NOVI PUJIYANTI</t>
  </si>
  <si>
    <t>000395</t>
  </si>
  <si>
    <t>000394</t>
  </si>
  <si>
    <t>INTERMEDIATE</t>
  </si>
  <si>
    <t>RAGA TRI RAHAYU</t>
  </si>
  <si>
    <t>005935</t>
  </si>
  <si>
    <t>OJT BFT</t>
  </si>
  <si>
    <t>CPA HONDA 33FA</t>
  </si>
  <si>
    <t>HONDA 33FA</t>
  </si>
  <si>
    <t>HONDA</t>
  </si>
  <si>
    <t>FARICHAH</t>
  </si>
  <si>
    <t>012271</t>
  </si>
  <si>
    <t>OJT INSP</t>
  </si>
  <si>
    <t>012211</t>
  </si>
  <si>
    <t>INTANSARI</t>
  </si>
  <si>
    <t>011709</t>
  </si>
  <si>
    <t>OJT CUTTING</t>
  </si>
  <si>
    <t>NUR FATIMAH</t>
  </si>
  <si>
    <t>011046</t>
  </si>
  <si>
    <t>ANI DWI SETYONINGSIH</t>
  </si>
  <si>
    <t>000356</t>
  </si>
  <si>
    <t>ADM-2</t>
  </si>
  <si>
    <t>DEBORA KRISTIANA SETIYANINGRUM</t>
  </si>
  <si>
    <t>000345</t>
  </si>
  <si>
    <t>LISA RAHMAWATI</t>
  </si>
  <si>
    <t>010933</t>
  </si>
  <si>
    <t>YOSSI MAULITA GIAS</t>
  </si>
  <si>
    <t>010763</t>
  </si>
  <si>
    <t>FINA AKHADIYAH</t>
  </si>
  <si>
    <t>010273</t>
  </si>
  <si>
    <t>000329</t>
  </si>
  <si>
    <t>FENTI WULANDARI</t>
  </si>
  <si>
    <t>009683</t>
  </si>
  <si>
    <t>AAM KHALAMAH</t>
  </si>
  <si>
    <t>009679</t>
  </si>
  <si>
    <t>SUNARNI</t>
  </si>
  <si>
    <t>000322</t>
  </si>
  <si>
    <t>CIRCUIT SUPPLIER</t>
  </si>
  <si>
    <t>SITI WAHYUNI</t>
  </si>
  <si>
    <t>000320</t>
  </si>
  <si>
    <t>NURWACHIDAH</t>
  </si>
  <si>
    <t>000319</t>
  </si>
  <si>
    <t>ANDYNI NILAM SARI</t>
  </si>
  <si>
    <t>009579</t>
  </si>
  <si>
    <t>RIANA PUSPITAWATI</t>
  </si>
  <si>
    <t>005801</t>
  </si>
  <si>
    <t>WANTI LESTARI</t>
  </si>
  <si>
    <t>000311</t>
  </si>
  <si>
    <t>IIS DWI HINDAYANI</t>
  </si>
  <si>
    <t>005420</t>
  </si>
  <si>
    <t>RINA KURNIASARI</t>
  </si>
  <si>
    <t>005249</t>
  </si>
  <si>
    <t>RISTIANI</t>
  </si>
  <si>
    <t>000303</t>
  </si>
  <si>
    <t>REJEKI HANDAYANI</t>
  </si>
  <si>
    <t>000994</t>
  </si>
  <si>
    <t>MISROFAH</t>
  </si>
  <si>
    <t>000298</t>
  </si>
  <si>
    <t>ISTIQOMAH</t>
  </si>
  <si>
    <t>000294</t>
  </si>
  <si>
    <t>FARIS YATIMAH HANDAYANI</t>
  </si>
  <si>
    <t>000290</t>
  </si>
  <si>
    <t>RENY LESTARI</t>
  </si>
  <si>
    <t>000285</t>
  </si>
  <si>
    <t>PUDJI SRI SAPUTRI</t>
  </si>
  <si>
    <t>000284</t>
  </si>
  <si>
    <t>ICHNAWATI</t>
  </si>
  <si>
    <t>000282</t>
  </si>
  <si>
    <t>SRI SUPARTINI</t>
  </si>
  <si>
    <t>000281</t>
  </si>
  <si>
    <t>OPT-18</t>
  </si>
  <si>
    <t>SITI NURAINI</t>
  </si>
  <si>
    <t>000678</t>
  </si>
  <si>
    <t>NUR HASANAH</t>
  </si>
  <si>
    <t>000624</t>
  </si>
  <si>
    <t>SARI SOESANTI</t>
  </si>
  <si>
    <t>000247</t>
  </si>
  <si>
    <t>SARI MUNAWATI</t>
  </si>
  <si>
    <t>000264</t>
  </si>
  <si>
    <t>RIRIN ARIYANTI</t>
  </si>
  <si>
    <t>000263</t>
  </si>
  <si>
    <t>ASRI NOVIYANTI HERMINAH</t>
  </si>
  <si>
    <t>000249</t>
  </si>
  <si>
    <t>SUKOWATI</t>
  </si>
  <si>
    <t>000187</t>
  </si>
  <si>
    <t>NANANG YUDI PRASETYO</t>
  </si>
  <si>
    <t>005533</t>
  </si>
  <si>
    <t>EFI RETNOWATI</t>
  </si>
  <si>
    <t>000245</t>
  </si>
  <si>
    <t>BUDI PRASETYO</t>
  </si>
  <si>
    <t>000706</t>
  </si>
  <si>
    <t>TUTUS ANA SUSANTI</t>
  </si>
  <si>
    <t>000243</t>
  </si>
  <si>
    <t>LINA MARGIYANTI</t>
  </si>
  <si>
    <t>000241</t>
  </si>
  <si>
    <t>GL HV, HONDA 3</t>
  </si>
  <si>
    <t>MARDIYANTI WIDY ASTUTI</t>
  </si>
  <si>
    <t>000233</t>
  </si>
  <si>
    <t>SUZUKI &amp; MAZDA , All GL Rework, All PJK</t>
  </si>
  <si>
    <t>YULI FAJAR WATI</t>
  </si>
  <si>
    <t>000228</t>
  </si>
  <si>
    <t>SUROWATI</t>
  </si>
  <si>
    <t>000226</t>
  </si>
  <si>
    <t>SITI JUWARYATI</t>
  </si>
  <si>
    <t>000220</t>
  </si>
  <si>
    <t>BUFFER 2</t>
  </si>
  <si>
    <t>SITI NUR RIANA</t>
  </si>
  <si>
    <t>B01165</t>
  </si>
  <si>
    <t>SETIYANINGSIH</t>
  </si>
  <si>
    <t>B00166</t>
  </si>
  <si>
    <t>CHATARINA RETNO SUMARTI</t>
  </si>
  <si>
    <t>000208</t>
  </si>
  <si>
    <t>IRMA TRI WAHYUNINGRUM</t>
  </si>
  <si>
    <t>000206</t>
  </si>
  <si>
    <t>DWI SRI RAHAYU</t>
  </si>
  <si>
    <t>000204</t>
  </si>
  <si>
    <t>LEADER PREPARATION CT</t>
  </si>
  <si>
    <t>TKN-2</t>
  </si>
  <si>
    <t>HARYONO SUBROTO</t>
  </si>
  <si>
    <t>000199</t>
  </si>
  <si>
    <t>ANALISA DATA CARLINE, PROJECT</t>
  </si>
  <si>
    <t>000198</t>
  </si>
  <si>
    <t>LEADER PREPARATION &amp; IMPROVEMENT</t>
  </si>
  <si>
    <t>EDY ISMANTO</t>
  </si>
  <si>
    <t>000197</t>
  </si>
  <si>
    <t>UMI HANIK</t>
  </si>
  <si>
    <t>000190</t>
  </si>
  <si>
    <t>SUPPORT OUTPUT CUTTING</t>
  </si>
  <si>
    <t>KALIMATU SA'ADAH</t>
  </si>
  <si>
    <t>B00142</t>
  </si>
  <si>
    <t>OPT-558</t>
  </si>
  <si>
    <t>SARI ASTRIYANI</t>
  </si>
  <si>
    <t>022417</t>
  </si>
  <si>
    <t>RETNONINGSIH</t>
  </si>
  <si>
    <t>000182</t>
  </si>
  <si>
    <t>RENI OFARA</t>
  </si>
  <si>
    <t>000181</t>
  </si>
  <si>
    <t>ELIS SUWARTINI</t>
  </si>
  <si>
    <t>000169</t>
  </si>
  <si>
    <t>RADZIATUL FITRIANI</t>
  </si>
  <si>
    <t>021249</t>
  </si>
  <si>
    <t>NIHAYATUL CHASANAH</t>
  </si>
  <si>
    <t>011881</t>
  </si>
  <si>
    <t>LEADER DOC</t>
  </si>
  <si>
    <t>ARIYAWATI</t>
  </si>
  <si>
    <t>000160</t>
  </si>
  <si>
    <t>YUNITA APRIYANI</t>
  </si>
  <si>
    <t>011647</t>
  </si>
  <si>
    <t>NURUL ZUNI ASIYAM</t>
  </si>
  <si>
    <t>000148</t>
  </si>
  <si>
    <t>NUNUNG HANDAYANI</t>
  </si>
  <si>
    <t>000146</t>
  </si>
  <si>
    <t>011587</t>
  </si>
  <si>
    <t>000121</t>
  </si>
  <si>
    <t>Production Planning Control (PPC)
(include Final assy kanban loading)</t>
  </si>
  <si>
    <t>SRI SURAMI</t>
  </si>
  <si>
    <t>000119</t>
  </si>
  <si>
    <t>SUPPORT PART JATUH</t>
  </si>
  <si>
    <t>DIAN SAPUTRI</t>
  </si>
  <si>
    <t>011416</t>
  </si>
  <si>
    <t>ANNA TRIWININGSIH</t>
  </si>
  <si>
    <t>011404</t>
  </si>
  <si>
    <t>SUPPORT WIRE LOSS</t>
  </si>
  <si>
    <t>SARIYATI</t>
  </si>
  <si>
    <t>010258</t>
  </si>
  <si>
    <t>ZULIKAH</t>
  </si>
  <si>
    <t>000077</t>
  </si>
  <si>
    <t>YENI</t>
  </si>
  <si>
    <t>010207</t>
  </si>
  <si>
    <t>ENDANG PURWANINGSIH</t>
  </si>
  <si>
    <t>005699</t>
  </si>
  <si>
    <t>NURUL FITRIANI</t>
  </si>
  <si>
    <t>000066</t>
  </si>
  <si>
    <t>RETNO PURWANTI</t>
  </si>
  <si>
    <t>000065</t>
  </si>
  <si>
    <t>NIELA NURUL KHIKMAH</t>
  </si>
  <si>
    <t>000063</t>
  </si>
  <si>
    <t>SUPPORT NYS</t>
  </si>
  <si>
    <t>BUFFER 1</t>
  </si>
  <si>
    <t>DWI MEI NINGRUM</t>
  </si>
  <si>
    <t>010173</t>
  </si>
  <si>
    <t>SUPPORT SCAN PKO</t>
  </si>
  <si>
    <t>ERNA YUNIANTI</t>
  </si>
  <si>
    <t>009069</t>
  </si>
  <si>
    <t>SRI MUNIROH</t>
  </si>
  <si>
    <t>008799</t>
  </si>
  <si>
    <t>YULI ASTUTI</t>
  </si>
  <si>
    <t>001098</t>
  </si>
  <si>
    <t>TKN-1</t>
  </si>
  <si>
    <t>JULIANTO SETYO N</t>
  </si>
  <si>
    <t>000048</t>
  </si>
  <si>
    <t>ACHMAD AFFANDI</t>
  </si>
  <si>
    <t>000044</t>
  </si>
  <si>
    <t>SUWANDI</t>
  </si>
  <si>
    <t>000037</t>
  </si>
  <si>
    <t>SUPERVISOR SHE</t>
  </si>
  <si>
    <t>JOKO ADI WALUYO</t>
  </si>
  <si>
    <t>000013</t>
  </si>
  <si>
    <t>MANAGER PGA</t>
  </si>
  <si>
    <t>ARI WIJAYANTI</t>
  </si>
  <si>
    <t>000012</t>
  </si>
  <si>
    <t>DFM</t>
  </si>
  <si>
    <t>DEPUTY FACT. MANAGER</t>
  </si>
  <si>
    <t>MANSUR ISNAENI</t>
  </si>
  <si>
    <t>000010</t>
  </si>
  <si>
    <t>Tanggal</t>
  </si>
  <si>
    <t>USIA</t>
  </si>
  <si>
    <t>JK</t>
  </si>
  <si>
    <t>DIFABEL</t>
  </si>
  <si>
    <t>JBTN</t>
  </si>
  <si>
    <t>KET STATUS</t>
  </si>
  <si>
    <t>STATUS</t>
  </si>
  <si>
    <t>CLASS</t>
  </si>
  <si>
    <t>SHIFT</t>
  </si>
  <si>
    <t>PASI JOB NAME 
(HR Code)</t>
  </si>
  <si>
    <t>JOB</t>
  </si>
  <si>
    <t>AREA</t>
  </si>
  <si>
    <t>FAMILY</t>
  </si>
  <si>
    <t>CAR LINE</t>
  </si>
  <si>
    <t>SECT</t>
  </si>
  <si>
    <t>DEPT</t>
  </si>
  <si>
    <t>AKHIR PKWT</t>
  </si>
  <si>
    <t>AWAL PKWT</t>
  </si>
  <si>
    <t>TGL MASUK</t>
  </si>
  <si>
    <t>BATCH</t>
  </si>
  <si>
    <t>LOKASI</t>
  </si>
  <si>
    <t>NAMA</t>
  </si>
  <si>
    <t>KARNO</t>
  </si>
  <si>
    <t>NIK</t>
  </si>
  <si>
    <t>PT  SEMARANG  AUTOCOMP  MANUFACTURING  INDONESIA</t>
  </si>
  <si>
    <t xml:space="preserve">TANGGAL : </t>
  </si>
  <si>
    <t>SHIFT NS +A</t>
  </si>
  <si>
    <t>TEMPAT</t>
  </si>
  <si>
    <t>: KELAS A</t>
  </si>
  <si>
    <t xml:space="preserve"> </t>
  </si>
  <si>
    <t>NO</t>
  </si>
  <si>
    <t>UMUR</t>
  </si>
  <si>
    <t xml:space="preserve">JAM </t>
  </si>
  <si>
    <t>PARAF</t>
  </si>
  <si>
    <t>08.00 - 08.30</t>
  </si>
  <si>
    <t>&gt; 40 TAHUN</t>
  </si>
  <si>
    <t>&lt;40 TAHUN + AUDIOMETRI</t>
  </si>
  <si>
    <t>08.30-09.00</t>
  </si>
  <si>
    <t>09.00-09.30</t>
  </si>
  <si>
    <t>09.30-10.00</t>
  </si>
  <si>
    <t>10.00-11.30</t>
  </si>
  <si>
    <t>11.30-12.00</t>
  </si>
  <si>
    <t>12.00-12.30</t>
  </si>
  <si>
    <t>12.30-13.00</t>
  </si>
  <si>
    <t>13.00-13.30</t>
  </si>
  <si>
    <t>13.30-14.00</t>
  </si>
  <si>
    <t>14.30-15.00</t>
  </si>
  <si>
    <t>15.00-15.30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</si>
</sst>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d\-mmm\-yy;@"/>
    <numFmt numFmtId="165" formatCode="0000"/>
    <numFmt numFmtId="166" formatCode="dd/mm/yyyy;@"/>
    <numFmt numFmtId="167" formatCode="[$-409]d\-mmm\-yy;@"/>
    <numFmt numFmtId="168" formatCode="[$-409]d\-mmm\-yyyy;@"/>
  </numFmts>
  <fonts count="10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i/>
      <sz val="10"/>
      <name val="Tahoma"/>
      <family val="2"/>
    </font>
    <font>
      <i/>
      <sz val="11"/>
      <color theme="1"/>
      <name val="Calibri"/>
      <family val="2"/>
      <scheme val="minor"/>
    </font>
    <font>
      <b/>
      <i/>
      <sz val="2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148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0" fontId="0" fillId="3" borderId="1" xfId="0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quotePrefix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65" fontId="1" fillId="3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vertical="center"/>
    </xf>
    <xf numFmtId="14" fontId="0" fillId="0" borderId="0" xfId="0" applyNumberFormat="1"/>
    <xf numFmtId="0" fontId="2" fillId="0" borderId="1" xfId="0" applyFont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vertical="center"/>
    </xf>
    <xf numFmtId="9" fontId="1" fillId="3" borderId="1" xfId="0" applyNumberFormat="1" applyFont="1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5" fontId="1" fillId="0" borderId="1" xfId="0" quotePrefix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1" xfId="3" applyFont="1" applyBorder="1" applyAlignment="1">
      <alignment vertical="center"/>
    </xf>
    <xf numFmtId="1" fontId="1" fillId="0" borderId="1" xfId="3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center" vertical="center"/>
    </xf>
    <xf numFmtId="0" fontId="1" fillId="3" borderId="1" xfId="3" applyFont="1" applyFill="1" applyBorder="1" applyAlignment="1">
      <alignment vertical="center"/>
    </xf>
    <xf numFmtId="1" fontId="1" fillId="3" borderId="1" xfId="3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4" fontId="0" fillId="2" borderId="0" xfId="0" applyNumberFormat="1" applyFill="1"/>
    <xf numFmtId="49" fontId="1" fillId="0" borderId="1" xfId="4" quotePrefix="1" applyNumberFormat="1" applyFont="1" applyBorder="1" applyAlignment="1">
      <alignment horizontal="center" vertical="center"/>
    </xf>
    <xf numFmtId="0" fontId="1" fillId="0" borderId="1" xfId="4" applyFont="1" applyBorder="1" applyAlignment="1">
      <alignment vertical="center"/>
    </xf>
    <xf numFmtId="167" fontId="1" fillId="0" borderId="1" xfId="0" applyNumberFormat="1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vertical="center"/>
    </xf>
    <xf numFmtId="14" fontId="1" fillId="3" borderId="2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quotePrefix="1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horizontal="center" vertical="center"/>
    </xf>
    <xf numFmtId="165" fontId="1" fillId="3" borderId="1" xfId="0" quotePrefix="1" applyNumberFormat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right" vertical="center"/>
    </xf>
    <xf numFmtId="168" fontId="0" fillId="3" borderId="0" xfId="0" applyNumberFormat="1" applyFill="1"/>
    <xf numFmtId="165" fontId="4" fillId="5" borderId="2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165" fontId="6" fillId="5" borderId="3" xfId="3" applyNumberFormat="1" applyFont="1" applyFill="1" applyBorder="1" applyAlignment="1">
      <alignment horizontal="center" vertical="center"/>
    </xf>
    <xf numFmtId="165" fontId="6" fillId="5" borderId="4" xfId="3" applyNumberFormat="1" applyFont="1" applyFill="1" applyBorder="1" applyAlignment="1">
      <alignment horizontal="center" vertical="center"/>
    </xf>
    <xf numFmtId="0" fontId="6" fillId="5" borderId="5" xfId="3" applyFont="1" applyFill="1" applyBorder="1" applyAlignment="1">
      <alignment horizontal="center" vertical="center"/>
    </xf>
    <xf numFmtId="0" fontId="6" fillId="5" borderId="5" xfId="3" applyFont="1" applyFill="1" applyBorder="1" applyAlignment="1">
      <alignment horizontal="center" vertical="center"/>
    </xf>
    <xf numFmtId="0" fontId="6" fillId="5" borderId="6" xfId="3" applyFont="1" applyFill="1" applyBorder="1" applyAlignment="1">
      <alignment horizontal="center" vertical="center"/>
    </xf>
    <xf numFmtId="0" fontId="2" fillId="6" borderId="7" xfId="3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0" fillId="6" borderId="0" xfId="0" applyFill="1"/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2" fillId="0" borderId="7" xfId="3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7" borderId="0" xfId="0" applyFill="1"/>
    <xf numFmtId="165" fontId="1" fillId="0" borderId="0" xfId="0" applyNumberFormat="1" applyFont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49" fontId="1" fillId="6" borderId="1" xfId="0" quotePrefix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9" fontId="1" fillId="6" borderId="1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0" xfId="0" applyNumberFormat="1" applyFill="1"/>
    <xf numFmtId="0" fontId="1" fillId="6" borderId="1" xfId="0" applyFont="1" applyFill="1" applyBorder="1" applyAlignment="1">
      <alignment horizontal="left" vertical="center"/>
    </xf>
    <xf numFmtId="0" fontId="2" fillId="0" borderId="7" xfId="3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ill="1"/>
    <xf numFmtId="0" fontId="8" fillId="0" borderId="1" xfId="0" applyFont="1" applyFill="1" applyBorder="1" applyAlignment="1">
      <alignment horizontal="left" vertical="top"/>
    </xf>
    <xf numFmtId="0" fontId="8" fillId="0" borderId="11" xfId="0" applyFont="1" applyFill="1" applyBorder="1" applyAlignment="1">
      <alignment horizontal="left" vertical="top"/>
    </xf>
    <xf numFmtId="9" fontId="1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6" borderId="1" xfId="4" applyFont="1" applyFill="1" applyBorder="1" applyAlignment="1">
      <alignment vertical="center"/>
    </xf>
    <xf numFmtId="49" fontId="1" fillId="6" borderId="1" xfId="4" quotePrefix="1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1" fillId="8" borderId="1" xfId="0" quotePrefix="1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49" fontId="1" fillId="8" borderId="1" xfId="0" quotePrefix="1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/>
    <xf numFmtId="165" fontId="1" fillId="0" borderId="0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vertical="center"/>
    </xf>
    <xf numFmtId="49" fontId="1" fillId="0" borderId="1" xfId="0" quotePrefix="1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66" fontId="1" fillId="6" borderId="1" xfId="0" applyNumberFormat="1" applyFont="1" applyFill="1" applyBorder="1" applyAlignment="1">
      <alignment horizontal="center" vertical="center"/>
    </xf>
    <xf numFmtId="165" fontId="1" fillId="0" borderId="12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0" fillId="0" borderId="0" xfId="0" applyBorder="1"/>
    <xf numFmtId="0" fontId="0" fillId="0" borderId="0" xfId="0" applyFill="1" applyBorder="1"/>
    <xf numFmtId="0" fontId="2" fillId="0" borderId="0" xfId="3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top"/>
    </xf>
    <xf numFmtId="0" fontId="2" fillId="6" borderId="1" xfId="3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top"/>
    </xf>
    <xf numFmtId="0" fontId="2" fillId="0" borderId="0" xfId="3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8" fillId="0" borderId="12" xfId="0" applyFont="1" applyFill="1" applyBorder="1" applyAlignment="1">
      <alignment horizontal="left" vertical="top"/>
    </xf>
    <xf numFmtId="0" fontId="8" fillId="0" borderId="16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center" vertical="center"/>
    </xf>
    <xf numFmtId="0" fontId="2" fillId="0" borderId="1" xfId="3" applyFill="1" applyBorder="1" applyAlignment="1">
      <alignment horizontal="center" vertical="center"/>
    </xf>
  </cellXfs>
  <cellStyles count="5">
    <cellStyle name="Normal" xfId="0" builtinId="0"/>
    <cellStyle name="Normal 2 13" xfId="3" xr:uid="{D64EAF36-DCAF-4570-A650-DA9C1FD47B72}"/>
    <cellStyle name="Normal 2 14" xfId="2" xr:uid="{63257A96-AF5D-4F65-99DD-AD5BCF61A655}"/>
    <cellStyle name="Normal 2 15" xfId="1" xr:uid="{7BB858FA-F800-4E4C-8EC3-468ADC5C999B}"/>
    <cellStyle name="Normal_NEOP TGL 27 DES  2010" xfId="4" xr:uid="{B7F68E54-F64C-4FC4-809E-C43C0426D39E}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88CA12-4CBF-4E05-85E5-CC4EE8903510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4CE1BB3-DE4B-4D8F-BEFE-537203C2134B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59D391B-114C-4257-BBD3-D5C1DE8A2FD5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4B17FEA-8571-4990-A18F-1DEBFBDC548A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B859565-6B74-40D5-AE28-BF1E45B49FDE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A535C0C-D007-43E4-BD53-49F5A7E9229D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A27063B-FCA0-49CB-ACFA-0CCD89C81654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E68AC43-9189-4809-B899-E0680C6469F0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D00CD35-2894-4F2F-AC87-2A3B3377D761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F81371B-AD78-4AE9-BD2A-80478057D60B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8FE7BC-B2BC-4549-A292-995317A1F3F1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F9F8E1B-6594-4BC3-AFA5-EA324F90AD61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6D6CDEC-F8DD-4E62-98A8-94C3C35F988B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-02\Documents\DATA%20MCU%20FEB%2024.xlsx" TargetMode="External"/><Relationship Id="rId1" Type="http://schemas.openxmlformats.org/officeDocument/2006/relationships/externalLinkPath" Target="DATA%20MCU%20FEB%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MP"/>
      <sheetName val="08.00-08.30"/>
      <sheetName val="08.30-09.00"/>
      <sheetName val="09.00-09.30"/>
      <sheetName val="09.30-10.00"/>
      <sheetName val="10.30-11.00"/>
      <sheetName val="11.00-11.30"/>
      <sheetName val="11.30-12.00"/>
      <sheetName val="12.00-12.30"/>
      <sheetName val="12.30-13.00"/>
      <sheetName val="13.00-13.30"/>
      <sheetName val="13.30-14.00"/>
      <sheetName val="14.00-14.30"/>
      <sheetName val="14.30-15.00"/>
      <sheetName val="15.00-15.30"/>
    </sheetNames>
    <sheetDataSet>
      <sheetData sheetId="0">
        <row r="1">
          <cell r="A1" t="str">
            <v>NIK</v>
          </cell>
          <cell r="B1" t="str">
            <v>KARNO</v>
          </cell>
          <cell r="C1" t="str">
            <v>NAMA</v>
          </cell>
          <cell r="D1" t="str">
            <v>LOKASI</v>
          </cell>
          <cell r="E1" t="str">
            <v>BATCH</v>
          </cell>
          <cell r="F1" t="str">
            <v>TGL MASUK</v>
          </cell>
          <cell r="G1" t="str">
            <v>AWAL PKWT</v>
          </cell>
          <cell r="H1" t="str">
            <v>AKHIR PKWT</v>
          </cell>
          <cell r="I1" t="str">
            <v>DEPT</v>
          </cell>
          <cell r="J1" t="str">
            <v>SECT</v>
          </cell>
          <cell r="K1" t="str">
            <v>CAR LINE</v>
          </cell>
          <cell r="L1" t="str">
            <v>FAMILY</v>
          </cell>
          <cell r="M1" t="str">
            <v>AREA</v>
          </cell>
          <cell r="N1" t="str">
            <v>JOB</v>
          </cell>
          <cell r="O1" t="str">
            <v>PASI JOB NAME 
(HR Code)</v>
          </cell>
          <cell r="P1" t="str">
            <v>SHIFT</v>
          </cell>
          <cell r="Q1" t="str">
            <v>CLASS</v>
          </cell>
          <cell r="R1" t="str">
            <v>STATUS</v>
          </cell>
          <cell r="S1" t="str">
            <v>KET STATUS</v>
          </cell>
          <cell r="T1" t="str">
            <v>JBTN</v>
          </cell>
          <cell r="U1" t="str">
            <v>DIFABEL</v>
          </cell>
          <cell r="V1" t="str">
            <v>JK</v>
          </cell>
          <cell r="W1" t="str">
            <v>USIA</v>
          </cell>
        </row>
        <row r="2">
          <cell r="A2">
            <v>10</v>
          </cell>
          <cell r="B2" t="str">
            <v>000010</v>
          </cell>
          <cell r="C2" t="str">
            <v>MANSUR ISNAENI</v>
          </cell>
          <cell r="D2" t="str">
            <v>SAMI</v>
          </cell>
          <cell r="E2" t="str">
            <v>SPV UP</v>
          </cell>
          <cell r="F2">
            <v>36073</v>
          </cell>
          <cell r="G2" t="str">
            <v>-</v>
          </cell>
          <cell r="H2" t="str">
            <v>-</v>
          </cell>
          <cell r="I2" t="str">
            <v>PGA</v>
          </cell>
          <cell r="J2" t="str">
            <v>MANAGEMENT</v>
          </cell>
          <cell r="K2" t="str">
            <v>ALL</v>
          </cell>
          <cell r="L2" t="str">
            <v>ALL</v>
          </cell>
          <cell r="M2" t="str">
            <v>MANAGEMENT</v>
          </cell>
          <cell r="N2" t="str">
            <v>DEPUTY FACT. MANAGER</v>
          </cell>
          <cell r="O2" t="str">
            <v>DFM</v>
          </cell>
          <cell r="P2" t="str">
            <v>A (NS)</v>
          </cell>
          <cell r="Q2" t="str">
            <v>ADM</v>
          </cell>
          <cell r="R2" t="str">
            <v>PERMANENT</v>
          </cell>
          <cell r="S2" t="str">
            <v>PRM</v>
          </cell>
          <cell r="T2" t="str">
            <v>DFM</v>
          </cell>
          <cell r="U2" t="str">
            <v>-</v>
          </cell>
          <cell r="V2" t="str">
            <v>L</v>
          </cell>
          <cell r="W2">
            <v>51</v>
          </cell>
        </row>
        <row r="3">
          <cell r="A3">
            <v>12</v>
          </cell>
          <cell r="B3" t="str">
            <v>000012</v>
          </cell>
          <cell r="C3" t="str">
            <v>ARI WIJAYANTI</v>
          </cell>
          <cell r="D3" t="str">
            <v>SAMI</v>
          </cell>
          <cell r="E3" t="str">
            <v>SPV UP</v>
          </cell>
          <cell r="F3">
            <v>37411</v>
          </cell>
          <cell r="G3" t="str">
            <v>-</v>
          </cell>
          <cell r="H3" t="str">
            <v>-</v>
          </cell>
          <cell r="I3" t="str">
            <v>PGA</v>
          </cell>
          <cell r="J3" t="str">
            <v>MANAGEMENT</v>
          </cell>
          <cell r="K3" t="str">
            <v>ALL</v>
          </cell>
          <cell r="L3" t="str">
            <v>ALL</v>
          </cell>
          <cell r="M3" t="str">
            <v>MANAGEMENT</v>
          </cell>
          <cell r="N3" t="str">
            <v>MANAGER PGA</v>
          </cell>
          <cell r="O3" t="str">
            <v>MGR IDL</v>
          </cell>
          <cell r="P3" t="str">
            <v>A (NS)</v>
          </cell>
          <cell r="Q3" t="str">
            <v>ADM</v>
          </cell>
          <cell r="R3" t="str">
            <v>PERMANENT</v>
          </cell>
          <cell r="S3" t="str">
            <v>PRM</v>
          </cell>
          <cell r="T3" t="str">
            <v>MGR</v>
          </cell>
          <cell r="U3" t="str">
            <v>-</v>
          </cell>
          <cell r="V3" t="str">
            <v>P</v>
          </cell>
          <cell r="W3">
            <v>45</v>
          </cell>
        </row>
        <row r="4">
          <cell r="A4">
            <v>13</v>
          </cell>
          <cell r="B4" t="str">
            <v>000013</v>
          </cell>
          <cell r="C4" t="str">
            <v>JOKO ADI WALUYO</v>
          </cell>
          <cell r="D4" t="str">
            <v>SAMI</v>
          </cell>
          <cell r="E4" t="str">
            <v>SPV UP</v>
          </cell>
          <cell r="F4">
            <v>37411</v>
          </cell>
          <cell r="G4" t="str">
            <v>-</v>
          </cell>
          <cell r="H4" t="str">
            <v>-</v>
          </cell>
          <cell r="I4" t="str">
            <v>PGA</v>
          </cell>
          <cell r="J4" t="str">
            <v>SHE</v>
          </cell>
          <cell r="K4" t="str">
            <v>ALL</v>
          </cell>
          <cell r="L4" t="str">
            <v>ALL</v>
          </cell>
          <cell r="M4" t="str">
            <v>SHE</v>
          </cell>
          <cell r="N4" t="str">
            <v>SUPERVISOR SHE</v>
          </cell>
          <cell r="O4" t="str">
            <v>IDL SPV</v>
          </cell>
          <cell r="P4" t="str">
            <v>A (NS)</v>
          </cell>
          <cell r="Q4" t="str">
            <v>ADM</v>
          </cell>
          <cell r="R4" t="str">
            <v>PERMANENT</v>
          </cell>
          <cell r="S4" t="str">
            <v>PRM</v>
          </cell>
          <cell r="T4" t="str">
            <v>SPV</v>
          </cell>
          <cell r="U4" t="str">
            <v>-</v>
          </cell>
          <cell r="V4" t="str">
            <v>L</v>
          </cell>
          <cell r="W4">
            <v>47</v>
          </cell>
        </row>
        <row r="5">
          <cell r="A5">
            <v>37</v>
          </cell>
          <cell r="B5" t="str">
            <v>000037</v>
          </cell>
          <cell r="C5" t="str">
            <v>SUWANDI</v>
          </cell>
          <cell r="D5" t="str">
            <v>SAMI</v>
          </cell>
          <cell r="E5" t="str">
            <v>SPV UP</v>
          </cell>
          <cell r="F5">
            <v>37529</v>
          </cell>
          <cell r="G5" t="str">
            <v>-</v>
          </cell>
          <cell r="H5" t="str">
            <v>-</v>
          </cell>
          <cell r="I5" t="str">
            <v>LOG</v>
          </cell>
          <cell r="J5" t="str">
            <v>WHS</v>
          </cell>
          <cell r="K5" t="str">
            <v>ALL</v>
          </cell>
          <cell r="L5" t="str">
            <v>ALL</v>
          </cell>
          <cell r="M5" t="str">
            <v>WHS</v>
          </cell>
          <cell r="N5" t="str">
            <v>COORD. SUPERVISOR</v>
          </cell>
          <cell r="O5" t="str">
            <v>FPS SPV</v>
          </cell>
          <cell r="P5" t="str">
            <v>A (NS)</v>
          </cell>
          <cell r="Q5" t="str">
            <v>PS</v>
          </cell>
          <cell r="R5" t="str">
            <v>PERMANENT</v>
          </cell>
          <cell r="S5" t="str">
            <v>PRM</v>
          </cell>
          <cell r="T5" t="str">
            <v>CSPV</v>
          </cell>
          <cell r="U5" t="str">
            <v>-</v>
          </cell>
          <cell r="V5" t="str">
            <v>L</v>
          </cell>
          <cell r="W5">
            <v>47</v>
          </cell>
        </row>
        <row r="6">
          <cell r="A6">
            <v>44</v>
          </cell>
          <cell r="B6" t="str">
            <v>000044</v>
          </cell>
          <cell r="C6" t="str">
            <v>ACHMAD AFFANDI</v>
          </cell>
          <cell r="D6" t="str">
            <v>SAMI</v>
          </cell>
          <cell r="E6" t="str">
            <v>TKN-1</v>
          </cell>
          <cell r="F6">
            <v>37529</v>
          </cell>
          <cell r="G6" t="str">
            <v>-</v>
          </cell>
          <cell r="H6" t="str">
            <v>-</v>
          </cell>
          <cell r="I6" t="str">
            <v>PE</v>
          </cell>
          <cell r="J6" t="str">
            <v>J/C BP</v>
          </cell>
          <cell r="K6" t="str">
            <v>ALL</v>
          </cell>
          <cell r="L6" t="str">
            <v>ALL</v>
          </cell>
          <cell r="M6" t="str">
            <v>JCN</v>
          </cell>
          <cell r="N6" t="str">
            <v>LL BREAKDOWN</v>
          </cell>
          <cell r="O6" t="str">
            <v>FPS LL</v>
          </cell>
          <cell r="P6" t="str">
            <v>B</v>
          </cell>
          <cell r="Q6" t="str">
            <v>PS</v>
          </cell>
          <cell r="R6" t="str">
            <v>PERMANENT</v>
          </cell>
          <cell r="S6" t="str">
            <v>PRM</v>
          </cell>
          <cell r="T6" t="str">
            <v>LL</v>
          </cell>
          <cell r="U6" t="str">
            <v>-</v>
          </cell>
          <cell r="V6" t="str">
            <v>L</v>
          </cell>
          <cell r="W6">
            <v>42</v>
          </cell>
        </row>
        <row r="7">
          <cell r="A7">
            <v>48</v>
          </cell>
          <cell r="B7" t="str">
            <v>000048</v>
          </cell>
          <cell r="C7" t="str">
            <v>JULIANTO SETYO N</v>
          </cell>
          <cell r="D7" t="str">
            <v>SAMI</v>
          </cell>
          <cell r="E7" t="str">
            <v>TKN-1</v>
          </cell>
          <cell r="F7">
            <v>37529</v>
          </cell>
          <cell r="G7" t="str">
            <v>-</v>
          </cell>
          <cell r="H7" t="str">
            <v>-</v>
          </cell>
          <cell r="I7" t="str">
            <v>PE</v>
          </cell>
          <cell r="J7" t="str">
            <v>MTP</v>
          </cell>
          <cell r="K7" t="str">
            <v>ALL</v>
          </cell>
          <cell r="L7" t="str">
            <v>ALL</v>
          </cell>
          <cell r="M7" t="str">
            <v>MTP</v>
          </cell>
          <cell r="N7" t="str">
            <v>WEAR &amp; TEAR STOCK CONTROL</v>
          </cell>
          <cell r="O7" t="str">
            <v>DATA &amp; ORDERING</v>
          </cell>
          <cell r="P7" t="str">
            <v>B</v>
          </cell>
          <cell r="Q7" t="str">
            <v>PS</v>
          </cell>
          <cell r="R7" t="str">
            <v>PERMANENT</v>
          </cell>
          <cell r="S7" t="str">
            <v>PRM</v>
          </cell>
          <cell r="T7" t="str">
            <v>TKN</v>
          </cell>
          <cell r="U7" t="str">
            <v>-</v>
          </cell>
          <cell r="V7" t="str">
            <v>L</v>
          </cell>
          <cell r="W7">
            <v>41</v>
          </cell>
        </row>
        <row r="8">
          <cell r="A8">
            <v>1098</v>
          </cell>
          <cell r="B8" t="str">
            <v>001098</v>
          </cell>
          <cell r="C8" t="str">
            <v>YULI ASTUTI</v>
          </cell>
          <cell r="D8" t="str">
            <v>SAMI</v>
          </cell>
          <cell r="E8" t="str">
            <v>OPT-27</v>
          </cell>
          <cell r="F8">
            <v>37887</v>
          </cell>
          <cell r="G8" t="str">
            <v>-</v>
          </cell>
          <cell r="H8" t="str">
            <v>-</v>
          </cell>
          <cell r="I8" t="str">
            <v>PRD</v>
          </cell>
          <cell r="J8" t="str">
            <v>NON LINE</v>
          </cell>
          <cell r="K8" t="str">
            <v>ALL</v>
          </cell>
          <cell r="L8" t="str">
            <v>ALL</v>
          </cell>
          <cell r="M8" t="str">
            <v>BUFFER 1</v>
          </cell>
          <cell r="N8" t="str">
            <v>SUPPORT SCAN PKO</v>
          </cell>
          <cell r="O8" t="str">
            <v>OTHERS</v>
          </cell>
          <cell r="P8" t="str">
            <v>A (NS)</v>
          </cell>
          <cell r="Q8" t="str">
            <v>PI</v>
          </cell>
          <cell r="R8" t="str">
            <v>PERMANENT</v>
          </cell>
          <cell r="S8" t="str">
            <v>PRM</v>
          </cell>
          <cell r="T8" t="str">
            <v>OPT</v>
          </cell>
          <cell r="U8" t="str">
            <v>-</v>
          </cell>
          <cell r="V8" t="str">
            <v>P</v>
          </cell>
          <cell r="W8">
            <v>39</v>
          </cell>
        </row>
        <row r="9">
          <cell r="A9">
            <v>8799</v>
          </cell>
          <cell r="B9" t="str">
            <v>008799</v>
          </cell>
          <cell r="C9" t="str">
            <v>SRI MUNIROH</v>
          </cell>
          <cell r="D9" t="str">
            <v>SAMI</v>
          </cell>
          <cell r="E9" t="str">
            <v>OPT-194</v>
          </cell>
          <cell r="F9">
            <v>39931</v>
          </cell>
          <cell r="G9" t="str">
            <v>-</v>
          </cell>
          <cell r="H9" t="str">
            <v>-</v>
          </cell>
          <cell r="I9" t="str">
            <v>PRD</v>
          </cell>
          <cell r="J9" t="str">
            <v>NON LINE</v>
          </cell>
          <cell r="K9" t="str">
            <v>ALL</v>
          </cell>
          <cell r="L9" t="str">
            <v>ALL</v>
          </cell>
          <cell r="M9" t="str">
            <v>BUFFER 1</v>
          </cell>
          <cell r="N9" t="str">
            <v>SUPPORT NYS</v>
          </cell>
          <cell r="O9" t="str">
            <v>OTHERS</v>
          </cell>
          <cell r="P9" t="str">
            <v>A (NS)</v>
          </cell>
          <cell r="Q9" t="str">
            <v>PI</v>
          </cell>
          <cell r="R9" t="str">
            <v>PERMANENT</v>
          </cell>
          <cell r="S9" t="str">
            <v>PRM</v>
          </cell>
          <cell r="T9" t="str">
            <v>OPT</v>
          </cell>
          <cell r="U9" t="str">
            <v>-</v>
          </cell>
          <cell r="V9" t="str">
            <v>P</v>
          </cell>
          <cell r="W9">
            <v>35</v>
          </cell>
        </row>
        <row r="10">
          <cell r="A10">
            <v>9069</v>
          </cell>
          <cell r="B10" t="str">
            <v>009069</v>
          </cell>
          <cell r="C10" t="str">
            <v>ERNA YUNIANTI</v>
          </cell>
          <cell r="D10" t="str">
            <v>SAMI</v>
          </cell>
          <cell r="E10" t="str">
            <v>OPT-203</v>
          </cell>
          <cell r="F10">
            <v>39993</v>
          </cell>
          <cell r="G10" t="str">
            <v>-</v>
          </cell>
          <cell r="H10" t="str">
            <v>-</v>
          </cell>
          <cell r="I10" t="str">
            <v>PRD</v>
          </cell>
          <cell r="J10" t="str">
            <v>NON LINE</v>
          </cell>
          <cell r="K10" t="str">
            <v>ALL</v>
          </cell>
          <cell r="L10" t="str">
            <v>ALL</v>
          </cell>
          <cell r="M10" t="str">
            <v>BUFFER 1</v>
          </cell>
          <cell r="N10" t="str">
            <v>SUPPORT SCAN PKO</v>
          </cell>
          <cell r="O10" t="str">
            <v>OTHERS</v>
          </cell>
          <cell r="P10" t="str">
            <v>A (NS)</v>
          </cell>
          <cell r="Q10" t="str">
            <v>PI</v>
          </cell>
          <cell r="R10" t="str">
            <v>PERMANENT</v>
          </cell>
          <cell r="S10" t="str">
            <v>PRM</v>
          </cell>
          <cell r="T10" t="str">
            <v>OPT</v>
          </cell>
          <cell r="U10" t="str">
            <v>-</v>
          </cell>
          <cell r="V10" t="str">
            <v>P</v>
          </cell>
          <cell r="W10">
            <v>35</v>
          </cell>
        </row>
        <row r="11">
          <cell r="A11">
            <v>10173</v>
          </cell>
          <cell r="B11" t="str">
            <v>010173</v>
          </cell>
          <cell r="C11" t="str">
            <v>DWI MEI NINGRUM</v>
          </cell>
          <cell r="D11" t="str">
            <v>SAMI</v>
          </cell>
          <cell r="E11" t="str">
            <v>OPT-253</v>
          </cell>
          <cell r="F11">
            <v>40458</v>
          </cell>
          <cell r="G11" t="str">
            <v>-</v>
          </cell>
          <cell r="H11" t="str">
            <v>-</v>
          </cell>
          <cell r="I11" t="str">
            <v>PRD</v>
          </cell>
          <cell r="J11" t="str">
            <v>NON LINE</v>
          </cell>
          <cell r="K11" t="str">
            <v>ALL</v>
          </cell>
          <cell r="L11" t="str">
            <v>ALL</v>
          </cell>
          <cell r="M11" t="str">
            <v>BUFFER 1</v>
          </cell>
          <cell r="N11" t="str">
            <v>SUPPORT NYS</v>
          </cell>
          <cell r="O11" t="str">
            <v>OTHERS</v>
          </cell>
          <cell r="P11" t="str">
            <v>A (NS)</v>
          </cell>
          <cell r="Q11" t="str">
            <v>PI</v>
          </cell>
          <cell r="R11" t="str">
            <v>PERMANENT</v>
          </cell>
          <cell r="S11" t="str">
            <v>PRM</v>
          </cell>
          <cell r="T11" t="str">
            <v>OPT</v>
          </cell>
          <cell r="U11" t="str">
            <v>-</v>
          </cell>
          <cell r="V11" t="str">
            <v>P</v>
          </cell>
          <cell r="W11">
            <v>32</v>
          </cell>
        </row>
        <row r="12">
          <cell r="A12">
            <v>63</v>
          </cell>
          <cell r="B12" t="str">
            <v>000063</v>
          </cell>
          <cell r="C12" t="str">
            <v>NIELA NURUL KHIKMAH</v>
          </cell>
          <cell r="D12" t="str">
            <v>SAMI</v>
          </cell>
          <cell r="E12" t="str">
            <v>OPT-1</v>
          </cell>
          <cell r="F12">
            <v>37578</v>
          </cell>
          <cell r="G12" t="str">
            <v>-</v>
          </cell>
          <cell r="H12" t="str">
            <v>-</v>
          </cell>
          <cell r="I12" t="str">
            <v>PRD</v>
          </cell>
          <cell r="J12" t="str">
            <v>FINAL ASSY</v>
          </cell>
          <cell r="K12" t="str">
            <v>SUZUKI WAGON R</v>
          </cell>
          <cell r="L12" t="str">
            <v>DOOR/DOOM</v>
          </cell>
          <cell r="M12" t="str">
            <v>CV S03</v>
          </cell>
          <cell r="N12" t="str">
            <v>PRD LINE CHO</v>
          </cell>
          <cell r="O12" t="str">
            <v>FPI LL</v>
          </cell>
          <cell r="P12" t="str">
            <v>B</v>
          </cell>
          <cell r="Q12" t="str">
            <v>PI</v>
          </cell>
          <cell r="R12" t="str">
            <v>PERMANENT</v>
          </cell>
          <cell r="S12" t="str">
            <v>PRM</v>
          </cell>
          <cell r="T12" t="str">
            <v>LC</v>
          </cell>
          <cell r="U12" t="str">
            <v>-</v>
          </cell>
          <cell r="V12" t="str">
            <v>P</v>
          </cell>
          <cell r="W12">
            <v>41</v>
          </cell>
        </row>
        <row r="13">
          <cell r="A13">
            <v>65</v>
          </cell>
          <cell r="B13" t="str">
            <v>000065</v>
          </cell>
          <cell r="C13" t="str">
            <v>RETNO PURWANTI</v>
          </cell>
          <cell r="D13" t="str">
            <v>SAMI</v>
          </cell>
          <cell r="E13" t="str">
            <v>OPT-1</v>
          </cell>
          <cell r="F13">
            <v>37578</v>
          </cell>
          <cell r="G13" t="str">
            <v>-</v>
          </cell>
          <cell r="H13" t="str">
            <v>-</v>
          </cell>
          <cell r="I13" t="str">
            <v>PRD</v>
          </cell>
          <cell r="J13" t="str">
            <v>PRE ASSY</v>
          </cell>
          <cell r="K13" t="str">
            <v>MAZDA 3</v>
          </cell>
          <cell r="L13" t="str">
            <v>MAZDA REAR</v>
          </cell>
          <cell r="M13" t="str">
            <v>CPA MAZDA J03</v>
          </cell>
          <cell r="N13" t="str">
            <v>PRD LINE CHO</v>
          </cell>
          <cell r="O13" t="str">
            <v>FPI LL</v>
          </cell>
          <cell r="P13" t="str">
            <v>B</v>
          </cell>
          <cell r="Q13" t="str">
            <v>PI</v>
          </cell>
          <cell r="R13" t="str">
            <v>PERMANENT</v>
          </cell>
          <cell r="S13" t="str">
            <v>PRM</v>
          </cell>
          <cell r="T13" t="str">
            <v>LC</v>
          </cell>
          <cell r="U13" t="str">
            <v>-</v>
          </cell>
          <cell r="V13" t="str">
            <v>P</v>
          </cell>
          <cell r="W13">
            <v>40</v>
          </cell>
        </row>
        <row r="14">
          <cell r="A14">
            <v>66</v>
          </cell>
          <cell r="B14" t="str">
            <v>000066</v>
          </cell>
          <cell r="C14" t="str">
            <v>NURUL FITRIANI</v>
          </cell>
          <cell r="D14" t="str">
            <v>SAMI</v>
          </cell>
          <cell r="E14" t="str">
            <v>OPT-1</v>
          </cell>
          <cell r="F14">
            <v>37578</v>
          </cell>
          <cell r="G14" t="str">
            <v>-</v>
          </cell>
          <cell r="H14" t="str">
            <v>-</v>
          </cell>
          <cell r="I14" t="str">
            <v>QA</v>
          </cell>
          <cell r="J14" t="str">
            <v>NON LINE</v>
          </cell>
          <cell r="K14" t="str">
            <v>ALL</v>
          </cell>
          <cell r="L14" t="str">
            <v>ALL</v>
          </cell>
          <cell r="M14" t="str">
            <v>PPAP</v>
          </cell>
          <cell r="N14" t="str">
            <v>HDR - ES TEST</v>
          </cell>
          <cell r="O14" t="str">
            <v>PPAP</v>
          </cell>
          <cell r="P14" t="str">
            <v>B</v>
          </cell>
          <cell r="Q14" t="str">
            <v>PS</v>
          </cell>
          <cell r="R14" t="str">
            <v>PERMANENT</v>
          </cell>
          <cell r="S14" t="str">
            <v>PRM</v>
          </cell>
          <cell r="T14" t="str">
            <v>OPT</v>
          </cell>
          <cell r="U14" t="str">
            <v>-</v>
          </cell>
          <cell r="V14" t="str">
            <v>P</v>
          </cell>
          <cell r="W14">
            <v>42</v>
          </cell>
        </row>
        <row r="15">
          <cell r="A15">
            <v>5699</v>
          </cell>
          <cell r="B15" t="str">
            <v>005699</v>
          </cell>
          <cell r="C15" t="str">
            <v>ENDANG PURWANINGSIH</v>
          </cell>
          <cell r="D15" t="str">
            <v>SAMI</v>
          </cell>
          <cell r="E15" t="str">
            <v>OPT-134</v>
          </cell>
          <cell r="F15">
            <v>39098</v>
          </cell>
          <cell r="G15" t="str">
            <v>-</v>
          </cell>
          <cell r="H15" t="str">
            <v>-</v>
          </cell>
          <cell r="I15" t="str">
            <v>PRD</v>
          </cell>
          <cell r="J15" t="str">
            <v>NON LINE</v>
          </cell>
          <cell r="K15" t="str">
            <v>ALL</v>
          </cell>
          <cell r="L15" t="str">
            <v>ALL</v>
          </cell>
          <cell r="M15" t="str">
            <v>BUFFER 2</v>
          </cell>
          <cell r="N15" t="str">
            <v>SUPPORT OUTPUT CUTTING</v>
          </cell>
          <cell r="O15" t="str">
            <v>OTHERS</v>
          </cell>
          <cell r="P15" t="str">
            <v>A (NS)</v>
          </cell>
          <cell r="Q15" t="str">
            <v>PI</v>
          </cell>
          <cell r="R15" t="str">
            <v>PERMANENT</v>
          </cell>
          <cell r="S15" t="str">
            <v>PRM</v>
          </cell>
          <cell r="T15" t="str">
            <v>OPT</v>
          </cell>
          <cell r="U15" t="str">
            <v>-</v>
          </cell>
          <cell r="V15" t="str">
            <v>P</v>
          </cell>
          <cell r="W15">
            <v>39</v>
          </cell>
        </row>
        <row r="16">
          <cell r="A16">
            <v>10207</v>
          </cell>
          <cell r="B16" t="str">
            <v>010207</v>
          </cell>
          <cell r="C16" t="str">
            <v>YENI</v>
          </cell>
          <cell r="D16" t="str">
            <v>SAMI</v>
          </cell>
          <cell r="E16" t="str">
            <v>OPT-253</v>
          </cell>
          <cell r="F16">
            <v>40458</v>
          </cell>
          <cell r="G16" t="str">
            <v>-</v>
          </cell>
          <cell r="H16" t="str">
            <v>-</v>
          </cell>
          <cell r="I16" t="str">
            <v>PRD</v>
          </cell>
          <cell r="J16" t="str">
            <v>NON LINE</v>
          </cell>
          <cell r="K16" t="str">
            <v>ALL</v>
          </cell>
          <cell r="L16" t="str">
            <v>ALL</v>
          </cell>
          <cell r="M16" t="str">
            <v>BUFFER 2</v>
          </cell>
          <cell r="N16" t="str">
            <v>KONTROL OJT LINE</v>
          </cell>
          <cell r="O16" t="str">
            <v>OTHERS</v>
          </cell>
          <cell r="P16" t="str">
            <v>A (NS)</v>
          </cell>
          <cell r="Q16" t="str">
            <v>PI</v>
          </cell>
          <cell r="R16" t="str">
            <v>PERMANENT</v>
          </cell>
          <cell r="S16" t="str">
            <v>PRM</v>
          </cell>
          <cell r="T16" t="str">
            <v>GL</v>
          </cell>
          <cell r="U16" t="str">
            <v>-</v>
          </cell>
          <cell r="V16" t="str">
            <v>P</v>
          </cell>
          <cell r="W16">
            <v>33</v>
          </cell>
        </row>
        <row r="17">
          <cell r="A17">
            <v>77</v>
          </cell>
          <cell r="B17" t="str">
            <v>000077</v>
          </cell>
          <cell r="C17" t="str">
            <v>ZULIKAH</v>
          </cell>
          <cell r="D17" t="str">
            <v>SAMI</v>
          </cell>
          <cell r="E17" t="str">
            <v>OPT-1</v>
          </cell>
          <cell r="F17">
            <v>37578</v>
          </cell>
          <cell r="G17" t="str">
            <v>-</v>
          </cell>
          <cell r="H17" t="str">
            <v>-</v>
          </cell>
          <cell r="I17" t="str">
            <v>PRD</v>
          </cell>
          <cell r="J17" t="str">
            <v>PRE ASSY</v>
          </cell>
          <cell r="K17" t="str">
            <v>SUZUKI WAGON R/HUSTLER</v>
          </cell>
          <cell r="L17" t="str">
            <v>SUZUKI YW0/Y0C/YEV</v>
          </cell>
          <cell r="M17" t="str">
            <v>CPA SUZUKI</v>
          </cell>
          <cell r="N17" t="str">
            <v>SUB LINE CHO</v>
          </cell>
          <cell r="O17" t="str">
            <v>GL</v>
          </cell>
          <cell r="P17" t="str">
            <v>B</v>
          </cell>
          <cell r="Q17" t="str">
            <v>PI</v>
          </cell>
          <cell r="R17" t="str">
            <v>PERMANENT</v>
          </cell>
          <cell r="S17" t="str">
            <v>PRM</v>
          </cell>
          <cell r="T17" t="str">
            <v>SLC</v>
          </cell>
          <cell r="U17" t="str">
            <v>-</v>
          </cell>
          <cell r="V17" t="str">
            <v>P</v>
          </cell>
          <cell r="W17">
            <v>41</v>
          </cell>
        </row>
        <row r="18">
          <cell r="A18">
            <v>10258</v>
          </cell>
          <cell r="B18" t="str">
            <v>010258</v>
          </cell>
          <cell r="C18" t="str">
            <v>SARIYATI</v>
          </cell>
          <cell r="D18" t="str">
            <v>SAMI</v>
          </cell>
          <cell r="E18" t="str">
            <v>OPT-261</v>
          </cell>
          <cell r="F18">
            <v>40497</v>
          </cell>
          <cell r="G18" t="str">
            <v>-</v>
          </cell>
          <cell r="H18" t="str">
            <v>-</v>
          </cell>
          <cell r="I18" t="str">
            <v>PRD</v>
          </cell>
          <cell r="J18" t="str">
            <v>NON LINE</v>
          </cell>
          <cell r="K18" t="str">
            <v>ALL</v>
          </cell>
          <cell r="L18" t="str">
            <v>ALL</v>
          </cell>
          <cell r="M18" t="str">
            <v>BUFFER 2</v>
          </cell>
          <cell r="N18" t="str">
            <v>SUPPORT WIRE LOSS</v>
          </cell>
          <cell r="O18" t="str">
            <v>OTHERS</v>
          </cell>
          <cell r="P18" t="str">
            <v>A (NS)</v>
          </cell>
          <cell r="Q18" t="str">
            <v>PI</v>
          </cell>
          <cell r="R18" t="str">
            <v>PERMANENT</v>
          </cell>
          <cell r="S18" t="str">
            <v>PRM</v>
          </cell>
          <cell r="T18" t="str">
            <v>OPT</v>
          </cell>
          <cell r="U18" t="str">
            <v>-</v>
          </cell>
          <cell r="V18" t="str">
            <v>P</v>
          </cell>
          <cell r="W18">
            <v>33</v>
          </cell>
        </row>
        <row r="19">
          <cell r="A19">
            <v>11404</v>
          </cell>
          <cell r="B19" t="str">
            <v>011404</v>
          </cell>
          <cell r="C19" t="str">
            <v>ANNA TRIWININGSIH</v>
          </cell>
          <cell r="D19" t="str">
            <v>SAMI</v>
          </cell>
          <cell r="E19" t="str">
            <v>OPT-306</v>
          </cell>
          <cell r="F19">
            <v>40701</v>
          </cell>
          <cell r="G19" t="str">
            <v>-</v>
          </cell>
          <cell r="H19" t="str">
            <v>-</v>
          </cell>
          <cell r="I19" t="str">
            <v>PRD</v>
          </cell>
          <cell r="J19" t="str">
            <v>NON LINE</v>
          </cell>
          <cell r="K19" t="str">
            <v>ALL</v>
          </cell>
          <cell r="L19" t="str">
            <v>ALL</v>
          </cell>
          <cell r="M19" t="str">
            <v>BUFFER 2</v>
          </cell>
          <cell r="N19" t="str">
            <v>KONTROL OJT LINE</v>
          </cell>
          <cell r="O19" t="str">
            <v>OTHERS</v>
          </cell>
          <cell r="P19" t="str">
            <v>A (NS)</v>
          </cell>
          <cell r="Q19" t="str">
            <v>PI</v>
          </cell>
          <cell r="R19" t="str">
            <v>PERMANENT</v>
          </cell>
          <cell r="S19" t="str">
            <v>PRM</v>
          </cell>
          <cell r="T19" t="str">
            <v>OPT</v>
          </cell>
          <cell r="U19" t="str">
            <v>-</v>
          </cell>
          <cell r="V19" t="str">
            <v>P</v>
          </cell>
          <cell r="W19">
            <v>31</v>
          </cell>
        </row>
        <row r="20">
          <cell r="A20">
            <v>11416</v>
          </cell>
          <cell r="B20" t="str">
            <v>011416</v>
          </cell>
          <cell r="C20" t="str">
            <v>DIAN SAPUTRI</v>
          </cell>
          <cell r="D20" t="str">
            <v>SAMI</v>
          </cell>
          <cell r="E20" t="str">
            <v>OPT-306</v>
          </cell>
          <cell r="F20">
            <v>40701</v>
          </cell>
          <cell r="G20" t="str">
            <v>-</v>
          </cell>
          <cell r="H20" t="str">
            <v>-</v>
          </cell>
          <cell r="I20" t="str">
            <v>PRD</v>
          </cell>
          <cell r="J20" t="str">
            <v>NON LINE</v>
          </cell>
          <cell r="K20" t="str">
            <v>ALL</v>
          </cell>
          <cell r="L20" t="str">
            <v>ALL</v>
          </cell>
          <cell r="M20" t="str">
            <v>BUFFER 2</v>
          </cell>
          <cell r="N20" t="str">
            <v>SUPPORT PART JATUH</v>
          </cell>
          <cell r="O20" t="str">
            <v>OTHERS</v>
          </cell>
          <cell r="P20" t="str">
            <v>A (NS)</v>
          </cell>
          <cell r="Q20" t="str">
            <v>PI</v>
          </cell>
          <cell r="R20" t="str">
            <v>PERMANENT</v>
          </cell>
          <cell r="S20" t="str">
            <v>PRM</v>
          </cell>
          <cell r="T20" t="str">
            <v>OPT</v>
          </cell>
          <cell r="U20" t="str">
            <v>-</v>
          </cell>
          <cell r="V20" t="str">
            <v>P</v>
          </cell>
          <cell r="W20">
            <v>30</v>
          </cell>
        </row>
        <row r="21">
          <cell r="A21">
            <v>119</v>
          </cell>
          <cell r="B21" t="str">
            <v>000119</v>
          </cell>
          <cell r="C21" t="str">
            <v>SRI SURAMI</v>
          </cell>
          <cell r="D21" t="str">
            <v>SAMI</v>
          </cell>
          <cell r="E21" t="str">
            <v>OPT-3</v>
          </cell>
          <cell r="F21">
            <v>37627</v>
          </cell>
          <cell r="G21" t="str">
            <v>-</v>
          </cell>
          <cell r="H21" t="str">
            <v>-</v>
          </cell>
          <cell r="I21" t="str">
            <v>LOG</v>
          </cell>
          <cell r="J21" t="str">
            <v>PPIC</v>
          </cell>
          <cell r="K21" t="str">
            <v>ALL</v>
          </cell>
          <cell r="L21" t="str">
            <v>ALL</v>
          </cell>
          <cell r="M21" t="str">
            <v>PPIC</v>
          </cell>
          <cell r="N21" t="str">
            <v>Production Planning Control (PPC)
(include Final assy kanban loading)</v>
          </cell>
          <cell r="O21" t="str">
            <v>FPS LL</v>
          </cell>
          <cell r="P21" t="str">
            <v>A (NS)</v>
          </cell>
          <cell r="Q21" t="str">
            <v>PS</v>
          </cell>
          <cell r="R21" t="str">
            <v>PERMANENT</v>
          </cell>
          <cell r="S21" t="str">
            <v>PRM</v>
          </cell>
          <cell r="T21" t="str">
            <v>LL</v>
          </cell>
          <cell r="U21" t="str">
            <v>-</v>
          </cell>
          <cell r="V21" t="str">
            <v>P</v>
          </cell>
          <cell r="W21">
            <v>41</v>
          </cell>
        </row>
        <row r="22">
          <cell r="A22">
            <v>121</v>
          </cell>
          <cell r="B22" t="str">
            <v>000121</v>
          </cell>
          <cell r="C22" t="str">
            <v>SUSANTI</v>
          </cell>
          <cell r="D22" t="str">
            <v>SAMI</v>
          </cell>
          <cell r="E22" t="str">
            <v>SPV UP</v>
          </cell>
          <cell r="F22">
            <v>37627</v>
          </cell>
          <cell r="G22" t="str">
            <v>-</v>
          </cell>
          <cell r="H22" t="str">
            <v>-</v>
          </cell>
          <cell r="I22" t="str">
            <v>PRD</v>
          </cell>
          <cell r="J22" t="str">
            <v>PRE ASSY</v>
          </cell>
          <cell r="K22" t="str">
            <v>ALL</v>
          </cell>
          <cell r="L22" t="str">
            <v>ALL</v>
          </cell>
          <cell r="M22" t="str">
            <v>SUPERVISOR CPA</v>
          </cell>
          <cell r="N22" t="str">
            <v>ALL CUTTING PRE ASSY &amp; CUTTING TUBE</v>
          </cell>
          <cell r="O22" t="str">
            <v>FPI SPV</v>
          </cell>
          <cell r="P22" t="str">
            <v>B</v>
          </cell>
          <cell r="Q22" t="str">
            <v>PI</v>
          </cell>
          <cell r="R22" t="str">
            <v>PERMANENT</v>
          </cell>
          <cell r="S22" t="str">
            <v>PRM</v>
          </cell>
          <cell r="T22" t="str">
            <v>SPV</v>
          </cell>
          <cell r="U22" t="str">
            <v>-</v>
          </cell>
          <cell r="V22" t="str">
            <v>P</v>
          </cell>
          <cell r="W22">
            <v>42</v>
          </cell>
        </row>
        <row r="23">
          <cell r="A23">
            <v>11587</v>
          </cell>
          <cell r="B23" t="str">
            <v>011587</v>
          </cell>
          <cell r="C23" t="str">
            <v>NUR KHOLIFAH</v>
          </cell>
          <cell r="D23" t="str">
            <v>SAMI</v>
          </cell>
          <cell r="E23" t="str">
            <v>OPT-307</v>
          </cell>
          <cell r="F23">
            <v>40707</v>
          </cell>
          <cell r="G23" t="str">
            <v>-</v>
          </cell>
          <cell r="H23" t="str">
            <v>-</v>
          </cell>
          <cell r="I23" t="str">
            <v>PRD</v>
          </cell>
          <cell r="J23" t="str">
            <v>NON LINE</v>
          </cell>
          <cell r="K23" t="str">
            <v>ALL</v>
          </cell>
          <cell r="L23" t="str">
            <v>ALL</v>
          </cell>
          <cell r="M23" t="str">
            <v>BUFFER 2</v>
          </cell>
          <cell r="N23" t="str">
            <v>KONTROL OJT LINE</v>
          </cell>
          <cell r="O23" t="str">
            <v>OTHERS</v>
          </cell>
          <cell r="P23" t="str">
            <v>A (NS)</v>
          </cell>
          <cell r="Q23" t="str">
            <v>PI</v>
          </cell>
          <cell r="R23" t="str">
            <v>PERMANENT</v>
          </cell>
          <cell r="S23" t="str">
            <v>PRM</v>
          </cell>
          <cell r="T23" t="str">
            <v>PJK</v>
          </cell>
          <cell r="U23" t="str">
            <v>-</v>
          </cell>
          <cell r="V23" t="str">
            <v>P</v>
          </cell>
          <cell r="W23">
            <v>32</v>
          </cell>
        </row>
        <row r="24">
          <cell r="A24">
            <v>146</v>
          </cell>
          <cell r="B24" t="str">
            <v>000146</v>
          </cell>
          <cell r="C24" t="str">
            <v>NUNUNG HANDAYANI</v>
          </cell>
          <cell r="D24" t="str">
            <v>SAMI</v>
          </cell>
          <cell r="E24" t="str">
            <v>OPT-4</v>
          </cell>
          <cell r="F24">
            <v>37637</v>
          </cell>
          <cell r="G24" t="str">
            <v>-</v>
          </cell>
          <cell r="H24" t="str">
            <v>-</v>
          </cell>
          <cell r="I24" t="str">
            <v>PRD</v>
          </cell>
          <cell r="J24" t="str">
            <v>FINAL ASSY</v>
          </cell>
          <cell r="K24" t="str">
            <v>MAZDA ATENZA</v>
          </cell>
          <cell r="L24" t="str">
            <v>MAZDA J72A</v>
          </cell>
          <cell r="M24" t="str">
            <v>CV M03</v>
          </cell>
          <cell r="N24" t="str">
            <v>BFT</v>
          </cell>
          <cell r="O24" t="str">
            <v>ASSEMBLY</v>
          </cell>
          <cell r="P24" t="str">
            <v>B</v>
          </cell>
          <cell r="Q24" t="str">
            <v>DL</v>
          </cell>
          <cell r="R24" t="str">
            <v>PERMANENT</v>
          </cell>
          <cell r="S24" t="str">
            <v>PRM</v>
          </cell>
          <cell r="T24" t="str">
            <v>ADM</v>
          </cell>
          <cell r="U24" t="str">
            <v>-</v>
          </cell>
          <cell r="V24" t="str">
            <v>P</v>
          </cell>
          <cell r="W24">
            <v>41</v>
          </cell>
        </row>
        <row r="25">
          <cell r="A25">
            <v>148</v>
          </cell>
          <cell r="B25" t="str">
            <v>000148</v>
          </cell>
          <cell r="C25" t="str">
            <v>NURUL ZUNI ASIYAM</v>
          </cell>
          <cell r="D25" t="str">
            <v>SAMI</v>
          </cell>
          <cell r="E25" t="str">
            <v>SPV UP</v>
          </cell>
          <cell r="F25">
            <v>37637</v>
          </cell>
          <cell r="G25" t="str">
            <v>-</v>
          </cell>
          <cell r="H25" t="str">
            <v>-</v>
          </cell>
          <cell r="I25" t="str">
            <v>PE</v>
          </cell>
          <cell r="J25" t="str">
            <v>MTP</v>
          </cell>
          <cell r="K25" t="str">
            <v>ALL</v>
          </cell>
          <cell r="L25" t="str">
            <v>ALL</v>
          </cell>
          <cell r="M25" t="str">
            <v>MTP</v>
          </cell>
          <cell r="N25" t="str">
            <v>COORD. SUPERVISOR (MAGANG)</v>
          </cell>
          <cell r="O25" t="str">
            <v>FPS SPV</v>
          </cell>
          <cell r="P25" t="str">
            <v>A (NS)</v>
          </cell>
          <cell r="Q25" t="str">
            <v>PS</v>
          </cell>
          <cell r="R25" t="str">
            <v>PERMANENT</v>
          </cell>
          <cell r="S25" t="str">
            <v>PRM</v>
          </cell>
          <cell r="T25" t="str">
            <v>CSPV</v>
          </cell>
          <cell r="U25" t="str">
            <v>-</v>
          </cell>
          <cell r="V25" t="str">
            <v>P</v>
          </cell>
          <cell r="W25">
            <v>40</v>
          </cell>
        </row>
        <row r="26">
          <cell r="A26">
            <v>11647</v>
          </cell>
          <cell r="B26" t="str">
            <v>011647</v>
          </cell>
          <cell r="C26" t="str">
            <v>YUNITA APRIYANI</v>
          </cell>
          <cell r="D26" t="str">
            <v>SAMI</v>
          </cell>
          <cell r="E26" t="str">
            <v>OPT-307</v>
          </cell>
          <cell r="F26">
            <v>40707</v>
          </cell>
          <cell r="G26" t="str">
            <v>-</v>
          </cell>
          <cell r="H26" t="str">
            <v>-</v>
          </cell>
          <cell r="I26" t="str">
            <v>PRD</v>
          </cell>
          <cell r="J26" t="str">
            <v>NON LINE</v>
          </cell>
          <cell r="K26" t="str">
            <v>ALL</v>
          </cell>
          <cell r="L26" t="str">
            <v>ALL</v>
          </cell>
          <cell r="M26" t="str">
            <v>BUFFER 2</v>
          </cell>
          <cell r="N26" t="str">
            <v>KONTROL OJT LINE</v>
          </cell>
          <cell r="O26" t="str">
            <v>OTHERS</v>
          </cell>
          <cell r="P26" t="str">
            <v>A (NS)</v>
          </cell>
          <cell r="Q26" t="str">
            <v>PI</v>
          </cell>
          <cell r="R26" t="str">
            <v>PERMANENT</v>
          </cell>
          <cell r="S26" t="str">
            <v>PRM</v>
          </cell>
          <cell r="T26" t="str">
            <v>OPT</v>
          </cell>
          <cell r="U26" t="str">
            <v>-</v>
          </cell>
          <cell r="V26" t="str">
            <v>P</v>
          </cell>
          <cell r="W26">
            <v>31</v>
          </cell>
        </row>
        <row r="27">
          <cell r="A27">
            <v>160</v>
          </cell>
          <cell r="B27" t="str">
            <v>000160</v>
          </cell>
          <cell r="C27" t="str">
            <v>ARIYAWATI</v>
          </cell>
          <cell r="D27" t="str">
            <v>SAMI</v>
          </cell>
          <cell r="E27" t="str">
            <v>OPT-5</v>
          </cell>
          <cell r="F27">
            <v>37679</v>
          </cell>
          <cell r="G27" t="str">
            <v>-</v>
          </cell>
          <cell r="H27" t="str">
            <v>-</v>
          </cell>
          <cell r="I27" t="str">
            <v>LOG</v>
          </cell>
          <cell r="J27" t="str">
            <v>L. DOCK</v>
          </cell>
          <cell r="K27" t="str">
            <v>ALL</v>
          </cell>
          <cell r="L27" t="str">
            <v>ALL</v>
          </cell>
          <cell r="M27" t="str">
            <v>L. DOCK</v>
          </cell>
          <cell r="N27" t="str">
            <v>LEADER DOC</v>
          </cell>
          <cell r="O27" t="str">
            <v>FPS LL</v>
          </cell>
          <cell r="P27" t="str">
            <v>A (NS)</v>
          </cell>
          <cell r="Q27" t="str">
            <v>PS</v>
          </cell>
          <cell r="R27" t="str">
            <v>PERMANENT</v>
          </cell>
          <cell r="S27" t="str">
            <v>PRM</v>
          </cell>
          <cell r="T27" t="str">
            <v>LL</v>
          </cell>
          <cell r="U27" t="str">
            <v>-</v>
          </cell>
          <cell r="V27" t="str">
            <v>P</v>
          </cell>
          <cell r="W27">
            <v>43</v>
          </cell>
        </row>
        <row r="28">
          <cell r="A28">
            <v>11881</v>
          </cell>
          <cell r="B28" t="str">
            <v>011881</v>
          </cell>
          <cell r="C28" t="str">
            <v>NIHAYATUL CHASANAH</v>
          </cell>
          <cell r="D28" t="str">
            <v>SAMI</v>
          </cell>
          <cell r="E28" t="str">
            <v>OPT-310</v>
          </cell>
          <cell r="F28">
            <v>40735</v>
          </cell>
          <cell r="G28" t="str">
            <v>-</v>
          </cell>
          <cell r="H28" t="str">
            <v>-</v>
          </cell>
          <cell r="I28" t="str">
            <v>PRD</v>
          </cell>
          <cell r="J28" t="str">
            <v>NON LINE</v>
          </cell>
          <cell r="K28" t="str">
            <v>ALL</v>
          </cell>
          <cell r="L28" t="str">
            <v>ALL</v>
          </cell>
          <cell r="M28" t="str">
            <v>BUFFER 2</v>
          </cell>
          <cell r="N28" t="str">
            <v>KONTROL OJT LINE</v>
          </cell>
          <cell r="O28" t="str">
            <v>OTHERS</v>
          </cell>
          <cell r="P28" t="str">
            <v>A (NS)</v>
          </cell>
          <cell r="Q28" t="str">
            <v>PI</v>
          </cell>
          <cell r="R28" t="str">
            <v>PERMANENT</v>
          </cell>
          <cell r="S28" t="str">
            <v>PRM</v>
          </cell>
          <cell r="T28" t="str">
            <v>OPT</v>
          </cell>
          <cell r="U28" t="str">
            <v>-</v>
          </cell>
          <cell r="V28" t="str">
            <v>P</v>
          </cell>
          <cell r="W28">
            <v>31</v>
          </cell>
        </row>
        <row r="29">
          <cell r="A29">
            <v>21249</v>
          </cell>
          <cell r="B29" t="str">
            <v>021249</v>
          </cell>
          <cell r="C29" t="str">
            <v>RADZIATUL FITRIANI</v>
          </cell>
          <cell r="D29" t="str">
            <v>SAMI</v>
          </cell>
          <cell r="E29" t="str">
            <v>OPT-525</v>
          </cell>
          <cell r="F29">
            <v>42893</v>
          </cell>
          <cell r="G29" t="str">
            <v>-</v>
          </cell>
          <cell r="H29" t="str">
            <v>-</v>
          </cell>
          <cell r="I29" t="str">
            <v>PRD</v>
          </cell>
          <cell r="J29" t="str">
            <v>NON LINE</v>
          </cell>
          <cell r="K29" t="str">
            <v>ALL</v>
          </cell>
          <cell r="L29" t="str">
            <v>ALL</v>
          </cell>
          <cell r="M29" t="str">
            <v>BUFFER 2</v>
          </cell>
          <cell r="N29" t="str">
            <v>KONTROL OJT LINE</v>
          </cell>
          <cell r="O29" t="str">
            <v>OTHERS</v>
          </cell>
          <cell r="P29" t="str">
            <v>A (NS)</v>
          </cell>
          <cell r="Q29" t="str">
            <v>PI</v>
          </cell>
          <cell r="R29" t="str">
            <v>PERMANENT</v>
          </cell>
          <cell r="S29" t="str">
            <v>PRM</v>
          </cell>
          <cell r="T29" t="str">
            <v>PJK</v>
          </cell>
          <cell r="U29" t="str">
            <v>-</v>
          </cell>
          <cell r="V29" t="str">
            <v>P</v>
          </cell>
          <cell r="W29">
            <v>26</v>
          </cell>
        </row>
        <row r="30">
          <cell r="A30">
            <v>169</v>
          </cell>
          <cell r="B30" t="str">
            <v>000169</v>
          </cell>
          <cell r="C30" t="str">
            <v>ELIS SUWARTINI</v>
          </cell>
          <cell r="D30" t="str">
            <v>SAMI</v>
          </cell>
          <cell r="E30" t="str">
            <v>OPT-5</v>
          </cell>
          <cell r="F30">
            <v>37679</v>
          </cell>
          <cell r="G30" t="str">
            <v>-</v>
          </cell>
          <cell r="H30" t="str">
            <v>-</v>
          </cell>
          <cell r="I30" t="str">
            <v>QA</v>
          </cell>
          <cell r="J30" t="str">
            <v>FINAL ASSY</v>
          </cell>
          <cell r="K30" t="str">
            <v>MAZDA ATENZA</v>
          </cell>
          <cell r="L30" t="str">
            <v>MAZDA J72A</v>
          </cell>
          <cell r="M30" t="str">
            <v>CV M03</v>
          </cell>
          <cell r="N30" t="str">
            <v>PJK INSP</v>
          </cell>
          <cell r="O30" t="str">
            <v>RELIEF</v>
          </cell>
          <cell r="P30" t="str">
            <v>A</v>
          </cell>
          <cell r="Q30" t="str">
            <v>PI</v>
          </cell>
          <cell r="R30" t="str">
            <v>PERMANENT</v>
          </cell>
          <cell r="S30" t="str">
            <v>PRM</v>
          </cell>
          <cell r="T30" t="str">
            <v>PJK</v>
          </cell>
          <cell r="U30" t="str">
            <v>-</v>
          </cell>
          <cell r="V30" t="str">
            <v>P</v>
          </cell>
          <cell r="W30">
            <v>40</v>
          </cell>
        </row>
        <row r="31">
          <cell r="A31">
            <v>181</v>
          </cell>
          <cell r="B31" t="str">
            <v>000181</v>
          </cell>
          <cell r="C31" t="str">
            <v>RENI OFARA</v>
          </cell>
          <cell r="D31" t="str">
            <v>SAMI</v>
          </cell>
          <cell r="E31" t="str">
            <v>OPT-5</v>
          </cell>
          <cell r="F31">
            <v>37679</v>
          </cell>
          <cell r="G31" t="str">
            <v>-</v>
          </cell>
          <cell r="H31" t="str">
            <v>-</v>
          </cell>
          <cell r="I31" t="str">
            <v>QA</v>
          </cell>
          <cell r="J31" t="str">
            <v>NON LINE</v>
          </cell>
          <cell r="K31" t="str">
            <v>ALL</v>
          </cell>
          <cell r="L31" t="str">
            <v>SUZUKI &amp; MAZDA , All GL Rework, All PJK</v>
          </cell>
          <cell r="M31" t="str">
            <v>QA LL</v>
          </cell>
          <cell r="N31" t="str">
            <v>QA LINE LEADER</v>
          </cell>
          <cell r="O31" t="str">
            <v>FPI LL</v>
          </cell>
          <cell r="P31" t="str">
            <v>B</v>
          </cell>
          <cell r="Q31" t="str">
            <v>PI</v>
          </cell>
          <cell r="R31" t="str">
            <v>PERMANENT</v>
          </cell>
          <cell r="S31" t="str">
            <v>PRM</v>
          </cell>
          <cell r="T31" t="str">
            <v>LL</v>
          </cell>
          <cell r="U31" t="str">
            <v>-</v>
          </cell>
          <cell r="V31" t="str">
            <v>P</v>
          </cell>
          <cell r="W31">
            <v>40</v>
          </cell>
        </row>
        <row r="32">
          <cell r="A32">
            <v>182</v>
          </cell>
          <cell r="B32" t="str">
            <v>000182</v>
          </cell>
          <cell r="C32" t="str">
            <v>RETNONINGSIH</v>
          </cell>
          <cell r="D32" t="str">
            <v>SAMI</v>
          </cell>
          <cell r="E32" t="str">
            <v>OPT-5</v>
          </cell>
          <cell r="F32">
            <v>37679</v>
          </cell>
          <cell r="G32" t="str">
            <v>-</v>
          </cell>
          <cell r="H32" t="str">
            <v>-</v>
          </cell>
          <cell r="I32" t="str">
            <v>QA</v>
          </cell>
          <cell r="J32" t="str">
            <v>NON LINE</v>
          </cell>
          <cell r="K32" t="str">
            <v>ALL</v>
          </cell>
          <cell r="L32" t="str">
            <v>ALL</v>
          </cell>
          <cell r="M32" t="str">
            <v>RCV - CANDI</v>
          </cell>
          <cell r="N32" t="str">
            <v>SAMPLING &amp; CHECK 100%</v>
          </cell>
          <cell r="O32" t="str">
            <v>RCV</v>
          </cell>
          <cell r="P32" t="str">
            <v>B</v>
          </cell>
          <cell r="Q32" t="str">
            <v>PS</v>
          </cell>
          <cell r="R32" t="str">
            <v>PERMANENT</v>
          </cell>
          <cell r="S32" t="str">
            <v>PRM</v>
          </cell>
          <cell r="T32" t="str">
            <v>OPT</v>
          </cell>
          <cell r="U32" t="str">
            <v>-</v>
          </cell>
          <cell r="V32" t="str">
            <v>P</v>
          </cell>
          <cell r="W32">
            <v>40</v>
          </cell>
        </row>
        <row r="33">
          <cell r="A33">
            <v>22417</v>
          </cell>
          <cell r="B33" t="str">
            <v>022417</v>
          </cell>
          <cell r="C33" t="str">
            <v>SARI ASTRIYANI</v>
          </cell>
          <cell r="D33" t="str">
            <v>SAMI</v>
          </cell>
          <cell r="E33" t="str">
            <v>OPT-558</v>
          </cell>
          <cell r="F33">
            <v>43213</v>
          </cell>
          <cell r="G33" t="str">
            <v>-</v>
          </cell>
          <cell r="H33" t="str">
            <v>-</v>
          </cell>
          <cell r="I33" t="str">
            <v>PRD</v>
          </cell>
          <cell r="J33" t="str">
            <v>NON LINE</v>
          </cell>
          <cell r="K33" t="str">
            <v>ALL</v>
          </cell>
          <cell r="L33" t="str">
            <v>ALL</v>
          </cell>
          <cell r="M33" t="str">
            <v>BUFFER 2</v>
          </cell>
          <cell r="N33" t="str">
            <v>KONTROL OJT LINE</v>
          </cell>
          <cell r="O33" t="str">
            <v>OTHERS</v>
          </cell>
          <cell r="P33" t="str">
            <v>A (NS)</v>
          </cell>
          <cell r="Q33" t="str">
            <v>PI</v>
          </cell>
          <cell r="R33" t="str">
            <v>PERMANENT</v>
          </cell>
          <cell r="S33" t="str">
            <v>PRM</v>
          </cell>
          <cell r="T33" t="str">
            <v>PJK</v>
          </cell>
          <cell r="U33" t="str">
            <v>-</v>
          </cell>
          <cell r="V33" t="str">
            <v>P</v>
          </cell>
          <cell r="W33">
            <v>28</v>
          </cell>
        </row>
        <row r="34">
          <cell r="A34" t="str">
            <v>B00142</v>
          </cell>
          <cell r="B34" t="str">
            <v>B00142</v>
          </cell>
          <cell r="C34" t="str">
            <v>KALIMATU SA'ADAH</v>
          </cell>
          <cell r="D34" t="str">
            <v>SAMI</v>
          </cell>
          <cell r="E34" t="str">
            <v>BBF-003</v>
          </cell>
          <cell r="F34">
            <v>40840</v>
          </cell>
          <cell r="G34" t="str">
            <v>-</v>
          </cell>
          <cell r="H34" t="str">
            <v>-</v>
          </cell>
          <cell r="I34" t="str">
            <v>PRD</v>
          </cell>
          <cell r="J34" t="str">
            <v>NON LINE</v>
          </cell>
          <cell r="K34" t="str">
            <v>ALL</v>
          </cell>
          <cell r="L34" t="str">
            <v>ALL</v>
          </cell>
          <cell r="M34" t="str">
            <v>BUFFER 2</v>
          </cell>
          <cell r="N34" t="str">
            <v>SUPPORT OUTPUT CUTTING</v>
          </cell>
          <cell r="O34" t="str">
            <v>OTHERS</v>
          </cell>
          <cell r="P34" t="str">
            <v>A (NS)</v>
          </cell>
          <cell r="Q34" t="str">
            <v>PI</v>
          </cell>
          <cell r="R34" t="str">
            <v>PERMANENT</v>
          </cell>
          <cell r="S34" t="str">
            <v>PRM</v>
          </cell>
          <cell r="T34" t="str">
            <v>OPT</v>
          </cell>
          <cell r="U34" t="str">
            <v>-</v>
          </cell>
          <cell r="V34" t="str">
            <v>P</v>
          </cell>
          <cell r="W34">
            <v>38</v>
          </cell>
        </row>
        <row r="35">
          <cell r="A35">
            <v>190</v>
          </cell>
          <cell r="B35" t="str">
            <v>000190</v>
          </cell>
          <cell r="C35" t="str">
            <v>UMI HANIK</v>
          </cell>
          <cell r="D35" t="str">
            <v>SAMI</v>
          </cell>
          <cell r="E35" t="str">
            <v>OPT-5</v>
          </cell>
          <cell r="F35">
            <v>37679</v>
          </cell>
          <cell r="G35" t="str">
            <v>-</v>
          </cell>
          <cell r="H35" t="str">
            <v>-</v>
          </cell>
          <cell r="I35" t="str">
            <v>PRD</v>
          </cell>
          <cell r="J35" t="str">
            <v>NON LINE</v>
          </cell>
          <cell r="K35" t="str">
            <v>ALL</v>
          </cell>
          <cell r="L35" t="str">
            <v>ALL</v>
          </cell>
          <cell r="M35" t="str">
            <v>TRAINER 2</v>
          </cell>
          <cell r="N35" t="str">
            <v>KONTROL OJT LINE</v>
          </cell>
          <cell r="O35" t="str">
            <v>GL</v>
          </cell>
          <cell r="P35" t="str">
            <v>B</v>
          </cell>
          <cell r="Q35" t="str">
            <v>PI</v>
          </cell>
          <cell r="R35" t="str">
            <v>PERMANENT</v>
          </cell>
          <cell r="S35" t="str">
            <v>PRM</v>
          </cell>
          <cell r="T35" t="str">
            <v>GL</v>
          </cell>
          <cell r="U35" t="str">
            <v>-</v>
          </cell>
          <cell r="V35" t="str">
            <v>P</v>
          </cell>
          <cell r="W35">
            <v>42</v>
          </cell>
        </row>
        <row r="36">
          <cell r="A36">
            <v>197</v>
          </cell>
          <cell r="B36" t="str">
            <v>000197</v>
          </cell>
          <cell r="C36" t="str">
            <v>EDY ISMANTO</v>
          </cell>
          <cell r="D36" t="str">
            <v>SAMI</v>
          </cell>
          <cell r="E36" t="str">
            <v>TKN-2</v>
          </cell>
          <cell r="F36">
            <v>37679</v>
          </cell>
          <cell r="G36" t="str">
            <v>-</v>
          </cell>
          <cell r="H36" t="str">
            <v>-</v>
          </cell>
          <cell r="I36" t="str">
            <v>PE</v>
          </cell>
          <cell r="J36" t="str">
            <v>MTC</v>
          </cell>
          <cell r="K36" t="str">
            <v>ALL</v>
          </cell>
          <cell r="L36" t="str">
            <v>ALL</v>
          </cell>
          <cell r="M36" t="str">
            <v>MODIF</v>
          </cell>
          <cell r="N36" t="str">
            <v>LEADER PREPARATION &amp; IMPROVEMENT</v>
          </cell>
          <cell r="O36" t="str">
            <v>FPS LL</v>
          </cell>
          <cell r="P36" t="str">
            <v>A (NS)</v>
          </cell>
          <cell r="Q36" t="str">
            <v>PS</v>
          </cell>
          <cell r="R36" t="str">
            <v>PERMANENT</v>
          </cell>
          <cell r="S36" t="str">
            <v>PRM</v>
          </cell>
          <cell r="T36" t="str">
            <v>LL</v>
          </cell>
          <cell r="U36" t="str">
            <v>-</v>
          </cell>
          <cell r="V36" t="str">
            <v>L</v>
          </cell>
          <cell r="W36">
            <v>41</v>
          </cell>
        </row>
        <row r="37">
          <cell r="A37">
            <v>198</v>
          </cell>
          <cell r="B37" t="str">
            <v>000198</v>
          </cell>
          <cell r="C37" t="str">
            <v>AGUS TRIYONO</v>
          </cell>
          <cell r="D37" t="str">
            <v>SAMI</v>
          </cell>
          <cell r="E37" t="str">
            <v>TKN-2</v>
          </cell>
          <cell r="F37">
            <v>37679</v>
          </cell>
          <cell r="G37" t="str">
            <v>-</v>
          </cell>
          <cell r="H37" t="str">
            <v>-</v>
          </cell>
          <cell r="I37" t="str">
            <v>PE</v>
          </cell>
          <cell r="J37" t="str">
            <v>MTC</v>
          </cell>
          <cell r="K37" t="str">
            <v>ALL</v>
          </cell>
          <cell r="L37" t="str">
            <v>ALL</v>
          </cell>
          <cell r="M37" t="str">
            <v>MESIN LOADING</v>
          </cell>
          <cell r="N37" t="str">
            <v>ANALISA DATA CARLINE, PROJECT</v>
          </cell>
          <cell r="O37" t="str">
            <v>CRIMP STD</v>
          </cell>
          <cell r="P37" t="str">
            <v>A (NS)</v>
          </cell>
          <cell r="Q37" t="str">
            <v>PS</v>
          </cell>
          <cell r="R37" t="str">
            <v>PERMANENT</v>
          </cell>
          <cell r="S37" t="str">
            <v>PRM</v>
          </cell>
          <cell r="T37" t="str">
            <v>TKN</v>
          </cell>
          <cell r="U37" t="str">
            <v>-</v>
          </cell>
          <cell r="V37" t="str">
            <v>L</v>
          </cell>
          <cell r="W37">
            <v>42</v>
          </cell>
        </row>
        <row r="38">
          <cell r="A38">
            <v>199</v>
          </cell>
          <cell r="B38" t="str">
            <v>000199</v>
          </cell>
          <cell r="C38" t="str">
            <v>HARYONO SUBROTO</v>
          </cell>
          <cell r="D38" t="str">
            <v>SAMI</v>
          </cell>
          <cell r="E38" t="str">
            <v>TKN-2</v>
          </cell>
          <cell r="F38">
            <v>37679</v>
          </cell>
          <cell r="G38" t="str">
            <v>-</v>
          </cell>
          <cell r="H38" t="str">
            <v>-</v>
          </cell>
          <cell r="I38" t="str">
            <v>PE</v>
          </cell>
          <cell r="J38" t="str">
            <v>MTC</v>
          </cell>
          <cell r="K38" t="str">
            <v>ALL</v>
          </cell>
          <cell r="L38" t="str">
            <v>ALL</v>
          </cell>
          <cell r="M38" t="str">
            <v>CT</v>
          </cell>
          <cell r="N38" t="str">
            <v>LEADER PREPARATION CT</v>
          </cell>
          <cell r="O38" t="str">
            <v>FPS LL</v>
          </cell>
          <cell r="P38" t="str">
            <v>A (NS)</v>
          </cell>
          <cell r="Q38" t="str">
            <v>PS</v>
          </cell>
          <cell r="R38" t="str">
            <v>PERMANENT</v>
          </cell>
          <cell r="S38" t="str">
            <v>PRM</v>
          </cell>
          <cell r="T38" t="str">
            <v>LL</v>
          </cell>
          <cell r="U38" t="str">
            <v>-</v>
          </cell>
          <cell r="V38" t="str">
            <v>L</v>
          </cell>
          <cell r="W38">
            <v>41</v>
          </cell>
        </row>
        <row r="39">
          <cell r="A39">
            <v>204</v>
          </cell>
          <cell r="B39" t="str">
            <v>000204</v>
          </cell>
          <cell r="C39" t="str">
            <v>DWI SRI RAHAYU</v>
          </cell>
          <cell r="D39" t="str">
            <v>SAMI</v>
          </cell>
          <cell r="E39" t="str">
            <v>OPT-6</v>
          </cell>
          <cell r="F39">
            <v>37697</v>
          </cell>
          <cell r="G39" t="str">
            <v>-</v>
          </cell>
          <cell r="H39" t="str">
            <v>-</v>
          </cell>
          <cell r="I39" t="str">
            <v>PRD</v>
          </cell>
          <cell r="J39" t="str">
            <v>PRE ASSY</v>
          </cell>
          <cell r="K39" t="str">
            <v>MAZDA ATENZA</v>
          </cell>
          <cell r="L39" t="str">
            <v>MAZDA J72A</v>
          </cell>
          <cell r="M39" t="str">
            <v>CPA MAZDA CX-5</v>
          </cell>
          <cell r="N39" t="str">
            <v>INSP CUTTING</v>
          </cell>
          <cell r="O39" t="str">
            <v>P/A INSPECTOR</v>
          </cell>
          <cell r="P39" t="str">
            <v>B</v>
          </cell>
          <cell r="Q39" t="str">
            <v>PI</v>
          </cell>
          <cell r="R39" t="str">
            <v>PERMANENT</v>
          </cell>
          <cell r="S39" t="str">
            <v>PRM</v>
          </cell>
          <cell r="T39" t="str">
            <v>OPT</v>
          </cell>
          <cell r="U39" t="str">
            <v>-</v>
          </cell>
          <cell r="V39" t="str">
            <v>P</v>
          </cell>
          <cell r="W39">
            <v>40</v>
          </cell>
        </row>
        <row r="40">
          <cell r="A40">
            <v>206</v>
          </cell>
          <cell r="B40" t="str">
            <v>000206</v>
          </cell>
          <cell r="C40" t="str">
            <v>IRMA TRI WAHYUNINGRUM</v>
          </cell>
          <cell r="D40" t="str">
            <v>SAMI</v>
          </cell>
          <cell r="E40" t="str">
            <v>OPT-6</v>
          </cell>
          <cell r="F40">
            <v>37697</v>
          </cell>
          <cell r="G40" t="str">
            <v>-</v>
          </cell>
          <cell r="H40" t="str">
            <v>-</v>
          </cell>
          <cell r="I40" t="str">
            <v>QA</v>
          </cell>
          <cell r="J40" t="str">
            <v>FINAL ASSY</v>
          </cell>
          <cell r="K40" t="str">
            <v>HONDA BBP</v>
          </cell>
          <cell r="L40" t="str">
            <v>HV HONDA 5JLA BBP</v>
          </cell>
          <cell r="M40" t="str">
            <v>CV HV 04A</v>
          </cell>
          <cell r="N40" t="str">
            <v>GL INSPECTION</v>
          </cell>
          <cell r="O40" t="str">
            <v>GL</v>
          </cell>
          <cell r="P40" t="str">
            <v>A</v>
          </cell>
          <cell r="Q40" t="str">
            <v>PI</v>
          </cell>
          <cell r="R40" t="str">
            <v>PERMANENT</v>
          </cell>
          <cell r="S40" t="str">
            <v>PRM</v>
          </cell>
          <cell r="T40" t="str">
            <v>GL</v>
          </cell>
          <cell r="U40" t="str">
            <v>-</v>
          </cell>
          <cell r="V40" t="str">
            <v>P</v>
          </cell>
          <cell r="W40">
            <v>41</v>
          </cell>
        </row>
        <row r="41">
          <cell r="A41">
            <v>208</v>
          </cell>
          <cell r="B41" t="str">
            <v>000208</v>
          </cell>
          <cell r="C41" t="str">
            <v>CHATARINA RETNO SUMARTI</v>
          </cell>
          <cell r="D41" t="str">
            <v>SAMI</v>
          </cell>
          <cell r="E41" t="str">
            <v>OPT-6</v>
          </cell>
          <cell r="F41">
            <v>37697</v>
          </cell>
          <cell r="G41" t="str">
            <v>-</v>
          </cell>
          <cell r="H41" t="str">
            <v>-</v>
          </cell>
          <cell r="I41" t="str">
            <v>PRD</v>
          </cell>
          <cell r="J41" t="str">
            <v>FINAL ASSY</v>
          </cell>
          <cell r="K41" t="str">
            <v>HONDA FIT</v>
          </cell>
          <cell r="L41" t="str">
            <v>HONDA FIT HEV PET ENGINE</v>
          </cell>
          <cell r="M41" t="str">
            <v>CV H02</v>
          </cell>
          <cell r="N41" t="str">
            <v>PRD LINE CHO</v>
          </cell>
          <cell r="O41" t="str">
            <v>FPI LL</v>
          </cell>
          <cell r="P41" t="str">
            <v>B</v>
          </cell>
          <cell r="Q41" t="str">
            <v>PI</v>
          </cell>
          <cell r="R41" t="str">
            <v>PERMANENT</v>
          </cell>
          <cell r="S41" t="str">
            <v>PRM</v>
          </cell>
          <cell r="T41" t="str">
            <v>LC</v>
          </cell>
          <cell r="U41" t="str">
            <v>-</v>
          </cell>
          <cell r="V41" t="str">
            <v>P</v>
          </cell>
          <cell r="W41">
            <v>42</v>
          </cell>
        </row>
        <row r="42">
          <cell r="A42" t="str">
            <v>B00166</v>
          </cell>
          <cell r="B42" t="str">
            <v>B00166</v>
          </cell>
          <cell r="C42" t="str">
            <v>SETIYANINGSIH</v>
          </cell>
          <cell r="D42" t="str">
            <v>SAMI</v>
          </cell>
          <cell r="E42" t="str">
            <v>BBF-003</v>
          </cell>
          <cell r="F42">
            <v>40840</v>
          </cell>
          <cell r="G42" t="str">
            <v>-</v>
          </cell>
          <cell r="H42" t="str">
            <v>-</v>
          </cell>
          <cell r="I42" t="str">
            <v>PRD</v>
          </cell>
          <cell r="J42" t="str">
            <v>NON LINE</v>
          </cell>
          <cell r="K42" t="str">
            <v>ALL</v>
          </cell>
          <cell r="L42" t="str">
            <v>ALL</v>
          </cell>
          <cell r="M42" t="str">
            <v>BUFFER 2</v>
          </cell>
          <cell r="N42" t="str">
            <v>KONTROL OJT LINE</v>
          </cell>
          <cell r="O42" t="str">
            <v>OTHERS</v>
          </cell>
          <cell r="P42" t="str">
            <v>A (NS)</v>
          </cell>
          <cell r="Q42" t="str">
            <v>PI</v>
          </cell>
          <cell r="R42" t="str">
            <v>PERMANENT</v>
          </cell>
          <cell r="S42" t="str">
            <v>PRM</v>
          </cell>
          <cell r="T42" t="str">
            <v>OPT</v>
          </cell>
          <cell r="U42" t="str">
            <v>-</v>
          </cell>
          <cell r="V42" t="str">
            <v>P</v>
          </cell>
          <cell r="W42">
            <v>36</v>
          </cell>
        </row>
        <row r="43">
          <cell r="A43" t="str">
            <v>B01165</v>
          </cell>
          <cell r="B43" t="str">
            <v>B01165</v>
          </cell>
          <cell r="C43" t="str">
            <v>SITI NUR RIANA</v>
          </cell>
          <cell r="D43" t="str">
            <v>SAMI</v>
          </cell>
          <cell r="E43" t="str">
            <v>BBF-030</v>
          </cell>
          <cell r="F43">
            <v>41165</v>
          </cell>
          <cell r="G43" t="str">
            <v>-</v>
          </cell>
          <cell r="H43" t="str">
            <v>-</v>
          </cell>
          <cell r="I43" t="str">
            <v>PRD</v>
          </cell>
          <cell r="J43" t="str">
            <v>NON LINE</v>
          </cell>
          <cell r="K43" t="str">
            <v>ALL</v>
          </cell>
          <cell r="L43" t="str">
            <v>ALL</v>
          </cell>
          <cell r="M43" t="str">
            <v>BUFFER 2</v>
          </cell>
          <cell r="N43" t="str">
            <v>KONTROL OJT LINE</v>
          </cell>
          <cell r="O43" t="str">
            <v>OTHERS</v>
          </cell>
          <cell r="P43" t="str">
            <v>A (NS)</v>
          </cell>
          <cell r="Q43" t="str">
            <v>PI</v>
          </cell>
          <cell r="R43" t="str">
            <v>PERMANENT</v>
          </cell>
          <cell r="S43" t="str">
            <v>PRM</v>
          </cell>
          <cell r="T43" t="str">
            <v>OPT</v>
          </cell>
          <cell r="U43" t="str">
            <v>-</v>
          </cell>
          <cell r="V43" t="str">
            <v>P</v>
          </cell>
          <cell r="W43">
            <v>30</v>
          </cell>
        </row>
        <row r="44">
          <cell r="A44">
            <v>220</v>
          </cell>
          <cell r="B44" t="str">
            <v>000220</v>
          </cell>
          <cell r="C44" t="str">
            <v>SITI JUWARYATI</v>
          </cell>
          <cell r="D44" t="str">
            <v>SAMI</v>
          </cell>
          <cell r="E44" t="str">
            <v>OPT-6</v>
          </cell>
          <cell r="F44">
            <v>37697</v>
          </cell>
          <cell r="G44" t="str">
            <v>-</v>
          </cell>
          <cell r="H44" t="str">
            <v>-</v>
          </cell>
          <cell r="I44" t="str">
            <v>QA</v>
          </cell>
          <cell r="J44" t="str">
            <v>FINAL ASSY</v>
          </cell>
          <cell r="K44" t="str">
            <v>HONDA FREED</v>
          </cell>
          <cell r="L44" t="str">
            <v>HONDA FREED W/H FLOOR</v>
          </cell>
          <cell r="M44" t="str">
            <v>CV 4</v>
          </cell>
          <cell r="N44" t="str">
            <v>GL INSPECTION</v>
          </cell>
          <cell r="O44" t="str">
            <v>GL</v>
          </cell>
          <cell r="P44" t="str">
            <v>B</v>
          </cell>
          <cell r="Q44" t="str">
            <v>PI</v>
          </cell>
          <cell r="R44" t="str">
            <v>PERMANENT</v>
          </cell>
          <cell r="S44" t="str">
            <v>PRM</v>
          </cell>
          <cell r="T44" t="str">
            <v>GL</v>
          </cell>
          <cell r="U44" t="str">
            <v>-</v>
          </cell>
          <cell r="V44" t="str">
            <v>P</v>
          </cell>
          <cell r="W44">
            <v>41</v>
          </cell>
        </row>
        <row r="45">
          <cell r="A45">
            <v>226</v>
          </cell>
          <cell r="B45" t="str">
            <v>000226</v>
          </cell>
          <cell r="C45" t="str">
            <v>SUROWATI</v>
          </cell>
          <cell r="D45" t="str">
            <v>SAMI</v>
          </cell>
          <cell r="E45" t="str">
            <v>OPT-6</v>
          </cell>
          <cell r="F45">
            <v>37697</v>
          </cell>
          <cell r="G45" t="str">
            <v>-</v>
          </cell>
          <cell r="H45" t="str">
            <v>-</v>
          </cell>
          <cell r="I45" t="str">
            <v>PRD</v>
          </cell>
          <cell r="J45" t="str">
            <v>FINAL ASSY</v>
          </cell>
          <cell r="K45" t="str">
            <v>MAZDA ATENZA</v>
          </cell>
          <cell r="L45" t="str">
            <v>MAZDA J72A</v>
          </cell>
          <cell r="M45" t="str">
            <v>CV M03</v>
          </cell>
          <cell r="N45" t="str">
            <v>VISUAL 2.2</v>
          </cell>
          <cell r="O45" t="str">
            <v>VISUAL INSPECTION</v>
          </cell>
          <cell r="P45" t="str">
            <v>B</v>
          </cell>
          <cell r="Q45" t="str">
            <v>DL</v>
          </cell>
          <cell r="R45" t="str">
            <v>PERMANENT</v>
          </cell>
          <cell r="S45" t="str">
            <v>PRM</v>
          </cell>
          <cell r="T45" t="str">
            <v>OPT</v>
          </cell>
          <cell r="U45" t="str">
            <v>-</v>
          </cell>
          <cell r="V45" t="str">
            <v>P</v>
          </cell>
          <cell r="W45">
            <v>42</v>
          </cell>
        </row>
        <row r="46">
          <cell r="A46">
            <v>228</v>
          </cell>
          <cell r="B46" t="str">
            <v>000228</v>
          </cell>
          <cell r="C46" t="str">
            <v>YULI FAJAR WATI</v>
          </cell>
          <cell r="D46" t="str">
            <v>SAMI</v>
          </cell>
          <cell r="E46" t="str">
            <v>OPT-6</v>
          </cell>
          <cell r="F46">
            <v>37697</v>
          </cell>
          <cell r="G46" t="str">
            <v>-</v>
          </cell>
          <cell r="H46" t="str">
            <v>-</v>
          </cell>
          <cell r="I46" t="str">
            <v>QA</v>
          </cell>
          <cell r="J46" t="str">
            <v>NON LINE</v>
          </cell>
          <cell r="K46" t="str">
            <v>ALL</v>
          </cell>
          <cell r="L46" t="str">
            <v>SUZUKI &amp; MAZDA , All GL Rework, All PJK</v>
          </cell>
          <cell r="M46" t="str">
            <v>QA LL</v>
          </cell>
          <cell r="N46" t="str">
            <v>QA LINE LEADER</v>
          </cell>
          <cell r="O46" t="str">
            <v>FPI LL</v>
          </cell>
          <cell r="P46" t="str">
            <v>A</v>
          </cell>
          <cell r="Q46" t="str">
            <v>PI</v>
          </cell>
          <cell r="R46" t="str">
            <v>PERMANENT</v>
          </cell>
          <cell r="S46" t="str">
            <v>PRM</v>
          </cell>
          <cell r="T46" t="str">
            <v>LL</v>
          </cell>
          <cell r="U46" t="str">
            <v>-</v>
          </cell>
          <cell r="V46" t="str">
            <v>P</v>
          </cell>
          <cell r="W46">
            <v>41</v>
          </cell>
        </row>
        <row r="47">
          <cell r="A47">
            <v>233</v>
          </cell>
          <cell r="B47" t="str">
            <v>000233</v>
          </cell>
          <cell r="C47" t="str">
            <v>MARDIYANTI WIDY ASTUTI</v>
          </cell>
          <cell r="D47" t="str">
            <v>SAMI</v>
          </cell>
          <cell r="E47" t="str">
            <v>OPT-6</v>
          </cell>
          <cell r="F47">
            <v>37697</v>
          </cell>
          <cell r="G47" t="str">
            <v>-</v>
          </cell>
          <cell r="H47" t="str">
            <v>-</v>
          </cell>
          <cell r="I47" t="str">
            <v>PP</v>
          </cell>
          <cell r="J47" t="str">
            <v>PD 2</v>
          </cell>
          <cell r="K47" t="str">
            <v>ALL</v>
          </cell>
          <cell r="L47" t="str">
            <v>ALL</v>
          </cell>
          <cell r="M47" t="str">
            <v>PD 2</v>
          </cell>
          <cell r="N47" t="str">
            <v>GL HV, HONDA 3</v>
          </cell>
          <cell r="O47" t="str">
            <v>DE</v>
          </cell>
          <cell r="P47" t="str">
            <v>A (NS)</v>
          </cell>
          <cell r="Q47" t="str">
            <v>PS</v>
          </cell>
          <cell r="R47" t="str">
            <v>PERMANENT</v>
          </cell>
          <cell r="S47" t="str">
            <v>PRM</v>
          </cell>
          <cell r="T47" t="str">
            <v>GL</v>
          </cell>
          <cell r="U47" t="str">
            <v>-</v>
          </cell>
          <cell r="V47" t="str">
            <v>P</v>
          </cell>
          <cell r="W47">
            <v>41</v>
          </cell>
        </row>
        <row r="48">
          <cell r="A48">
            <v>241</v>
          </cell>
          <cell r="B48" t="str">
            <v>000241</v>
          </cell>
          <cell r="C48" t="str">
            <v>LINA MARGIYANTI</v>
          </cell>
          <cell r="D48" t="str">
            <v>SAMI</v>
          </cell>
          <cell r="E48" t="str">
            <v>OPT-7</v>
          </cell>
          <cell r="F48">
            <v>37704</v>
          </cell>
          <cell r="G48" t="str">
            <v>-</v>
          </cell>
          <cell r="H48" t="str">
            <v>-</v>
          </cell>
          <cell r="I48" t="str">
            <v>PP</v>
          </cell>
          <cell r="J48" t="str">
            <v>PP-1</v>
          </cell>
          <cell r="K48" t="str">
            <v>ALL</v>
          </cell>
          <cell r="L48" t="str">
            <v>ALL</v>
          </cell>
          <cell r="M48" t="str">
            <v>PP-1</v>
          </cell>
          <cell r="N48" t="str">
            <v>ANALISYS</v>
          </cell>
          <cell r="O48" t="str">
            <v>PROCESS ENG</v>
          </cell>
          <cell r="P48" t="str">
            <v>A (NS)</v>
          </cell>
          <cell r="Q48" t="str">
            <v>PS</v>
          </cell>
          <cell r="R48" t="str">
            <v>PERMANENT</v>
          </cell>
          <cell r="S48" t="str">
            <v>PRM</v>
          </cell>
          <cell r="T48" t="str">
            <v>OPT</v>
          </cell>
          <cell r="U48" t="str">
            <v>-</v>
          </cell>
          <cell r="V48" t="str">
            <v>P</v>
          </cell>
          <cell r="W48">
            <v>40</v>
          </cell>
        </row>
        <row r="49">
          <cell r="A49">
            <v>243</v>
          </cell>
          <cell r="B49" t="str">
            <v>000243</v>
          </cell>
          <cell r="C49" t="str">
            <v>TUTUS ANA SUSANTI</v>
          </cell>
          <cell r="D49" t="str">
            <v>SAMI</v>
          </cell>
          <cell r="E49" t="str">
            <v>OPT-7</v>
          </cell>
          <cell r="F49">
            <v>37704</v>
          </cell>
          <cell r="G49" t="str">
            <v>-</v>
          </cell>
          <cell r="H49" t="str">
            <v>-</v>
          </cell>
          <cell r="I49" t="str">
            <v>QA</v>
          </cell>
          <cell r="J49" t="str">
            <v>NON LINE</v>
          </cell>
          <cell r="K49" t="str">
            <v>ALL</v>
          </cell>
          <cell r="L49" t="str">
            <v>HONDA HV, NISSAN HV, TOYOTA HV, BATTERY CABLE  &amp; All Tensile and Cross Section &amp; QAV 1</v>
          </cell>
          <cell r="M49" t="str">
            <v>QA LL</v>
          </cell>
          <cell r="N49" t="str">
            <v>QA LINE LEADER</v>
          </cell>
          <cell r="O49" t="str">
            <v>FPI LL</v>
          </cell>
          <cell r="P49" t="str">
            <v>B</v>
          </cell>
          <cell r="Q49" t="str">
            <v>PI</v>
          </cell>
          <cell r="R49" t="str">
            <v>PERMANENT</v>
          </cell>
          <cell r="S49" t="str">
            <v>PRM</v>
          </cell>
          <cell r="T49" t="str">
            <v>LL</v>
          </cell>
          <cell r="U49" t="str">
            <v>-</v>
          </cell>
          <cell r="V49" t="str">
            <v>P</v>
          </cell>
          <cell r="W49">
            <v>41</v>
          </cell>
        </row>
        <row r="50">
          <cell r="A50">
            <v>706</v>
          </cell>
          <cell r="B50" t="str">
            <v>000706</v>
          </cell>
          <cell r="C50" t="str">
            <v>BUDI PRASETYO</v>
          </cell>
          <cell r="D50" t="str">
            <v>SAMI</v>
          </cell>
          <cell r="E50" t="str">
            <v>SPV UP</v>
          </cell>
          <cell r="F50">
            <v>37802</v>
          </cell>
          <cell r="G50" t="str">
            <v>-</v>
          </cell>
          <cell r="H50" t="str">
            <v>-</v>
          </cell>
          <cell r="I50" t="str">
            <v>PRD</v>
          </cell>
          <cell r="J50" t="str">
            <v>NON LINE</v>
          </cell>
          <cell r="K50" t="str">
            <v>ALL</v>
          </cell>
          <cell r="L50" t="str">
            <v>ALL</v>
          </cell>
          <cell r="M50" t="str">
            <v>COORD. SUPERVISOR</v>
          </cell>
          <cell r="N50" t="str">
            <v>COORD. SPV PRODUKSI</v>
          </cell>
          <cell r="O50" t="str">
            <v>FPI SPV</v>
          </cell>
          <cell r="P50" t="str">
            <v>A</v>
          </cell>
          <cell r="Q50" t="str">
            <v>PI</v>
          </cell>
          <cell r="R50" t="str">
            <v>PERMANENT</v>
          </cell>
          <cell r="S50" t="str">
            <v>PRM</v>
          </cell>
          <cell r="T50" t="str">
            <v>CSPV</v>
          </cell>
          <cell r="U50" t="str">
            <v>-</v>
          </cell>
          <cell r="V50" t="str">
            <v>L</v>
          </cell>
          <cell r="W50">
            <v>43</v>
          </cell>
        </row>
        <row r="51">
          <cell r="A51">
            <v>245</v>
          </cell>
          <cell r="B51" t="str">
            <v>000245</v>
          </cell>
          <cell r="C51" t="str">
            <v>EFI RETNOWATI</v>
          </cell>
          <cell r="D51" t="str">
            <v>SAMI</v>
          </cell>
          <cell r="E51" t="str">
            <v>OPT-7</v>
          </cell>
          <cell r="F51">
            <v>37704</v>
          </cell>
          <cell r="G51" t="str">
            <v>-</v>
          </cell>
          <cell r="H51" t="str">
            <v>-</v>
          </cell>
          <cell r="I51" t="str">
            <v>LOG</v>
          </cell>
          <cell r="J51" t="str">
            <v>WHS</v>
          </cell>
          <cell r="K51" t="str">
            <v>ALL</v>
          </cell>
          <cell r="L51" t="str">
            <v>ALL</v>
          </cell>
          <cell r="M51" t="str">
            <v>WHS</v>
          </cell>
          <cell r="N51" t="str">
            <v>GL WHS</v>
          </cell>
          <cell r="O51" t="str">
            <v>WHS SUPPLY</v>
          </cell>
          <cell r="P51" t="str">
            <v>B</v>
          </cell>
          <cell r="Q51" t="str">
            <v>PS</v>
          </cell>
          <cell r="R51" t="str">
            <v>PERMANENT</v>
          </cell>
          <cell r="S51" t="str">
            <v>PRM</v>
          </cell>
          <cell r="T51" t="str">
            <v>GL</v>
          </cell>
          <cell r="U51" t="str">
            <v>-</v>
          </cell>
          <cell r="V51" t="str">
            <v>P</v>
          </cell>
          <cell r="W51">
            <v>40</v>
          </cell>
        </row>
        <row r="52">
          <cell r="A52">
            <v>5533</v>
          </cell>
          <cell r="B52" t="str">
            <v>005533</v>
          </cell>
          <cell r="C52" t="str">
            <v>NANANG YUDI PRASETYO</v>
          </cell>
          <cell r="D52" t="str">
            <v>SAMI</v>
          </cell>
          <cell r="E52" t="str">
            <v>SPV UP</v>
          </cell>
          <cell r="F52">
            <v>39027</v>
          </cell>
          <cell r="G52" t="str">
            <v>-</v>
          </cell>
          <cell r="H52" t="str">
            <v>-</v>
          </cell>
          <cell r="I52" t="str">
            <v>PRD</v>
          </cell>
          <cell r="J52" t="str">
            <v>NON LINE</v>
          </cell>
          <cell r="K52" t="str">
            <v>ALL</v>
          </cell>
          <cell r="L52" t="str">
            <v>ALL</v>
          </cell>
          <cell r="M52" t="str">
            <v>COORD. SUPERVISOR</v>
          </cell>
          <cell r="N52" t="str">
            <v>COORD. SPV PRODUKSI</v>
          </cell>
          <cell r="O52" t="str">
            <v>FPI SPV</v>
          </cell>
          <cell r="P52" t="str">
            <v>A (NS)</v>
          </cell>
          <cell r="Q52" t="str">
            <v>PI</v>
          </cell>
          <cell r="R52" t="str">
            <v>PERMANENT</v>
          </cell>
          <cell r="S52" t="str">
            <v>PRM</v>
          </cell>
          <cell r="T52" t="str">
            <v>CSPV</v>
          </cell>
          <cell r="U52" t="str">
            <v>-</v>
          </cell>
          <cell r="V52" t="str">
            <v>L</v>
          </cell>
          <cell r="W52">
            <v>44</v>
          </cell>
        </row>
        <row r="53">
          <cell r="A53">
            <v>187</v>
          </cell>
          <cell r="B53" t="str">
            <v>000187</v>
          </cell>
          <cell r="C53" t="str">
            <v>SUKOWATI</v>
          </cell>
          <cell r="D53" t="str">
            <v>SAMI</v>
          </cell>
          <cell r="E53" t="str">
            <v>OPT-5</v>
          </cell>
          <cell r="F53">
            <v>37679</v>
          </cell>
          <cell r="G53" t="str">
            <v>-</v>
          </cell>
          <cell r="H53" t="str">
            <v>-</v>
          </cell>
          <cell r="I53" t="str">
            <v>PRD</v>
          </cell>
          <cell r="J53" t="str">
            <v>PRE ASSY</v>
          </cell>
          <cell r="K53" t="str">
            <v>HONDA</v>
          </cell>
          <cell r="L53" t="str">
            <v>HONDA 33FA</v>
          </cell>
          <cell r="M53" t="str">
            <v>CPA HONDA 33FA</v>
          </cell>
          <cell r="N53" t="str">
            <v>SUB LINE CHO</v>
          </cell>
          <cell r="O53" t="str">
            <v>GL</v>
          </cell>
          <cell r="P53" t="str">
            <v>A (NS)</v>
          </cell>
          <cell r="Q53" t="str">
            <v>PI</v>
          </cell>
          <cell r="R53" t="str">
            <v>PERMANENT</v>
          </cell>
          <cell r="S53" t="str">
            <v>PRM</v>
          </cell>
          <cell r="T53" t="str">
            <v>SLC</v>
          </cell>
          <cell r="U53" t="str">
            <v>-</v>
          </cell>
          <cell r="V53" t="str">
            <v>P</v>
          </cell>
          <cell r="W53">
            <v>43</v>
          </cell>
        </row>
        <row r="54">
          <cell r="A54">
            <v>249</v>
          </cell>
          <cell r="B54" t="str">
            <v>000249</v>
          </cell>
          <cell r="C54" t="str">
            <v>ASRI NOVIYANTI HERMINAH</v>
          </cell>
          <cell r="D54" t="str">
            <v>SAMI</v>
          </cell>
          <cell r="E54" t="str">
            <v>OPT-7</v>
          </cell>
          <cell r="F54">
            <v>37704</v>
          </cell>
          <cell r="G54" t="str">
            <v>-</v>
          </cell>
          <cell r="H54" t="str">
            <v>-</v>
          </cell>
          <cell r="I54" t="str">
            <v>PGA</v>
          </cell>
          <cell r="J54" t="str">
            <v>IT</v>
          </cell>
          <cell r="K54" t="str">
            <v>ALL</v>
          </cell>
          <cell r="L54" t="str">
            <v>ALL</v>
          </cell>
          <cell r="M54" t="str">
            <v>IT</v>
          </cell>
          <cell r="N54" t="str">
            <v>LEADER</v>
          </cell>
          <cell r="O54" t="str">
            <v>IDL LL</v>
          </cell>
          <cell r="P54" t="str">
            <v>A (NS)</v>
          </cell>
          <cell r="Q54" t="str">
            <v>ADM</v>
          </cell>
          <cell r="R54" t="str">
            <v>PERMANENT</v>
          </cell>
          <cell r="S54" t="str">
            <v>PRM</v>
          </cell>
          <cell r="T54" t="str">
            <v>LL</v>
          </cell>
          <cell r="U54" t="str">
            <v>-</v>
          </cell>
          <cell r="V54" t="str">
            <v>P</v>
          </cell>
          <cell r="W54">
            <v>41</v>
          </cell>
        </row>
        <row r="55">
          <cell r="A55">
            <v>263</v>
          </cell>
          <cell r="B55" t="str">
            <v>000263</v>
          </cell>
          <cell r="C55" t="str">
            <v>RIRIN ARIYANTI</v>
          </cell>
          <cell r="D55" t="str">
            <v>SAMI</v>
          </cell>
          <cell r="E55" t="str">
            <v>OPT-7</v>
          </cell>
          <cell r="F55">
            <v>37704</v>
          </cell>
          <cell r="G55" t="str">
            <v>-</v>
          </cell>
          <cell r="H55" t="str">
            <v>-</v>
          </cell>
          <cell r="I55" t="str">
            <v>PRD</v>
          </cell>
          <cell r="J55" t="str">
            <v>PRE ASSY</v>
          </cell>
          <cell r="K55" t="str">
            <v>SUZUKI WAGON R/HUSTLER</v>
          </cell>
          <cell r="L55" t="str">
            <v>SUZUKI YW0/Y0C/YEV</v>
          </cell>
          <cell r="M55" t="str">
            <v>CPA SUZUKI</v>
          </cell>
          <cell r="N55" t="str">
            <v>INSP CUTTING</v>
          </cell>
          <cell r="O55" t="str">
            <v>P/A INSPECTOR</v>
          </cell>
          <cell r="P55" t="str">
            <v>B</v>
          </cell>
          <cell r="Q55" t="str">
            <v>PI</v>
          </cell>
          <cell r="R55" t="str">
            <v>PERMANENT</v>
          </cell>
          <cell r="S55" t="str">
            <v>PRM</v>
          </cell>
          <cell r="T55" t="str">
            <v>OPT</v>
          </cell>
          <cell r="U55" t="str">
            <v>-</v>
          </cell>
          <cell r="V55" t="str">
            <v>P</v>
          </cell>
          <cell r="W55">
            <v>42</v>
          </cell>
        </row>
        <row r="56">
          <cell r="A56">
            <v>264</v>
          </cell>
          <cell r="B56" t="str">
            <v>000264</v>
          </cell>
          <cell r="C56" t="str">
            <v>SARI MUNAWATI</v>
          </cell>
          <cell r="D56" t="str">
            <v>SAMI</v>
          </cell>
          <cell r="E56" t="str">
            <v>OPT-7</v>
          </cell>
          <cell r="F56">
            <v>37704</v>
          </cell>
          <cell r="G56" t="str">
            <v>-</v>
          </cell>
          <cell r="H56" t="str">
            <v>-</v>
          </cell>
          <cell r="I56" t="str">
            <v>PRD</v>
          </cell>
          <cell r="J56" t="str">
            <v>FINAL ASSY</v>
          </cell>
          <cell r="K56" t="str">
            <v>HONDA NES</v>
          </cell>
          <cell r="L56" t="str">
            <v>HONDA NES HEV PET ENGINE</v>
          </cell>
          <cell r="M56" t="str">
            <v>CV H04</v>
          </cell>
          <cell r="N56" t="str">
            <v>VISUAL 1.1</v>
          </cell>
          <cell r="O56" t="str">
            <v>VISUAL INSPECTION</v>
          </cell>
          <cell r="P56" t="str">
            <v>B</v>
          </cell>
          <cell r="Q56" t="str">
            <v>DL</v>
          </cell>
          <cell r="R56" t="str">
            <v>PERMANENT</v>
          </cell>
          <cell r="S56" t="str">
            <v>PRM</v>
          </cell>
          <cell r="T56" t="str">
            <v>OPT</v>
          </cell>
          <cell r="U56" t="str">
            <v>-</v>
          </cell>
          <cell r="V56" t="str">
            <v>P</v>
          </cell>
          <cell r="W56">
            <v>40</v>
          </cell>
        </row>
        <row r="57">
          <cell r="A57">
            <v>247</v>
          </cell>
          <cell r="B57" t="str">
            <v>000247</v>
          </cell>
          <cell r="C57" t="str">
            <v>SARI SOESANTI</v>
          </cell>
          <cell r="D57" t="str">
            <v>SAMI</v>
          </cell>
          <cell r="E57" t="str">
            <v>OPT-7</v>
          </cell>
          <cell r="F57">
            <v>37704</v>
          </cell>
          <cell r="G57" t="str">
            <v>-</v>
          </cell>
          <cell r="H57" t="str">
            <v>-</v>
          </cell>
          <cell r="I57" t="str">
            <v>PRD</v>
          </cell>
          <cell r="J57" t="str">
            <v>PRE ASSY</v>
          </cell>
          <cell r="K57" t="str">
            <v>HONDA</v>
          </cell>
          <cell r="L57" t="str">
            <v>HONDA 33FA</v>
          </cell>
          <cell r="M57" t="str">
            <v>CPA HONDA 33FA</v>
          </cell>
          <cell r="N57" t="str">
            <v>PRD LINE CHO</v>
          </cell>
          <cell r="O57" t="str">
            <v>FPI LL</v>
          </cell>
          <cell r="P57" t="str">
            <v>A (NS)</v>
          </cell>
          <cell r="Q57" t="str">
            <v>PI</v>
          </cell>
          <cell r="R57" t="str">
            <v>PERMANENT</v>
          </cell>
          <cell r="S57" t="str">
            <v>PRM</v>
          </cell>
          <cell r="T57" t="str">
            <v>LC</v>
          </cell>
          <cell r="U57" t="str">
            <v>-</v>
          </cell>
          <cell r="V57" t="str">
            <v>P</v>
          </cell>
          <cell r="W57">
            <v>43</v>
          </cell>
        </row>
        <row r="58">
          <cell r="A58">
            <v>624</v>
          </cell>
          <cell r="B58" t="str">
            <v>000624</v>
          </cell>
          <cell r="C58" t="str">
            <v>NUR HASANAH</v>
          </cell>
          <cell r="D58" t="str">
            <v>SAMI</v>
          </cell>
          <cell r="E58" t="str">
            <v>OPT-16</v>
          </cell>
          <cell r="F58">
            <v>37781</v>
          </cell>
          <cell r="G58" t="str">
            <v>-</v>
          </cell>
          <cell r="H58" t="str">
            <v>-</v>
          </cell>
          <cell r="I58" t="str">
            <v>PRD</v>
          </cell>
          <cell r="J58" t="str">
            <v>PRE ASSY</v>
          </cell>
          <cell r="K58" t="str">
            <v>HONDA</v>
          </cell>
          <cell r="L58" t="str">
            <v>HONDA 33FA</v>
          </cell>
          <cell r="M58" t="str">
            <v>CPA HONDA 33FA</v>
          </cell>
          <cell r="N58" t="str">
            <v>OJT CUTTING</v>
          </cell>
          <cell r="O58" t="str">
            <v>OTHERS</v>
          </cell>
          <cell r="P58" t="str">
            <v>A (NS)</v>
          </cell>
          <cell r="Q58" t="str">
            <v>PI</v>
          </cell>
          <cell r="R58" t="str">
            <v>PERMANENT</v>
          </cell>
          <cell r="S58" t="str">
            <v>PRM</v>
          </cell>
          <cell r="T58" t="str">
            <v>OPT</v>
          </cell>
          <cell r="U58" t="str">
            <v>-</v>
          </cell>
          <cell r="V58" t="str">
            <v>P</v>
          </cell>
          <cell r="W58">
            <v>41</v>
          </cell>
        </row>
        <row r="59">
          <cell r="A59">
            <v>678</v>
          </cell>
          <cell r="B59" t="str">
            <v>000678</v>
          </cell>
          <cell r="C59" t="str">
            <v>SITI NURAINI</v>
          </cell>
          <cell r="D59" t="str">
            <v>SAMI</v>
          </cell>
          <cell r="E59" t="str">
            <v>OPT-18</v>
          </cell>
          <cell r="F59">
            <v>37795</v>
          </cell>
          <cell r="G59" t="str">
            <v>-</v>
          </cell>
          <cell r="H59" t="str">
            <v>-</v>
          </cell>
          <cell r="I59" t="str">
            <v>PRD</v>
          </cell>
          <cell r="J59" t="str">
            <v>PRE ASSY</v>
          </cell>
          <cell r="K59" t="str">
            <v>HONDA</v>
          </cell>
          <cell r="L59" t="str">
            <v>HONDA 33FA</v>
          </cell>
          <cell r="M59" t="str">
            <v>CPA HONDA 33FA</v>
          </cell>
          <cell r="N59" t="str">
            <v>OJT CUTTING</v>
          </cell>
          <cell r="O59" t="str">
            <v>OTHERS</v>
          </cell>
          <cell r="P59" t="str">
            <v>A (NS)</v>
          </cell>
          <cell r="Q59" t="str">
            <v>PI</v>
          </cell>
          <cell r="R59" t="str">
            <v>PERMANENT</v>
          </cell>
          <cell r="S59" t="str">
            <v>PRM</v>
          </cell>
          <cell r="T59" t="str">
            <v>OPT</v>
          </cell>
          <cell r="U59" t="str">
            <v>-</v>
          </cell>
          <cell r="V59" t="str">
            <v>P</v>
          </cell>
          <cell r="W59">
            <v>41</v>
          </cell>
        </row>
        <row r="60">
          <cell r="A60">
            <v>281</v>
          </cell>
          <cell r="B60" t="str">
            <v>000281</v>
          </cell>
          <cell r="C60" t="str">
            <v>SRI SUPARTINI</v>
          </cell>
          <cell r="D60" t="str">
            <v>SAMI</v>
          </cell>
          <cell r="E60" t="str">
            <v>OPT-8</v>
          </cell>
          <cell r="F60">
            <v>37718</v>
          </cell>
          <cell r="G60" t="str">
            <v>-</v>
          </cell>
          <cell r="H60" t="str">
            <v>-</v>
          </cell>
          <cell r="I60" t="str">
            <v>PRD</v>
          </cell>
          <cell r="J60" t="str">
            <v>PRE ASSY</v>
          </cell>
          <cell r="K60" t="str">
            <v>MAZDA ATENZA</v>
          </cell>
          <cell r="L60" t="str">
            <v>MAZDA J72A</v>
          </cell>
          <cell r="M60" t="str">
            <v>CPA MAZDA CX-5</v>
          </cell>
          <cell r="N60" t="str">
            <v>PRD LINE CHO</v>
          </cell>
          <cell r="O60" t="str">
            <v>FPI LL</v>
          </cell>
          <cell r="P60" t="str">
            <v>B</v>
          </cell>
          <cell r="Q60" t="str">
            <v>PI</v>
          </cell>
          <cell r="R60" t="str">
            <v>PERMANENT</v>
          </cell>
          <cell r="S60" t="str">
            <v>PRM</v>
          </cell>
          <cell r="T60" t="str">
            <v>LC</v>
          </cell>
          <cell r="U60" t="str">
            <v>-</v>
          </cell>
          <cell r="V60" t="str">
            <v>P</v>
          </cell>
          <cell r="W60">
            <v>42</v>
          </cell>
        </row>
        <row r="61">
          <cell r="A61">
            <v>282</v>
          </cell>
          <cell r="B61" t="str">
            <v>000282</v>
          </cell>
          <cell r="C61" t="str">
            <v>ICHNAWATI</v>
          </cell>
          <cell r="D61" t="str">
            <v>SAMI</v>
          </cell>
          <cell r="E61" t="str">
            <v>OPT-8</v>
          </cell>
          <cell r="F61">
            <v>37718</v>
          </cell>
          <cell r="G61" t="str">
            <v>-</v>
          </cell>
          <cell r="H61" t="str">
            <v>-</v>
          </cell>
          <cell r="I61" t="str">
            <v>OTHERS</v>
          </cell>
          <cell r="J61" t="str">
            <v>AT HOME</v>
          </cell>
          <cell r="K61" t="str">
            <v>ALL</v>
          </cell>
          <cell r="L61" t="str">
            <v>ALL</v>
          </cell>
          <cell r="M61" t="str">
            <v>AT HOME</v>
          </cell>
          <cell r="N61" t="str">
            <v>CUTI KELAHIRAN</v>
          </cell>
          <cell r="O61" t="str">
            <v>OTHERS IDL</v>
          </cell>
          <cell r="P61" t="str">
            <v>-</v>
          </cell>
          <cell r="Q61" t="str">
            <v>ADM</v>
          </cell>
          <cell r="R61" t="str">
            <v>PERMANENT</v>
          </cell>
          <cell r="S61" t="str">
            <v>PRM</v>
          </cell>
          <cell r="T61" t="str">
            <v>LL</v>
          </cell>
          <cell r="U61" t="str">
            <v>-</v>
          </cell>
          <cell r="V61" t="str">
            <v>P</v>
          </cell>
          <cell r="W61">
            <v>41</v>
          </cell>
        </row>
        <row r="62">
          <cell r="A62">
            <v>284</v>
          </cell>
          <cell r="B62" t="str">
            <v>000284</v>
          </cell>
          <cell r="C62" t="str">
            <v>PUDJI SRI SAPUTRI</v>
          </cell>
          <cell r="D62" t="str">
            <v>SAMI</v>
          </cell>
          <cell r="E62" t="str">
            <v>SPV UP</v>
          </cell>
          <cell r="F62">
            <v>37718</v>
          </cell>
          <cell r="G62" t="str">
            <v>-</v>
          </cell>
          <cell r="H62" t="str">
            <v>-</v>
          </cell>
          <cell r="I62" t="str">
            <v>PRD</v>
          </cell>
          <cell r="J62" t="str">
            <v>FINAL ASSY</v>
          </cell>
          <cell r="K62" t="str">
            <v>ALL</v>
          </cell>
          <cell r="L62" t="str">
            <v>ALL</v>
          </cell>
          <cell r="M62" t="str">
            <v>SUPERVISOR FA</v>
          </cell>
          <cell r="N62" t="str">
            <v>HONDA FIT, L-CABIN , HONDA NESS</v>
          </cell>
          <cell r="O62" t="str">
            <v>FPI SPV</v>
          </cell>
          <cell r="P62" t="str">
            <v>B</v>
          </cell>
          <cell r="Q62" t="str">
            <v>PI</v>
          </cell>
          <cell r="R62" t="str">
            <v>PERMANENT</v>
          </cell>
          <cell r="S62" t="str">
            <v>PRM</v>
          </cell>
          <cell r="T62" t="str">
            <v>SPV</v>
          </cell>
          <cell r="U62" t="str">
            <v>-</v>
          </cell>
          <cell r="V62" t="str">
            <v>P</v>
          </cell>
          <cell r="W62">
            <v>41</v>
          </cell>
        </row>
        <row r="63">
          <cell r="A63">
            <v>285</v>
          </cell>
          <cell r="B63" t="str">
            <v>000285</v>
          </cell>
          <cell r="C63" t="str">
            <v>RENY LESTARI</v>
          </cell>
          <cell r="D63" t="str">
            <v>SAMI</v>
          </cell>
          <cell r="E63" t="str">
            <v>OPT-8</v>
          </cell>
          <cell r="F63">
            <v>37718</v>
          </cell>
          <cell r="G63" t="str">
            <v>-</v>
          </cell>
          <cell r="H63" t="str">
            <v>-</v>
          </cell>
          <cell r="I63" t="str">
            <v>PRD</v>
          </cell>
          <cell r="J63" t="str">
            <v>FINAL ASSY</v>
          </cell>
          <cell r="K63" t="str">
            <v>SUZUKI WAGON R</v>
          </cell>
          <cell r="L63" t="str">
            <v>SUZUKI YW0</v>
          </cell>
          <cell r="M63" t="str">
            <v>CV S01</v>
          </cell>
          <cell r="N63" t="str">
            <v>PRD LINE CHO</v>
          </cell>
          <cell r="O63" t="str">
            <v>FPI LL</v>
          </cell>
          <cell r="P63" t="str">
            <v>B</v>
          </cell>
          <cell r="Q63" t="str">
            <v>PI</v>
          </cell>
          <cell r="R63" t="str">
            <v>PERMANENT</v>
          </cell>
          <cell r="S63" t="str">
            <v>PRM</v>
          </cell>
          <cell r="T63" t="str">
            <v>LC</v>
          </cell>
          <cell r="U63" t="str">
            <v>-</v>
          </cell>
          <cell r="V63" t="str">
            <v>P</v>
          </cell>
          <cell r="W63">
            <v>40</v>
          </cell>
        </row>
        <row r="64">
          <cell r="A64">
            <v>290</v>
          </cell>
          <cell r="B64" t="str">
            <v>000290</v>
          </cell>
          <cell r="C64" t="str">
            <v>FARIS YATIMAH HANDAYANI</v>
          </cell>
          <cell r="D64" t="str">
            <v>SAMI</v>
          </cell>
          <cell r="E64" t="str">
            <v>SPV UP</v>
          </cell>
          <cell r="F64">
            <v>37718</v>
          </cell>
          <cell r="G64" t="str">
            <v>-</v>
          </cell>
          <cell r="H64" t="str">
            <v>-</v>
          </cell>
          <cell r="I64" t="str">
            <v>PGA</v>
          </cell>
          <cell r="J64" t="str">
            <v>GA</v>
          </cell>
          <cell r="K64" t="str">
            <v>ALL</v>
          </cell>
          <cell r="L64" t="str">
            <v>ALL</v>
          </cell>
          <cell r="M64" t="str">
            <v>GA</v>
          </cell>
          <cell r="N64" t="str">
            <v xml:space="preserve"> COORD. SUPERVISOR</v>
          </cell>
          <cell r="O64" t="str">
            <v>IDL SPV</v>
          </cell>
          <cell r="P64" t="str">
            <v>A (NS)</v>
          </cell>
          <cell r="Q64" t="str">
            <v>ADM</v>
          </cell>
          <cell r="R64" t="str">
            <v>PERMANENT</v>
          </cell>
          <cell r="S64" t="str">
            <v>PRM</v>
          </cell>
          <cell r="T64" t="str">
            <v>CSPV</v>
          </cell>
          <cell r="U64" t="str">
            <v>-</v>
          </cell>
          <cell r="V64" t="str">
            <v>P</v>
          </cell>
          <cell r="W64">
            <v>40</v>
          </cell>
        </row>
        <row r="65">
          <cell r="A65">
            <v>294</v>
          </cell>
          <cell r="B65" t="str">
            <v>000294</v>
          </cell>
          <cell r="C65" t="str">
            <v>ISTIQOMAH</v>
          </cell>
          <cell r="D65" t="str">
            <v>SAMI</v>
          </cell>
          <cell r="E65" t="str">
            <v>OPT-8</v>
          </cell>
          <cell r="F65">
            <v>37718</v>
          </cell>
          <cell r="G65" t="str">
            <v>-</v>
          </cell>
          <cell r="H65" t="str">
            <v>-</v>
          </cell>
          <cell r="I65" t="str">
            <v>QA</v>
          </cell>
          <cell r="J65" t="str">
            <v>FINAL ASSY</v>
          </cell>
          <cell r="K65" t="str">
            <v>SUZUKI WAGON R</v>
          </cell>
          <cell r="L65" t="str">
            <v>SUZUKI YW0</v>
          </cell>
          <cell r="M65" t="str">
            <v>CV S01</v>
          </cell>
          <cell r="N65" t="str">
            <v>GL REWORK</v>
          </cell>
          <cell r="O65" t="str">
            <v>REWORK</v>
          </cell>
          <cell r="P65" t="str">
            <v>B</v>
          </cell>
          <cell r="Q65" t="str">
            <v>PI</v>
          </cell>
          <cell r="R65" t="str">
            <v>PERMANENT</v>
          </cell>
          <cell r="S65" t="str">
            <v>PRM</v>
          </cell>
          <cell r="T65" t="str">
            <v>GL</v>
          </cell>
          <cell r="U65" t="str">
            <v>-</v>
          </cell>
          <cell r="V65" t="str">
            <v>P</v>
          </cell>
          <cell r="W65">
            <v>42</v>
          </cell>
        </row>
        <row r="66">
          <cell r="A66">
            <v>298</v>
          </cell>
          <cell r="B66" t="str">
            <v>000298</v>
          </cell>
          <cell r="C66" t="str">
            <v>MISROFAH</v>
          </cell>
          <cell r="D66" t="str">
            <v>SAMI</v>
          </cell>
          <cell r="E66" t="str">
            <v>OPT-8</v>
          </cell>
          <cell r="F66">
            <v>37718</v>
          </cell>
          <cell r="G66" t="str">
            <v>-</v>
          </cell>
          <cell r="H66" t="str">
            <v>-</v>
          </cell>
          <cell r="I66" t="str">
            <v>PRD</v>
          </cell>
          <cell r="J66" t="str">
            <v>FINAL ASSY</v>
          </cell>
          <cell r="K66" t="str">
            <v>TOYOTA</v>
          </cell>
          <cell r="L66" t="str">
            <v>AQUA SIENTA</v>
          </cell>
          <cell r="M66" t="str">
            <v>CV T01</v>
          </cell>
          <cell r="N66" t="str">
            <v>SUB LINE CHO</v>
          </cell>
          <cell r="O66" t="str">
            <v>GL</v>
          </cell>
          <cell r="P66" t="str">
            <v>B</v>
          </cell>
          <cell r="Q66" t="str">
            <v>PI</v>
          </cell>
          <cell r="R66" t="str">
            <v>PERMANENT</v>
          </cell>
          <cell r="S66" t="str">
            <v>PRM</v>
          </cell>
          <cell r="T66" t="str">
            <v>SLC</v>
          </cell>
          <cell r="U66" t="str">
            <v>-</v>
          </cell>
          <cell r="V66" t="str">
            <v>P</v>
          </cell>
          <cell r="W66">
            <v>40</v>
          </cell>
        </row>
        <row r="67">
          <cell r="A67">
            <v>994</v>
          </cell>
          <cell r="B67" t="str">
            <v>000994</v>
          </cell>
          <cell r="C67" t="str">
            <v>REJEKI HANDAYANI</v>
          </cell>
          <cell r="D67" t="str">
            <v>SAMI</v>
          </cell>
          <cell r="E67" t="str">
            <v>OPT-25</v>
          </cell>
          <cell r="F67">
            <v>37872</v>
          </cell>
          <cell r="G67" t="str">
            <v>-</v>
          </cell>
          <cell r="H67" t="str">
            <v>-</v>
          </cell>
          <cell r="I67" t="str">
            <v>PRD</v>
          </cell>
          <cell r="J67" t="str">
            <v>PRE ASSY</v>
          </cell>
          <cell r="K67" t="str">
            <v>HONDA</v>
          </cell>
          <cell r="L67" t="str">
            <v>HONDA 33FA</v>
          </cell>
          <cell r="M67" t="str">
            <v>CPA HONDA 33FA</v>
          </cell>
          <cell r="N67" t="str">
            <v>OJT INSP</v>
          </cell>
          <cell r="O67" t="str">
            <v>OTHERS</v>
          </cell>
          <cell r="P67" t="str">
            <v>A (NS)</v>
          </cell>
          <cell r="Q67" t="str">
            <v>PI</v>
          </cell>
          <cell r="R67" t="str">
            <v>PERMANENT</v>
          </cell>
          <cell r="S67" t="str">
            <v>PRM</v>
          </cell>
          <cell r="T67" t="str">
            <v>OPT</v>
          </cell>
          <cell r="U67" t="str">
            <v>-</v>
          </cell>
          <cell r="V67" t="str">
            <v>P</v>
          </cell>
          <cell r="W67">
            <v>41</v>
          </cell>
        </row>
        <row r="68">
          <cell r="A68">
            <v>303</v>
          </cell>
          <cell r="B68" t="str">
            <v>000303</v>
          </cell>
          <cell r="C68" t="str">
            <v>RISTIANI</v>
          </cell>
          <cell r="D68" t="str">
            <v>SAMI</v>
          </cell>
          <cell r="E68" t="str">
            <v>OPT-8</v>
          </cell>
          <cell r="F68">
            <v>37718</v>
          </cell>
          <cell r="G68" t="str">
            <v>-</v>
          </cell>
          <cell r="H68" t="str">
            <v>-</v>
          </cell>
          <cell r="I68" t="str">
            <v>QA</v>
          </cell>
          <cell r="J68" t="str">
            <v>FINAL ASSY</v>
          </cell>
          <cell r="K68" t="str">
            <v>SUZUKI WAGON R</v>
          </cell>
          <cell r="L68" t="str">
            <v>DOOR/DOOM</v>
          </cell>
          <cell r="M68" t="str">
            <v>CV S03</v>
          </cell>
          <cell r="N68" t="str">
            <v>DC</v>
          </cell>
          <cell r="O68" t="str">
            <v>DC</v>
          </cell>
          <cell r="P68" t="str">
            <v>B</v>
          </cell>
          <cell r="Q68" t="str">
            <v>PI</v>
          </cell>
          <cell r="R68" t="str">
            <v>PERMANENT</v>
          </cell>
          <cell r="S68" t="str">
            <v>PRM</v>
          </cell>
          <cell r="T68" t="str">
            <v>OPT</v>
          </cell>
          <cell r="U68" t="str">
            <v>-</v>
          </cell>
          <cell r="V68" t="str">
            <v>P</v>
          </cell>
          <cell r="W68">
            <v>41</v>
          </cell>
        </row>
        <row r="69">
          <cell r="A69">
            <v>5249</v>
          </cell>
          <cell r="B69" t="str">
            <v>005249</v>
          </cell>
          <cell r="C69" t="str">
            <v>RINA KURNIASARI</v>
          </cell>
          <cell r="D69" t="str">
            <v>SAMI</v>
          </cell>
          <cell r="E69" t="str">
            <v>OPT-125</v>
          </cell>
          <cell r="F69">
            <v>38961</v>
          </cell>
          <cell r="G69" t="str">
            <v>-</v>
          </cell>
          <cell r="H69" t="str">
            <v>-</v>
          </cell>
          <cell r="I69" t="str">
            <v>PRD</v>
          </cell>
          <cell r="J69" t="str">
            <v>PRE ASSY</v>
          </cell>
          <cell r="K69" t="str">
            <v>HONDA</v>
          </cell>
          <cell r="L69" t="str">
            <v>HONDA 33FA</v>
          </cell>
          <cell r="M69" t="str">
            <v>CPA HONDA 33FA</v>
          </cell>
          <cell r="N69" t="str">
            <v>OJT INSP</v>
          </cell>
          <cell r="O69" t="str">
            <v>OTHERS</v>
          </cell>
          <cell r="P69" t="str">
            <v>A (NS)</v>
          </cell>
          <cell r="Q69" t="str">
            <v>PI</v>
          </cell>
          <cell r="R69" t="str">
            <v>PERMANENT</v>
          </cell>
          <cell r="S69" t="str">
            <v>PRM</v>
          </cell>
          <cell r="T69" t="str">
            <v>OPT</v>
          </cell>
          <cell r="U69" t="str">
            <v>-</v>
          </cell>
          <cell r="V69" t="str">
            <v>P</v>
          </cell>
          <cell r="W69">
            <v>40</v>
          </cell>
        </row>
        <row r="70">
          <cell r="A70">
            <v>5420</v>
          </cell>
          <cell r="B70" t="str">
            <v>005420</v>
          </cell>
          <cell r="C70" t="str">
            <v>IIS DWI HINDAYANI</v>
          </cell>
          <cell r="D70" t="str">
            <v>SAMI</v>
          </cell>
          <cell r="E70" t="str">
            <v>OPT-128</v>
          </cell>
          <cell r="F70">
            <v>38991</v>
          </cell>
          <cell r="G70" t="str">
            <v>-</v>
          </cell>
          <cell r="H70" t="str">
            <v>-</v>
          </cell>
          <cell r="I70" t="str">
            <v>PRD</v>
          </cell>
          <cell r="J70" t="str">
            <v>PRE ASSY</v>
          </cell>
          <cell r="K70" t="str">
            <v>HONDA</v>
          </cell>
          <cell r="L70" t="str">
            <v>HONDA 33FA</v>
          </cell>
          <cell r="M70" t="str">
            <v>CPA HONDA 33FA</v>
          </cell>
          <cell r="N70" t="str">
            <v>OJT INSP</v>
          </cell>
          <cell r="O70" t="str">
            <v>OTHERS</v>
          </cell>
          <cell r="P70" t="str">
            <v>A (NS)</v>
          </cell>
          <cell r="Q70" t="str">
            <v>PI</v>
          </cell>
          <cell r="R70" t="str">
            <v>PERMANENT</v>
          </cell>
          <cell r="S70" t="str">
            <v>PRM</v>
          </cell>
          <cell r="T70" t="str">
            <v>OPT</v>
          </cell>
          <cell r="U70" t="str">
            <v>-</v>
          </cell>
          <cell r="V70" t="str">
            <v>P</v>
          </cell>
          <cell r="W70">
            <v>40</v>
          </cell>
        </row>
        <row r="71">
          <cell r="A71">
            <v>311</v>
          </cell>
          <cell r="B71" t="str">
            <v>000311</v>
          </cell>
          <cell r="C71" t="str">
            <v>WANTI LESTARI</v>
          </cell>
          <cell r="D71" t="str">
            <v>SAMI</v>
          </cell>
          <cell r="E71" t="str">
            <v>OPT-9</v>
          </cell>
          <cell r="F71">
            <v>37725</v>
          </cell>
          <cell r="G71" t="str">
            <v>-</v>
          </cell>
          <cell r="H71" t="str">
            <v>-</v>
          </cell>
          <cell r="I71" t="str">
            <v>PRD</v>
          </cell>
          <cell r="J71" t="str">
            <v>PRE ASSY</v>
          </cell>
          <cell r="K71" t="str">
            <v>MAZDA ATENZA</v>
          </cell>
          <cell r="L71" t="str">
            <v>MAZDA J72A</v>
          </cell>
          <cell r="M71" t="str">
            <v>CPA MAZDA CX-5</v>
          </cell>
          <cell r="N71" t="str">
            <v>SUB LINE CHO</v>
          </cell>
          <cell r="O71" t="str">
            <v>GL</v>
          </cell>
          <cell r="P71" t="str">
            <v>B</v>
          </cell>
          <cell r="Q71" t="str">
            <v>PI</v>
          </cell>
          <cell r="R71" t="str">
            <v>PERMANENT</v>
          </cell>
          <cell r="S71" t="str">
            <v>PRM</v>
          </cell>
          <cell r="T71" t="str">
            <v>SLC</v>
          </cell>
          <cell r="U71" t="str">
            <v>-</v>
          </cell>
          <cell r="V71" t="str">
            <v>P</v>
          </cell>
          <cell r="W71">
            <v>41</v>
          </cell>
        </row>
        <row r="72">
          <cell r="A72">
            <v>5801</v>
          </cell>
          <cell r="B72" t="str">
            <v>005801</v>
          </cell>
          <cell r="C72" t="str">
            <v>RIANA PUSPITAWATI</v>
          </cell>
          <cell r="D72" t="str">
            <v>SAMI</v>
          </cell>
          <cell r="E72" t="str">
            <v>OPT-135</v>
          </cell>
          <cell r="F72">
            <v>39114</v>
          </cell>
          <cell r="G72" t="str">
            <v>-</v>
          </cell>
          <cell r="H72" t="str">
            <v>-</v>
          </cell>
          <cell r="I72" t="str">
            <v>PRD</v>
          </cell>
          <cell r="J72" t="str">
            <v>PRE ASSY</v>
          </cell>
          <cell r="K72" t="str">
            <v>HONDA</v>
          </cell>
          <cell r="L72" t="str">
            <v>HONDA 33FA</v>
          </cell>
          <cell r="M72" t="str">
            <v>CPA HONDA 33FA</v>
          </cell>
          <cell r="N72" t="str">
            <v>OJT CUTTING</v>
          </cell>
          <cell r="O72" t="str">
            <v>OTHERS</v>
          </cell>
          <cell r="P72" t="str">
            <v>A (NS)</v>
          </cell>
          <cell r="Q72" t="str">
            <v>PI</v>
          </cell>
          <cell r="R72" t="str">
            <v>PERMANENT</v>
          </cell>
          <cell r="S72" t="str">
            <v>PRM</v>
          </cell>
          <cell r="T72" t="str">
            <v>OPT</v>
          </cell>
          <cell r="U72" t="str">
            <v>-</v>
          </cell>
          <cell r="V72" t="str">
            <v>P</v>
          </cell>
          <cell r="W72">
            <v>38</v>
          </cell>
        </row>
        <row r="73">
          <cell r="A73">
            <v>9579</v>
          </cell>
          <cell r="B73" t="str">
            <v>009579</v>
          </cell>
          <cell r="C73" t="str">
            <v>ANDYNI NILAM SARI</v>
          </cell>
          <cell r="D73" t="str">
            <v>SAMI</v>
          </cell>
          <cell r="E73" t="str">
            <v>OPT-218</v>
          </cell>
          <cell r="F73">
            <v>40179</v>
          </cell>
          <cell r="G73" t="str">
            <v>-</v>
          </cell>
          <cell r="H73" t="str">
            <v>-</v>
          </cell>
          <cell r="I73" t="str">
            <v>PRD</v>
          </cell>
          <cell r="J73" t="str">
            <v>PRE ASSY</v>
          </cell>
          <cell r="K73" t="str">
            <v>HONDA</v>
          </cell>
          <cell r="L73" t="str">
            <v>HONDA 33FA</v>
          </cell>
          <cell r="M73" t="str">
            <v>CPA HONDA 33FA</v>
          </cell>
          <cell r="N73" t="str">
            <v>OJT CUTTING</v>
          </cell>
          <cell r="O73" t="str">
            <v>OTHERS</v>
          </cell>
          <cell r="P73" t="str">
            <v>A (NS)</v>
          </cell>
          <cell r="Q73" t="str">
            <v>PI</v>
          </cell>
          <cell r="R73" t="str">
            <v>PERMANENT</v>
          </cell>
          <cell r="S73" t="str">
            <v>PRM</v>
          </cell>
          <cell r="T73" t="str">
            <v>OPT</v>
          </cell>
          <cell r="U73" t="str">
            <v>-</v>
          </cell>
          <cell r="V73" t="str">
            <v>P</v>
          </cell>
          <cell r="W73">
            <v>34</v>
          </cell>
        </row>
        <row r="74">
          <cell r="A74">
            <v>319</v>
          </cell>
          <cell r="B74" t="str">
            <v>000319</v>
          </cell>
          <cell r="C74" t="str">
            <v>NURWACHIDAH</v>
          </cell>
          <cell r="D74" t="str">
            <v>SAMI</v>
          </cell>
          <cell r="E74" t="str">
            <v>OPT-9</v>
          </cell>
          <cell r="F74">
            <v>37725</v>
          </cell>
          <cell r="G74" t="str">
            <v>-</v>
          </cell>
          <cell r="H74" t="str">
            <v>-</v>
          </cell>
          <cell r="I74" t="str">
            <v>QA</v>
          </cell>
          <cell r="J74" t="str">
            <v>FINAL ASSY</v>
          </cell>
          <cell r="K74" t="str">
            <v>TOYOTA</v>
          </cell>
          <cell r="L74" t="str">
            <v>AQUA SIENTA</v>
          </cell>
          <cell r="M74" t="str">
            <v>CV T01</v>
          </cell>
          <cell r="N74" t="str">
            <v>GL INSPECTION</v>
          </cell>
          <cell r="O74" t="str">
            <v>GL</v>
          </cell>
          <cell r="P74" t="str">
            <v>B</v>
          </cell>
          <cell r="Q74" t="str">
            <v>PI</v>
          </cell>
          <cell r="R74" t="str">
            <v>PERMANENT</v>
          </cell>
          <cell r="S74" t="str">
            <v>PRM</v>
          </cell>
          <cell r="T74" t="str">
            <v>GL</v>
          </cell>
          <cell r="U74" t="str">
            <v>-</v>
          </cell>
          <cell r="V74" t="str">
            <v>P</v>
          </cell>
          <cell r="W74">
            <v>40</v>
          </cell>
        </row>
        <row r="75">
          <cell r="A75">
            <v>320</v>
          </cell>
          <cell r="B75" t="str">
            <v>000320</v>
          </cell>
          <cell r="C75" t="str">
            <v>SITI WAHYUNI</v>
          </cell>
          <cell r="D75" t="str">
            <v>SAMI</v>
          </cell>
          <cell r="E75" t="str">
            <v>OPT-9</v>
          </cell>
          <cell r="F75">
            <v>37725</v>
          </cell>
          <cell r="G75" t="str">
            <v>-</v>
          </cell>
          <cell r="H75" t="str">
            <v>-</v>
          </cell>
          <cell r="I75" t="str">
            <v>PRD</v>
          </cell>
          <cell r="J75" t="str">
            <v>FINAL ASSY</v>
          </cell>
          <cell r="K75" t="str">
            <v>TOYOTA HV</v>
          </cell>
          <cell r="L75" t="str">
            <v>HV TOYOTA 10PL</v>
          </cell>
          <cell r="M75" t="str">
            <v>CV HV 14B</v>
          </cell>
          <cell r="N75" t="str">
            <v>CIRCUIT SUPPLIER</v>
          </cell>
          <cell r="O75" t="str">
            <v>CIRCUIT SUPPLY</v>
          </cell>
          <cell r="P75" t="str">
            <v>B</v>
          </cell>
          <cell r="Q75" t="str">
            <v>PI</v>
          </cell>
          <cell r="R75" t="str">
            <v>PERMANENT</v>
          </cell>
          <cell r="S75" t="str">
            <v>PRM</v>
          </cell>
          <cell r="T75" t="str">
            <v>OPT</v>
          </cell>
          <cell r="U75" t="str">
            <v>-</v>
          </cell>
          <cell r="V75" t="str">
            <v>P</v>
          </cell>
          <cell r="W75">
            <v>41</v>
          </cell>
        </row>
        <row r="76">
          <cell r="A76">
            <v>322</v>
          </cell>
          <cell r="B76" t="str">
            <v>000322</v>
          </cell>
          <cell r="C76" t="str">
            <v>SUNARNI</v>
          </cell>
          <cell r="D76" t="str">
            <v>SAMI</v>
          </cell>
          <cell r="E76" t="str">
            <v>OPT-9</v>
          </cell>
          <cell r="F76">
            <v>37725</v>
          </cell>
          <cell r="G76" t="str">
            <v>-</v>
          </cell>
          <cell r="H76" t="str">
            <v>-</v>
          </cell>
          <cell r="I76" t="str">
            <v>PRD</v>
          </cell>
          <cell r="J76" t="str">
            <v>PRE ASSY</v>
          </cell>
          <cell r="K76" t="str">
            <v>TOYOTA</v>
          </cell>
          <cell r="L76" t="str">
            <v>HV TOYOTA LV</v>
          </cell>
          <cell r="M76" t="str">
            <v>CPA TOYOTA LV</v>
          </cell>
          <cell r="N76" t="str">
            <v>PRD LINE CHO</v>
          </cell>
          <cell r="O76" t="str">
            <v>FPI LL</v>
          </cell>
          <cell r="P76" t="str">
            <v>B</v>
          </cell>
          <cell r="Q76" t="str">
            <v>PI</v>
          </cell>
          <cell r="R76" t="str">
            <v>PERMANENT</v>
          </cell>
          <cell r="S76" t="str">
            <v>PRM</v>
          </cell>
          <cell r="T76" t="str">
            <v>LC</v>
          </cell>
          <cell r="U76" t="str">
            <v>-</v>
          </cell>
          <cell r="V76" t="str">
            <v>P</v>
          </cell>
          <cell r="W76">
            <v>40</v>
          </cell>
        </row>
        <row r="77">
          <cell r="A77">
            <v>9679</v>
          </cell>
          <cell r="B77" t="str">
            <v>009679</v>
          </cell>
          <cell r="C77" t="str">
            <v>AAM KHALAMAH</v>
          </cell>
          <cell r="D77" t="str">
            <v>SAMI</v>
          </cell>
          <cell r="E77" t="str">
            <v>OPT-222</v>
          </cell>
          <cell r="F77">
            <v>40297</v>
          </cell>
          <cell r="G77" t="str">
            <v>-</v>
          </cell>
          <cell r="H77" t="str">
            <v>-</v>
          </cell>
          <cell r="I77" t="str">
            <v>PRD</v>
          </cell>
          <cell r="J77" t="str">
            <v>PRE ASSY</v>
          </cell>
          <cell r="K77" t="str">
            <v>HONDA</v>
          </cell>
          <cell r="L77" t="str">
            <v>HONDA 33FA</v>
          </cell>
          <cell r="M77" t="str">
            <v>CPA HONDA 33FA</v>
          </cell>
          <cell r="N77" t="str">
            <v>OJT CUTTING</v>
          </cell>
          <cell r="O77" t="str">
            <v>OTHERS</v>
          </cell>
          <cell r="P77" t="str">
            <v>A (NS)</v>
          </cell>
          <cell r="Q77" t="str">
            <v>PI</v>
          </cell>
          <cell r="R77" t="str">
            <v>PERMANENT</v>
          </cell>
          <cell r="S77" t="str">
            <v>PRM</v>
          </cell>
          <cell r="T77" t="str">
            <v>OPT</v>
          </cell>
          <cell r="U77" t="str">
            <v>-</v>
          </cell>
          <cell r="V77" t="str">
            <v>P</v>
          </cell>
          <cell r="W77">
            <v>36</v>
          </cell>
        </row>
        <row r="78">
          <cell r="A78">
            <v>9683</v>
          </cell>
          <cell r="B78" t="str">
            <v>009683</v>
          </cell>
          <cell r="C78" t="str">
            <v>FENTI WULANDARI</v>
          </cell>
          <cell r="D78" t="str">
            <v>SAMI</v>
          </cell>
          <cell r="E78" t="str">
            <v>OPT-222</v>
          </cell>
          <cell r="F78">
            <v>40297</v>
          </cell>
          <cell r="G78" t="str">
            <v>-</v>
          </cell>
          <cell r="H78" t="str">
            <v>-</v>
          </cell>
          <cell r="I78" t="str">
            <v>PRD</v>
          </cell>
          <cell r="J78" t="str">
            <v>PRE ASSY</v>
          </cell>
          <cell r="K78" t="str">
            <v>HONDA</v>
          </cell>
          <cell r="L78" t="str">
            <v>HONDA 33FA</v>
          </cell>
          <cell r="M78" t="str">
            <v>CPA HONDA 33FA</v>
          </cell>
          <cell r="N78" t="str">
            <v>OJT BONDER</v>
          </cell>
          <cell r="O78" t="str">
            <v>OTHERS</v>
          </cell>
          <cell r="P78" t="str">
            <v>A (NS)</v>
          </cell>
          <cell r="Q78" t="str">
            <v>PI</v>
          </cell>
          <cell r="R78" t="str">
            <v>PERMANENT</v>
          </cell>
          <cell r="S78" t="str">
            <v>PRM</v>
          </cell>
          <cell r="T78" t="str">
            <v>OPT</v>
          </cell>
          <cell r="U78" t="str">
            <v>-</v>
          </cell>
          <cell r="V78" t="str">
            <v>P</v>
          </cell>
          <cell r="W78">
            <v>35</v>
          </cell>
        </row>
        <row r="79">
          <cell r="A79">
            <v>329</v>
          </cell>
          <cell r="B79" t="str">
            <v>000329</v>
          </cell>
          <cell r="C79" t="str">
            <v>ISNAINI</v>
          </cell>
          <cell r="D79" t="str">
            <v>SAMI</v>
          </cell>
          <cell r="E79" t="str">
            <v>OPT-9</v>
          </cell>
          <cell r="F79">
            <v>37725</v>
          </cell>
          <cell r="G79" t="str">
            <v>-</v>
          </cell>
          <cell r="H79" t="str">
            <v>-</v>
          </cell>
          <cell r="I79" t="str">
            <v>PRD</v>
          </cell>
          <cell r="J79" t="str">
            <v>PRE ASSY</v>
          </cell>
          <cell r="K79" t="str">
            <v>HONDA EXPORT</v>
          </cell>
          <cell r="L79" t="str">
            <v>HONDA EXPORT</v>
          </cell>
          <cell r="M79" t="str">
            <v>CPA HONDA EXPORT</v>
          </cell>
          <cell r="N79" t="str">
            <v>INSP CUTTING</v>
          </cell>
          <cell r="O79" t="str">
            <v>P/A INSPECTOR</v>
          </cell>
          <cell r="P79" t="str">
            <v>B</v>
          </cell>
          <cell r="Q79" t="str">
            <v>PI</v>
          </cell>
          <cell r="R79" t="str">
            <v>PERMANENT</v>
          </cell>
          <cell r="S79" t="str">
            <v>PRM</v>
          </cell>
          <cell r="T79" t="str">
            <v>OPT</v>
          </cell>
          <cell r="U79" t="str">
            <v>-</v>
          </cell>
          <cell r="V79" t="str">
            <v>P</v>
          </cell>
          <cell r="W79">
            <v>42</v>
          </cell>
        </row>
        <row r="80">
          <cell r="A80">
            <v>10273</v>
          </cell>
          <cell r="B80" t="str">
            <v>010273</v>
          </cell>
          <cell r="C80" t="str">
            <v>FINA AKHADIYAH</v>
          </cell>
          <cell r="D80" t="str">
            <v>SAMI</v>
          </cell>
          <cell r="E80" t="str">
            <v>OPT-261</v>
          </cell>
          <cell r="F80">
            <v>40497</v>
          </cell>
          <cell r="G80" t="str">
            <v>-</v>
          </cell>
          <cell r="H80" t="str">
            <v>-</v>
          </cell>
          <cell r="I80" t="str">
            <v>PRD</v>
          </cell>
          <cell r="J80" t="str">
            <v>PRE ASSY</v>
          </cell>
          <cell r="K80" t="str">
            <v>HONDA</v>
          </cell>
          <cell r="L80" t="str">
            <v>HONDA 33FA</v>
          </cell>
          <cell r="M80" t="str">
            <v>CPA HONDA 33FA</v>
          </cell>
          <cell r="N80" t="str">
            <v>OJT BFT</v>
          </cell>
          <cell r="O80" t="str">
            <v>OTHERS</v>
          </cell>
          <cell r="P80" t="str">
            <v>A (NS)</v>
          </cell>
          <cell r="Q80" t="str">
            <v>PI</v>
          </cell>
          <cell r="R80" t="str">
            <v>PERMANENT</v>
          </cell>
          <cell r="S80" t="str">
            <v>PRM</v>
          </cell>
          <cell r="T80" t="str">
            <v>OPT</v>
          </cell>
          <cell r="U80" t="str">
            <v>-</v>
          </cell>
          <cell r="V80" t="str">
            <v>P</v>
          </cell>
          <cell r="W80">
            <v>32</v>
          </cell>
        </row>
        <row r="81">
          <cell r="A81">
            <v>10763</v>
          </cell>
          <cell r="B81" t="str">
            <v>010763</v>
          </cell>
          <cell r="C81" t="str">
            <v>YOSSI MAULITA GIAS</v>
          </cell>
          <cell r="D81" t="str">
            <v>SAMI</v>
          </cell>
          <cell r="E81" t="str">
            <v>OPT-281</v>
          </cell>
          <cell r="F81">
            <v>40566</v>
          </cell>
          <cell r="G81" t="str">
            <v>-</v>
          </cell>
          <cell r="H81" t="str">
            <v>-</v>
          </cell>
          <cell r="I81" t="str">
            <v>PRD</v>
          </cell>
          <cell r="J81" t="str">
            <v>PRE ASSY</v>
          </cell>
          <cell r="K81" t="str">
            <v>HONDA</v>
          </cell>
          <cell r="L81" t="str">
            <v>HONDA 33FA</v>
          </cell>
          <cell r="M81" t="str">
            <v>CPA HONDA 33FA</v>
          </cell>
          <cell r="N81" t="str">
            <v>OJT INSP</v>
          </cell>
          <cell r="O81" t="str">
            <v>OTHERS</v>
          </cell>
          <cell r="P81" t="str">
            <v>A (NS)</v>
          </cell>
          <cell r="Q81" t="str">
            <v>PI</v>
          </cell>
          <cell r="R81" t="str">
            <v>PERMANENT</v>
          </cell>
          <cell r="S81" t="str">
            <v>PRM</v>
          </cell>
          <cell r="T81" t="str">
            <v>OPT</v>
          </cell>
          <cell r="U81" t="str">
            <v>-</v>
          </cell>
          <cell r="V81" t="str">
            <v>P</v>
          </cell>
          <cell r="W81">
            <v>33</v>
          </cell>
        </row>
        <row r="82">
          <cell r="A82">
            <v>10933</v>
          </cell>
          <cell r="B82" t="str">
            <v>010933</v>
          </cell>
          <cell r="C82" t="str">
            <v>LISA RAHMAWATI</v>
          </cell>
          <cell r="D82" t="str">
            <v>SAMI</v>
          </cell>
          <cell r="E82" t="str">
            <v>OPT-285</v>
          </cell>
          <cell r="F82">
            <v>40578</v>
          </cell>
          <cell r="G82" t="str">
            <v>-</v>
          </cell>
          <cell r="H82" t="str">
            <v>-</v>
          </cell>
          <cell r="I82" t="str">
            <v>PRD</v>
          </cell>
          <cell r="J82" t="str">
            <v>PRE ASSY</v>
          </cell>
          <cell r="K82" t="str">
            <v>HONDA</v>
          </cell>
          <cell r="L82" t="str">
            <v>HONDA 33FA</v>
          </cell>
          <cell r="M82" t="str">
            <v>CPA HONDA 33FA</v>
          </cell>
          <cell r="N82" t="str">
            <v>OJT CUTTING</v>
          </cell>
          <cell r="O82" t="str">
            <v>OTHERS</v>
          </cell>
          <cell r="P82" t="str">
            <v>A (NS)</v>
          </cell>
          <cell r="Q82" t="str">
            <v>PI</v>
          </cell>
          <cell r="R82" t="str">
            <v>PERMANENT</v>
          </cell>
          <cell r="S82" t="str">
            <v>PRM</v>
          </cell>
          <cell r="T82" t="str">
            <v>OPT</v>
          </cell>
          <cell r="U82" t="str">
            <v>-</v>
          </cell>
          <cell r="V82" t="str">
            <v>P</v>
          </cell>
          <cell r="W82">
            <v>33</v>
          </cell>
        </row>
        <row r="83">
          <cell r="A83">
            <v>345</v>
          </cell>
          <cell r="B83" t="str">
            <v>000345</v>
          </cell>
          <cell r="C83" t="str">
            <v>DEBORA KRISTIANA SETIYANINGRUM</v>
          </cell>
          <cell r="D83" t="str">
            <v>SAMI</v>
          </cell>
          <cell r="E83" t="str">
            <v>ADM-2</v>
          </cell>
          <cell r="F83">
            <v>37725</v>
          </cell>
          <cell r="G83" t="str">
            <v>-</v>
          </cell>
          <cell r="H83" t="str">
            <v>-</v>
          </cell>
          <cell r="I83" t="str">
            <v>PGA</v>
          </cell>
          <cell r="J83" t="str">
            <v>HR</v>
          </cell>
          <cell r="K83" t="str">
            <v>ALL</v>
          </cell>
          <cell r="L83" t="str">
            <v>ALL</v>
          </cell>
          <cell r="M83" t="str">
            <v>HR</v>
          </cell>
          <cell r="N83" t="str">
            <v>LEADER</v>
          </cell>
          <cell r="O83" t="str">
            <v>IDL LL</v>
          </cell>
          <cell r="P83" t="str">
            <v>A (NS)</v>
          </cell>
          <cell r="Q83" t="str">
            <v>ADM</v>
          </cell>
          <cell r="R83" t="str">
            <v>PERMANENT</v>
          </cell>
          <cell r="S83" t="str">
            <v>PRM</v>
          </cell>
          <cell r="T83" t="str">
            <v>LL</v>
          </cell>
          <cell r="U83" t="str">
            <v>-</v>
          </cell>
          <cell r="V83" t="str">
            <v>P</v>
          </cell>
          <cell r="W83">
            <v>43</v>
          </cell>
        </row>
        <row r="84">
          <cell r="A84">
            <v>356</v>
          </cell>
          <cell r="B84" t="str">
            <v>000356</v>
          </cell>
          <cell r="C84" t="str">
            <v>ANI DWI SETYONINGSIH</v>
          </cell>
          <cell r="D84" t="str">
            <v>SAMI</v>
          </cell>
          <cell r="E84" t="str">
            <v>OPT-10</v>
          </cell>
          <cell r="F84">
            <v>37732</v>
          </cell>
          <cell r="G84" t="str">
            <v>-</v>
          </cell>
          <cell r="H84" t="str">
            <v>-</v>
          </cell>
          <cell r="I84" t="str">
            <v>QA</v>
          </cell>
          <cell r="J84" t="str">
            <v>FINAL ASSY</v>
          </cell>
          <cell r="K84" t="str">
            <v>HONDA FREED</v>
          </cell>
          <cell r="L84" t="str">
            <v>HONDA FREED W/H FLOOR</v>
          </cell>
          <cell r="M84" t="str">
            <v>CV 4</v>
          </cell>
          <cell r="N84" t="str">
            <v>GL REWORK</v>
          </cell>
          <cell r="O84" t="str">
            <v>REWORK</v>
          </cell>
          <cell r="P84" t="str">
            <v>A</v>
          </cell>
          <cell r="Q84" t="str">
            <v>PI</v>
          </cell>
          <cell r="R84" t="str">
            <v>PERMANENT</v>
          </cell>
          <cell r="S84" t="str">
            <v>PRM</v>
          </cell>
          <cell r="T84" t="str">
            <v>GL</v>
          </cell>
          <cell r="U84" t="str">
            <v>-</v>
          </cell>
          <cell r="V84" t="str">
            <v>P</v>
          </cell>
          <cell r="W84">
            <v>41</v>
          </cell>
        </row>
        <row r="85">
          <cell r="A85">
            <v>11046</v>
          </cell>
          <cell r="B85" t="str">
            <v>011046</v>
          </cell>
          <cell r="C85" t="str">
            <v>NUR FATIMAH</v>
          </cell>
          <cell r="D85" t="str">
            <v>SAMI</v>
          </cell>
          <cell r="E85" t="str">
            <v>OPT-288</v>
          </cell>
          <cell r="F85">
            <v>40592</v>
          </cell>
          <cell r="G85" t="str">
            <v>-</v>
          </cell>
          <cell r="H85" t="str">
            <v>-</v>
          </cell>
          <cell r="I85" t="str">
            <v>PRD</v>
          </cell>
          <cell r="J85" t="str">
            <v>PRE ASSY</v>
          </cell>
          <cell r="K85" t="str">
            <v>HONDA</v>
          </cell>
          <cell r="L85" t="str">
            <v>HONDA 33FA</v>
          </cell>
          <cell r="M85" t="str">
            <v>CPA HONDA 33FA</v>
          </cell>
          <cell r="N85" t="str">
            <v>OJT CUTTING</v>
          </cell>
          <cell r="O85" t="str">
            <v>OTHERS</v>
          </cell>
          <cell r="P85" t="str">
            <v>A (NS)</v>
          </cell>
          <cell r="Q85" t="str">
            <v>PI</v>
          </cell>
          <cell r="R85" t="str">
            <v>PERMANENT</v>
          </cell>
          <cell r="S85" t="str">
            <v>PRM</v>
          </cell>
          <cell r="T85" t="str">
            <v>OPT</v>
          </cell>
          <cell r="U85" t="str">
            <v>-</v>
          </cell>
          <cell r="V85" t="str">
            <v>P</v>
          </cell>
          <cell r="W85">
            <v>33</v>
          </cell>
        </row>
        <row r="86">
          <cell r="A86">
            <v>11709</v>
          </cell>
          <cell r="B86" t="str">
            <v>011709</v>
          </cell>
          <cell r="C86" t="str">
            <v>INTANSARI</v>
          </cell>
          <cell r="D86" t="str">
            <v>SAMI</v>
          </cell>
          <cell r="E86" t="str">
            <v>OPT-308</v>
          </cell>
          <cell r="F86">
            <v>40714</v>
          </cell>
          <cell r="G86" t="str">
            <v>-</v>
          </cell>
          <cell r="H86" t="str">
            <v>-</v>
          </cell>
          <cell r="I86" t="str">
            <v>PRD</v>
          </cell>
          <cell r="J86" t="str">
            <v>PRE ASSY</v>
          </cell>
          <cell r="K86" t="str">
            <v>DAIHATSU</v>
          </cell>
          <cell r="L86" t="str">
            <v>HONDA 33FA</v>
          </cell>
          <cell r="M86" t="str">
            <v>CPA HONDA 33FA</v>
          </cell>
          <cell r="N86" t="str">
            <v>OJT BFT</v>
          </cell>
          <cell r="O86" t="str">
            <v>OTHERS</v>
          </cell>
          <cell r="P86" t="str">
            <v>A (NS)</v>
          </cell>
          <cell r="Q86" t="str">
            <v>PI</v>
          </cell>
          <cell r="R86" t="str">
            <v>PERMANENT</v>
          </cell>
          <cell r="S86" t="str">
            <v>PRM</v>
          </cell>
          <cell r="T86" t="str">
            <v>OPT</v>
          </cell>
          <cell r="U86" t="str">
            <v>-</v>
          </cell>
          <cell r="V86" t="str">
            <v>P</v>
          </cell>
          <cell r="W86">
            <v>31</v>
          </cell>
        </row>
        <row r="87">
          <cell r="A87">
            <v>12211</v>
          </cell>
          <cell r="B87" t="str">
            <v>012211</v>
          </cell>
          <cell r="C87" t="str">
            <v>SITI AISAH</v>
          </cell>
          <cell r="D87" t="str">
            <v>SAMI</v>
          </cell>
          <cell r="E87" t="str">
            <v>OPT-315</v>
          </cell>
          <cell r="F87">
            <v>40802</v>
          </cell>
          <cell r="G87" t="str">
            <v>-</v>
          </cell>
          <cell r="H87" t="str">
            <v>-</v>
          </cell>
          <cell r="I87" t="str">
            <v>PRD</v>
          </cell>
          <cell r="J87" t="str">
            <v>PRE ASSY</v>
          </cell>
          <cell r="K87" t="str">
            <v>HONDA</v>
          </cell>
          <cell r="L87" t="str">
            <v>HONDA 33FA</v>
          </cell>
          <cell r="M87" t="str">
            <v>CPA HONDA 33FA</v>
          </cell>
          <cell r="N87" t="str">
            <v>OJT INSP</v>
          </cell>
          <cell r="O87" t="str">
            <v>OTHERS</v>
          </cell>
          <cell r="P87" t="str">
            <v>A (NS)</v>
          </cell>
          <cell r="Q87" t="str">
            <v>PI</v>
          </cell>
          <cell r="R87" t="str">
            <v>PERMANENT</v>
          </cell>
          <cell r="S87" t="str">
            <v>PRM</v>
          </cell>
          <cell r="T87" t="str">
            <v>OPT</v>
          </cell>
          <cell r="U87" t="str">
            <v>-</v>
          </cell>
          <cell r="V87" t="str">
            <v>P</v>
          </cell>
          <cell r="W87">
            <v>30</v>
          </cell>
        </row>
        <row r="88">
          <cell r="A88">
            <v>12271</v>
          </cell>
          <cell r="B88" t="str">
            <v>012271</v>
          </cell>
          <cell r="C88" t="str">
            <v>FARICHAH</v>
          </cell>
          <cell r="D88" t="str">
            <v>SAMI</v>
          </cell>
          <cell r="E88" t="str">
            <v>OPT-316</v>
          </cell>
          <cell r="F88">
            <v>40805</v>
          </cell>
          <cell r="G88" t="str">
            <v>-</v>
          </cell>
          <cell r="H88" t="str">
            <v>-</v>
          </cell>
          <cell r="I88" t="str">
            <v>PRD</v>
          </cell>
          <cell r="J88" t="str">
            <v>PRE ASSY</v>
          </cell>
          <cell r="K88" t="str">
            <v>HONDA</v>
          </cell>
          <cell r="L88" t="str">
            <v>HONDA 33FA</v>
          </cell>
          <cell r="M88" t="str">
            <v>CPA HONDA 33FA</v>
          </cell>
          <cell r="N88" t="str">
            <v>OJT BFT</v>
          </cell>
          <cell r="O88" t="str">
            <v>OTHERS</v>
          </cell>
          <cell r="P88" t="str">
            <v>A (NS)</v>
          </cell>
          <cell r="Q88" t="str">
            <v>PI</v>
          </cell>
          <cell r="R88" t="str">
            <v>PERMANENT</v>
          </cell>
          <cell r="S88" t="str">
            <v>PRM</v>
          </cell>
          <cell r="T88" t="str">
            <v>OPT</v>
          </cell>
          <cell r="U88" t="str">
            <v>-</v>
          </cell>
          <cell r="V88" t="str">
            <v>P</v>
          </cell>
          <cell r="W88">
            <v>32</v>
          </cell>
        </row>
        <row r="89">
          <cell r="A89">
            <v>5935</v>
          </cell>
          <cell r="B89" t="str">
            <v>005935</v>
          </cell>
          <cell r="C89" t="str">
            <v>RAGA TRI RAHAYU</v>
          </cell>
          <cell r="D89" t="str">
            <v>SAMI</v>
          </cell>
          <cell r="E89" t="str">
            <v>OPT-137</v>
          </cell>
          <cell r="F89">
            <v>39129</v>
          </cell>
          <cell r="G89" t="str">
            <v>-</v>
          </cell>
          <cell r="H89" t="str">
            <v>-</v>
          </cell>
          <cell r="I89" t="str">
            <v>PRD</v>
          </cell>
          <cell r="J89" t="str">
            <v>PRE ASSY</v>
          </cell>
          <cell r="K89" t="str">
            <v>HONDA BBP</v>
          </cell>
          <cell r="L89" t="str">
            <v>HONDA 36 CELL</v>
          </cell>
          <cell r="M89" t="str">
            <v>CPA HONDA 36 CELL</v>
          </cell>
          <cell r="N89" t="str">
            <v>INTERMEDIATE</v>
          </cell>
          <cell r="O89" t="str">
            <v>P/A INSPECTOR</v>
          </cell>
          <cell r="P89" t="str">
            <v>A</v>
          </cell>
          <cell r="Q89" t="str">
            <v>PI</v>
          </cell>
          <cell r="R89" t="str">
            <v>PERMANENT</v>
          </cell>
          <cell r="S89" t="str">
            <v>PRM</v>
          </cell>
          <cell r="T89" t="str">
            <v>OPT</v>
          </cell>
          <cell r="U89" t="str">
            <v>-</v>
          </cell>
          <cell r="V89" t="str">
            <v>P</v>
          </cell>
          <cell r="W89">
            <v>39</v>
          </cell>
        </row>
        <row r="90">
          <cell r="A90">
            <v>394</v>
          </cell>
          <cell r="B90" t="str">
            <v>000394</v>
          </cell>
          <cell r="C90" t="str">
            <v>SRI PURWANTI</v>
          </cell>
          <cell r="D90" t="str">
            <v>SAMI</v>
          </cell>
          <cell r="E90" t="str">
            <v>ADM-3</v>
          </cell>
          <cell r="F90">
            <v>37732</v>
          </cell>
          <cell r="G90" t="str">
            <v>-</v>
          </cell>
          <cell r="H90" t="str">
            <v>-</v>
          </cell>
          <cell r="I90" t="str">
            <v>QA</v>
          </cell>
          <cell r="J90" t="str">
            <v>NON LINE</v>
          </cell>
          <cell r="K90" t="str">
            <v>ALL</v>
          </cell>
          <cell r="L90" t="str">
            <v>ALL</v>
          </cell>
          <cell r="M90" t="str">
            <v>QA ADM</v>
          </cell>
          <cell r="N90" t="str">
            <v>ADMINISTRATION</v>
          </cell>
          <cell r="O90" t="str">
            <v>QA ADM</v>
          </cell>
          <cell r="P90" t="str">
            <v>A (NS)</v>
          </cell>
          <cell r="Q90" t="str">
            <v>PS</v>
          </cell>
          <cell r="R90" t="str">
            <v>PERMANENT</v>
          </cell>
          <cell r="S90" t="str">
            <v>PRM</v>
          </cell>
          <cell r="T90" t="str">
            <v>ADM</v>
          </cell>
          <cell r="U90" t="str">
            <v>-</v>
          </cell>
          <cell r="V90" t="str">
            <v>P</v>
          </cell>
          <cell r="W90">
            <v>41</v>
          </cell>
        </row>
        <row r="91">
          <cell r="A91">
            <v>395</v>
          </cell>
          <cell r="B91" t="str">
            <v>000395</v>
          </cell>
          <cell r="C91" t="str">
            <v>TRI NOVI PUJIYANTI</v>
          </cell>
          <cell r="D91" t="str">
            <v>SAMI</v>
          </cell>
          <cell r="E91" t="str">
            <v>ADM-3</v>
          </cell>
          <cell r="F91">
            <v>37732</v>
          </cell>
          <cell r="G91" t="str">
            <v>-</v>
          </cell>
          <cell r="H91" t="str">
            <v>-</v>
          </cell>
          <cell r="I91" t="str">
            <v>LOG</v>
          </cell>
          <cell r="J91" t="str">
            <v>L. DOCK</v>
          </cell>
          <cell r="K91" t="str">
            <v>ALL</v>
          </cell>
          <cell r="L91" t="str">
            <v>ALL</v>
          </cell>
          <cell r="M91" t="str">
            <v>L. DOCK</v>
          </cell>
          <cell r="N91" t="str">
            <v>ADMIN LABEL BOX</v>
          </cell>
          <cell r="O91" t="str">
            <v>LD</v>
          </cell>
          <cell r="P91" t="str">
            <v>A (NS)</v>
          </cell>
          <cell r="Q91" t="str">
            <v>PS</v>
          </cell>
          <cell r="R91" t="str">
            <v>PERMANENT</v>
          </cell>
          <cell r="S91" t="str">
            <v>PRM</v>
          </cell>
          <cell r="T91" t="str">
            <v>ADM</v>
          </cell>
          <cell r="U91" t="str">
            <v>-</v>
          </cell>
          <cell r="V91" t="str">
            <v>P</v>
          </cell>
          <cell r="W91">
            <v>43</v>
          </cell>
        </row>
        <row r="92">
          <cell r="A92">
            <v>25358</v>
          </cell>
          <cell r="B92" t="str">
            <v>025358</v>
          </cell>
          <cell r="C92" t="str">
            <v>NISA LAILATUL MUNAWAROH</v>
          </cell>
          <cell r="D92" t="str">
            <v>SAMI</v>
          </cell>
          <cell r="E92" t="str">
            <v>OPT-618</v>
          </cell>
          <cell r="F92">
            <v>44078</v>
          </cell>
          <cell r="G92" t="str">
            <v>-</v>
          </cell>
          <cell r="H92" t="str">
            <v>-</v>
          </cell>
          <cell r="I92" t="str">
            <v>PRD</v>
          </cell>
          <cell r="J92" t="str">
            <v>PRE ASSY</v>
          </cell>
          <cell r="K92" t="str">
            <v>HONDA BBP</v>
          </cell>
          <cell r="L92" t="str">
            <v>HONDA 36 CELL</v>
          </cell>
          <cell r="M92" t="str">
            <v>CPA HONDA 36 CELL</v>
          </cell>
          <cell r="N92" t="str">
            <v>CUTTING AC90-H-03, 04</v>
          </cell>
          <cell r="O92" t="str">
            <v>CUTTING WIRE</v>
          </cell>
          <cell r="P92" t="str">
            <v>A</v>
          </cell>
          <cell r="Q92" t="str">
            <v>DL</v>
          </cell>
          <cell r="R92" t="str">
            <v>PERMANENT</v>
          </cell>
          <cell r="S92" t="str">
            <v>PRM</v>
          </cell>
          <cell r="T92" t="str">
            <v>OPT</v>
          </cell>
          <cell r="U92" t="str">
            <v>-</v>
          </cell>
          <cell r="V92" t="str">
            <v>P</v>
          </cell>
          <cell r="W92">
            <v>22</v>
          </cell>
        </row>
        <row r="93">
          <cell r="A93">
            <v>317</v>
          </cell>
          <cell r="B93" t="str">
            <v>000317</v>
          </cell>
          <cell r="C93" t="str">
            <v>NURHUDA</v>
          </cell>
          <cell r="D93" t="str">
            <v>SAMI</v>
          </cell>
          <cell r="E93" t="str">
            <v>OPT-9</v>
          </cell>
          <cell r="F93">
            <v>37725</v>
          </cell>
          <cell r="G93" t="str">
            <v>-</v>
          </cell>
          <cell r="H93" t="str">
            <v>-</v>
          </cell>
          <cell r="I93" t="str">
            <v>PRD</v>
          </cell>
          <cell r="J93" t="str">
            <v>PRE ASSY</v>
          </cell>
          <cell r="K93" t="str">
            <v>HONDA EXPORT</v>
          </cell>
          <cell r="L93" t="str">
            <v>HONDA EXPORT</v>
          </cell>
          <cell r="M93" t="str">
            <v>CPA HONDA EXPORT</v>
          </cell>
          <cell r="N93" t="str">
            <v>INSP CUTTING</v>
          </cell>
          <cell r="O93" t="str">
            <v>P/A INSPECTOR</v>
          </cell>
          <cell r="P93" t="str">
            <v>A</v>
          </cell>
          <cell r="Q93" t="str">
            <v>PI</v>
          </cell>
          <cell r="R93" t="str">
            <v>PERMANENT</v>
          </cell>
          <cell r="S93" t="str">
            <v>PRM</v>
          </cell>
          <cell r="T93" t="str">
            <v>OPT</v>
          </cell>
          <cell r="U93" t="str">
            <v>-</v>
          </cell>
          <cell r="V93" t="str">
            <v>P</v>
          </cell>
          <cell r="W93">
            <v>43</v>
          </cell>
        </row>
        <row r="94">
          <cell r="A94">
            <v>414</v>
          </cell>
          <cell r="B94" t="str">
            <v>000414</v>
          </cell>
          <cell r="C94" t="str">
            <v>ARIYATUN</v>
          </cell>
          <cell r="D94" t="str">
            <v>SAMI</v>
          </cell>
          <cell r="E94" t="str">
            <v>OPT-11</v>
          </cell>
          <cell r="F94">
            <v>37739</v>
          </cell>
          <cell r="G94" t="str">
            <v>-</v>
          </cell>
          <cell r="H94" t="str">
            <v>-</v>
          </cell>
          <cell r="I94" t="str">
            <v>PRD</v>
          </cell>
          <cell r="J94" t="str">
            <v>PRE ASSY</v>
          </cell>
          <cell r="K94" t="str">
            <v>MAZDA ATENZA</v>
          </cell>
          <cell r="L94" t="str">
            <v>MAZDA J72A</v>
          </cell>
          <cell r="M94" t="str">
            <v>CPA MAZDA CX-5</v>
          </cell>
          <cell r="N94" t="str">
            <v>BM4-MZD-02</v>
          </cell>
          <cell r="O94" t="str">
            <v>BONDER</v>
          </cell>
          <cell r="P94" t="str">
            <v>B</v>
          </cell>
          <cell r="Q94" t="str">
            <v>DL</v>
          </cell>
          <cell r="R94" t="str">
            <v>PERMANENT</v>
          </cell>
          <cell r="S94" t="str">
            <v>PRM</v>
          </cell>
          <cell r="T94" t="str">
            <v>OPT</v>
          </cell>
          <cell r="U94" t="str">
            <v>-</v>
          </cell>
          <cell r="V94" t="str">
            <v>P</v>
          </cell>
          <cell r="W94">
            <v>42</v>
          </cell>
        </row>
        <row r="95">
          <cell r="A95">
            <v>523</v>
          </cell>
          <cell r="B95" t="str">
            <v>000523</v>
          </cell>
          <cell r="C95" t="str">
            <v>RIYANA PUJI LESTARI</v>
          </cell>
          <cell r="D95" t="str">
            <v>SAMI</v>
          </cell>
          <cell r="E95" t="str">
            <v>OPT-14</v>
          </cell>
          <cell r="F95">
            <v>37767</v>
          </cell>
          <cell r="G95" t="str">
            <v>-</v>
          </cell>
          <cell r="H95" t="str">
            <v>-</v>
          </cell>
          <cell r="I95" t="str">
            <v>PRD</v>
          </cell>
          <cell r="J95" t="str">
            <v>PRE ASSY</v>
          </cell>
          <cell r="K95" t="str">
            <v>HONDA EXPORT</v>
          </cell>
          <cell r="L95" t="str">
            <v>HONDA EXPORT</v>
          </cell>
          <cell r="M95" t="str">
            <v>CPA HONDA EXPORT</v>
          </cell>
          <cell r="N95" t="str">
            <v>SUB LINE CHO</v>
          </cell>
          <cell r="O95" t="str">
            <v>GL</v>
          </cell>
          <cell r="P95" t="str">
            <v>A</v>
          </cell>
          <cell r="Q95" t="str">
            <v>PI</v>
          </cell>
          <cell r="R95" t="str">
            <v>PERMANENT</v>
          </cell>
          <cell r="S95" t="str">
            <v>PRM</v>
          </cell>
          <cell r="T95" t="str">
            <v>SLC</v>
          </cell>
          <cell r="U95" t="str">
            <v>-</v>
          </cell>
          <cell r="V95" t="str">
            <v>P</v>
          </cell>
          <cell r="W95">
            <v>40</v>
          </cell>
        </row>
        <row r="96">
          <cell r="A96">
            <v>424</v>
          </cell>
          <cell r="B96" t="str">
            <v>000424</v>
          </cell>
          <cell r="C96" t="str">
            <v>MARIYANI</v>
          </cell>
          <cell r="D96" t="str">
            <v>SAMI</v>
          </cell>
          <cell r="E96" t="str">
            <v>OPT-11</v>
          </cell>
          <cell r="F96">
            <v>37739</v>
          </cell>
          <cell r="G96" t="str">
            <v>-</v>
          </cell>
          <cell r="H96" t="str">
            <v>-</v>
          </cell>
          <cell r="I96" t="str">
            <v>QA</v>
          </cell>
          <cell r="J96" t="str">
            <v>NON LINE</v>
          </cell>
          <cell r="K96" t="str">
            <v>ALL</v>
          </cell>
          <cell r="L96" t="str">
            <v>ALL</v>
          </cell>
          <cell r="M96" t="str">
            <v>PPAP</v>
          </cell>
          <cell r="N96" t="str">
            <v>HDR - ES TEST</v>
          </cell>
          <cell r="O96" t="str">
            <v>PPAP</v>
          </cell>
          <cell r="P96" t="str">
            <v>B</v>
          </cell>
          <cell r="Q96" t="str">
            <v>PS</v>
          </cell>
          <cell r="R96" t="str">
            <v>PERMANENT</v>
          </cell>
          <cell r="S96" t="str">
            <v>PRM</v>
          </cell>
          <cell r="T96" t="str">
            <v>OPT</v>
          </cell>
          <cell r="U96" t="str">
            <v>-</v>
          </cell>
          <cell r="V96" t="str">
            <v>P</v>
          </cell>
          <cell r="W96">
            <v>42</v>
          </cell>
        </row>
        <row r="97">
          <cell r="A97">
            <v>430</v>
          </cell>
          <cell r="B97" t="str">
            <v>000430</v>
          </cell>
          <cell r="C97" t="str">
            <v>TEGUH NUR HIDAYAH</v>
          </cell>
          <cell r="D97" t="str">
            <v>SAMI</v>
          </cell>
          <cell r="E97" t="str">
            <v>OPT-11</v>
          </cell>
          <cell r="F97">
            <v>37739</v>
          </cell>
          <cell r="G97" t="str">
            <v>-</v>
          </cell>
          <cell r="H97" t="str">
            <v>-</v>
          </cell>
          <cell r="I97" t="str">
            <v>PE</v>
          </cell>
          <cell r="J97" t="str">
            <v>J/C BP</v>
          </cell>
          <cell r="K97" t="str">
            <v>ALL</v>
          </cell>
          <cell r="L97" t="str">
            <v>ALL</v>
          </cell>
          <cell r="M97" t="str">
            <v>JCP</v>
          </cell>
          <cell r="N97" t="str">
            <v>ADMINISTRASI DAN PREPARE ORDERING PART JCP DAN WKS</v>
          </cell>
          <cell r="O97" t="str">
            <v>JBP</v>
          </cell>
          <cell r="P97" t="str">
            <v>A (NS)</v>
          </cell>
          <cell r="Q97" t="str">
            <v>PS</v>
          </cell>
          <cell r="R97" t="str">
            <v>PERMANENT</v>
          </cell>
          <cell r="S97" t="str">
            <v>PRM</v>
          </cell>
          <cell r="T97" t="str">
            <v>ADM</v>
          </cell>
          <cell r="U97" t="str">
            <v>-</v>
          </cell>
          <cell r="V97" t="str">
            <v>P</v>
          </cell>
          <cell r="W97">
            <v>40</v>
          </cell>
        </row>
        <row r="98">
          <cell r="A98">
            <v>439</v>
          </cell>
          <cell r="B98" t="str">
            <v>000439</v>
          </cell>
          <cell r="C98" t="str">
            <v>IDA NASRIA</v>
          </cell>
          <cell r="D98" t="str">
            <v>SAMI</v>
          </cell>
          <cell r="E98" t="str">
            <v>OPT-12</v>
          </cell>
          <cell r="F98">
            <v>37746</v>
          </cell>
          <cell r="G98" t="str">
            <v>-</v>
          </cell>
          <cell r="H98" t="str">
            <v>-</v>
          </cell>
          <cell r="I98" t="str">
            <v>PRD</v>
          </cell>
          <cell r="J98" t="str">
            <v>PRE ASSY</v>
          </cell>
          <cell r="K98" t="str">
            <v>HONDA NES</v>
          </cell>
          <cell r="L98" t="str">
            <v>HONDA NES</v>
          </cell>
          <cell r="M98" t="str">
            <v>CPA HONDA NES HEV/PET</v>
          </cell>
          <cell r="N98" t="str">
            <v>CUTTING AC90-3MO-02</v>
          </cell>
          <cell r="O98" t="str">
            <v>CUTTING WIRE</v>
          </cell>
          <cell r="P98" t="str">
            <v>B</v>
          </cell>
          <cell r="Q98" t="str">
            <v>DL</v>
          </cell>
          <cell r="R98" t="str">
            <v>PERMANENT</v>
          </cell>
          <cell r="S98" t="str">
            <v>PRM</v>
          </cell>
          <cell r="T98" t="str">
            <v>OPT</v>
          </cell>
          <cell r="U98" t="str">
            <v>-</v>
          </cell>
          <cell r="V98" t="str">
            <v>P</v>
          </cell>
          <cell r="W98">
            <v>42</v>
          </cell>
        </row>
        <row r="99">
          <cell r="A99">
            <v>616</v>
          </cell>
          <cell r="B99" t="str">
            <v>000616</v>
          </cell>
          <cell r="C99" t="str">
            <v>IKA SUCI MANDASARI</v>
          </cell>
          <cell r="D99" t="str">
            <v>SAMI</v>
          </cell>
          <cell r="E99" t="str">
            <v>OPT-16</v>
          </cell>
          <cell r="F99">
            <v>37781</v>
          </cell>
          <cell r="G99" t="str">
            <v>-</v>
          </cell>
          <cell r="H99" t="str">
            <v>-</v>
          </cell>
          <cell r="I99" t="str">
            <v>PRD</v>
          </cell>
          <cell r="J99" t="str">
            <v>PRE ASSY</v>
          </cell>
          <cell r="K99" t="str">
            <v>HONDA EXPORT</v>
          </cell>
          <cell r="L99" t="str">
            <v>HONDA EXPORT</v>
          </cell>
          <cell r="M99" t="str">
            <v>CPA HONDA EXPORT</v>
          </cell>
          <cell r="N99" t="str">
            <v>INSP PRE ASSY</v>
          </cell>
          <cell r="O99" t="str">
            <v>P/A INSPECTOR</v>
          </cell>
          <cell r="P99" t="str">
            <v>A</v>
          </cell>
          <cell r="Q99" t="str">
            <v>PI</v>
          </cell>
          <cell r="R99" t="str">
            <v>PERMANENT</v>
          </cell>
          <cell r="S99" t="str">
            <v>PRM</v>
          </cell>
          <cell r="T99" t="str">
            <v>OPT</v>
          </cell>
          <cell r="U99" t="str">
            <v>-</v>
          </cell>
          <cell r="V99" t="str">
            <v>P</v>
          </cell>
          <cell r="W99">
            <v>40</v>
          </cell>
        </row>
        <row r="100">
          <cell r="A100">
            <v>453</v>
          </cell>
          <cell r="B100" t="str">
            <v>000453</v>
          </cell>
          <cell r="C100" t="str">
            <v>MASRIKHAH</v>
          </cell>
          <cell r="D100" t="str">
            <v>SAMI</v>
          </cell>
          <cell r="E100" t="str">
            <v>OPT-12</v>
          </cell>
          <cell r="F100">
            <v>37746</v>
          </cell>
          <cell r="G100" t="str">
            <v>-</v>
          </cell>
          <cell r="H100" t="str">
            <v>-</v>
          </cell>
          <cell r="I100" t="str">
            <v>PRD</v>
          </cell>
          <cell r="J100" t="str">
            <v>FINAL ASSY</v>
          </cell>
          <cell r="K100" t="str">
            <v>TOYOTA HV</v>
          </cell>
          <cell r="L100" t="str">
            <v>HV TOYOTA NIKEL</v>
          </cell>
          <cell r="M100" t="str">
            <v>CV HV 07</v>
          </cell>
          <cell r="N100" t="str">
            <v>ASM CONTINUITY 1</v>
          </cell>
          <cell r="O100" t="str">
            <v>ASSEMBLY</v>
          </cell>
          <cell r="P100" t="str">
            <v>B</v>
          </cell>
          <cell r="Q100" t="str">
            <v>DL</v>
          </cell>
          <cell r="R100" t="str">
            <v>PERMANENT</v>
          </cell>
          <cell r="S100" t="str">
            <v>PRM</v>
          </cell>
          <cell r="T100" t="str">
            <v>OPT</v>
          </cell>
          <cell r="U100" t="str">
            <v>-</v>
          </cell>
          <cell r="V100" t="str">
            <v>P</v>
          </cell>
          <cell r="W100">
            <v>42</v>
          </cell>
        </row>
        <row r="101">
          <cell r="A101">
            <v>454</v>
          </cell>
          <cell r="B101" t="str">
            <v>000454</v>
          </cell>
          <cell r="C101" t="str">
            <v>NUR QOMARIYAH</v>
          </cell>
          <cell r="D101" t="str">
            <v>SAMI</v>
          </cell>
          <cell r="E101" t="str">
            <v>OPT-12</v>
          </cell>
          <cell r="F101">
            <v>37746</v>
          </cell>
          <cell r="G101" t="str">
            <v>-</v>
          </cell>
          <cell r="H101" t="str">
            <v>-</v>
          </cell>
          <cell r="I101" t="str">
            <v>PRD</v>
          </cell>
          <cell r="J101" t="str">
            <v>PRE ASSY</v>
          </cell>
          <cell r="K101" t="str">
            <v>HONDA NES</v>
          </cell>
          <cell r="L101" t="str">
            <v>HONDA NES</v>
          </cell>
          <cell r="M101" t="str">
            <v>CPA HONDA NES HEV/PET</v>
          </cell>
          <cell r="N101" t="str">
            <v>INSP CUTTING</v>
          </cell>
          <cell r="O101" t="str">
            <v>P/A INSPECTOR</v>
          </cell>
          <cell r="P101" t="str">
            <v>B</v>
          </cell>
          <cell r="Q101" t="str">
            <v>PI</v>
          </cell>
          <cell r="R101" t="str">
            <v>PERMANENT</v>
          </cell>
          <cell r="S101" t="str">
            <v>PRM</v>
          </cell>
          <cell r="T101" t="str">
            <v>OPT</v>
          </cell>
          <cell r="U101" t="str">
            <v>-</v>
          </cell>
          <cell r="V101" t="str">
            <v>P</v>
          </cell>
          <cell r="W101">
            <v>42</v>
          </cell>
        </row>
        <row r="102">
          <cell r="A102">
            <v>466</v>
          </cell>
          <cell r="B102" t="str">
            <v>000466</v>
          </cell>
          <cell r="C102" t="str">
            <v>RINI FAJARSARI</v>
          </cell>
          <cell r="D102" t="str">
            <v>SAMI</v>
          </cell>
          <cell r="E102" t="str">
            <v>OPT-13</v>
          </cell>
          <cell r="F102">
            <v>37760</v>
          </cell>
          <cell r="G102" t="str">
            <v>-</v>
          </cell>
          <cell r="H102" t="str">
            <v>-</v>
          </cell>
          <cell r="I102" t="str">
            <v>PRD</v>
          </cell>
          <cell r="J102" t="str">
            <v>PRE ASSY</v>
          </cell>
          <cell r="K102" t="str">
            <v>MAZDA ATENZA</v>
          </cell>
          <cell r="L102" t="str">
            <v>MAZDA J72A</v>
          </cell>
          <cell r="M102" t="str">
            <v>CPA MAZDA CX-5</v>
          </cell>
          <cell r="N102" t="str">
            <v>CUTTING AC81-MZD-04</v>
          </cell>
          <cell r="O102" t="str">
            <v>CUTTING WIRE</v>
          </cell>
          <cell r="P102" t="str">
            <v>B</v>
          </cell>
          <cell r="Q102" t="str">
            <v>DL</v>
          </cell>
          <cell r="R102" t="str">
            <v>PERMANENT</v>
          </cell>
          <cell r="S102" t="str">
            <v>PRM</v>
          </cell>
          <cell r="T102" t="str">
            <v>OPT</v>
          </cell>
          <cell r="U102" t="str">
            <v>-</v>
          </cell>
          <cell r="V102" t="str">
            <v>P</v>
          </cell>
          <cell r="W102">
            <v>42</v>
          </cell>
        </row>
        <row r="103">
          <cell r="A103">
            <v>468</v>
          </cell>
          <cell r="B103" t="str">
            <v>000468</v>
          </cell>
          <cell r="C103" t="str">
            <v>EMY APRIYANTI</v>
          </cell>
          <cell r="D103" t="str">
            <v>SAMI</v>
          </cell>
          <cell r="E103" t="str">
            <v>OPT-13</v>
          </cell>
          <cell r="F103">
            <v>37760</v>
          </cell>
          <cell r="G103" t="str">
            <v>-</v>
          </cell>
          <cell r="H103" t="str">
            <v>-</v>
          </cell>
          <cell r="I103" t="str">
            <v>PRD</v>
          </cell>
          <cell r="J103" t="str">
            <v>PRE ASSY</v>
          </cell>
          <cell r="K103" t="str">
            <v>HONDA EXPORT</v>
          </cell>
          <cell r="L103" t="str">
            <v>HONDA EXPORT</v>
          </cell>
          <cell r="M103" t="str">
            <v>CPA HONDA EXPORT</v>
          </cell>
          <cell r="N103" t="str">
            <v>INSP CUTTING</v>
          </cell>
          <cell r="O103" t="str">
            <v>P/A INSPECTOR</v>
          </cell>
          <cell r="P103" t="str">
            <v>B</v>
          </cell>
          <cell r="Q103" t="str">
            <v>PI</v>
          </cell>
          <cell r="R103" t="str">
            <v>PERMANENT</v>
          </cell>
          <cell r="S103" t="str">
            <v>PRM</v>
          </cell>
          <cell r="T103" t="str">
            <v>OPT</v>
          </cell>
          <cell r="U103" t="str">
            <v>-</v>
          </cell>
          <cell r="V103" t="str">
            <v>P</v>
          </cell>
          <cell r="W103">
            <v>42</v>
          </cell>
        </row>
        <row r="104">
          <cell r="A104">
            <v>814</v>
          </cell>
          <cell r="B104" t="str">
            <v>000814</v>
          </cell>
          <cell r="C104" t="str">
            <v>HELLIN DEWI RIZQIYAH</v>
          </cell>
          <cell r="D104" t="str">
            <v>SAMI</v>
          </cell>
          <cell r="E104" t="str">
            <v>OPT-21</v>
          </cell>
          <cell r="F104">
            <v>37837</v>
          </cell>
          <cell r="G104" t="str">
            <v>-</v>
          </cell>
          <cell r="H104" t="str">
            <v>-</v>
          </cell>
          <cell r="I104" t="str">
            <v>PRD</v>
          </cell>
          <cell r="J104" t="str">
            <v>PRE ASSY</v>
          </cell>
          <cell r="K104" t="str">
            <v>HONDA EXPORT</v>
          </cell>
          <cell r="L104" t="str">
            <v>HONDA EXPORT</v>
          </cell>
          <cell r="M104" t="str">
            <v>CPA HONDA EXPORT</v>
          </cell>
          <cell r="N104" t="str">
            <v>MC2-HDA-06</v>
          </cell>
          <cell r="O104" t="str">
            <v>WFAP 2.1</v>
          </cell>
          <cell r="P104" t="str">
            <v>A</v>
          </cell>
          <cell r="Q104" t="str">
            <v>DL</v>
          </cell>
          <cell r="R104" t="str">
            <v>PERMANENT</v>
          </cell>
          <cell r="S104" t="str">
            <v>PRM</v>
          </cell>
          <cell r="T104" t="str">
            <v>OPT</v>
          </cell>
          <cell r="U104" t="str">
            <v>-</v>
          </cell>
          <cell r="V104" t="str">
            <v>P</v>
          </cell>
          <cell r="W104">
            <v>40</v>
          </cell>
        </row>
        <row r="105">
          <cell r="A105">
            <v>4521</v>
          </cell>
          <cell r="B105" t="str">
            <v>004521</v>
          </cell>
          <cell r="C105" t="str">
            <v>INDAH MAWADDAH</v>
          </cell>
          <cell r="D105" t="str">
            <v>SAMI</v>
          </cell>
          <cell r="E105" t="str">
            <v>OPT-111</v>
          </cell>
          <cell r="F105">
            <v>38789</v>
          </cell>
          <cell r="G105" t="str">
            <v>-</v>
          </cell>
          <cell r="H105" t="str">
            <v>-</v>
          </cell>
          <cell r="I105" t="str">
            <v>PRD</v>
          </cell>
          <cell r="J105" t="str">
            <v>PRE ASSY</v>
          </cell>
          <cell r="K105" t="str">
            <v>HONDA EXPORT</v>
          </cell>
          <cell r="L105" t="str">
            <v>HONDA EXPORT</v>
          </cell>
          <cell r="M105" t="str">
            <v>CPA HONDA EXPORT</v>
          </cell>
          <cell r="N105" t="str">
            <v>CUTTING AC90-HDA-16</v>
          </cell>
          <cell r="O105" t="str">
            <v>CUTTING WIRE</v>
          </cell>
          <cell r="P105" t="str">
            <v>A</v>
          </cell>
          <cell r="Q105" t="str">
            <v>DL</v>
          </cell>
          <cell r="R105" t="str">
            <v>PERMANENT</v>
          </cell>
          <cell r="S105" t="str">
            <v>PRM</v>
          </cell>
          <cell r="T105" t="str">
            <v>OPT</v>
          </cell>
          <cell r="U105" t="str">
            <v>-</v>
          </cell>
          <cell r="V105" t="str">
            <v>P</v>
          </cell>
          <cell r="W105">
            <v>39</v>
          </cell>
        </row>
        <row r="106">
          <cell r="A106">
            <v>508</v>
          </cell>
          <cell r="B106" t="str">
            <v>000508</v>
          </cell>
          <cell r="C106" t="str">
            <v>SUKADI</v>
          </cell>
          <cell r="D106" t="str">
            <v>SAMI</v>
          </cell>
          <cell r="E106" t="str">
            <v>OPT-13</v>
          </cell>
          <cell r="F106">
            <v>37760</v>
          </cell>
          <cell r="G106" t="str">
            <v>-</v>
          </cell>
          <cell r="H106" t="str">
            <v>-</v>
          </cell>
          <cell r="I106" t="str">
            <v>LOG</v>
          </cell>
          <cell r="J106" t="str">
            <v>L. DOCK</v>
          </cell>
          <cell r="K106" t="str">
            <v>ALL</v>
          </cell>
          <cell r="L106" t="str">
            <v>ALL</v>
          </cell>
          <cell r="M106" t="str">
            <v>L. DOCK</v>
          </cell>
          <cell r="N106" t="str">
            <v>GL</v>
          </cell>
          <cell r="O106" t="str">
            <v>LD</v>
          </cell>
          <cell r="P106" t="str">
            <v>A</v>
          </cell>
          <cell r="Q106" t="str">
            <v>PS</v>
          </cell>
          <cell r="R106" t="str">
            <v>PERMANENT</v>
          </cell>
          <cell r="S106" t="str">
            <v>PRM</v>
          </cell>
          <cell r="T106" t="str">
            <v>GL</v>
          </cell>
          <cell r="U106" t="str">
            <v>-</v>
          </cell>
          <cell r="V106" t="str">
            <v>L</v>
          </cell>
          <cell r="W106">
            <v>41</v>
          </cell>
        </row>
        <row r="107">
          <cell r="A107">
            <v>509</v>
          </cell>
          <cell r="B107" t="str">
            <v>000509</v>
          </cell>
          <cell r="C107" t="str">
            <v>SUYOKO</v>
          </cell>
          <cell r="D107" t="str">
            <v>SAMI</v>
          </cell>
          <cell r="E107" t="str">
            <v>OPT-13</v>
          </cell>
          <cell r="F107">
            <v>37760</v>
          </cell>
          <cell r="G107" t="str">
            <v>-</v>
          </cell>
          <cell r="H107" t="str">
            <v>-</v>
          </cell>
          <cell r="I107" t="str">
            <v>LOG</v>
          </cell>
          <cell r="J107" t="str">
            <v>WHS</v>
          </cell>
          <cell r="K107" t="str">
            <v>ALL</v>
          </cell>
          <cell r="L107" t="str">
            <v>ALL</v>
          </cell>
          <cell r="M107" t="str">
            <v>WHS</v>
          </cell>
          <cell r="N107" t="str">
            <v>Parts supply (piking &amp; material handling) from material werahouse</v>
          </cell>
          <cell r="O107" t="str">
            <v>WHS SUPPLY</v>
          </cell>
          <cell r="P107" t="str">
            <v>B</v>
          </cell>
          <cell r="Q107" t="str">
            <v>PS</v>
          </cell>
          <cell r="R107" t="str">
            <v>PERMANENT</v>
          </cell>
          <cell r="S107" t="str">
            <v>PRM</v>
          </cell>
          <cell r="T107" t="str">
            <v>OPT</v>
          </cell>
          <cell r="U107" t="str">
            <v>-</v>
          </cell>
          <cell r="V107" t="str">
            <v>L</v>
          </cell>
          <cell r="W107">
            <v>42</v>
          </cell>
        </row>
        <row r="108">
          <cell r="A108">
            <v>515</v>
          </cell>
          <cell r="B108" t="str">
            <v>000515</v>
          </cell>
          <cell r="C108" t="str">
            <v>TRI HARYANTI</v>
          </cell>
          <cell r="D108" t="str">
            <v>SAMI</v>
          </cell>
          <cell r="E108" t="str">
            <v>OPT-14</v>
          </cell>
          <cell r="F108">
            <v>37767</v>
          </cell>
          <cell r="G108" t="str">
            <v>-</v>
          </cell>
          <cell r="H108" t="str">
            <v>-</v>
          </cell>
          <cell r="I108" t="str">
            <v>PP</v>
          </cell>
          <cell r="J108" t="str">
            <v>PD 2</v>
          </cell>
          <cell r="K108" t="str">
            <v>ALL</v>
          </cell>
          <cell r="L108" t="str">
            <v>ALL</v>
          </cell>
          <cell r="M108" t="str">
            <v>PD 2</v>
          </cell>
          <cell r="N108" t="str">
            <v>EDITOR (DOCUMENT &amp; GENBA)</v>
          </cell>
          <cell r="O108" t="str">
            <v>DE</v>
          </cell>
          <cell r="P108" t="str">
            <v>A (NS)</v>
          </cell>
          <cell r="Q108" t="str">
            <v>PS</v>
          </cell>
          <cell r="R108" t="str">
            <v>PERMANENT</v>
          </cell>
          <cell r="S108" t="str">
            <v>PRM</v>
          </cell>
          <cell r="T108" t="str">
            <v>ADM</v>
          </cell>
          <cell r="U108" t="str">
            <v>-</v>
          </cell>
          <cell r="V108" t="str">
            <v>P</v>
          </cell>
          <cell r="W108">
            <v>40</v>
          </cell>
        </row>
        <row r="109">
          <cell r="A109">
            <v>5462</v>
          </cell>
          <cell r="B109" t="str">
            <v>005462</v>
          </cell>
          <cell r="C109" t="str">
            <v>SUSILOWATI</v>
          </cell>
          <cell r="D109" t="str">
            <v>SAMI</v>
          </cell>
          <cell r="E109" t="str">
            <v>OPT-128</v>
          </cell>
          <cell r="F109">
            <v>38991</v>
          </cell>
          <cell r="G109" t="str">
            <v>-</v>
          </cell>
          <cell r="H109" t="str">
            <v>-</v>
          </cell>
          <cell r="I109" t="str">
            <v>PRD</v>
          </cell>
          <cell r="J109" t="str">
            <v>PRE ASSY</v>
          </cell>
          <cell r="K109" t="str">
            <v>HONDA EXPORT</v>
          </cell>
          <cell r="L109" t="str">
            <v>HONDA EXPORT</v>
          </cell>
          <cell r="M109" t="str">
            <v>CPA HONDA EXPORT</v>
          </cell>
          <cell r="N109" t="str">
            <v>INSP CUTTING</v>
          </cell>
          <cell r="O109" t="str">
            <v>P/A INSPECTOR</v>
          </cell>
          <cell r="P109" t="str">
            <v>A</v>
          </cell>
          <cell r="Q109" t="str">
            <v>PI</v>
          </cell>
          <cell r="R109" t="str">
            <v>PERMANENT</v>
          </cell>
          <cell r="S109" t="str">
            <v>PRM</v>
          </cell>
          <cell r="T109" t="str">
            <v>OPT</v>
          </cell>
          <cell r="U109" t="str">
            <v>-</v>
          </cell>
          <cell r="V109" t="str">
            <v>P</v>
          </cell>
          <cell r="W109">
            <v>41</v>
          </cell>
        </row>
        <row r="110">
          <cell r="A110">
            <v>5705</v>
          </cell>
          <cell r="B110" t="str">
            <v>005705</v>
          </cell>
          <cell r="C110" t="str">
            <v>INDRI SETIYOWATI</v>
          </cell>
          <cell r="D110" t="str">
            <v>SAMI</v>
          </cell>
          <cell r="E110" t="str">
            <v>OPT-134</v>
          </cell>
          <cell r="F110">
            <v>39098</v>
          </cell>
          <cell r="G110" t="str">
            <v>-</v>
          </cell>
          <cell r="H110" t="str">
            <v>-</v>
          </cell>
          <cell r="I110" t="str">
            <v>PRD</v>
          </cell>
          <cell r="J110" t="str">
            <v>PRE ASSY</v>
          </cell>
          <cell r="K110" t="str">
            <v>HONDA EXPORT</v>
          </cell>
          <cell r="L110" t="str">
            <v>HONDA EXPORT</v>
          </cell>
          <cell r="M110" t="str">
            <v>CPA HONDA EXPORT</v>
          </cell>
          <cell r="N110" t="str">
            <v>CUTTING AC90-HDA-10</v>
          </cell>
          <cell r="O110" t="str">
            <v>CUTTING WIRE</v>
          </cell>
          <cell r="P110" t="str">
            <v>A</v>
          </cell>
          <cell r="Q110" t="str">
            <v>DL</v>
          </cell>
          <cell r="R110" t="str">
            <v>PERMANENT</v>
          </cell>
          <cell r="S110" t="str">
            <v>PRM</v>
          </cell>
          <cell r="T110" t="str">
            <v>OPT</v>
          </cell>
          <cell r="U110" t="str">
            <v>-</v>
          </cell>
          <cell r="V110" t="str">
            <v>P</v>
          </cell>
          <cell r="W110">
            <v>38</v>
          </cell>
        </row>
        <row r="111">
          <cell r="A111">
            <v>530</v>
          </cell>
          <cell r="B111" t="str">
            <v>000530</v>
          </cell>
          <cell r="C111" t="str">
            <v>TEMU RAHAYU</v>
          </cell>
          <cell r="D111" t="str">
            <v>SAMI</v>
          </cell>
          <cell r="E111" t="str">
            <v>OPT-14</v>
          </cell>
          <cell r="F111">
            <v>37767</v>
          </cell>
          <cell r="G111" t="str">
            <v>-</v>
          </cell>
          <cell r="H111" t="str">
            <v>-</v>
          </cell>
          <cell r="I111" t="str">
            <v>PRD</v>
          </cell>
          <cell r="J111" t="str">
            <v>FINAL ASSY</v>
          </cell>
          <cell r="K111" t="str">
            <v>SUZUKI WAGON R</v>
          </cell>
          <cell r="L111" t="str">
            <v>SUZUKI YW0</v>
          </cell>
          <cell r="M111" t="str">
            <v>CV S01</v>
          </cell>
          <cell r="N111" t="str">
            <v>MATERIAL SUPPLY</v>
          </cell>
          <cell r="O111" t="str">
            <v>MATERIAL SUPPLY</v>
          </cell>
          <cell r="P111" t="str">
            <v>B</v>
          </cell>
          <cell r="Q111" t="str">
            <v>PI</v>
          </cell>
          <cell r="R111" t="str">
            <v>PERMANENT</v>
          </cell>
          <cell r="S111" t="str">
            <v>PRM</v>
          </cell>
          <cell r="T111" t="str">
            <v>OPT</v>
          </cell>
          <cell r="U111" t="str">
            <v>-</v>
          </cell>
          <cell r="V111" t="str">
            <v>P</v>
          </cell>
          <cell r="W111">
            <v>41</v>
          </cell>
        </row>
        <row r="112">
          <cell r="A112">
            <v>541</v>
          </cell>
          <cell r="B112" t="str">
            <v>000541</v>
          </cell>
          <cell r="C112" t="str">
            <v>YUS SANTI</v>
          </cell>
          <cell r="D112" t="str">
            <v>SAMI</v>
          </cell>
          <cell r="E112" t="str">
            <v>OPT-14</v>
          </cell>
          <cell r="F112">
            <v>37767</v>
          </cell>
          <cell r="G112" t="str">
            <v>-</v>
          </cell>
          <cell r="H112" t="str">
            <v>-</v>
          </cell>
          <cell r="I112" t="str">
            <v>PP</v>
          </cell>
          <cell r="J112" t="str">
            <v>PP-2</v>
          </cell>
          <cell r="K112" t="str">
            <v>ALL</v>
          </cell>
          <cell r="L112" t="str">
            <v>ALL</v>
          </cell>
          <cell r="M112" t="str">
            <v>PP-2</v>
          </cell>
          <cell r="N112" t="str">
            <v>ANALISYS</v>
          </cell>
          <cell r="O112" t="str">
            <v>PROCESS ENG</v>
          </cell>
          <cell r="P112" t="str">
            <v>A (NS)</v>
          </cell>
          <cell r="Q112" t="str">
            <v>PS</v>
          </cell>
          <cell r="R112" t="str">
            <v>PERMANENT</v>
          </cell>
          <cell r="S112" t="str">
            <v>PRM</v>
          </cell>
          <cell r="T112" t="str">
            <v>OPT</v>
          </cell>
          <cell r="U112" t="str">
            <v>-</v>
          </cell>
          <cell r="V112" t="str">
            <v>P</v>
          </cell>
          <cell r="W112">
            <v>41</v>
          </cell>
        </row>
        <row r="113">
          <cell r="A113">
            <v>552</v>
          </cell>
          <cell r="B113" t="str">
            <v>000552</v>
          </cell>
          <cell r="C113" t="str">
            <v>SUBKI</v>
          </cell>
          <cell r="D113" t="str">
            <v>SAMI</v>
          </cell>
          <cell r="E113" t="str">
            <v>OPT-14</v>
          </cell>
          <cell r="F113">
            <v>37767</v>
          </cell>
          <cell r="G113" t="str">
            <v>-</v>
          </cell>
          <cell r="H113" t="str">
            <v>-</v>
          </cell>
          <cell r="I113" t="str">
            <v>PE</v>
          </cell>
          <cell r="J113" t="str">
            <v>J/C BP</v>
          </cell>
          <cell r="K113" t="str">
            <v>ALL</v>
          </cell>
          <cell r="L113" t="str">
            <v>ALL</v>
          </cell>
          <cell r="M113" t="str">
            <v>JCN</v>
          </cell>
          <cell r="N113" t="str">
            <v>BREAKDOWN FA</v>
          </cell>
          <cell r="O113" t="str">
            <v>MTC</v>
          </cell>
          <cell r="P113" t="str">
            <v>B</v>
          </cell>
          <cell r="Q113" t="str">
            <v>PI</v>
          </cell>
          <cell r="R113" t="str">
            <v>PERMANENT</v>
          </cell>
          <cell r="S113" t="str">
            <v>PRM</v>
          </cell>
          <cell r="T113" t="str">
            <v>TKN</v>
          </cell>
          <cell r="U113" t="str">
            <v>-</v>
          </cell>
          <cell r="V113" t="str">
            <v>L</v>
          </cell>
          <cell r="W113">
            <v>42</v>
          </cell>
        </row>
        <row r="114">
          <cell r="A114">
            <v>5733</v>
          </cell>
          <cell r="B114" t="str">
            <v>005733</v>
          </cell>
          <cell r="C114" t="str">
            <v>SRI MULYANI</v>
          </cell>
          <cell r="D114" t="str">
            <v>SAMI</v>
          </cell>
          <cell r="E114" t="str">
            <v>OPT-134</v>
          </cell>
          <cell r="F114">
            <v>39098</v>
          </cell>
          <cell r="G114" t="str">
            <v>-</v>
          </cell>
          <cell r="H114" t="str">
            <v>-</v>
          </cell>
          <cell r="I114" t="str">
            <v>PRD</v>
          </cell>
          <cell r="J114" t="str">
            <v>PRE ASSY</v>
          </cell>
          <cell r="K114" t="str">
            <v>HONDA EXPORT</v>
          </cell>
          <cell r="L114" t="str">
            <v>HONDA EXPORT</v>
          </cell>
          <cell r="M114" t="str">
            <v>CPA HONDA EXPORT</v>
          </cell>
          <cell r="N114" t="str">
            <v>CUTTING AC90-HDA-11</v>
          </cell>
          <cell r="O114" t="str">
            <v>CUTTING WIRE</v>
          </cell>
          <cell r="P114" t="str">
            <v>A</v>
          </cell>
          <cell r="Q114" t="str">
            <v>DL</v>
          </cell>
          <cell r="R114" t="str">
            <v>PERMANENT</v>
          </cell>
          <cell r="S114" t="str">
            <v>PRM</v>
          </cell>
          <cell r="T114" t="str">
            <v>OPT</v>
          </cell>
          <cell r="U114" t="str">
            <v>-</v>
          </cell>
          <cell r="V114" t="str">
            <v>P</v>
          </cell>
          <cell r="W114">
            <v>41</v>
          </cell>
        </row>
        <row r="115">
          <cell r="A115">
            <v>574</v>
          </cell>
          <cell r="B115" t="str">
            <v>000574</v>
          </cell>
          <cell r="C115" t="str">
            <v>NANIK SETIYAWATI</v>
          </cell>
          <cell r="D115" t="str">
            <v>SAMI</v>
          </cell>
          <cell r="E115" t="str">
            <v>OPT-15</v>
          </cell>
          <cell r="F115">
            <v>37774</v>
          </cell>
          <cell r="G115" t="str">
            <v>-</v>
          </cell>
          <cell r="H115" t="str">
            <v>-</v>
          </cell>
          <cell r="I115" t="str">
            <v>PRD</v>
          </cell>
          <cell r="J115" t="str">
            <v>NON LINE</v>
          </cell>
          <cell r="K115" t="str">
            <v>ALL</v>
          </cell>
          <cell r="L115" t="str">
            <v>ALL</v>
          </cell>
          <cell r="M115" t="str">
            <v>TRAINER 2</v>
          </cell>
          <cell r="N115" t="str">
            <v>PRD LINE LEADER</v>
          </cell>
          <cell r="O115" t="str">
            <v>FPI LL</v>
          </cell>
          <cell r="P115" t="str">
            <v>B</v>
          </cell>
          <cell r="Q115" t="str">
            <v>PI</v>
          </cell>
          <cell r="R115" t="str">
            <v>PERMANENT</v>
          </cell>
          <cell r="S115" t="str">
            <v>PRM</v>
          </cell>
          <cell r="T115" t="str">
            <v>LL</v>
          </cell>
          <cell r="U115" t="str">
            <v>-</v>
          </cell>
          <cell r="V115" t="str">
            <v>P</v>
          </cell>
          <cell r="W115">
            <v>41</v>
          </cell>
        </row>
        <row r="116">
          <cell r="A116">
            <v>581</v>
          </cell>
          <cell r="B116" t="str">
            <v>000581</v>
          </cell>
          <cell r="C116" t="str">
            <v>FARIDA NUR KHASANAH</v>
          </cell>
          <cell r="D116" t="str">
            <v>SAMI</v>
          </cell>
          <cell r="E116" t="str">
            <v>OPT-15</v>
          </cell>
          <cell r="F116">
            <v>37774</v>
          </cell>
          <cell r="G116" t="str">
            <v>-</v>
          </cell>
          <cell r="H116" t="str">
            <v>-</v>
          </cell>
          <cell r="I116" t="str">
            <v>QA</v>
          </cell>
          <cell r="J116" t="str">
            <v>FINAL ASSY</v>
          </cell>
          <cell r="K116" t="str">
            <v>MAZDA 3</v>
          </cell>
          <cell r="L116" t="str">
            <v>MAZDA REAR</v>
          </cell>
          <cell r="M116" t="str">
            <v>CV M01</v>
          </cell>
          <cell r="N116" t="str">
            <v>GL REWORK</v>
          </cell>
          <cell r="O116" t="str">
            <v>REWORK</v>
          </cell>
          <cell r="P116" t="str">
            <v>A</v>
          </cell>
          <cell r="Q116" t="str">
            <v>PI</v>
          </cell>
          <cell r="R116" t="str">
            <v>PERMANENT</v>
          </cell>
          <cell r="S116" t="str">
            <v>PRM</v>
          </cell>
          <cell r="T116" t="str">
            <v>GL</v>
          </cell>
          <cell r="U116" t="str">
            <v>-</v>
          </cell>
          <cell r="V116" t="str">
            <v>P</v>
          </cell>
          <cell r="W116">
            <v>41</v>
          </cell>
        </row>
        <row r="117">
          <cell r="A117">
            <v>585</v>
          </cell>
          <cell r="B117" t="str">
            <v>000585</v>
          </cell>
          <cell r="C117" t="str">
            <v>ABDUL GHONI</v>
          </cell>
          <cell r="D117" t="str">
            <v>SAMI</v>
          </cell>
          <cell r="E117" t="str">
            <v>OPT-15</v>
          </cell>
          <cell r="F117">
            <v>37774</v>
          </cell>
          <cell r="G117" t="str">
            <v>-</v>
          </cell>
          <cell r="H117" t="str">
            <v>-</v>
          </cell>
          <cell r="I117" t="str">
            <v>LOG</v>
          </cell>
          <cell r="J117" t="str">
            <v>L. DOCK</v>
          </cell>
          <cell r="K117" t="str">
            <v>ALL</v>
          </cell>
          <cell r="L117" t="str">
            <v>ALL</v>
          </cell>
          <cell r="M117" t="str">
            <v>L. DOCK</v>
          </cell>
          <cell r="N117" t="str">
            <v>L. DOCK</v>
          </cell>
          <cell r="O117" t="str">
            <v>LD</v>
          </cell>
          <cell r="P117" t="str">
            <v>B</v>
          </cell>
          <cell r="Q117" t="str">
            <v>PS</v>
          </cell>
          <cell r="R117" t="str">
            <v>PERMANENT</v>
          </cell>
          <cell r="S117" t="str">
            <v>PRM</v>
          </cell>
          <cell r="T117" t="str">
            <v>OPT</v>
          </cell>
          <cell r="U117" t="str">
            <v>-</v>
          </cell>
          <cell r="V117" t="str">
            <v>L</v>
          </cell>
          <cell r="W117">
            <v>41</v>
          </cell>
        </row>
        <row r="118">
          <cell r="A118">
            <v>586</v>
          </cell>
          <cell r="B118" t="str">
            <v>000586</v>
          </cell>
          <cell r="C118" t="str">
            <v>DIAN BERLIAN PERDANA S.</v>
          </cell>
          <cell r="D118" t="str">
            <v>SAMI</v>
          </cell>
          <cell r="E118" t="str">
            <v>OPT-15</v>
          </cell>
          <cell r="F118">
            <v>37774</v>
          </cell>
          <cell r="G118" t="str">
            <v>-</v>
          </cell>
          <cell r="H118" t="str">
            <v>-</v>
          </cell>
          <cell r="I118" t="str">
            <v>PGA</v>
          </cell>
          <cell r="J118" t="str">
            <v>GA</v>
          </cell>
          <cell r="K118" t="str">
            <v>ALL</v>
          </cell>
          <cell r="L118" t="str">
            <v>ALL</v>
          </cell>
          <cell r="M118" t="str">
            <v>GA</v>
          </cell>
          <cell r="N118" t="str">
            <v>LEADER</v>
          </cell>
          <cell r="O118" t="str">
            <v>IDL LL</v>
          </cell>
          <cell r="P118" t="str">
            <v>A (NS)</v>
          </cell>
          <cell r="Q118" t="str">
            <v>ADM</v>
          </cell>
          <cell r="R118" t="str">
            <v>PERMANENT</v>
          </cell>
          <cell r="S118" t="str">
            <v>PRM</v>
          </cell>
          <cell r="T118" t="str">
            <v>LL</v>
          </cell>
          <cell r="U118" t="str">
            <v>-</v>
          </cell>
          <cell r="V118" t="str">
            <v>L</v>
          </cell>
          <cell r="W118">
            <v>42</v>
          </cell>
        </row>
        <row r="119">
          <cell r="A119">
            <v>587</v>
          </cell>
          <cell r="B119" t="str">
            <v>000587</v>
          </cell>
          <cell r="C119" t="str">
            <v>EKA NUR RAHMAWATI</v>
          </cell>
          <cell r="D119" t="str">
            <v>SAMI</v>
          </cell>
          <cell r="E119" t="str">
            <v>ADM-5</v>
          </cell>
          <cell r="F119">
            <v>37774</v>
          </cell>
          <cell r="G119" t="str">
            <v>-</v>
          </cell>
          <cell r="H119" t="str">
            <v>-</v>
          </cell>
          <cell r="I119" t="str">
            <v>LOG</v>
          </cell>
          <cell r="J119" t="str">
            <v>EXIM</v>
          </cell>
          <cell r="K119" t="str">
            <v>ALL</v>
          </cell>
          <cell r="L119" t="str">
            <v>ALL</v>
          </cell>
          <cell r="M119" t="str">
            <v>EXIM</v>
          </cell>
          <cell r="N119" t="str">
            <v>ADM EXIM</v>
          </cell>
          <cell r="O119" t="str">
            <v>EXIM</v>
          </cell>
          <cell r="P119" t="str">
            <v>A (NS)</v>
          </cell>
          <cell r="Q119" t="str">
            <v>PS</v>
          </cell>
          <cell r="R119" t="str">
            <v>PERMANENT</v>
          </cell>
          <cell r="S119" t="str">
            <v>PRM</v>
          </cell>
          <cell r="T119" t="str">
            <v>ADM</v>
          </cell>
          <cell r="U119" t="str">
            <v>-</v>
          </cell>
          <cell r="V119" t="str">
            <v>P</v>
          </cell>
          <cell r="W119">
            <v>41</v>
          </cell>
        </row>
        <row r="120">
          <cell r="A120">
            <v>589</v>
          </cell>
          <cell r="B120" t="str">
            <v>000589</v>
          </cell>
          <cell r="C120" t="str">
            <v>KURNIATI</v>
          </cell>
          <cell r="D120" t="str">
            <v>SAMI</v>
          </cell>
          <cell r="E120" t="str">
            <v>ADM-5</v>
          </cell>
          <cell r="F120">
            <v>37774</v>
          </cell>
          <cell r="G120" t="str">
            <v>-</v>
          </cell>
          <cell r="H120" t="str">
            <v>-</v>
          </cell>
          <cell r="I120" t="str">
            <v>QA</v>
          </cell>
          <cell r="J120" t="str">
            <v>NON LINE</v>
          </cell>
          <cell r="K120" t="str">
            <v>ALL</v>
          </cell>
          <cell r="L120" t="str">
            <v>ALL</v>
          </cell>
          <cell r="M120" t="str">
            <v>RCV - CANDI</v>
          </cell>
          <cell r="N120" t="str">
            <v>ADMINISTRATION</v>
          </cell>
          <cell r="O120" t="str">
            <v>RCV</v>
          </cell>
          <cell r="P120" t="str">
            <v>A (NS)</v>
          </cell>
          <cell r="Q120" t="str">
            <v>PS</v>
          </cell>
          <cell r="R120" t="str">
            <v>PERMANENT</v>
          </cell>
          <cell r="S120" t="str">
            <v>PRM</v>
          </cell>
          <cell r="T120" t="str">
            <v>ADM</v>
          </cell>
          <cell r="U120" t="str">
            <v>-</v>
          </cell>
          <cell r="V120" t="str">
            <v>P</v>
          </cell>
          <cell r="W120">
            <v>41</v>
          </cell>
        </row>
        <row r="121">
          <cell r="A121">
            <v>591</v>
          </cell>
          <cell r="B121" t="str">
            <v>000591</v>
          </cell>
          <cell r="C121" t="str">
            <v>NORMA NILA HAPSARI</v>
          </cell>
          <cell r="D121" t="str">
            <v>SAMI</v>
          </cell>
          <cell r="E121" t="str">
            <v>ADM-5</v>
          </cell>
          <cell r="F121">
            <v>37774</v>
          </cell>
          <cell r="G121" t="str">
            <v>-</v>
          </cell>
          <cell r="H121" t="str">
            <v>-</v>
          </cell>
          <cell r="I121" t="str">
            <v>PGA</v>
          </cell>
          <cell r="J121" t="str">
            <v>HR</v>
          </cell>
          <cell r="K121" t="str">
            <v>ALL</v>
          </cell>
          <cell r="L121" t="str">
            <v>ALL</v>
          </cell>
          <cell r="M121" t="str">
            <v>HR</v>
          </cell>
          <cell r="N121" t="str">
            <v>Employee Benefit, Manpower Data</v>
          </cell>
          <cell r="O121" t="str">
            <v>HR</v>
          </cell>
          <cell r="P121" t="str">
            <v>A (NS)</v>
          </cell>
          <cell r="Q121" t="str">
            <v>ADM</v>
          </cell>
          <cell r="R121" t="str">
            <v>PERMANENT</v>
          </cell>
          <cell r="S121" t="str">
            <v>PRM</v>
          </cell>
          <cell r="T121" t="str">
            <v>ADM</v>
          </cell>
          <cell r="U121" t="str">
            <v>-</v>
          </cell>
          <cell r="V121" t="str">
            <v>P</v>
          </cell>
          <cell r="W121">
            <v>41</v>
          </cell>
        </row>
        <row r="122">
          <cell r="A122">
            <v>594</v>
          </cell>
          <cell r="B122" t="str">
            <v>000594</v>
          </cell>
          <cell r="C122" t="str">
            <v>ULFA ADHIM</v>
          </cell>
          <cell r="D122" t="str">
            <v>SAMI</v>
          </cell>
          <cell r="E122" t="str">
            <v>ADM-5</v>
          </cell>
          <cell r="F122">
            <v>37774</v>
          </cell>
          <cell r="G122" t="str">
            <v>-</v>
          </cell>
          <cell r="H122" t="str">
            <v>-</v>
          </cell>
          <cell r="I122" t="str">
            <v>PE</v>
          </cell>
          <cell r="J122" t="str">
            <v>MTP</v>
          </cell>
          <cell r="K122" t="str">
            <v>ALL</v>
          </cell>
          <cell r="L122" t="str">
            <v>ALL</v>
          </cell>
          <cell r="M122" t="str">
            <v>MTP</v>
          </cell>
          <cell r="N122" t="str">
            <v>BEA CUKAI ADMINISTRATION</v>
          </cell>
          <cell r="O122" t="str">
            <v>DATA &amp; ORDERING</v>
          </cell>
          <cell r="P122" t="str">
            <v>A (NS)</v>
          </cell>
          <cell r="Q122" t="str">
            <v>PS</v>
          </cell>
          <cell r="R122" t="str">
            <v>PERMANENT</v>
          </cell>
          <cell r="S122" t="str">
            <v>PRM</v>
          </cell>
          <cell r="T122" t="str">
            <v>ADM</v>
          </cell>
          <cell r="U122" t="str">
            <v>-</v>
          </cell>
          <cell r="V122" t="str">
            <v>P</v>
          </cell>
          <cell r="W122">
            <v>42</v>
          </cell>
        </row>
        <row r="123">
          <cell r="A123">
            <v>596</v>
          </cell>
          <cell r="B123" t="str">
            <v>000596</v>
          </cell>
          <cell r="C123" t="str">
            <v>ANDRY SUSANTO</v>
          </cell>
          <cell r="D123" t="str">
            <v>SAMI</v>
          </cell>
          <cell r="E123" t="str">
            <v>SPV UP</v>
          </cell>
          <cell r="F123">
            <v>37774</v>
          </cell>
          <cell r="G123" t="str">
            <v>-</v>
          </cell>
          <cell r="H123" t="str">
            <v>-</v>
          </cell>
          <cell r="I123" t="str">
            <v>PE</v>
          </cell>
          <cell r="J123" t="str">
            <v>WORKSHOP</v>
          </cell>
          <cell r="K123" t="str">
            <v>ALL</v>
          </cell>
          <cell r="L123" t="str">
            <v>ALL</v>
          </cell>
          <cell r="M123" t="str">
            <v>SPV PrE</v>
          </cell>
          <cell r="N123" t="str">
            <v>COORD. SUPERVISOR (MAGANG)</v>
          </cell>
          <cell r="O123" t="str">
            <v>FPS SPV</v>
          </cell>
          <cell r="P123" t="str">
            <v>A (NS)</v>
          </cell>
          <cell r="Q123" t="str">
            <v>PS</v>
          </cell>
          <cell r="R123" t="str">
            <v>PERMANENT</v>
          </cell>
          <cell r="S123" t="str">
            <v>PRM</v>
          </cell>
          <cell r="T123" t="str">
            <v>CSPV</v>
          </cell>
          <cell r="U123" t="str">
            <v>-</v>
          </cell>
          <cell r="V123" t="str">
            <v>L</v>
          </cell>
          <cell r="W123">
            <v>44</v>
          </cell>
        </row>
        <row r="124">
          <cell r="A124">
            <v>602</v>
          </cell>
          <cell r="B124" t="str">
            <v>000602</v>
          </cell>
          <cell r="C124" t="str">
            <v>ASYAIFU HENDRO MULYONO</v>
          </cell>
          <cell r="D124" t="str">
            <v>SAMI</v>
          </cell>
          <cell r="E124" t="str">
            <v>SPV UP</v>
          </cell>
          <cell r="F124">
            <v>37774</v>
          </cell>
          <cell r="G124" t="str">
            <v>-</v>
          </cell>
          <cell r="H124" t="str">
            <v>-</v>
          </cell>
          <cell r="I124" t="str">
            <v>LOG</v>
          </cell>
          <cell r="J124" t="str">
            <v>LIS</v>
          </cell>
          <cell r="K124" t="str">
            <v>ALL</v>
          </cell>
          <cell r="L124" t="str">
            <v>ALL</v>
          </cell>
          <cell r="M124" t="str">
            <v>LOG. INVENTORY SYSTEM</v>
          </cell>
          <cell r="N124" t="str">
            <v>SUPERVISOR</v>
          </cell>
          <cell r="O124" t="str">
            <v>FPS SPV</v>
          </cell>
          <cell r="P124" t="str">
            <v>A (NS)</v>
          </cell>
          <cell r="Q124" t="str">
            <v>PS</v>
          </cell>
          <cell r="R124" t="str">
            <v>PERMANENT</v>
          </cell>
          <cell r="S124" t="str">
            <v>PRM</v>
          </cell>
          <cell r="T124" t="str">
            <v>SPV</v>
          </cell>
          <cell r="U124" t="str">
            <v>-</v>
          </cell>
          <cell r="V124" t="str">
            <v>L</v>
          </cell>
          <cell r="W124">
            <v>44</v>
          </cell>
        </row>
        <row r="125">
          <cell r="A125">
            <v>10136</v>
          </cell>
          <cell r="B125" t="str">
            <v>010136</v>
          </cell>
          <cell r="C125" t="str">
            <v>YUTIKA TRI LISTIYA</v>
          </cell>
          <cell r="D125" t="str">
            <v>SAMI</v>
          </cell>
          <cell r="E125" t="str">
            <v>OPT-248</v>
          </cell>
          <cell r="F125">
            <v>40444</v>
          </cell>
          <cell r="G125" t="str">
            <v>-</v>
          </cell>
          <cell r="H125" t="str">
            <v>-</v>
          </cell>
          <cell r="I125" t="str">
            <v>PRD</v>
          </cell>
          <cell r="J125" t="str">
            <v>PRE ASSY</v>
          </cell>
          <cell r="K125" t="str">
            <v>HONDA EXPORT</v>
          </cell>
          <cell r="L125" t="str">
            <v>HONDA EXPORT</v>
          </cell>
          <cell r="M125" t="str">
            <v>CPA HONDA EXPORT</v>
          </cell>
          <cell r="N125" t="str">
            <v>INSP CUTTING</v>
          </cell>
          <cell r="O125" t="str">
            <v>P/A INSPECTOR</v>
          </cell>
          <cell r="P125" t="str">
            <v>A</v>
          </cell>
          <cell r="Q125" t="str">
            <v>PI</v>
          </cell>
          <cell r="R125" t="str">
            <v>PERMANENT</v>
          </cell>
          <cell r="S125" t="str">
            <v>PRM</v>
          </cell>
          <cell r="T125" t="str">
            <v>OPT</v>
          </cell>
          <cell r="U125" t="str">
            <v>-</v>
          </cell>
          <cell r="V125" t="str">
            <v>P</v>
          </cell>
          <cell r="W125">
            <v>32</v>
          </cell>
        </row>
        <row r="126">
          <cell r="A126">
            <v>609</v>
          </cell>
          <cell r="B126" t="str">
            <v>000609</v>
          </cell>
          <cell r="C126" t="str">
            <v>DWI DESYIANAWATI</v>
          </cell>
          <cell r="D126" t="str">
            <v>SAMI</v>
          </cell>
          <cell r="E126" t="str">
            <v>OPT-16</v>
          </cell>
          <cell r="F126">
            <v>37781</v>
          </cell>
          <cell r="G126" t="str">
            <v>-</v>
          </cell>
          <cell r="H126" t="str">
            <v>-</v>
          </cell>
          <cell r="I126" t="str">
            <v>PRD</v>
          </cell>
          <cell r="J126" t="str">
            <v>PRE ASSY</v>
          </cell>
          <cell r="K126" t="str">
            <v>MAZDA ATENZA</v>
          </cell>
          <cell r="L126" t="str">
            <v>MAZDA J72A</v>
          </cell>
          <cell r="M126" t="str">
            <v>CPA MAZDA CX-5</v>
          </cell>
          <cell r="N126" t="str">
            <v>CUTTING AC90-MZD-02</v>
          </cell>
          <cell r="O126" t="str">
            <v>CUTTING WIRE</v>
          </cell>
          <cell r="P126" t="str">
            <v>B</v>
          </cell>
          <cell r="Q126" t="str">
            <v>DL</v>
          </cell>
          <cell r="R126" t="str">
            <v>PERMANENT</v>
          </cell>
          <cell r="S126" t="str">
            <v>PRM</v>
          </cell>
          <cell r="T126" t="str">
            <v>OPT</v>
          </cell>
          <cell r="U126" t="str">
            <v>-</v>
          </cell>
          <cell r="V126" t="str">
            <v>P</v>
          </cell>
          <cell r="W126">
            <v>41</v>
          </cell>
        </row>
        <row r="127">
          <cell r="A127">
            <v>10248</v>
          </cell>
          <cell r="B127" t="str">
            <v>010248</v>
          </cell>
          <cell r="C127" t="str">
            <v>ISTI NUR FITRIANA</v>
          </cell>
          <cell r="D127" t="str">
            <v>SAMI</v>
          </cell>
          <cell r="E127" t="str">
            <v>OPT-261</v>
          </cell>
          <cell r="F127">
            <v>40497</v>
          </cell>
          <cell r="G127" t="str">
            <v>-</v>
          </cell>
          <cell r="H127" t="str">
            <v>-</v>
          </cell>
          <cell r="I127" t="str">
            <v>PRD</v>
          </cell>
          <cell r="J127" t="str">
            <v>PRE ASSY</v>
          </cell>
          <cell r="K127" t="str">
            <v>HONDA EXPORT</v>
          </cell>
          <cell r="L127" t="str">
            <v>HONDA EXPORT</v>
          </cell>
          <cell r="M127" t="str">
            <v>CPA HONDA EXPORT</v>
          </cell>
          <cell r="N127" t="str">
            <v>INSP SILICON</v>
          </cell>
          <cell r="O127" t="str">
            <v>P/A INSPECTOR</v>
          </cell>
          <cell r="P127" t="str">
            <v>A</v>
          </cell>
          <cell r="Q127" t="str">
            <v>PI</v>
          </cell>
          <cell r="R127" t="str">
            <v>PERMANENT</v>
          </cell>
          <cell r="S127" t="str">
            <v>PRM</v>
          </cell>
          <cell r="T127" t="str">
            <v>OPT</v>
          </cell>
          <cell r="U127" t="str">
            <v>-</v>
          </cell>
          <cell r="V127" t="str">
            <v>P</v>
          </cell>
          <cell r="W127">
            <v>31</v>
          </cell>
        </row>
        <row r="128">
          <cell r="A128">
            <v>10316</v>
          </cell>
          <cell r="B128" t="str">
            <v>010316</v>
          </cell>
          <cell r="C128" t="str">
            <v>MARTA MEILANI</v>
          </cell>
          <cell r="D128" t="str">
            <v>SAMI</v>
          </cell>
          <cell r="E128" t="str">
            <v>OPT-265</v>
          </cell>
          <cell r="F128">
            <v>40511</v>
          </cell>
          <cell r="G128" t="str">
            <v>-</v>
          </cell>
          <cell r="H128" t="str">
            <v>-</v>
          </cell>
          <cell r="I128" t="str">
            <v>PRD</v>
          </cell>
          <cell r="J128" t="str">
            <v>PRE ASSY</v>
          </cell>
          <cell r="K128" t="str">
            <v>HONDA EXPORT</v>
          </cell>
          <cell r="L128" t="str">
            <v>HONDA EXPORT</v>
          </cell>
          <cell r="M128" t="str">
            <v>CPA HONDA EXPORT</v>
          </cell>
          <cell r="N128" t="str">
            <v>CUTTING AC90-HDA-01</v>
          </cell>
          <cell r="O128" t="str">
            <v>CUTTING WIRE</v>
          </cell>
          <cell r="P128" t="str">
            <v>A</v>
          </cell>
          <cell r="Q128" t="str">
            <v>DL</v>
          </cell>
          <cell r="R128" t="str">
            <v>PERMANENT</v>
          </cell>
          <cell r="S128" t="str">
            <v>PRM</v>
          </cell>
          <cell r="T128" t="str">
            <v>OPT</v>
          </cell>
          <cell r="U128" t="str">
            <v>-</v>
          </cell>
          <cell r="V128" t="str">
            <v>P</v>
          </cell>
          <cell r="W128">
            <v>32</v>
          </cell>
        </row>
        <row r="129">
          <cell r="A129">
            <v>10319</v>
          </cell>
          <cell r="B129" t="str">
            <v>010319</v>
          </cell>
          <cell r="C129" t="str">
            <v>MUFLIKHATUL FAUZIYAH</v>
          </cell>
          <cell r="D129" t="str">
            <v>SAMI</v>
          </cell>
          <cell r="E129" t="str">
            <v>OPT-265</v>
          </cell>
          <cell r="F129">
            <v>40511</v>
          </cell>
          <cell r="G129" t="str">
            <v>-</v>
          </cell>
          <cell r="H129" t="str">
            <v>-</v>
          </cell>
          <cell r="I129" t="str">
            <v>PRD</v>
          </cell>
          <cell r="J129" t="str">
            <v>PRE ASSY</v>
          </cell>
          <cell r="K129" t="str">
            <v>HONDA EXPORT</v>
          </cell>
          <cell r="L129" t="str">
            <v>HONDA EXPORT</v>
          </cell>
          <cell r="M129" t="str">
            <v>CPA HONDA EXPORT</v>
          </cell>
          <cell r="N129" t="str">
            <v>INSP CUTTING</v>
          </cell>
          <cell r="O129" t="str">
            <v>P/A INSPECTOR</v>
          </cell>
          <cell r="P129" t="str">
            <v>A</v>
          </cell>
          <cell r="Q129" t="str">
            <v>PI</v>
          </cell>
          <cell r="R129" t="str">
            <v>PERMANENT</v>
          </cell>
          <cell r="S129" t="str">
            <v>PRM</v>
          </cell>
          <cell r="T129" t="str">
            <v>OPT</v>
          </cell>
          <cell r="U129" t="str">
            <v>-</v>
          </cell>
          <cell r="V129" t="str">
            <v>P</v>
          </cell>
          <cell r="W129">
            <v>33</v>
          </cell>
        </row>
        <row r="130">
          <cell r="A130">
            <v>10390</v>
          </cell>
          <cell r="B130" t="str">
            <v>010390</v>
          </cell>
          <cell r="C130" t="str">
            <v>TYAS AYU CHOLISNASARI</v>
          </cell>
          <cell r="D130" t="str">
            <v>SAMI</v>
          </cell>
          <cell r="E130" t="str">
            <v>OPT-267</v>
          </cell>
          <cell r="F130">
            <v>40513</v>
          </cell>
          <cell r="G130" t="str">
            <v>-</v>
          </cell>
          <cell r="H130" t="str">
            <v>-</v>
          </cell>
          <cell r="I130" t="str">
            <v>PRD</v>
          </cell>
          <cell r="J130" t="str">
            <v>PRE ASSY</v>
          </cell>
          <cell r="K130" t="str">
            <v>HONDA EXPORT</v>
          </cell>
          <cell r="L130" t="str">
            <v>HONDA EXPORT</v>
          </cell>
          <cell r="M130" t="str">
            <v>CPA HONDA EXPORT</v>
          </cell>
          <cell r="N130" t="str">
            <v>CUTTING AC90-HDA-30</v>
          </cell>
          <cell r="O130" t="str">
            <v>CUTTING WIRE</v>
          </cell>
          <cell r="P130" t="str">
            <v>A</v>
          </cell>
          <cell r="Q130" t="str">
            <v>DL</v>
          </cell>
          <cell r="R130" t="str">
            <v>PERMANENT</v>
          </cell>
          <cell r="S130" t="str">
            <v>PRM</v>
          </cell>
          <cell r="T130" t="str">
            <v>OPT</v>
          </cell>
          <cell r="U130" t="str">
            <v>-</v>
          </cell>
          <cell r="V130" t="str">
            <v>P</v>
          </cell>
          <cell r="W130">
            <v>34</v>
          </cell>
        </row>
        <row r="131">
          <cell r="A131">
            <v>14896</v>
          </cell>
          <cell r="B131" t="str">
            <v>014896</v>
          </cell>
          <cell r="C131" t="str">
            <v>ARI WAHYUDI</v>
          </cell>
          <cell r="D131" t="str">
            <v>SAMI</v>
          </cell>
          <cell r="E131" t="str">
            <v>OPT-379</v>
          </cell>
          <cell r="F131">
            <v>41407</v>
          </cell>
          <cell r="G131" t="str">
            <v>-</v>
          </cell>
          <cell r="H131" t="str">
            <v>-</v>
          </cell>
          <cell r="I131" t="str">
            <v>PRD</v>
          </cell>
          <cell r="J131" t="str">
            <v>PRE ASSY</v>
          </cell>
          <cell r="K131" t="str">
            <v>HONDA EXPORT</v>
          </cell>
          <cell r="L131" t="str">
            <v>HONDA EXPORT</v>
          </cell>
          <cell r="M131" t="str">
            <v>CPA HONDA EXPORT</v>
          </cell>
          <cell r="N131" t="str">
            <v>INSP-BC-01</v>
          </cell>
          <cell r="O131" t="str">
            <v>P/A INSPECTOR</v>
          </cell>
          <cell r="P131" t="str">
            <v>A</v>
          </cell>
          <cell r="Q131" t="str">
            <v>PI</v>
          </cell>
          <cell r="R131" t="str">
            <v>PERMANENT</v>
          </cell>
          <cell r="S131" t="str">
            <v>PRM</v>
          </cell>
          <cell r="T131" t="str">
            <v>OPT</v>
          </cell>
          <cell r="U131" t="str">
            <v>-</v>
          </cell>
          <cell r="V131" t="str">
            <v>L</v>
          </cell>
          <cell r="W131">
            <v>30</v>
          </cell>
        </row>
        <row r="132">
          <cell r="A132">
            <v>628</v>
          </cell>
          <cell r="B132" t="str">
            <v>000628</v>
          </cell>
          <cell r="C132" t="str">
            <v>ROSA SOFIYARANI</v>
          </cell>
          <cell r="D132" t="str">
            <v>SAMI</v>
          </cell>
          <cell r="E132" t="str">
            <v>OPT-16</v>
          </cell>
          <cell r="F132">
            <v>37781</v>
          </cell>
          <cell r="G132" t="str">
            <v>-</v>
          </cell>
          <cell r="H132" t="str">
            <v>-</v>
          </cell>
          <cell r="I132" t="str">
            <v>QA</v>
          </cell>
          <cell r="J132" t="str">
            <v>PRE ASSY</v>
          </cell>
          <cell r="K132" t="str">
            <v>HONDA EXPORT</v>
          </cell>
          <cell r="L132" t="str">
            <v>HONDA EXPORT</v>
          </cell>
          <cell r="M132" t="str">
            <v>CPA HONDA EXPORT</v>
          </cell>
          <cell r="N132" t="str">
            <v>GL INSPECTION</v>
          </cell>
          <cell r="O132" t="str">
            <v>GL</v>
          </cell>
          <cell r="P132" t="str">
            <v>B</v>
          </cell>
          <cell r="Q132" t="str">
            <v>PI</v>
          </cell>
          <cell r="R132" t="str">
            <v>PERMANENT</v>
          </cell>
          <cell r="S132" t="str">
            <v>PRM</v>
          </cell>
          <cell r="T132" t="str">
            <v>GL</v>
          </cell>
          <cell r="U132" t="str">
            <v>-</v>
          </cell>
          <cell r="V132" t="str">
            <v>P</v>
          </cell>
          <cell r="W132">
            <v>42</v>
          </cell>
        </row>
        <row r="133">
          <cell r="A133">
            <v>629</v>
          </cell>
          <cell r="B133" t="str">
            <v>000629</v>
          </cell>
          <cell r="C133" t="str">
            <v>SETYO RAHAYUNINGSIH</v>
          </cell>
          <cell r="D133" t="str">
            <v>SAMI</v>
          </cell>
          <cell r="E133" t="str">
            <v>OPT-16</v>
          </cell>
          <cell r="F133">
            <v>37781</v>
          </cell>
          <cell r="G133" t="str">
            <v>-</v>
          </cell>
          <cell r="H133" t="str">
            <v>-</v>
          </cell>
          <cell r="I133" t="str">
            <v>PRD</v>
          </cell>
          <cell r="J133" t="str">
            <v>PRE ASSY</v>
          </cell>
          <cell r="K133" t="str">
            <v>HONDA FIT</v>
          </cell>
          <cell r="L133" t="str">
            <v>HONDA FIT</v>
          </cell>
          <cell r="M133" t="str">
            <v>CPA HONDA FIT HEV/PET</v>
          </cell>
          <cell r="N133" t="str">
            <v>BM3-HDA-01</v>
          </cell>
          <cell r="O133" t="str">
            <v>BONDER</v>
          </cell>
          <cell r="P133" t="str">
            <v>B</v>
          </cell>
          <cell r="Q133" t="str">
            <v>DL</v>
          </cell>
          <cell r="R133" t="str">
            <v>PERMANENT</v>
          </cell>
          <cell r="S133" t="str">
            <v>PRM</v>
          </cell>
          <cell r="T133" t="str">
            <v>OPT</v>
          </cell>
          <cell r="U133" t="str">
            <v>-</v>
          </cell>
          <cell r="V133" t="str">
            <v>P</v>
          </cell>
          <cell r="W133">
            <v>42</v>
          </cell>
        </row>
        <row r="134">
          <cell r="A134">
            <v>16561</v>
          </cell>
          <cell r="B134" t="str">
            <v>016561</v>
          </cell>
          <cell r="C134" t="str">
            <v>MUHAMAD TOHA</v>
          </cell>
          <cell r="D134" t="str">
            <v>SAMI</v>
          </cell>
          <cell r="E134" t="str">
            <v>OPT-421</v>
          </cell>
          <cell r="F134">
            <v>41667</v>
          </cell>
          <cell r="G134" t="str">
            <v>-</v>
          </cell>
          <cell r="H134" t="str">
            <v>-</v>
          </cell>
          <cell r="I134" t="str">
            <v>PRD</v>
          </cell>
          <cell r="J134" t="str">
            <v>PRE ASSY</v>
          </cell>
          <cell r="K134" t="str">
            <v>HONDA EXPORT</v>
          </cell>
          <cell r="L134" t="str">
            <v>HONDA EXPORT</v>
          </cell>
          <cell r="M134" t="str">
            <v>CPA HONDA EXPORT</v>
          </cell>
          <cell r="N134" t="str">
            <v>CUTTING AC90-HDA-06</v>
          </cell>
          <cell r="O134" t="str">
            <v>CUTTING WIRE</v>
          </cell>
          <cell r="P134" t="str">
            <v>A</v>
          </cell>
          <cell r="Q134" t="str">
            <v>DL</v>
          </cell>
          <cell r="R134" t="str">
            <v>PERMANENT</v>
          </cell>
          <cell r="S134" t="str">
            <v>PRM</v>
          </cell>
          <cell r="T134" t="str">
            <v>OPT</v>
          </cell>
          <cell r="U134" t="str">
            <v>-</v>
          </cell>
          <cell r="V134" t="str">
            <v>L</v>
          </cell>
          <cell r="W134">
            <v>30</v>
          </cell>
        </row>
        <row r="135">
          <cell r="A135">
            <v>638</v>
          </cell>
          <cell r="B135" t="str">
            <v>000638</v>
          </cell>
          <cell r="C135" t="str">
            <v>DIAH WAHYUNINGSIH</v>
          </cell>
          <cell r="D135" t="str">
            <v>SAMI</v>
          </cell>
          <cell r="E135" t="str">
            <v>OPT-16</v>
          </cell>
          <cell r="F135">
            <v>37781</v>
          </cell>
          <cell r="G135" t="str">
            <v>-</v>
          </cell>
          <cell r="H135" t="str">
            <v>-</v>
          </cell>
          <cell r="I135" t="str">
            <v>PRD</v>
          </cell>
          <cell r="J135" t="str">
            <v>PRE ASSY</v>
          </cell>
          <cell r="K135" t="str">
            <v>MAZDA 3</v>
          </cell>
          <cell r="L135" t="str">
            <v>MAZDA REAR</v>
          </cell>
          <cell r="M135" t="str">
            <v>CPA MAZDA J03</v>
          </cell>
          <cell r="N135" t="str">
            <v>BM2-J03-06, BM1-J03-01, BM3-J03-01, MSU-J03-01, RYC-J03-01, JT-J03-02</v>
          </cell>
          <cell r="O135" t="str">
            <v>BONDER</v>
          </cell>
          <cell r="P135" t="str">
            <v>B</v>
          </cell>
          <cell r="Q135" t="str">
            <v>DL</v>
          </cell>
          <cell r="R135" t="str">
            <v>PERMANENT</v>
          </cell>
          <cell r="S135" t="str">
            <v>PRM</v>
          </cell>
          <cell r="T135" t="str">
            <v>OPT</v>
          </cell>
          <cell r="U135" t="str">
            <v>-</v>
          </cell>
          <cell r="V135" t="str">
            <v>P</v>
          </cell>
          <cell r="W135">
            <v>41</v>
          </cell>
        </row>
        <row r="136">
          <cell r="A136" t="str">
            <v>B01763</v>
          </cell>
          <cell r="B136" t="str">
            <v>B01763</v>
          </cell>
          <cell r="C136" t="str">
            <v>AISAH NUR UMIYATI</v>
          </cell>
          <cell r="D136" t="str">
            <v>SAMI</v>
          </cell>
          <cell r="E136" t="str">
            <v>BBF-066</v>
          </cell>
          <cell r="F136">
            <v>41435</v>
          </cell>
          <cell r="G136" t="str">
            <v>-</v>
          </cell>
          <cell r="H136" t="str">
            <v>-</v>
          </cell>
          <cell r="I136" t="str">
            <v>PRD</v>
          </cell>
          <cell r="J136" t="str">
            <v>PRE ASSY</v>
          </cell>
          <cell r="K136" t="str">
            <v>HONDA EXPORT</v>
          </cell>
          <cell r="L136" t="str">
            <v>HONDA EXPORT</v>
          </cell>
          <cell r="M136" t="str">
            <v>CPA HONDA EXPORT</v>
          </cell>
          <cell r="N136" t="str">
            <v>INSP CUTTING</v>
          </cell>
          <cell r="O136" t="str">
            <v>P/A INSPECTOR</v>
          </cell>
          <cell r="P136" t="str">
            <v>A</v>
          </cell>
          <cell r="Q136" t="str">
            <v>PI</v>
          </cell>
          <cell r="R136" t="str">
            <v>PERMANENT</v>
          </cell>
          <cell r="S136" t="str">
            <v>PRM</v>
          </cell>
          <cell r="T136" t="str">
            <v>OPT</v>
          </cell>
          <cell r="U136" t="str">
            <v>-</v>
          </cell>
          <cell r="V136" t="str">
            <v>P</v>
          </cell>
          <cell r="W136">
            <v>28</v>
          </cell>
        </row>
        <row r="137">
          <cell r="A137">
            <v>53</v>
          </cell>
          <cell r="B137" t="str">
            <v>000053</v>
          </cell>
          <cell r="C137" t="str">
            <v>ARIYANI</v>
          </cell>
          <cell r="D137" t="str">
            <v>SAMI</v>
          </cell>
          <cell r="E137" t="str">
            <v>OPT-1</v>
          </cell>
          <cell r="F137">
            <v>37578</v>
          </cell>
          <cell r="G137" t="str">
            <v>-</v>
          </cell>
          <cell r="H137" t="str">
            <v>-</v>
          </cell>
          <cell r="I137" t="str">
            <v>PRD</v>
          </cell>
          <cell r="J137" t="str">
            <v>PRE ASSY</v>
          </cell>
          <cell r="K137" t="str">
            <v>HONDA FIT</v>
          </cell>
          <cell r="L137" t="str">
            <v>HONDA FIT</v>
          </cell>
          <cell r="M137" t="str">
            <v>CPA HONDA FIT HEV/PET</v>
          </cell>
          <cell r="N137" t="str">
            <v>PRD LINE CHO</v>
          </cell>
          <cell r="O137" t="str">
            <v>FPI LL</v>
          </cell>
          <cell r="P137" t="str">
            <v>A</v>
          </cell>
          <cell r="Q137" t="str">
            <v>PI</v>
          </cell>
          <cell r="R137" t="str">
            <v>PERMANENT</v>
          </cell>
          <cell r="S137" t="str">
            <v>PRM</v>
          </cell>
          <cell r="T137" t="str">
            <v>LC</v>
          </cell>
          <cell r="U137" t="str">
            <v>-</v>
          </cell>
          <cell r="V137" t="str">
            <v>P</v>
          </cell>
          <cell r="W137">
            <v>40</v>
          </cell>
        </row>
        <row r="138">
          <cell r="A138">
            <v>1105</v>
          </cell>
          <cell r="B138" t="str">
            <v>001105</v>
          </cell>
          <cell r="C138" t="str">
            <v>KHOMSATUN</v>
          </cell>
          <cell r="D138" t="str">
            <v>SAMI</v>
          </cell>
          <cell r="E138" t="str">
            <v>OPT-27</v>
          </cell>
          <cell r="F138">
            <v>37887</v>
          </cell>
          <cell r="G138" t="str">
            <v>-</v>
          </cell>
          <cell r="H138" t="str">
            <v>-</v>
          </cell>
          <cell r="I138" t="str">
            <v>PRD</v>
          </cell>
          <cell r="J138" t="str">
            <v>PRE ASSY</v>
          </cell>
          <cell r="K138" t="str">
            <v>HONDA FIT</v>
          </cell>
          <cell r="L138" t="str">
            <v>HONDA FIT</v>
          </cell>
          <cell r="M138" t="str">
            <v>CPA HONDA FIT HEV/PET</v>
          </cell>
          <cell r="N138" t="str">
            <v>SUB LINE CHO</v>
          </cell>
          <cell r="O138" t="str">
            <v>GL</v>
          </cell>
          <cell r="P138" t="str">
            <v>A</v>
          </cell>
          <cell r="Q138" t="str">
            <v>PI</v>
          </cell>
          <cell r="R138" t="str">
            <v>PERMANENT</v>
          </cell>
          <cell r="S138" t="str">
            <v>PRM</v>
          </cell>
          <cell r="T138" t="str">
            <v>SLC</v>
          </cell>
          <cell r="U138" t="str">
            <v>-</v>
          </cell>
          <cell r="V138" t="str">
            <v>P</v>
          </cell>
          <cell r="W138">
            <v>40</v>
          </cell>
        </row>
        <row r="139">
          <cell r="A139">
            <v>702</v>
          </cell>
          <cell r="B139" t="str">
            <v>000702</v>
          </cell>
          <cell r="C139" t="str">
            <v>ARI KRISTANTO</v>
          </cell>
          <cell r="D139" t="str">
            <v>SAMI</v>
          </cell>
          <cell r="E139" t="str">
            <v>SPV UP</v>
          </cell>
          <cell r="F139">
            <v>37802</v>
          </cell>
          <cell r="G139" t="str">
            <v>-</v>
          </cell>
          <cell r="H139" t="str">
            <v>-</v>
          </cell>
          <cell r="I139" t="str">
            <v>LOG</v>
          </cell>
          <cell r="J139" t="str">
            <v>PPIC</v>
          </cell>
          <cell r="K139" t="str">
            <v>ALL</v>
          </cell>
          <cell r="L139" t="str">
            <v>ALL</v>
          </cell>
          <cell r="M139" t="str">
            <v>PPIC</v>
          </cell>
          <cell r="N139" t="str">
            <v>SUPERVISOR</v>
          </cell>
          <cell r="O139" t="str">
            <v>FPS SPV</v>
          </cell>
          <cell r="P139" t="str">
            <v>A (NS)</v>
          </cell>
          <cell r="Q139" t="str">
            <v>PS</v>
          </cell>
          <cell r="R139" t="str">
            <v>PERMANENT</v>
          </cell>
          <cell r="S139" t="str">
            <v>PRM</v>
          </cell>
          <cell r="T139" t="str">
            <v>SPV</v>
          </cell>
          <cell r="U139" t="str">
            <v>-</v>
          </cell>
          <cell r="V139" t="str">
            <v>L</v>
          </cell>
          <cell r="W139">
            <v>46</v>
          </cell>
        </row>
        <row r="140">
          <cell r="A140">
            <v>703</v>
          </cell>
          <cell r="B140" t="str">
            <v>000703</v>
          </cell>
          <cell r="C140" t="str">
            <v>ARY SUSANTO</v>
          </cell>
          <cell r="D140" t="str">
            <v>SAMI</v>
          </cell>
          <cell r="E140" t="str">
            <v>SPV UP</v>
          </cell>
          <cell r="F140">
            <v>37802</v>
          </cell>
          <cell r="G140" t="str">
            <v>-</v>
          </cell>
          <cell r="H140" t="str">
            <v>-</v>
          </cell>
          <cell r="I140" t="str">
            <v>QA</v>
          </cell>
          <cell r="J140" t="str">
            <v>NON LINE</v>
          </cell>
          <cell r="K140" t="str">
            <v>ALL</v>
          </cell>
          <cell r="L140" t="str">
            <v>ALL</v>
          </cell>
          <cell r="M140" t="str">
            <v>COORD. SUPERVISOR</v>
          </cell>
          <cell r="N140" t="str">
            <v>COORD. SPV QA</v>
          </cell>
          <cell r="O140" t="str">
            <v>FPS SPV</v>
          </cell>
          <cell r="P140" t="str">
            <v>A (NS)</v>
          </cell>
          <cell r="Q140" t="str">
            <v>PS</v>
          </cell>
          <cell r="R140" t="str">
            <v>PERMANENT</v>
          </cell>
          <cell r="S140" t="str">
            <v>PRM</v>
          </cell>
          <cell r="T140" t="str">
            <v>CSPV</v>
          </cell>
          <cell r="U140" t="str">
            <v>-</v>
          </cell>
          <cell r="V140" t="str">
            <v>L</v>
          </cell>
          <cell r="W140">
            <v>45</v>
          </cell>
        </row>
        <row r="141">
          <cell r="A141">
            <v>4531</v>
          </cell>
          <cell r="B141" t="str">
            <v>004531</v>
          </cell>
          <cell r="C141" t="str">
            <v>TUTIK</v>
          </cell>
          <cell r="D141" t="str">
            <v>SAMI</v>
          </cell>
          <cell r="E141" t="str">
            <v>OPT-111</v>
          </cell>
          <cell r="F141">
            <v>38789</v>
          </cell>
          <cell r="G141" t="str">
            <v>-</v>
          </cell>
          <cell r="H141" t="str">
            <v>-</v>
          </cell>
          <cell r="I141" t="str">
            <v>PRD</v>
          </cell>
          <cell r="J141" t="str">
            <v>PRE ASSY</v>
          </cell>
          <cell r="K141" t="str">
            <v>HONDA FIT</v>
          </cell>
          <cell r="L141" t="str">
            <v>HONDA FIT</v>
          </cell>
          <cell r="M141" t="str">
            <v>CPA HONDA FIT HEV/PET</v>
          </cell>
          <cell r="N141" t="str">
            <v>INSP CUTTING</v>
          </cell>
          <cell r="O141" t="str">
            <v>P/A INSPECTOR</v>
          </cell>
          <cell r="P141" t="str">
            <v>A</v>
          </cell>
          <cell r="Q141" t="str">
            <v>PI</v>
          </cell>
          <cell r="R141" t="str">
            <v>PERMANENT</v>
          </cell>
          <cell r="S141" t="str">
            <v>PRM</v>
          </cell>
          <cell r="T141" t="str">
            <v>OPT</v>
          </cell>
          <cell r="U141" t="str">
            <v>-</v>
          </cell>
          <cell r="V141" t="str">
            <v>P</v>
          </cell>
          <cell r="W141">
            <v>41</v>
          </cell>
        </row>
        <row r="142">
          <cell r="A142">
            <v>5248</v>
          </cell>
          <cell r="B142" t="str">
            <v>005248</v>
          </cell>
          <cell r="C142" t="str">
            <v>SEPTI HANDAYANI</v>
          </cell>
          <cell r="D142" t="str">
            <v>SAMI</v>
          </cell>
          <cell r="E142" t="str">
            <v>OPT-125</v>
          </cell>
          <cell r="F142">
            <v>38961</v>
          </cell>
          <cell r="G142" t="str">
            <v>-</v>
          </cell>
          <cell r="H142" t="str">
            <v>-</v>
          </cell>
          <cell r="I142" t="str">
            <v>PRD</v>
          </cell>
          <cell r="J142" t="str">
            <v>PRE ASSY</v>
          </cell>
          <cell r="K142" t="str">
            <v>HONDA FIT</v>
          </cell>
          <cell r="L142" t="str">
            <v>HONDA FIT</v>
          </cell>
          <cell r="M142" t="str">
            <v>CPA HONDA FIT HEV/PET</v>
          </cell>
          <cell r="N142" t="str">
            <v>RELIEF 2</v>
          </cell>
          <cell r="O142" t="str">
            <v>RELIEF</v>
          </cell>
          <cell r="P142" t="str">
            <v>A</v>
          </cell>
          <cell r="Q142" t="str">
            <v>PI</v>
          </cell>
          <cell r="R142" t="str">
            <v>PERMANENT</v>
          </cell>
          <cell r="S142" t="str">
            <v>PRM</v>
          </cell>
          <cell r="T142" t="str">
            <v>OPT</v>
          </cell>
          <cell r="U142" t="str">
            <v>-</v>
          </cell>
          <cell r="V142" t="str">
            <v>P</v>
          </cell>
          <cell r="W142">
            <v>39</v>
          </cell>
        </row>
        <row r="143">
          <cell r="A143">
            <v>723</v>
          </cell>
          <cell r="B143" t="str">
            <v>000723</v>
          </cell>
          <cell r="C143" t="str">
            <v>ATIK KRISTIYANTI</v>
          </cell>
          <cell r="D143" t="str">
            <v>SAMI</v>
          </cell>
          <cell r="E143" t="str">
            <v>OPT-19</v>
          </cell>
          <cell r="F143">
            <v>37816</v>
          </cell>
          <cell r="G143" t="str">
            <v>-</v>
          </cell>
          <cell r="H143" t="str">
            <v>-</v>
          </cell>
          <cell r="I143" t="str">
            <v>QA</v>
          </cell>
          <cell r="J143" t="str">
            <v>NON LINE</v>
          </cell>
          <cell r="K143" t="str">
            <v>ALL</v>
          </cell>
          <cell r="L143" t="str">
            <v>HONDA HV, NISSAN HV, TOYOTA HV, BATTERY CABLE  &amp; All Tensile and Cross Section &amp; QAV 1</v>
          </cell>
          <cell r="M143" t="str">
            <v>QA LL</v>
          </cell>
          <cell r="N143" t="str">
            <v>QA LINE LEADER</v>
          </cell>
          <cell r="O143" t="str">
            <v>FPI LL</v>
          </cell>
          <cell r="P143" t="str">
            <v>A</v>
          </cell>
          <cell r="Q143" t="str">
            <v>PI</v>
          </cell>
          <cell r="R143" t="str">
            <v>PERMANENT</v>
          </cell>
          <cell r="S143" t="str">
            <v>PRM</v>
          </cell>
          <cell r="T143" t="str">
            <v>LL</v>
          </cell>
          <cell r="U143" t="str">
            <v>-</v>
          </cell>
          <cell r="V143" t="str">
            <v>P</v>
          </cell>
          <cell r="W143">
            <v>41</v>
          </cell>
        </row>
        <row r="144">
          <cell r="A144">
            <v>724</v>
          </cell>
          <cell r="B144" t="str">
            <v>000724</v>
          </cell>
          <cell r="C144" t="str">
            <v>UMI KHOLIFAH</v>
          </cell>
          <cell r="D144" t="str">
            <v>SAMI</v>
          </cell>
          <cell r="E144" t="str">
            <v>OPT-19</v>
          </cell>
          <cell r="F144">
            <v>37816</v>
          </cell>
          <cell r="G144" t="str">
            <v>-</v>
          </cell>
          <cell r="H144" t="str">
            <v>-</v>
          </cell>
          <cell r="I144" t="str">
            <v>QA</v>
          </cell>
          <cell r="J144" t="str">
            <v>FINAL ASSY</v>
          </cell>
          <cell r="K144" t="str">
            <v>TOYOTA HV</v>
          </cell>
          <cell r="L144" t="str">
            <v>HV TOYOTA NIKEL</v>
          </cell>
          <cell r="M144" t="str">
            <v>CV HV 07</v>
          </cell>
          <cell r="N144" t="str">
            <v>GL INSPECTION</v>
          </cell>
          <cell r="O144" t="str">
            <v>GL</v>
          </cell>
          <cell r="P144" t="str">
            <v>B</v>
          </cell>
          <cell r="Q144" t="str">
            <v>PI</v>
          </cell>
          <cell r="R144" t="str">
            <v>PERMANENT</v>
          </cell>
          <cell r="S144" t="str">
            <v>PRM</v>
          </cell>
          <cell r="T144" t="str">
            <v>GL</v>
          </cell>
          <cell r="U144" t="str">
            <v>-</v>
          </cell>
          <cell r="V144" t="str">
            <v>P</v>
          </cell>
          <cell r="W144">
            <v>41</v>
          </cell>
        </row>
        <row r="145">
          <cell r="A145">
            <v>725</v>
          </cell>
          <cell r="B145" t="str">
            <v>000725</v>
          </cell>
          <cell r="C145" t="str">
            <v>NUNUNG SETIARINI</v>
          </cell>
          <cell r="D145" t="str">
            <v>SAMI</v>
          </cell>
          <cell r="E145" t="str">
            <v>OPT-19</v>
          </cell>
          <cell r="F145">
            <v>37816</v>
          </cell>
          <cell r="G145" t="str">
            <v>-</v>
          </cell>
          <cell r="H145" t="str">
            <v>-</v>
          </cell>
          <cell r="I145" t="str">
            <v>QA</v>
          </cell>
          <cell r="J145" t="str">
            <v>FINAL ASSY</v>
          </cell>
          <cell r="K145" t="str">
            <v>MAZDA ATENZA</v>
          </cell>
          <cell r="L145" t="str">
            <v>MAZDA J72A</v>
          </cell>
          <cell r="M145" t="str">
            <v>CV M03</v>
          </cell>
          <cell r="N145" t="str">
            <v>GL INSPECTION</v>
          </cell>
          <cell r="O145" t="str">
            <v>GL</v>
          </cell>
          <cell r="P145" t="str">
            <v>B</v>
          </cell>
          <cell r="Q145" t="str">
            <v>PI</v>
          </cell>
          <cell r="R145" t="str">
            <v>PERMANENT</v>
          </cell>
          <cell r="S145" t="str">
            <v>PRM</v>
          </cell>
          <cell r="T145" t="str">
            <v>GL</v>
          </cell>
          <cell r="U145" t="str">
            <v>-</v>
          </cell>
          <cell r="V145" t="str">
            <v>P</v>
          </cell>
          <cell r="W145">
            <v>41</v>
          </cell>
        </row>
        <row r="146">
          <cell r="A146">
            <v>5461</v>
          </cell>
          <cell r="B146" t="str">
            <v>005461</v>
          </cell>
          <cell r="C146" t="str">
            <v>SUSILO DWI SUWARNI</v>
          </cell>
          <cell r="D146" t="str">
            <v>SAMI</v>
          </cell>
          <cell r="E146" t="str">
            <v>OPT-128</v>
          </cell>
          <cell r="F146">
            <v>38991</v>
          </cell>
          <cell r="G146" t="str">
            <v>-</v>
          </cell>
          <cell r="H146" t="str">
            <v>-</v>
          </cell>
          <cell r="I146" t="str">
            <v>PRD</v>
          </cell>
          <cell r="J146" t="str">
            <v>PRE ASSY</v>
          </cell>
          <cell r="K146" t="str">
            <v>HONDA FIT</v>
          </cell>
          <cell r="L146" t="str">
            <v>HONDA FIT</v>
          </cell>
          <cell r="M146" t="str">
            <v>CPA HONDA FIT HEV/PET</v>
          </cell>
          <cell r="N146" t="str">
            <v>INSP CUTTING</v>
          </cell>
          <cell r="O146" t="str">
            <v>P/A INSPECTOR</v>
          </cell>
          <cell r="P146" t="str">
            <v>A</v>
          </cell>
          <cell r="Q146" t="str">
            <v>PI</v>
          </cell>
          <cell r="R146" t="str">
            <v>PERMANENT</v>
          </cell>
          <cell r="S146" t="str">
            <v>PRM</v>
          </cell>
          <cell r="T146" t="str">
            <v>OPT</v>
          </cell>
          <cell r="U146" t="str">
            <v>-</v>
          </cell>
          <cell r="V146" t="str">
            <v>P</v>
          </cell>
          <cell r="W146">
            <v>39</v>
          </cell>
        </row>
        <row r="147">
          <cell r="A147">
            <v>5698</v>
          </cell>
          <cell r="B147" t="str">
            <v>005698</v>
          </cell>
          <cell r="C147" t="str">
            <v>EDY PURWITO</v>
          </cell>
          <cell r="D147" t="str">
            <v>SAMI</v>
          </cell>
          <cell r="E147" t="str">
            <v>OPT-134</v>
          </cell>
          <cell r="F147">
            <v>39098</v>
          </cell>
          <cell r="G147" t="str">
            <v>-</v>
          </cell>
          <cell r="H147" t="str">
            <v>-</v>
          </cell>
          <cell r="I147" t="str">
            <v>PRD</v>
          </cell>
          <cell r="J147" t="str">
            <v>PRE ASSY</v>
          </cell>
          <cell r="K147" t="str">
            <v>HONDA FIT</v>
          </cell>
          <cell r="L147" t="str">
            <v>HONDA FIT</v>
          </cell>
          <cell r="M147" t="str">
            <v>CPA HONDA FIT HEV/PET</v>
          </cell>
          <cell r="N147" t="str">
            <v>BFT-2</v>
          </cell>
          <cell r="O147" t="str">
            <v>WFAP 2.2</v>
          </cell>
          <cell r="P147" t="str">
            <v>A</v>
          </cell>
          <cell r="Q147" t="str">
            <v>DL</v>
          </cell>
          <cell r="R147" t="str">
            <v>PERMANENT</v>
          </cell>
          <cell r="S147" t="str">
            <v>PRM</v>
          </cell>
          <cell r="T147" t="str">
            <v>OPT</v>
          </cell>
          <cell r="U147" t="str">
            <v>-</v>
          </cell>
          <cell r="V147" t="str">
            <v>L</v>
          </cell>
          <cell r="W147">
            <v>41</v>
          </cell>
        </row>
        <row r="148">
          <cell r="A148">
            <v>5713</v>
          </cell>
          <cell r="B148" t="str">
            <v>005713</v>
          </cell>
          <cell r="C148" t="str">
            <v>MASUDAH</v>
          </cell>
          <cell r="D148" t="str">
            <v>SAMI</v>
          </cell>
          <cell r="E148" t="str">
            <v>OPT-134</v>
          </cell>
          <cell r="F148">
            <v>39098</v>
          </cell>
          <cell r="G148" t="str">
            <v>-</v>
          </cell>
          <cell r="H148" t="str">
            <v>-</v>
          </cell>
          <cell r="I148" t="str">
            <v>PRD</v>
          </cell>
          <cell r="J148" t="str">
            <v>PRE ASSY</v>
          </cell>
          <cell r="K148" t="str">
            <v>HONDA FIT</v>
          </cell>
          <cell r="L148" t="str">
            <v>HONDA FIT</v>
          </cell>
          <cell r="M148" t="str">
            <v>CPA HONDA FIT HEV/PET</v>
          </cell>
          <cell r="N148" t="str">
            <v>BFT-3</v>
          </cell>
          <cell r="O148" t="str">
            <v>WFAP 2.2</v>
          </cell>
          <cell r="P148" t="str">
            <v>A</v>
          </cell>
          <cell r="Q148" t="str">
            <v>DL</v>
          </cell>
          <cell r="R148" t="str">
            <v>PERMANENT</v>
          </cell>
          <cell r="S148" t="str">
            <v>PRM</v>
          </cell>
          <cell r="T148" t="str">
            <v>OPT</v>
          </cell>
          <cell r="U148" t="str">
            <v>-</v>
          </cell>
          <cell r="V148" t="str">
            <v>P</v>
          </cell>
          <cell r="W148">
            <v>37</v>
          </cell>
        </row>
        <row r="149">
          <cell r="A149">
            <v>5888</v>
          </cell>
          <cell r="B149" t="str">
            <v>005888</v>
          </cell>
          <cell r="C149" t="str">
            <v>DEWI MAYASARI</v>
          </cell>
          <cell r="D149" t="str">
            <v>SAMI</v>
          </cell>
          <cell r="E149" t="str">
            <v>OPT-137</v>
          </cell>
          <cell r="F149">
            <v>39129</v>
          </cell>
          <cell r="G149" t="str">
            <v>-</v>
          </cell>
          <cell r="H149" t="str">
            <v>-</v>
          </cell>
          <cell r="I149" t="str">
            <v>PRD</v>
          </cell>
          <cell r="J149" t="str">
            <v>PRE ASSY</v>
          </cell>
          <cell r="K149" t="str">
            <v>HONDA FIT</v>
          </cell>
          <cell r="L149" t="str">
            <v>HONDA FIT</v>
          </cell>
          <cell r="M149" t="str">
            <v>CPA HONDA FIT HEV/PET</v>
          </cell>
          <cell r="N149" t="str">
            <v>INSP DOUBLE CHECK</v>
          </cell>
          <cell r="O149" t="str">
            <v>P/A INSPECTOR</v>
          </cell>
          <cell r="P149" t="str">
            <v>A</v>
          </cell>
          <cell r="Q149" t="str">
            <v>PI</v>
          </cell>
          <cell r="R149" t="str">
            <v>PERMANENT</v>
          </cell>
          <cell r="S149" t="str">
            <v>PRM</v>
          </cell>
          <cell r="T149" t="str">
            <v>OPT</v>
          </cell>
          <cell r="U149" t="str">
            <v>-</v>
          </cell>
          <cell r="V149" t="str">
            <v>P</v>
          </cell>
          <cell r="W149">
            <v>39</v>
          </cell>
        </row>
        <row r="150">
          <cell r="A150">
            <v>788</v>
          </cell>
          <cell r="B150" t="str">
            <v>000788</v>
          </cell>
          <cell r="C150" t="str">
            <v>SUPRIONO</v>
          </cell>
          <cell r="D150" t="str">
            <v>SAMI</v>
          </cell>
          <cell r="E150" t="str">
            <v>TKN-3</v>
          </cell>
          <cell r="F150">
            <v>37830</v>
          </cell>
          <cell r="G150" t="str">
            <v>-</v>
          </cell>
          <cell r="H150" t="str">
            <v>-</v>
          </cell>
          <cell r="I150" t="str">
            <v>PE</v>
          </cell>
          <cell r="J150" t="str">
            <v>MTC</v>
          </cell>
          <cell r="K150" t="str">
            <v>ALL</v>
          </cell>
          <cell r="L150" t="str">
            <v>ALL</v>
          </cell>
          <cell r="M150" t="str">
            <v>BREAKDOWN</v>
          </cell>
          <cell r="N150" t="str">
            <v>LEADER MTC BREAKDOWN</v>
          </cell>
          <cell r="O150" t="str">
            <v>FPI LL</v>
          </cell>
          <cell r="P150" t="str">
            <v>B</v>
          </cell>
          <cell r="Q150" t="str">
            <v>PI</v>
          </cell>
          <cell r="R150" t="str">
            <v>PERMANENT</v>
          </cell>
          <cell r="S150" t="str">
            <v>PRM</v>
          </cell>
          <cell r="T150" t="str">
            <v>LL</v>
          </cell>
          <cell r="U150" t="str">
            <v>-</v>
          </cell>
          <cell r="V150" t="str">
            <v>L</v>
          </cell>
          <cell r="W150">
            <v>45</v>
          </cell>
        </row>
        <row r="151">
          <cell r="A151">
            <v>790</v>
          </cell>
          <cell r="B151" t="str">
            <v>000790</v>
          </cell>
          <cell r="C151" t="str">
            <v>HENDAR NOVIYANTO</v>
          </cell>
          <cell r="D151" t="str">
            <v>SAMI</v>
          </cell>
          <cell r="E151" t="str">
            <v>TKN-3</v>
          </cell>
          <cell r="F151">
            <v>37830</v>
          </cell>
          <cell r="G151" t="str">
            <v>-</v>
          </cell>
          <cell r="H151" t="str">
            <v>-</v>
          </cell>
          <cell r="I151" t="str">
            <v>PE</v>
          </cell>
          <cell r="J151" t="str">
            <v>MTC</v>
          </cell>
          <cell r="K151" t="str">
            <v>ALL</v>
          </cell>
          <cell r="L151" t="str">
            <v>ALL</v>
          </cell>
          <cell r="M151" t="str">
            <v>MODIF</v>
          </cell>
          <cell r="N151" t="str">
            <v>PREPARATION, OVER HOUL, IMPROVEMENT</v>
          </cell>
          <cell r="O151" t="str">
            <v>MTC</v>
          </cell>
          <cell r="P151" t="str">
            <v>A (NS)</v>
          </cell>
          <cell r="Q151" t="str">
            <v>PS</v>
          </cell>
          <cell r="R151" t="str">
            <v>PERMANENT</v>
          </cell>
          <cell r="S151" t="str">
            <v>PRM</v>
          </cell>
          <cell r="T151" t="str">
            <v>TKN</v>
          </cell>
          <cell r="U151" t="str">
            <v>-</v>
          </cell>
          <cell r="V151" t="str">
            <v>L</v>
          </cell>
          <cell r="W151">
            <v>45</v>
          </cell>
        </row>
        <row r="152">
          <cell r="A152">
            <v>796</v>
          </cell>
          <cell r="B152" t="str">
            <v>000796</v>
          </cell>
          <cell r="C152" t="str">
            <v>YOEN YOEDONO SOEBROTO</v>
          </cell>
          <cell r="D152" t="str">
            <v>SAMI</v>
          </cell>
          <cell r="E152" t="str">
            <v>SPV UP</v>
          </cell>
          <cell r="F152">
            <v>37837</v>
          </cell>
          <cell r="G152" t="str">
            <v>-</v>
          </cell>
          <cell r="H152" t="str">
            <v>-</v>
          </cell>
          <cell r="I152" t="str">
            <v>LOG</v>
          </cell>
          <cell r="J152" t="str">
            <v>MANAGEMENT</v>
          </cell>
          <cell r="K152" t="str">
            <v>ALL</v>
          </cell>
          <cell r="L152" t="str">
            <v>ALL</v>
          </cell>
          <cell r="M152" t="str">
            <v>MANAGEMENT</v>
          </cell>
          <cell r="N152" t="str">
            <v>MANAGER LOG</v>
          </cell>
          <cell r="O152" t="str">
            <v>MGR FPS</v>
          </cell>
          <cell r="P152" t="str">
            <v>A (NS)</v>
          </cell>
          <cell r="Q152" t="str">
            <v>PS</v>
          </cell>
          <cell r="R152" t="str">
            <v>PERMANENT</v>
          </cell>
          <cell r="S152" t="str">
            <v>PRM</v>
          </cell>
          <cell r="T152" t="str">
            <v>MGR</v>
          </cell>
          <cell r="U152" t="str">
            <v>-</v>
          </cell>
          <cell r="V152" t="str">
            <v>L</v>
          </cell>
          <cell r="W152">
            <v>50</v>
          </cell>
        </row>
        <row r="153">
          <cell r="A153">
            <v>802</v>
          </cell>
          <cell r="B153" t="str">
            <v>000802</v>
          </cell>
          <cell r="C153" t="str">
            <v>MASRIAH</v>
          </cell>
          <cell r="D153" t="str">
            <v>SAMI</v>
          </cell>
          <cell r="E153" t="str">
            <v>OPT-21</v>
          </cell>
          <cell r="F153">
            <v>37837</v>
          </cell>
          <cell r="G153" t="str">
            <v>-</v>
          </cell>
          <cell r="H153" t="str">
            <v>-</v>
          </cell>
          <cell r="I153" t="str">
            <v>OTHERS</v>
          </cell>
          <cell r="J153" t="str">
            <v>TRN @ OVERSEAS</v>
          </cell>
          <cell r="K153" t="str">
            <v>ALL</v>
          </cell>
          <cell r="L153" t="str">
            <v>ALL</v>
          </cell>
          <cell r="M153" t="str">
            <v>TRN @ OVERSEAS - TCS 9</v>
          </cell>
          <cell r="N153" t="str">
            <v>TRN @ OVERSEAS</v>
          </cell>
          <cell r="O153" t="str">
            <v>OTHERS IDL</v>
          </cell>
          <cell r="P153" t="str">
            <v>A (NS)</v>
          </cell>
          <cell r="Q153" t="str">
            <v>ADM</v>
          </cell>
          <cell r="R153" t="str">
            <v>PERMANENT</v>
          </cell>
          <cell r="S153" t="str">
            <v>PRM</v>
          </cell>
          <cell r="T153" t="str">
            <v>OPT</v>
          </cell>
          <cell r="U153" t="str">
            <v>-</v>
          </cell>
          <cell r="V153" t="str">
            <v>P</v>
          </cell>
          <cell r="W153">
            <v>42</v>
          </cell>
        </row>
        <row r="154">
          <cell r="A154">
            <v>6139</v>
          </cell>
          <cell r="B154" t="str">
            <v>006139</v>
          </cell>
          <cell r="C154" t="str">
            <v>HENI TRI HAYATI</v>
          </cell>
          <cell r="D154" t="str">
            <v>SAMI</v>
          </cell>
          <cell r="E154" t="str">
            <v>OPT-140</v>
          </cell>
          <cell r="F154">
            <v>39157</v>
          </cell>
          <cell r="G154" t="str">
            <v>-</v>
          </cell>
          <cell r="H154" t="str">
            <v>-</v>
          </cell>
          <cell r="I154" t="str">
            <v>PRD</v>
          </cell>
          <cell r="J154" t="str">
            <v>PRE ASSY</v>
          </cell>
          <cell r="K154" t="str">
            <v>HONDA FIT</v>
          </cell>
          <cell r="L154" t="str">
            <v>HONDA FIT</v>
          </cell>
          <cell r="M154" t="str">
            <v>CPA HONDA FIT HEV/PET</v>
          </cell>
          <cell r="N154" t="str">
            <v>BFT-1</v>
          </cell>
          <cell r="O154" t="str">
            <v>WFAP 2.2</v>
          </cell>
          <cell r="P154" t="str">
            <v>A</v>
          </cell>
          <cell r="Q154" t="str">
            <v>DL</v>
          </cell>
          <cell r="R154" t="str">
            <v>PERMANENT</v>
          </cell>
          <cell r="S154" t="str">
            <v>PRM</v>
          </cell>
          <cell r="T154" t="str">
            <v>OPT</v>
          </cell>
          <cell r="U154" t="str">
            <v>-</v>
          </cell>
          <cell r="V154" t="str">
            <v>P</v>
          </cell>
          <cell r="W154">
            <v>40</v>
          </cell>
        </row>
        <row r="155">
          <cell r="A155">
            <v>8841</v>
          </cell>
          <cell r="B155" t="str">
            <v>008841</v>
          </cell>
          <cell r="C155" t="str">
            <v>MUSHTAFIDAH</v>
          </cell>
          <cell r="D155" t="str">
            <v>SAMI</v>
          </cell>
          <cell r="E155" t="str">
            <v>OPT-195</v>
          </cell>
          <cell r="F155">
            <v>39937</v>
          </cell>
          <cell r="G155" t="str">
            <v>-</v>
          </cell>
          <cell r="H155" t="str">
            <v>-</v>
          </cell>
          <cell r="I155" t="str">
            <v>PRD</v>
          </cell>
          <cell r="J155" t="str">
            <v>PRE ASSY</v>
          </cell>
          <cell r="K155" t="str">
            <v>HONDA FIT</v>
          </cell>
          <cell r="L155" t="str">
            <v>HONDA FIT</v>
          </cell>
          <cell r="M155" t="str">
            <v>CPA HONDA FIT HEV/PET</v>
          </cell>
          <cell r="N155" t="str">
            <v>CUTTING AC90-HDA-07, 21</v>
          </cell>
          <cell r="O155" t="str">
            <v>CUTTING WIRE</v>
          </cell>
          <cell r="P155" t="str">
            <v>A</v>
          </cell>
          <cell r="Q155" t="str">
            <v>DL</v>
          </cell>
          <cell r="R155" t="str">
            <v>PERMANENT</v>
          </cell>
          <cell r="S155" t="str">
            <v>PRM</v>
          </cell>
          <cell r="T155" t="str">
            <v>OPT</v>
          </cell>
          <cell r="U155" t="str">
            <v>-</v>
          </cell>
          <cell r="V155" t="str">
            <v>P</v>
          </cell>
          <cell r="W155">
            <v>34</v>
          </cell>
        </row>
        <row r="156">
          <cell r="A156">
            <v>815</v>
          </cell>
          <cell r="B156" t="str">
            <v>000815</v>
          </cell>
          <cell r="C156" t="str">
            <v>SRI HASNANI</v>
          </cell>
          <cell r="D156" t="str">
            <v>SAMI</v>
          </cell>
          <cell r="E156" t="str">
            <v>OPT-21</v>
          </cell>
          <cell r="F156">
            <v>37837</v>
          </cell>
          <cell r="G156" t="str">
            <v>-</v>
          </cell>
          <cell r="H156" t="str">
            <v>-</v>
          </cell>
          <cell r="I156" t="str">
            <v>PP</v>
          </cell>
          <cell r="J156" t="str">
            <v>PP-1</v>
          </cell>
          <cell r="K156" t="str">
            <v>ALL</v>
          </cell>
          <cell r="L156" t="str">
            <v>ALL</v>
          </cell>
          <cell r="M156" t="str">
            <v>PP-1</v>
          </cell>
          <cell r="N156" t="str">
            <v>ANALISYS</v>
          </cell>
          <cell r="O156" t="str">
            <v>PROCESS ENG</v>
          </cell>
          <cell r="P156" t="str">
            <v>A (NS)</v>
          </cell>
          <cell r="Q156" t="str">
            <v>PS</v>
          </cell>
          <cell r="R156" t="str">
            <v>PERMANENT</v>
          </cell>
          <cell r="S156" t="str">
            <v>PRM</v>
          </cell>
          <cell r="T156" t="str">
            <v>OPT</v>
          </cell>
          <cell r="U156" t="str">
            <v>-</v>
          </cell>
          <cell r="V156" t="str">
            <v>P</v>
          </cell>
          <cell r="W156">
            <v>41</v>
          </cell>
        </row>
        <row r="157">
          <cell r="A157">
            <v>818</v>
          </cell>
          <cell r="B157" t="str">
            <v>000818</v>
          </cell>
          <cell r="C157" t="str">
            <v>AKHADIYATI TRI HANDAYANI</v>
          </cell>
          <cell r="D157" t="str">
            <v>SAMI</v>
          </cell>
          <cell r="E157" t="str">
            <v>OPT-21</v>
          </cell>
          <cell r="F157">
            <v>37837</v>
          </cell>
          <cell r="G157" t="str">
            <v>-</v>
          </cell>
          <cell r="H157" t="str">
            <v>-</v>
          </cell>
          <cell r="I157" t="str">
            <v>PRD</v>
          </cell>
          <cell r="J157" t="str">
            <v>FINAL ASSY</v>
          </cell>
          <cell r="K157" t="str">
            <v>TOYOTA</v>
          </cell>
          <cell r="L157" t="str">
            <v>AQUA SIENTA</v>
          </cell>
          <cell r="M157" t="str">
            <v>CV T01</v>
          </cell>
          <cell r="N157" t="str">
            <v>OJT S/A 5.1</v>
          </cell>
          <cell r="O157" t="str">
            <v>OTHERS</v>
          </cell>
          <cell r="P157" t="str">
            <v>B</v>
          </cell>
          <cell r="Q157" t="str">
            <v>PI</v>
          </cell>
          <cell r="R157" t="str">
            <v>PERMANENT</v>
          </cell>
          <cell r="S157" t="str">
            <v>PRM</v>
          </cell>
          <cell r="T157" t="str">
            <v>OPT</v>
          </cell>
          <cell r="U157" t="str">
            <v>-</v>
          </cell>
          <cell r="V157" t="str">
            <v>P</v>
          </cell>
          <cell r="W157">
            <v>39</v>
          </cell>
        </row>
        <row r="158">
          <cell r="A158">
            <v>871</v>
          </cell>
          <cell r="B158" t="str">
            <v>000871</v>
          </cell>
          <cell r="C158" t="str">
            <v>KHOLILAH</v>
          </cell>
          <cell r="D158" t="str">
            <v>SAMI</v>
          </cell>
          <cell r="E158" t="str">
            <v>OPT-22</v>
          </cell>
          <cell r="F158">
            <v>37852</v>
          </cell>
          <cell r="G158" t="str">
            <v>-</v>
          </cell>
          <cell r="H158" t="str">
            <v>-</v>
          </cell>
          <cell r="I158" t="str">
            <v>QA</v>
          </cell>
          <cell r="J158" t="str">
            <v>FINAL ASSY</v>
          </cell>
          <cell r="K158" t="str">
            <v>ALL</v>
          </cell>
          <cell r="L158" t="str">
            <v>ALL</v>
          </cell>
          <cell r="M158" t="str">
            <v>PROTOTYPE</v>
          </cell>
          <cell r="N158" t="str">
            <v>GL INSPECTION</v>
          </cell>
          <cell r="O158" t="str">
            <v>GL</v>
          </cell>
          <cell r="P158" t="str">
            <v>A (NS)</v>
          </cell>
          <cell r="Q158" t="str">
            <v>PI</v>
          </cell>
          <cell r="R158" t="str">
            <v>PERMANENT</v>
          </cell>
          <cell r="S158" t="str">
            <v>PRM</v>
          </cell>
          <cell r="T158" t="str">
            <v>GL</v>
          </cell>
          <cell r="U158" t="str">
            <v>-</v>
          </cell>
          <cell r="V158" t="str">
            <v>P</v>
          </cell>
          <cell r="W158">
            <v>42</v>
          </cell>
        </row>
        <row r="159">
          <cell r="A159">
            <v>11089</v>
          </cell>
          <cell r="B159" t="str">
            <v>011089</v>
          </cell>
          <cell r="C159" t="str">
            <v>SUMIYATI</v>
          </cell>
          <cell r="D159" t="str">
            <v>SAMI</v>
          </cell>
          <cell r="E159" t="str">
            <v>OPT-289</v>
          </cell>
          <cell r="F159">
            <v>40595</v>
          </cell>
          <cell r="G159" t="str">
            <v>-</v>
          </cell>
          <cell r="H159" t="str">
            <v>-</v>
          </cell>
          <cell r="I159" t="str">
            <v>PRD</v>
          </cell>
          <cell r="J159" t="str">
            <v>PRE ASSY</v>
          </cell>
          <cell r="K159" t="str">
            <v>HONDA FIT</v>
          </cell>
          <cell r="L159" t="str">
            <v>HONDA FIT</v>
          </cell>
          <cell r="M159" t="str">
            <v>CPA HONDA FIT HEV/PET</v>
          </cell>
          <cell r="N159" t="str">
            <v>INSP PRE ASSY</v>
          </cell>
          <cell r="O159" t="str">
            <v>P/A INSPECTOR</v>
          </cell>
          <cell r="P159" t="str">
            <v>A</v>
          </cell>
          <cell r="Q159" t="str">
            <v>PI</v>
          </cell>
          <cell r="R159" t="str">
            <v>PERMANENT</v>
          </cell>
          <cell r="S159" t="str">
            <v>PRM</v>
          </cell>
          <cell r="T159" t="str">
            <v>OPT</v>
          </cell>
          <cell r="U159" t="str">
            <v>-</v>
          </cell>
          <cell r="V159" t="str">
            <v>P</v>
          </cell>
          <cell r="W159">
            <v>34</v>
          </cell>
        </row>
        <row r="160">
          <cell r="A160">
            <v>890</v>
          </cell>
          <cell r="B160" t="str">
            <v>000890</v>
          </cell>
          <cell r="C160" t="str">
            <v>SITI ROKHIMAH</v>
          </cell>
          <cell r="D160" t="str">
            <v>SAMI</v>
          </cell>
          <cell r="E160" t="str">
            <v>OPT-23</v>
          </cell>
          <cell r="F160">
            <v>37858</v>
          </cell>
          <cell r="G160" t="str">
            <v>-</v>
          </cell>
          <cell r="H160" t="str">
            <v>-</v>
          </cell>
          <cell r="I160" t="str">
            <v>PRD</v>
          </cell>
          <cell r="J160" t="str">
            <v>FINAL ASSY</v>
          </cell>
          <cell r="K160" t="str">
            <v>HONDA FIT</v>
          </cell>
          <cell r="L160" t="str">
            <v>HONDA FIT HEV PET ENGINE</v>
          </cell>
          <cell r="M160" t="str">
            <v>CV H02</v>
          </cell>
          <cell r="N160" t="str">
            <v>VISUAL 1.1</v>
          </cell>
          <cell r="O160" t="str">
            <v>VISUAL INSPECTION</v>
          </cell>
          <cell r="P160" t="str">
            <v>B</v>
          </cell>
          <cell r="Q160" t="str">
            <v>DL</v>
          </cell>
          <cell r="R160" t="str">
            <v>PERMANENT</v>
          </cell>
          <cell r="S160" t="str">
            <v>PRM</v>
          </cell>
          <cell r="T160" t="str">
            <v>OPT</v>
          </cell>
          <cell r="U160" t="str">
            <v>-</v>
          </cell>
          <cell r="V160" t="str">
            <v>P</v>
          </cell>
          <cell r="W160">
            <v>40</v>
          </cell>
        </row>
        <row r="161">
          <cell r="A161">
            <v>11586</v>
          </cell>
          <cell r="B161" t="str">
            <v>011586</v>
          </cell>
          <cell r="C161" t="str">
            <v>NUR KHOLIFAH</v>
          </cell>
          <cell r="D161" t="str">
            <v>SAMI</v>
          </cell>
          <cell r="E161" t="str">
            <v>OPT-307</v>
          </cell>
          <cell r="F161">
            <v>40707</v>
          </cell>
          <cell r="G161" t="str">
            <v>-</v>
          </cell>
          <cell r="H161" t="str">
            <v>-</v>
          </cell>
          <cell r="I161" t="str">
            <v>PRD</v>
          </cell>
          <cell r="J161" t="str">
            <v>PRE ASSY</v>
          </cell>
          <cell r="K161" t="str">
            <v>HONDA FIT</v>
          </cell>
          <cell r="L161" t="str">
            <v>HONDA FIT</v>
          </cell>
          <cell r="M161" t="str">
            <v>CPA HONDA FIT HEV/PET</v>
          </cell>
          <cell r="N161" t="str">
            <v>CUTTING AC90-HDA-02, 05</v>
          </cell>
          <cell r="O161" t="str">
            <v>CUTTING WIRE</v>
          </cell>
          <cell r="P161" t="str">
            <v>A</v>
          </cell>
          <cell r="Q161" t="str">
            <v>DL</v>
          </cell>
          <cell r="R161" t="str">
            <v>PERMANENT</v>
          </cell>
          <cell r="S161" t="str">
            <v>PRM</v>
          </cell>
          <cell r="T161" t="str">
            <v>OPT</v>
          </cell>
          <cell r="U161" t="str">
            <v>-</v>
          </cell>
          <cell r="V161" t="str">
            <v>P</v>
          </cell>
          <cell r="W161">
            <v>31</v>
          </cell>
        </row>
        <row r="162">
          <cell r="A162">
            <v>900</v>
          </cell>
          <cell r="B162" t="str">
            <v>000900</v>
          </cell>
          <cell r="C162" t="str">
            <v>SRI AYU MANDANI</v>
          </cell>
          <cell r="D162" t="str">
            <v>SAMI</v>
          </cell>
          <cell r="E162" t="str">
            <v>OPT-23</v>
          </cell>
          <cell r="F162">
            <v>37858</v>
          </cell>
          <cell r="G162" t="str">
            <v>-</v>
          </cell>
          <cell r="H162" t="str">
            <v>-</v>
          </cell>
          <cell r="I162" t="str">
            <v>QA</v>
          </cell>
          <cell r="J162" t="str">
            <v>NON LINE</v>
          </cell>
          <cell r="K162" t="str">
            <v>ALL</v>
          </cell>
          <cell r="L162" t="str">
            <v>ALL</v>
          </cell>
          <cell r="M162" t="str">
            <v>QA ADM</v>
          </cell>
          <cell r="N162" t="str">
            <v>ADMINISTRATION</v>
          </cell>
          <cell r="O162" t="str">
            <v>QA ADM</v>
          </cell>
          <cell r="P162" t="str">
            <v>A (NS)</v>
          </cell>
          <cell r="Q162" t="str">
            <v>PS</v>
          </cell>
          <cell r="R162" t="str">
            <v>PERMANENT</v>
          </cell>
          <cell r="S162" t="str">
            <v>PRM</v>
          </cell>
          <cell r="T162" t="str">
            <v>OPT</v>
          </cell>
          <cell r="U162" t="str">
            <v>-</v>
          </cell>
          <cell r="V162" t="str">
            <v>P</v>
          </cell>
          <cell r="W162">
            <v>39</v>
          </cell>
        </row>
        <row r="163">
          <cell r="A163">
            <v>901</v>
          </cell>
          <cell r="B163" t="str">
            <v>000901</v>
          </cell>
          <cell r="C163" t="str">
            <v>SRI WAHYUNI</v>
          </cell>
          <cell r="D163" t="str">
            <v>SAMI</v>
          </cell>
          <cell r="E163" t="str">
            <v>OPT-23</v>
          </cell>
          <cell r="F163">
            <v>37858</v>
          </cell>
          <cell r="G163" t="str">
            <v>-</v>
          </cell>
          <cell r="H163" t="str">
            <v>-</v>
          </cell>
          <cell r="I163" t="str">
            <v>PRD</v>
          </cell>
          <cell r="J163" t="str">
            <v>PRE ASSY</v>
          </cell>
          <cell r="K163" t="str">
            <v>HONDA NES</v>
          </cell>
          <cell r="L163" t="str">
            <v>HONDA NES</v>
          </cell>
          <cell r="M163" t="str">
            <v>CPA HONDA NES HEV/PET</v>
          </cell>
          <cell r="N163" t="str">
            <v>BFT</v>
          </cell>
          <cell r="O163" t="str">
            <v>WFAP 2.2</v>
          </cell>
          <cell r="P163" t="str">
            <v>B</v>
          </cell>
          <cell r="Q163" t="str">
            <v>DL</v>
          </cell>
          <cell r="R163" t="str">
            <v>PERMANENT</v>
          </cell>
          <cell r="S163" t="str">
            <v>PRM</v>
          </cell>
          <cell r="T163" t="str">
            <v>OPT</v>
          </cell>
          <cell r="U163" t="str">
            <v>-</v>
          </cell>
          <cell r="V163" t="str">
            <v>P</v>
          </cell>
          <cell r="W163">
            <v>42</v>
          </cell>
        </row>
        <row r="164">
          <cell r="A164">
            <v>903</v>
          </cell>
          <cell r="B164" t="str">
            <v>000903</v>
          </cell>
          <cell r="C164" t="str">
            <v>SULASMI</v>
          </cell>
          <cell r="D164" t="str">
            <v>SAMI</v>
          </cell>
          <cell r="E164" t="str">
            <v>OPT-23</v>
          </cell>
          <cell r="F164">
            <v>37858</v>
          </cell>
          <cell r="G164" t="str">
            <v>-</v>
          </cell>
          <cell r="H164" t="str">
            <v>-</v>
          </cell>
          <cell r="I164" t="str">
            <v>PRD</v>
          </cell>
          <cell r="J164" t="str">
            <v>FINAL ASSY</v>
          </cell>
          <cell r="K164" t="str">
            <v>MAZDA ATENZA</v>
          </cell>
          <cell r="L164" t="str">
            <v>MAZDA J72A</v>
          </cell>
          <cell r="M164" t="str">
            <v>CV M03</v>
          </cell>
          <cell r="N164" t="str">
            <v>S/A 3.1</v>
          </cell>
          <cell r="O164" t="str">
            <v>SUB ASSY</v>
          </cell>
          <cell r="P164" t="str">
            <v>B</v>
          </cell>
          <cell r="Q164" t="str">
            <v>DL</v>
          </cell>
          <cell r="R164" t="str">
            <v>PERMANENT</v>
          </cell>
          <cell r="S164" t="str">
            <v>PRM</v>
          </cell>
          <cell r="T164" t="str">
            <v>OPT</v>
          </cell>
          <cell r="U164" t="str">
            <v>-</v>
          </cell>
          <cell r="V164" t="str">
            <v>P</v>
          </cell>
          <cell r="W164">
            <v>42</v>
          </cell>
        </row>
        <row r="165">
          <cell r="A165">
            <v>916</v>
          </cell>
          <cell r="B165" t="str">
            <v>000916</v>
          </cell>
          <cell r="C165" t="str">
            <v>WINASIH</v>
          </cell>
          <cell r="D165" t="str">
            <v>SAMI</v>
          </cell>
          <cell r="E165" t="str">
            <v>OPT-23</v>
          </cell>
          <cell r="F165">
            <v>37858</v>
          </cell>
          <cell r="G165" t="str">
            <v>-</v>
          </cell>
          <cell r="H165" t="str">
            <v>-</v>
          </cell>
          <cell r="I165" t="str">
            <v>QA</v>
          </cell>
          <cell r="J165" t="str">
            <v>FINAL ASSY</v>
          </cell>
          <cell r="K165" t="str">
            <v>SUZUKI WAGON R</v>
          </cell>
          <cell r="L165" t="str">
            <v>SUZUKI YW0</v>
          </cell>
          <cell r="M165" t="str">
            <v>CV S01</v>
          </cell>
          <cell r="N165" t="str">
            <v>GL INSPECTION</v>
          </cell>
          <cell r="O165" t="str">
            <v>GL</v>
          </cell>
          <cell r="P165" t="str">
            <v>B</v>
          </cell>
          <cell r="Q165" t="str">
            <v>PI</v>
          </cell>
          <cell r="R165" t="str">
            <v>PERMANENT</v>
          </cell>
          <cell r="S165" t="str">
            <v>PRM</v>
          </cell>
          <cell r="T165" t="str">
            <v>GL</v>
          </cell>
          <cell r="U165" t="str">
            <v>-</v>
          </cell>
          <cell r="V165" t="str">
            <v>P</v>
          </cell>
          <cell r="W165">
            <v>41</v>
          </cell>
        </row>
        <row r="166">
          <cell r="A166">
            <v>928</v>
          </cell>
          <cell r="B166" t="str">
            <v>000928</v>
          </cell>
          <cell r="C166" t="str">
            <v>SITI NUR KUMALASARI</v>
          </cell>
          <cell r="D166" t="str">
            <v>SAMI</v>
          </cell>
          <cell r="E166" t="str">
            <v>SPV UP</v>
          </cell>
          <cell r="F166">
            <v>37858</v>
          </cell>
          <cell r="G166" t="str">
            <v>-</v>
          </cell>
          <cell r="H166" t="str">
            <v>-</v>
          </cell>
          <cell r="I166" t="str">
            <v>LOG</v>
          </cell>
          <cell r="J166" t="str">
            <v>PPIC</v>
          </cell>
          <cell r="K166" t="str">
            <v>ALL</v>
          </cell>
          <cell r="L166" t="str">
            <v>ALL</v>
          </cell>
          <cell r="M166" t="str">
            <v>PPIC</v>
          </cell>
          <cell r="N166" t="str">
            <v>SUPERVISOR</v>
          </cell>
          <cell r="O166" t="str">
            <v>FPS SPV</v>
          </cell>
          <cell r="P166" t="str">
            <v>A (NS)</v>
          </cell>
          <cell r="Q166" t="str">
            <v>PS</v>
          </cell>
          <cell r="R166" t="str">
            <v>PERMANENT</v>
          </cell>
          <cell r="S166" t="str">
            <v>PRM</v>
          </cell>
          <cell r="T166" t="str">
            <v>SPV</v>
          </cell>
          <cell r="U166" t="str">
            <v>-</v>
          </cell>
          <cell r="V166" t="str">
            <v>P</v>
          </cell>
          <cell r="W166">
            <v>43</v>
          </cell>
        </row>
        <row r="167">
          <cell r="A167">
            <v>934</v>
          </cell>
          <cell r="B167" t="str">
            <v>000934</v>
          </cell>
          <cell r="C167" t="str">
            <v>UTAMI</v>
          </cell>
          <cell r="D167" t="str">
            <v>SAMI</v>
          </cell>
          <cell r="E167" t="str">
            <v>OPT-24</v>
          </cell>
          <cell r="F167">
            <v>37865</v>
          </cell>
          <cell r="G167" t="str">
            <v>-</v>
          </cell>
          <cell r="H167" t="str">
            <v>-</v>
          </cell>
          <cell r="I167" t="str">
            <v>OTHERS</v>
          </cell>
          <cell r="J167" t="str">
            <v>AT HOME</v>
          </cell>
          <cell r="K167" t="str">
            <v>ALL</v>
          </cell>
          <cell r="L167" t="str">
            <v>ALL</v>
          </cell>
          <cell r="M167" t="str">
            <v>AT HOME</v>
          </cell>
          <cell r="N167" t="str">
            <v>CUTI KELAHIRAN</v>
          </cell>
          <cell r="O167" t="str">
            <v>OTHERS IDL</v>
          </cell>
          <cell r="P167" t="str">
            <v>-</v>
          </cell>
          <cell r="Q167" t="str">
            <v>ADM</v>
          </cell>
          <cell r="R167" t="str">
            <v>PERMANENT</v>
          </cell>
          <cell r="S167" t="str">
            <v>PRM</v>
          </cell>
          <cell r="T167" t="str">
            <v>GL</v>
          </cell>
          <cell r="U167" t="str">
            <v>-</v>
          </cell>
          <cell r="V167" t="str">
            <v>P</v>
          </cell>
          <cell r="W167">
            <v>41</v>
          </cell>
        </row>
        <row r="168">
          <cell r="A168">
            <v>11965</v>
          </cell>
          <cell r="B168" t="str">
            <v>011965</v>
          </cell>
          <cell r="C168" t="str">
            <v>SRI WAHYUNI</v>
          </cell>
          <cell r="D168" t="str">
            <v>SAMI</v>
          </cell>
          <cell r="E168" t="str">
            <v>OPT-311</v>
          </cell>
          <cell r="F168">
            <v>40770</v>
          </cell>
          <cell r="G168" t="str">
            <v>-</v>
          </cell>
          <cell r="H168" t="str">
            <v>-</v>
          </cell>
          <cell r="I168" t="str">
            <v>PRD</v>
          </cell>
          <cell r="J168" t="str">
            <v>PRE ASSY</v>
          </cell>
          <cell r="K168" t="str">
            <v>HONDA FIT</v>
          </cell>
          <cell r="L168" t="str">
            <v>HONDA FIT</v>
          </cell>
          <cell r="M168" t="str">
            <v>CPA HONDA FIT HEV/PET</v>
          </cell>
          <cell r="N168" t="str">
            <v>CUTTING AC90-HDA-13</v>
          </cell>
          <cell r="O168" t="str">
            <v>CUTTING WIRE</v>
          </cell>
          <cell r="P168" t="str">
            <v>A</v>
          </cell>
          <cell r="Q168" t="str">
            <v>DL</v>
          </cell>
          <cell r="R168" t="str">
            <v>PERMANENT</v>
          </cell>
          <cell r="S168" t="str">
            <v>PRM</v>
          </cell>
          <cell r="T168" t="str">
            <v>OPT</v>
          </cell>
          <cell r="U168" t="str">
            <v>-</v>
          </cell>
          <cell r="V168" t="str">
            <v>P</v>
          </cell>
          <cell r="W168">
            <v>31</v>
          </cell>
        </row>
        <row r="169">
          <cell r="A169">
            <v>939</v>
          </cell>
          <cell r="B169" t="str">
            <v>000939</v>
          </cell>
          <cell r="C169" t="str">
            <v>FARIDA HIKMAWATI</v>
          </cell>
          <cell r="D169" t="str">
            <v>SAMI</v>
          </cell>
          <cell r="E169" t="str">
            <v>OPT-24</v>
          </cell>
          <cell r="F169">
            <v>37865</v>
          </cell>
          <cell r="G169" t="str">
            <v>-</v>
          </cell>
          <cell r="H169" t="str">
            <v>-</v>
          </cell>
          <cell r="I169" t="str">
            <v>PRD</v>
          </cell>
          <cell r="J169" t="str">
            <v>PRE ASSY</v>
          </cell>
          <cell r="K169" t="str">
            <v>SUZUKI WAGON R/HUSTLER</v>
          </cell>
          <cell r="L169" t="str">
            <v>SUZUKI YW0/Y0C/YEV</v>
          </cell>
          <cell r="M169" t="str">
            <v>CPA SUZUKI</v>
          </cell>
          <cell r="N169" t="str">
            <v>CUTTING AC90-SZK-03</v>
          </cell>
          <cell r="O169" t="str">
            <v>CUTTING WIRE</v>
          </cell>
          <cell r="P169" t="str">
            <v>B</v>
          </cell>
          <cell r="Q169" t="str">
            <v>DL</v>
          </cell>
          <cell r="R169" t="str">
            <v>PERMANENT</v>
          </cell>
          <cell r="S169" t="str">
            <v>PRM</v>
          </cell>
          <cell r="T169" t="str">
            <v>OPT</v>
          </cell>
          <cell r="U169" t="str">
            <v>-</v>
          </cell>
          <cell r="V169" t="str">
            <v>P</v>
          </cell>
          <cell r="W169">
            <v>39</v>
          </cell>
        </row>
        <row r="170">
          <cell r="A170">
            <v>951</v>
          </cell>
          <cell r="B170" t="str">
            <v>000951</v>
          </cell>
          <cell r="C170" t="str">
            <v>MUNTAPIAH</v>
          </cell>
          <cell r="D170" t="str">
            <v>SAMI</v>
          </cell>
          <cell r="E170" t="str">
            <v>OPT-24</v>
          </cell>
          <cell r="F170">
            <v>37865</v>
          </cell>
          <cell r="G170" t="str">
            <v>-</v>
          </cell>
          <cell r="H170" t="str">
            <v>-</v>
          </cell>
          <cell r="I170" t="str">
            <v>PRD</v>
          </cell>
          <cell r="J170" t="str">
            <v>PRE ASSY</v>
          </cell>
          <cell r="K170" t="str">
            <v>HONDA NES</v>
          </cell>
          <cell r="L170" t="str">
            <v>HONDA NES</v>
          </cell>
          <cell r="M170" t="str">
            <v>CPA HONDA NES HEV/PET</v>
          </cell>
          <cell r="N170" t="str">
            <v>SUB LINE CHO</v>
          </cell>
          <cell r="O170" t="str">
            <v>GL</v>
          </cell>
          <cell r="P170" t="str">
            <v>B</v>
          </cell>
          <cell r="Q170" t="str">
            <v>PI</v>
          </cell>
          <cell r="R170" t="str">
            <v>PERMANENT</v>
          </cell>
          <cell r="S170" t="str">
            <v>PRM</v>
          </cell>
          <cell r="T170" t="str">
            <v>SLC</v>
          </cell>
          <cell r="U170" t="str">
            <v>-</v>
          </cell>
          <cell r="V170" t="str">
            <v>P</v>
          </cell>
          <cell r="W170">
            <v>40</v>
          </cell>
        </row>
        <row r="171">
          <cell r="A171">
            <v>957</v>
          </cell>
          <cell r="B171" t="str">
            <v>000957</v>
          </cell>
          <cell r="C171" t="str">
            <v>SRIYATI</v>
          </cell>
          <cell r="D171" t="str">
            <v>SAMI</v>
          </cell>
          <cell r="E171" t="str">
            <v>OPT-24</v>
          </cell>
          <cell r="F171">
            <v>37865</v>
          </cell>
          <cell r="G171" t="str">
            <v>-</v>
          </cell>
          <cell r="H171" t="str">
            <v>-</v>
          </cell>
          <cell r="I171" t="str">
            <v>PP</v>
          </cell>
          <cell r="J171" t="str">
            <v>PD 2</v>
          </cell>
          <cell r="K171" t="str">
            <v>ALL</v>
          </cell>
          <cell r="L171" t="str">
            <v>ALL</v>
          </cell>
          <cell r="M171" t="str">
            <v>PD 2</v>
          </cell>
          <cell r="N171" t="str">
            <v>LEADER DYNA</v>
          </cell>
          <cell r="O171" t="str">
            <v>FPS LL</v>
          </cell>
          <cell r="P171" t="str">
            <v>A (NS)</v>
          </cell>
          <cell r="Q171" t="str">
            <v>PS</v>
          </cell>
          <cell r="R171" t="str">
            <v>PERMANENT</v>
          </cell>
          <cell r="S171" t="str">
            <v>PRM</v>
          </cell>
          <cell r="T171" t="str">
            <v>LL</v>
          </cell>
          <cell r="U171" t="str">
            <v>-</v>
          </cell>
          <cell r="V171" t="str">
            <v>P</v>
          </cell>
          <cell r="W171">
            <v>39</v>
          </cell>
        </row>
        <row r="172">
          <cell r="A172">
            <v>969</v>
          </cell>
          <cell r="B172" t="str">
            <v>000969</v>
          </cell>
          <cell r="C172" t="str">
            <v>SEVI DIAH MAYASARI</v>
          </cell>
          <cell r="D172" t="str">
            <v>SAMI</v>
          </cell>
          <cell r="E172" t="str">
            <v>OPT-25</v>
          </cell>
          <cell r="F172">
            <v>37872</v>
          </cell>
          <cell r="G172" t="str">
            <v>-</v>
          </cell>
          <cell r="H172" t="str">
            <v>-</v>
          </cell>
          <cell r="I172" t="str">
            <v>PRD</v>
          </cell>
          <cell r="J172" t="str">
            <v>PRE ASSY</v>
          </cell>
          <cell r="K172" t="str">
            <v>TOYOTA</v>
          </cell>
          <cell r="L172" t="str">
            <v>HV TOYOTA LV</v>
          </cell>
          <cell r="M172" t="str">
            <v>CPA TOYOTA LV</v>
          </cell>
          <cell r="N172" t="str">
            <v>OJT CUTTING AC90-STA-05</v>
          </cell>
          <cell r="O172" t="str">
            <v>OTHERS</v>
          </cell>
          <cell r="P172" t="str">
            <v>B</v>
          </cell>
          <cell r="Q172" t="str">
            <v>PI</v>
          </cell>
          <cell r="R172" t="str">
            <v>PERMANENT</v>
          </cell>
          <cell r="S172" t="str">
            <v>PRM</v>
          </cell>
          <cell r="T172" t="str">
            <v>OPT</v>
          </cell>
          <cell r="U172" t="str">
            <v>-</v>
          </cell>
          <cell r="V172" t="str">
            <v>P</v>
          </cell>
          <cell r="W172">
            <v>39</v>
          </cell>
        </row>
        <row r="173">
          <cell r="A173">
            <v>974</v>
          </cell>
          <cell r="B173" t="str">
            <v>000974</v>
          </cell>
          <cell r="C173" t="str">
            <v>ENDANG MARGIYATI</v>
          </cell>
          <cell r="D173" t="str">
            <v>SAMI</v>
          </cell>
          <cell r="E173" t="str">
            <v>OPT-25</v>
          </cell>
          <cell r="F173">
            <v>37872</v>
          </cell>
          <cell r="G173" t="str">
            <v>-</v>
          </cell>
          <cell r="H173" t="str">
            <v>-</v>
          </cell>
          <cell r="I173" t="str">
            <v>PP</v>
          </cell>
          <cell r="J173" t="str">
            <v>PP-2</v>
          </cell>
          <cell r="K173" t="str">
            <v>ALL</v>
          </cell>
          <cell r="L173" t="str">
            <v>ALL</v>
          </cell>
          <cell r="M173" t="str">
            <v>PP-2</v>
          </cell>
          <cell r="N173" t="str">
            <v>GROUP LEADER</v>
          </cell>
          <cell r="O173" t="str">
            <v>PROCESS ENG</v>
          </cell>
          <cell r="P173" t="str">
            <v>A (NS)</v>
          </cell>
          <cell r="Q173" t="str">
            <v>PS</v>
          </cell>
          <cell r="R173" t="str">
            <v>PERMANENT</v>
          </cell>
          <cell r="S173" t="str">
            <v>PRM</v>
          </cell>
          <cell r="T173" t="str">
            <v>GL</v>
          </cell>
          <cell r="U173" t="str">
            <v>-</v>
          </cell>
          <cell r="V173" t="str">
            <v>P</v>
          </cell>
          <cell r="W173">
            <v>40</v>
          </cell>
        </row>
        <row r="174">
          <cell r="A174">
            <v>976</v>
          </cell>
          <cell r="B174" t="str">
            <v>000976</v>
          </cell>
          <cell r="C174" t="str">
            <v>MUGI RAHAYU</v>
          </cell>
          <cell r="D174" t="str">
            <v>SAMI</v>
          </cell>
          <cell r="E174" t="str">
            <v>OPT-25</v>
          </cell>
          <cell r="F174">
            <v>37872</v>
          </cell>
          <cell r="G174" t="str">
            <v>-</v>
          </cell>
          <cell r="H174" t="str">
            <v>-</v>
          </cell>
          <cell r="I174" t="str">
            <v>PRD</v>
          </cell>
          <cell r="J174" t="str">
            <v>NON LINE</v>
          </cell>
          <cell r="K174" t="str">
            <v>ALL</v>
          </cell>
          <cell r="L174" t="str">
            <v>ALL</v>
          </cell>
          <cell r="M174" t="str">
            <v>PRODUCTION NAME PLATE</v>
          </cell>
          <cell r="N174" t="str">
            <v>PRD LINE LEADER</v>
          </cell>
          <cell r="O174" t="str">
            <v>FPI LL</v>
          </cell>
          <cell r="P174" t="str">
            <v>B</v>
          </cell>
          <cell r="Q174" t="str">
            <v>PI</v>
          </cell>
          <cell r="R174" t="str">
            <v>PERMANENT</v>
          </cell>
          <cell r="S174" t="str">
            <v>PRM</v>
          </cell>
          <cell r="T174" t="str">
            <v>LL</v>
          </cell>
          <cell r="U174" t="str">
            <v>-</v>
          </cell>
          <cell r="V174" t="str">
            <v>P</v>
          </cell>
          <cell r="W174">
            <v>41</v>
          </cell>
        </row>
        <row r="175">
          <cell r="A175">
            <v>986</v>
          </cell>
          <cell r="B175" t="str">
            <v>000986</v>
          </cell>
          <cell r="C175" t="str">
            <v>HARTINI</v>
          </cell>
          <cell r="D175" t="str">
            <v>SAMI</v>
          </cell>
          <cell r="E175" t="str">
            <v>OPT-25</v>
          </cell>
          <cell r="F175">
            <v>37872</v>
          </cell>
          <cell r="G175" t="str">
            <v>-</v>
          </cell>
          <cell r="H175" t="str">
            <v>-</v>
          </cell>
          <cell r="I175" t="str">
            <v>PRD</v>
          </cell>
          <cell r="J175" t="str">
            <v>FINAL ASSY</v>
          </cell>
          <cell r="K175" t="str">
            <v>MAZDA ATENZA</v>
          </cell>
          <cell r="L175" t="str">
            <v>MAZDA J72A</v>
          </cell>
          <cell r="M175" t="str">
            <v>CV M03</v>
          </cell>
          <cell r="N175" t="str">
            <v>VISUAL 2.3</v>
          </cell>
          <cell r="O175" t="str">
            <v>VISUAL INSPECTION</v>
          </cell>
          <cell r="P175" t="str">
            <v>B</v>
          </cell>
          <cell r="Q175" t="str">
            <v>DL</v>
          </cell>
          <cell r="R175" t="str">
            <v>PERMANENT</v>
          </cell>
          <cell r="S175" t="str">
            <v>PRM</v>
          </cell>
          <cell r="T175" t="str">
            <v>OPT</v>
          </cell>
          <cell r="U175" t="str">
            <v>-</v>
          </cell>
          <cell r="V175" t="str">
            <v>P</v>
          </cell>
          <cell r="W175">
            <v>39</v>
          </cell>
        </row>
        <row r="176">
          <cell r="A176">
            <v>12757</v>
          </cell>
          <cell r="B176" t="str">
            <v>012757</v>
          </cell>
          <cell r="C176" t="str">
            <v>SOLEKAH</v>
          </cell>
          <cell r="D176" t="str">
            <v>SAMI</v>
          </cell>
          <cell r="E176" t="str">
            <v>OPT-320</v>
          </cell>
          <cell r="F176">
            <v>40819</v>
          </cell>
          <cell r="G176" t="str">
            <v>-</v>
          </cell>
          <cell r="H176" t="str">
            <v>-</v>
          </cell>
          <cell r="I176" t="str">
            <v>PRD</v>
          </cell>
          <cell r="J176" t="str">
            <v>PRE ASSY</v>
          </cell>
          <cell r="K176" t="str">
            <v>HONDA FIT</v>
          </cell>
          <cell r="L176" t="str">
            <v>HONDA FIT</v>
          </cell>
          <cell r="M176" t="str">
            <v>CPA HONDA FIT HEV/PET</v>
          </cell>
          <cell r="N176" t="str">
            <v>CUTTING AC90-HDA-05</v>
          </cell>
          <cell r="O176" t="str">
            <v>CUTTING WIRE</v>
          </cell>
          <cell r="P176" t="str">
            <v>A</v>
          </cell>
          <cell r="Q176" t="str">
            <v>DL</v>
          </cell>
          <cell r="R176" t="str">
            <v>PERMANENT</v>
          </cell>
          <cell r="S176" t="str">
            <v>PRM</v>
          </cell>
          <cell r="T176" t="str">
            <v>OPT</v>
          </cell>
          <cell r="U176" t="str">
            <v>-</v>
          </cell>
          <cell r="V176" t="str">
            <v>P</v>
          </cell>
          <cell r="W176">
            <v>32</v>
          </cell>
        </row>
        <row r="177">
          <cell r="A177">
            <v>999</v>
          </cell>
          <cell r="B177" t="str">
            <v>000999</v>
          </cell>
          <cell r="C177" t="str">
            <v>SAPARLINA RATNAWATI</v>
          </cell>
          <cell r="D177" t="str">
            <v>SAMI</v>
          </cell>
          <cell r="E177" t="str">
            <v>OPT-25</v>
          </cell>
          <cell r="F177">
            <v>37872</v>
          </cell>
          <cell r="G177" t="str">
            <v>-</v>
          </cell>
          <cell r="H177" t="str">
            <v>-</v>
          </cell>
          <cell r="I177" t="str">
            <v>PRD</v>
          </cell>
          <cell r="J177" t="str">
            <v>PRE ASSY</v>
          </cell>
          <cell r="K177" t="str">
            <v>HONDA FIT</v>
          </cell>
          <cell r="L177" t="str">
            <v>HONDA FIT</v>
          </cell>
          <cell r="M177" t="str">
            <v>CPA HONDA FIT HEV/PET</v>
          </cell>
          <cell r="N177" t="str">
            <v>SUB LINE CHO</v>
          </cell>
          <cell r="O177" t="str">
            <v>GL</v>
          </cell>
          <cell r="P177" t="str">
            <v>B</v>
          </cell>
          <cell r="Q177" t="str">
            <v>PI</v>
          </cell>
          <cell r="R177" t="str">
            <v>PERMANENT</v>
          </cell>
          <cell r="S177" t="str">
            <v>PRM</v>
          </cell>
          <cell r="T177" t="str">
            <v>SLC</v>
          </cell>
          <cell r="U177" t="str">
            <v>-</v>
          </cell>
          <cell r="V177" t="str">
            <v>P</v>
          </cell>
          <cell r="W177">
            <v>41</v>
          </cell>
        </row>
        <row r="178">
          <cell r="A178">
            <v>1004</v>
          </cell>
          <cell r="B178" t="str">
            <v>001004</v>
          </cell>
          <cell r="C178" t="str">
            <v>ISTIKOMSATUN</v>
          </cell>
          <cell r="D178" t="str">
            <v>SAMI</v>
          </cell>
          <cell r="E178" t="str">
            <v>OPT-25</v>
          </cell>
          <cell r="F178">
            <v>37872</v>
          </cell>
          <cell r="G178" t="str">
            <v>-</v>
          </cell>
          <cell r="H178" t="str">
            <v>-</v>
          </cell>
          <cell r="I178" t="str">
            <v>PRD</v>
          </cell>
          <cell r="J178" t="str">
            <v>PRE ASSY</v>
          </cell>
          <cell r="K178" t="str">
            <v>TOYOTA HV</v>
          </cell>
          <cell r="L178" t="str">
            <v>HV TOYOTA</v>
          </cell>
          <cell r="M178" t="str">
            <v>CPA TOYOTA 10 PL</v>
          </cell>
          <cell r="N178" t="str">
            <v>INSP CUTTING</v>
          </cell>
          <cell r="O178" t="str">
            <v>P/A INSPECTOR</v>
          </cell>
          <cell r="P178" t="str">
            <v>B</v>
          </cell>
          <cell r="Q178" t="str">
            <v>PI</v>
          </cell>
          <cell r="R178" t="str">
            <v>PERMANENT</v>
          </cell>
          <cell r="S178" t="str">
            <v>PRM</v>
          </cell>
          <cell r="T178" t="str">
            <v>OPT</v>
          </cell>
          <cell r="U178" t="str">
            <v>-</v>
          </cell>
          <cell r="V178" t="str">
            <v>P</v>
          </cell>
          <cell r="W178">
            <v>40</v>
          </cell>
        </row>
        <row r="179">
          <cell r="A179">
            <v>1007</v>
          </cell>
          <cell r="B179" t="str">
            <v>001007</v>
          </cell>
          <cell r="C179" t="str">
            <v>PUDJI UTAMI</v>
          </cell>
          <cell r="D179" t="str">
            <v>SAMI</v>
          </cell>
          <cell r="E179" t="str">
            <v>OPT-25</v>
          </cell>
          <cell r="F179">
            <v>37872</v>
          </cell>
          <cell r="G179" t="str">
            <v>-</v>
          </cell>
          <cell r="H179" t="str">
            <v>-</v>
          </cell>
          <cell r="I179" t="str">
            <v>QA</v>
          </cell>
          <cell r="J179" t="str">
            <v>NON LINE</v>
          </cell>
          <cell r="K179" t="str">
            <v>ALL</v>
          </cell>
          <cell r="L179" t="str">
            <v>ALL</v>
          </cell>
          <cell r="M179" t="str">
            <v>PPAP</v>
          </cell>
          <cell r="N179" t="str">
            <v>HDR - ES TEST</v>
          </cell>
          <cell r="O179" t="str">
            <v>PPAP</v>
          </cell>
          <cell r="P179" t="str">
            <v>A</v>
          </cell>
          <cell r="Q179" t="str">
            <v>PS</v>
          </cell>
          <cell r="R179" t="str">
            <v>PERMANENT</v>
          </cell>
          <cell r="S179" t="str">
            <v>PRM</v>
          </cell>
          <cell r="T179" t="str">
            <v>OPT</v>
          </cell>
          <cell r="U179" t="str">
            <v>-</v>
          </cell>
          <cell r="V179" t="str">
            <v>P</v>
          </cell>
          <cell r="W179">
            <v>42</v>
          </cell>
        </row>
        <row r="180">
          <cell r="A180">
            <v>1009</v>
          </cell>
          <cell r="B180" t="str">
            <v>001009</v>
          </cell>
          <cell r="C180" t="str">
            <v>MEI RUBIRITANTI</v>
          </cell>
          <cell r="D180" t="str">
            <v>SAMI</v>
          </cell>
          <cell r="E180" t="str">
            <v>SPV UP</v>
          </cell>
          <cell r="F180">
            <v>37872</v>
          </cell>
          <cell r="G180" t="str">
            <v>-</v>
          </cell>
          <cell r="H180" t="str">
            <v>-</v>
          </cell>
          <cell r="I180" t="str">
            <v>FA</v>
          </cell>
          <cell r="J180" t="str">
            <v>ACC</v>
          </cell>
          <cell r="K180" t="str">
            <v>ALL</v>
          </cell>
          <cell r="L180" t="str">
            <v>ALL</v>
          </cell>
          <cell r="M180" t="str">
            <v>ACCOUNTING</v>
          </cell>
          <cell r="N180" t="str">
            <v>COORD. SUPERVISOR ACCOUNTING (MAGANG)</v>
          </cell>
          <cell r="O180" t="str">
            <v>IDL SPV</v>
          </cell>
          <cell r="P180" t="str">
            <v>A (NS)</v>
          </cell>
          <cell r="Q180" t="str">
            <v>ADM</v>
          </cell>
          <cell r="R180" t="str">
            <v>PERMANENT</v>
          </cell>
          <cell r="S180" t="str">
            <v>PRM</v>
          </cell>
          <cell r="T180" t="str">
            <v>CSPV</v>
          </cell>
          <cell r="U180" t="str">
            <v>-</v>
          </cell>
          <cell r="V180" t="str">
            <v>P</v>
          </cell>
          <cell r="W180">
            <v>42</v>
          </cell>
        </row>
        <row r="181">
          <cell r="A181">
            <v>1011</v>
          </cell>
          <cell r="B181" t="str">
            <v>001011</v>
          </cell>
          <cell r="C181" t="str">
            <v>YULI SUPRIYATININGSIH</v>
          </cell>
          <cell r="D181" t="str">
            <v>SAMI</v>
          </cell>
          <cell r="E181" t="str">
            <v>ADM-7</v>
          </cell>
          <cell r="F181">
            <v>37872</v>
          </cell>
          <cell r="G181" t="str">
            <v>-</v>
          </cell>
          <cell r="H181" t="str">
            <v>-</v>
          </cell>
          <cell r="I181" t="str">
            <v>FA</v>
          </cell>
          <cell r="J181" t="str">
            <v>ACC</v>
          </cell>
          <cell r="K181" t="str">
            <v>ALL</v>
          </cell>
          <cell r="L181" t="str">
            <v>ALL</v>
          </cell>
          <cell r="M181" t="str">
            <v>ACCOUNTING</v>
          </cell>
          <cell r="N181" t="str">
            <v>LEADER ACCOUNTING ( COST ACCOUNTING )</v>
          </cell>
          <cell r="O181" t="str">
            <v>IDL LL</v>
          </cell>
          <cell r="P181" t="str">
            <v>A (NS)</v>
          </cell>
          <cell r="Q181" t="str">
            <v>ADM</v>
          </cell>
          <cell r="R181" t="str">
            <v>PERMANENT</v>
          </cell>
          <cell r="S181" t="str">
            <v>PRM</v>
          </cell>
          <cell r="T181" t="str">
            <v>LL</v>
          </cell>
          <cell r="U181" t="str">
            <v>-</v>
          </cell>
          <cell r="V181" t="str">
            <v>P</v>
          </cell>
          <cell r="W181">
            <v>42</v>
          </cell>
        </row>
        <row r="182">
          <cell r="A182">
            <v>1012</v>
          </cell>
          <cell r="B182" t="str">
            <v>001012</v>
          </cell>
          <cell r="C182" t="str">
            <v>MUH. ABDUL M.</v>
          </cell>
          <cell r="D182" t="str">
            <v>SAMI</v>
          </cell>
          <cell r="E182" t="str">
            <v>TKN-4</v>
          </cell>
          <cell r="F182">
            <v>37872</v>
          </cell>
          <cell r="G182" t="str">
            <v>-</v>
          </cell>
          <cell r="H182" t="str">
            <v>-</v>
          </cell>
          <cell r="I182" t="str">
            <v>PE</v>
          </cell>
          <cell r="J182" t="str">
            <v>J/C BP</v>
          </cell>
          <cell r="K182" t="str">
            <v>ALL</v>
          </cell>
          <cell r="L182" t="str">
            <v>ALL</v>
          </cell>
          <cell r="M182" t="str">
            <v>JCN</v>
          </cell>
          <cell r="N182" t="str">
            <v>LL BREAKDOWN</v>
          </cell>
          <cell r="O182" t="str">
            <v>FPS LL</v>
          </cell>
          <cell r="P182" t="str">
            <v>A (NS)</v>
          </cell>
          <cell r="Q182" t="str">
            <v>PS</v>
          </cell>
          <cell r="R182" t="str">
            <v>PERMANENT</v>
          </cell>
          <cell r="S182" t="str">
            <v>PRM</v>
          </cell>
          <cell r="T182" t="str">
            <v>LL</v>
          </cell>
          <cell r="U182" t="str">
            <v>-</v>
          </cell>
          <cell r="V182" t="str">
            <v>L</v>
          </cell>
          <cell r="W182">
            <v>40</v>
          </cell>
        </row>
        <row r="183">
          <cell r="A183">
            <v>1013</v>
          </cell>
          <cell r="B183" t="str">
            <v>001013</v>
          </cell>
          <cell r="C183" t="str">
            <v>ZAENAL ARIFIN</v>
          </cell>
          <cell r="D183" t="str">
            <v>SAMI</v>
          </cell>
          <cell r="E183" t="str">
            <v>TKN-4</v>
          </cell>
          <cell r="F183">
            <v>37872</v>
          </cell>
          <cell r="G183" t="str">
            <v>-</v>
          </cell>
          <cell r="H183" t="str">
            <v>-</v>
          </cell>
          <cell r="I183" t="str">
            <v>PE</v>
          </cell>
          <cell r="J183" t="str">
            <v>MTC</v>
          </cell>
          <cell r="K183" t="str">
            <v>ALL</v>
          </cell>
          <cell r="L183" t="str">
            <v>ALL</v>
          </cell>
          <cell r="M183" t="str">
            <v>BREAKDOWN</v>
          </cell>
          <cell r="N183" t="str">
            <v>LEADER MTC BREAKDOWN</v>
          </cell>
          <cell r="O183" t="str">
            <v>FPI LL</v>
          </cell>
          <cell r="P183" t="str">
            <v>A</v>
          </cell>
          <cell r="Q183" t="str">
            <v>PI</v>
          </cell>
          <cell r="R183" t="str">
            <v>PERMANENT</v>
          </cell>
          <cell r="S183" t="str">
            <v>PRM</v>
          </cell>
          <cell r="T183" t="str">
            <v>LL</v>
          </cell>
          <cell r="U183" t="str">
            <v>-</v>
          </cell>
          <cell r="V183" t="str">
            <v>L</v>
          </cell>
          <cell r="W183">
            <v>45</v>
          </cell>
        </row>
        <row r="184">
          <cell r="A184">
            <v>1014</v>
          </cell>
          <cell r="B184" t="str">
            <v>001014</v>
          </cell>
          <cell r="C184" t="str">
            <v>EKO ARIF SUSIANTO</v>
          </cell>
          <cell r="D184" t="str">
            <v>SAMI</v>
          </cell>
          <cell r="E184" t="str">
            <v>SPV UP</v>
          </cell>
          <cell r="F184">
            <v>37872</v>
          </cell>
          <cell r="G184" t="str">
            <v>-</v>
          </cell>
          <cell r="H184" t="str">
            <v>-</v>
          </cell>
          <cell r="I184" t="str">
            <v>PE</v>
          </cell>
          <cell r="J184" t="str">
            <v>MANAGEMENT</v>
          </cell>
          <cell r="K184" t="str">
            <v>ALL</v>
          </cell>
          <cell r="L184" t="str">
            <v>ALL</v>
          </cell>
          <cell r="M184" t="str">
            <v>MANAGEMENT</v>
          </cell>
          <cell r="N184" t="str">
            <v>ASS. MANAGER MTC</v>
          </cell>
          <cell r="O184" t="str">
            <v>MGR FPS</v>
          </cell>
          <cell r="P184" t="str">
            <v>A (NS)</v>
          </cell>
          <cell r="Q184" t="str">
            <v>PS</v>
          </cell>
          <cell r="R184" t="str">
            <v>PERMANENT</v>
          </cell>
          <cell r="S184" t="str">
            <v>PRM</v>
          </cell>
          <cell r="T184" t="str">
            <v>AM</v>
          </cell>
          <cell r="U184" t="str">
            <v>-</v>
          </cell>
          <cell r="V184" t="str">
            <v>L</v>
          </cell>
          <cell r="W184">
            <v>40</v>
          </cell>
        </row>
        <row r="185">
          <cell r="A185">
            <v>1016</v>
          </cell>
          <cell r="B185" t="str">
            <v>001016</v>
          </cell>
          <cell r="C185" t="str">
            <v>ADI SUCIPTO</v>
          </cell>
          <cell r="D185" t="str">
            <v>SAMI</v>
          </cell>
          <cell r="E185" t="str">
            <v>TKN-4</v>
          </cell>
          <cell r="F185">
            <v>37872</v>
          </cell>
          <cell r="G185" t="str">
            <v>-</v>
          </cell>
          <cell r="H185" t="str">
            <v>-</v>
          </cell>
          <cell r="I185" t="str">
            <v>PE</v>
          </cell>
          <cell r="J185" t="str">
            <v>WORKSHOP</v>
          </cell>
          <cell r="K185" t="str">
            <v>ALL</v>
          </cell>
          <cell r="L185" t="str">
            <v>ALL</v>
          </cell>
          <cell r="M185" t="str">
            <v>WORKSHOP</v>
          </cell>
          <cell r="N185" t="str">
            <v>Production Request (PPW)</v>
          </cell>
          <cell r="O185" t="str">
            <v>WKS</v>
          </cell>
          <cell r="P185" t="str">
            <v>A (NS)</v>
          </cell>
          <cell r="Q185" t="str">
            <v>PS</v>
          </cell>
          <cell r="R185" t="str">
            <v>PERMANENT</v>
          </cell>
          <cell r="S185" t="str">
            <v>PRM</v>
          </cell>
          <cell r="T185" t="str">
            <v>TKN</v>
          </cell>
          <cell r="U185" t="str">
            <v>-</v>
          </cell>
          <cell r="V185" t="str">
            <v>L</v>
          </cell>
          <cell r="W185">
            <v>40</v>
          </cell>
        </row>
        <row r="186">
          <cell r="A186">
            <v>1021</v>
          </cell>
          <cell r="B186" t="str">
            <v>001021</v>
          </cell>
          <cell r="C186" t="str">
            <v>WIWIN OKTAVIARY</v>
          </cell>
          <cell r="D186" t="str">
            <v>SAMI</v>
          </cell>
          <cell r="E186" t="str">
            <v>OPT-26</v>
          </cell>
          <cell r="F186">
            <v>37879</v>
          </cell>
          <cell r="G186" t="str">
            <v>-</v>
          </cell>
          <cell r="H186" t="str">
            <v>-</v>
          </cell>
          <cell r="I186" t="str">
            <v>QA</v>
          </cell>
          <cell r="J186" t="str">
            <v>NON LINE</v>
          </cell>
          <cell r="K186" t="str">
            <v>ALL</v>
          </cell>
          <cell r="L186" t="str">
            <v>ALL</v>
          </cell>
          <cell r="M186" t="str">
            <v>PPAP</v>
          </cell>
          <cell r="N186" t="str">
            <v>HDR - ES TEST</v>
          </cell>
          <cell r="O186" t="str">
            <v>PPAP</v>
          </cell>
          <cell r="P186" t="str">
            <v>A (NS)</v>
          </cell>
          <cell r="Q186" t="str">
            <v>PS</v>
          </cell>
          <cell r="R186" t="str">
            <v>PERMANENT</v>
          </cell>
          <cell r="S186" t="str">
            <v>PRM</v>
          </cell>
          <cell r="T186" t="str">
            <v>OPT</v>
          </cell>
          <cell r="U186" t="str">
            <v>-</v>
          </cell>
          <cell r="V186" t="str">
            <v>P</v>
          </cell>
          <cell r="W186">
            <v>39</v>
          </cell>
        </row>
        <row r="187">
          <cell r="A187">
            <v>12934</v>
          </cell>
          <cell r="B187" t="str">
            <v>012934</v>
          </cell>
          <cell r="C187" t="str">
            <v>SITI KHALIMATUS SADIYAH</v>
          </cell>
          <cell r="D187" t="str">
            <v>SAMI</v>
          </cell>
          <cell r="E187" t="str">
            <v>OPT-322</v>
          </cell>
          <cell r="F187">
            <v>40833</v>
          </cell>
          <cell r="G187" t="str">
            <v>-</v>
          </cell>
          <cell r="H187" t="str">
            <v>-</v>
          </cell>
          <cell r="I187" t="str">
            <v>PRD</v>
          </cell>
          <cell r="J187" t="str">
            <v>PRE ASSY</v>
          </cell>
          <cell r="K187" t="str">
            <v>HONDA FIT</v>
          </cell>
          <cell r="L187" t="str">
            <v>HONDA FIT</v>
          </cell>
          <cell r="M187" t="str">
            <v>CPA HONDA FIT HEV/PET</v>
          </cell>
          <cell r="N187" t="str">
            <v>INSP CUTTING</v>
          </cell>
          <cell r="O187" t="str">
            <v>P/A INSPECTOR</v>
          </cell>
          <cell r="P187" t="str">
            <v>A</v>
          </cell>
          <cell r="Q187" t="str">
            <v>PI</v>
          </cell>
          <cell r="R187" t="str">
            <v>PERMANENT</v>
          </cell>
          <cell r="S187" t="str">
            <v>PRM</v>
          </cell>
          <cell r="T187" t="str">
            <v>OPT</v>
          </cell>
          <cell r="U187" t="str">
            <v>-</v>
          </cell>
          <cell r="V187" t="str">
            <v>P</v>
          </cell>
          <cell r="W187">
            <v>32</v>
          </cell>
        </row>
        <row r="188">
          <cell r="A188">
            <v>20577</v>
          </cell>
          <cell r="B188" t="str">
            <v>020577</v>
          </cell>
          <cell r="C188" t="str">
            <v>ELMA MEILANY</v>
          </cell>
          <cell r="D188" t="str">
            <v>SAMI</v>
          </cell>
          <cell r="E188" t="str">
            <v>OPT-505</v>
          </cell>
          <cell r="F188">
            <v>42639</v>
          </cell>
          <cell r="G188" t="str">
            <v>-</v>
          </cell>
          <cell r="H188" t="str">
            <v>-</v>
          </cell>
          <cell r="I188" t="str">
            <v>PRD</v>
          </cell>
          <cell r="J188" t="str">
            <v>PRE ASSY</v>
          </cell>
          <cell r="K188" t="str">
            <v>HONDA FIT</v>
          </cell>
          <cell r="L188" t="str">
            <v>HONDA FIT</v>
          </cell>
          <cell r="M188" t="str">
            <v>CPA HONDA FIT HEV/PET</v>
          </cell>
          <cell r="N188" t="str">
            <v>INSP SILICON</v>
          </cell>
          <cell r="O188" t="str">
            <v>P/A INSPECTOR</v>
          </cell>
          <cell r="P188" t="str">
            <v>A</v>
          </cell>
          <cell r="Q188" t="str">
            <v>PI</v>
          </cell>
          <cell r="R188" t="str">
            <v>PERMANENT</v>
          </cell>
          <cell r="S188" t="str">
            <v>PRM</v>
          </cell>
          <cell r="T188" t="str">
            <v>OPT</v>
          </cell>
          <cell r="U188" t="str">
            <v>-</v>
          </cell>
          <cell r="V188" t="str">
            <v>P</v>
          </cell>
          <cell r="W188">
            <v>26</v>
          </cell>
        </row>
        <row r="189">
          <cell r="A189">
            <v>24795</v>
          </cell>
          <cell r="B189" t="str">
            <v>024795</v>
          </cell>
          <cell r="C189" t="str">
            <v>IRMA LATIFAH</v>
          </cell>
          <cell r="D189" t="str">
            <v>SAMI</v>
          </cell>
          <cell r="E189" t="str">
            <v>OPT-603</v>
          </cell>
          <cell r="F189">
            <v>43713</v>
          </cell>
          <cell r="G189" t="str">
            <v>-</v>
          </cell>
          <cell r="H189" t="str">
            <v>-</v>
          </cell>
          <cell r="I189" t="str">
            <v>PRD</v>
          </cell>
          <cell r="J189" t="str">
            <v>PRE ASSY</v>
          </cell>
          <cell r="K189" t="str">
            <v>HONDA FIT</v>
          </cell>
          <cell r="L189" t="str">
            <v>HONDA FIT</v>
          </cell>
          <cell r="M189" t="str">
            <v>CPA HONDA FIT HEV/PET</v>
          </cell>
          <cell r="N189" t="str">
            <v>INSP CUTTING</v>
          </cell>
          <cell r="O189" t="str">
            <v>P/A INSPECTOR</v>
          </cell>
          <cell r="P189" t="str">
            <v>A</v>
          </cell>
          <cell r="Q189" t="str">
            <v>PI</v>
          </cell>
          <cell r="R189" t="str">
            <v>PERMANENT</v>
          </cell>
          <cell r="S189" t="str">
            <v>PRM</v>
          </cell>
          <cell r="T189" t="str">
            <v>OPT</v>
          </cell>
          <cell r="U189" t="str">
            <v>-</v>
          </cell>
          <cell r="V189" t="str">
            <v>P</v>
          </cell>
          <cell r="W189">
            <v>24</v>
          </cell>
        </row>
        <row r="190">
          <cell r="A190">
            <v>1045</v>
          </cell>
          <cell r="B190" t="str">
            <v>001045</v>
          </cell>
          <cell r="C190" t="str">
            <v>ENI DWI PURYANTI</v>
          </cell>
          <cell r="D190" t="str">
            <v>SAMI</v>
          </cell>
          <cell r="E190" t="str">
            <v>OPT-26</v>
          </cell>
          <cell r="F190">
            <v>37879</v>
          </cell>
          <cell r="G190" t="str">
            <v>-</v>
          </cell>
          <cell r="H190" t="str">
            <v>-</v>
          </cell>
          <cell r="I190" t="str">
            <v>PRD</v>
          </cell>
          <cell r="J190" t="str">
            <v>PRE ASSY</v>
          </cell>
          <cell r="K190" t="str">
            <v>HONDA NES</v>
          </cell>
          <cell r="L190" t="str">
            <v>HONDA NES</v>
          </cell>
          <cell r="M190" t="str">
            <v>CPA HONDA NES HEV/PET</v>
          </cell>
          <cell r="N190" t="str">
            <v>INSP CUTTING</v>
          </cell>
          <cell r="O190" t="str">
            <v>P/A INSPECTOR</v>
          </cell>
          <cell r="P190" t="str">
            <v>B</v>
          </cell>
          <cell r="Q190" t="str">
            <v>PI</v>
          </cell>
          <cell r="R190" t="str">
            <v>PERMANENT</v>
          </cell>
          <cell r="S190" t="str">
            <v>PRM</v>
          </cell>
          <cell r="T190" t="str">
            <v>OPT</v>
          </cell>
          <cell r="U190" t="str">
            <v>-</v>
          </cell>
          <cell r="V190" t="str">
            <v>P</v>
          </cell>
          <cell r="W190">
            <v>39</v>
          </cell>
        </row>
        <row r="191">
          <cell r="A191">
            <v>1049</v>
          </cell>
          <cell r="B191" t="str">
            <v>001049</v>
          </cell>
          <cell r="C191" t="str">
            <v>NIDYAH ARI TRIANINGRUM</v>
          </cell>
          <cell r="D191" t="str">
            <v>SAMI</v>
          </cell>
          <cell r="E191" t="str">
            <v>OPT-26</v>
          </cell>
          <cell r="F191">
            <v>37879</v>
          </cell>
          <cell r="G191" t="str">
            <v>-</v>
          </cell>
          <cell r="H191" t="str">
            <v>-</v>
          </cell>
          <cell r="I191" t="str">
            <v>PRD</v>
          </cell>
          <cell r="J191" t="str">
            <v>FINAL ASSY</v>
          </cell>
          <cell r="K191" t="str">
            <v>HONDA FIT</v>
          </cell>
          <cell r="L191" t="str">
            <v>HONDA FIT HEV PET ENGINE</v>
          </cell>
          <cell r="M191" t="str">
            <v>CV H02</v>
          </cell>
          <cell r="N191" t="str">
            <v>VISUAL 2.1</v>
          </cell>
          <cell r="O191" t="str">
            <v>VISUAL INSPECTION</v>
          </cell>
          <cell r="P191" t="str">
            <v>B</v>
          </cell>
          <cell r="Q191" t="str">
            <v>DL</v>
          </cell>
          <cell r="R191" t="str">
            <v>PERMANENT</v>
          </cell>
          <cell r="S191" t="str">
            <v>PRM</v>
          </cell>
          <cell r="T191" t="str">
            <v>OPT</v>
          </cell>
          <cell r="U191" t="str">
            <v>-</v>
          </cell>
          <cell r="V191" t="str">
            <v>P</v>
          </cell>
          <cell r="W191">
            <v>39</v>
          </cell>
        </row>
        <row r="192">
          <cell r="A192">
            <v>1054</v>
          </cell>
          <cell r="B192" t="str">
            <v>001054</v>
          </cell>
          <cell r="C192" t="str">
            <v>SRI SUDARYANI</v>
          </cell>
          <cell r="D192" t="str">
            <v>SAMI</v>
          </cell>
          <cell r="E192" t="str">
            <v>OPT-26</v>
          </cell>
          <cell r="F192">
            <v>37879</v>
          </cell>
          <cell r="G192" t="str">
            <v>-</v>
          </cell>
          <cell r="H192" t="str">
            <v>-</v>
          </cell>
          <cell r="I192" t="str">
            <v>QA</v>
          </cell>
          <cell r="J192" t="str">
            <v>FINAL ASSY</v>
          </cell>
          <cell r="K192" t="str">
            <v>MAZDA ATENZA</v>
          </cell>
          <cell r="L192" t="str">
            <v>MAZDA J72A</v>
          </cell>
          <cell r="M192" t="str">
            <v>CV M03</v>
          </cell>
          <cell r="N192" t="str">
            <v>GL REWORK</v>
          </cell>
          <cell r="O192" t="str">
            <v>REWORK</v>
          </cell>
          <cell r="P192" t="str">
            <v>B</v>
          </cell>
          <cell r="Q192" t="str">
            <v>PI</v>
          </cell>
          <cell r="R192" t="str">
            <v>PERMANENT</v>
          </cell>
          <cell r="S192" t="str">
            <v>PRM</v>
          </cell>
          <cell r="T192" t="str">
            <v>GL</v>
          </cell>
          <cell r="U192" t="str">
            <v>-</v>
          </cell>
          <cell r="V192" t="str">
            <v>P</v>
          </cell>
          <cell r="W192">
            <v>40</v>
          </cell>
        </row>
        <row r="193">
          <cell r="A193">
            <v>1058</v>
          </cell>
          <cell r="B193" t="str">
            <v>001058</v>
          </cell>
          <cell r="C193" t="str">
            <v>SIGIT WIJANARKO</v>
          </cell>
          <cell r="D193" t="str">
            <v>SAMI</v>
          </cell>
          <cell r="E193" t="str">
            <v>OPT-26</v>
          </cell>
          <cell r="F193">
            <v>37879</v>
          </cell>
          <cell r="G193" t="str">
            <v>-</v>
          </cell>
          <cell r="H193" t="str">
            <v>-</v>
          </cell>
          <cell r="I193" t="str">
            <v>PRD</v>
          </cell>
          <cell r="J193" t="str">
            <v>PRE ASSY</v>
          </cell>
          <cell r="K193" t="str">
            <v>HONDA FIT</v>
          </cell>
          <cell r="L193" t="str">
            <v>HONDA FIT</v>
          </cell>
          <cell r="M193" t="str">
            <v>CPA HONDA FIT HEV/PET</v>
          </cell>
          <cell r="N193" t="str">
            <v>CUTTING AC90-HDA-13</v>
          </cell>
          <cell r="O193" t="str">
            <v>CUTTING WIRE</v>
          </cell>
          <cell r="P193" t="str">
            <v>B</v>
          </cell>
          <cell r="Q193" t="str">
            <v>DL</v>
          </cell>
          <cell r="R193" t="str">
            <v>PERMANENT</v>
          </cell>
          <cell r="S193" t="str">
            <v>PRM</v>
          </cell>
          <cell r="T193" t="str">
            <v>OPT</v>
          </cell>
          <cell r="U193" t="str">
            <v>-</v>
          </cell>
          <cell r="V193" t="str">
            <v>L</v>
          </cell>
          <cell r="W193">
            <v>43</v>
          </cell>
        </row>
        <row r="194">
          <cell r="A194">
            <v>1060</v>
          </cell>
          <cell r="B194" t="str">
            <v>001060</v>
          </cell>
          <cell r="C194" t="str">
            <v>NUR KOSIM</v>
          </cell>
          <cell r="D194" t="str">
            <v>SAMI</v>
          </cell>
          <cell r="E194" t="str">
            <v>OPT-26</v>
          </cell>
          <cell r="F194">
            <v>37879</v>
          </cell>
          <cell r="G194" t="str">
            <v>-</v>
          </cell>
          <cell r="H194" t="str">
            <v>-</v>
          </cell>
          <cell r="I194" t="str">
            <v>LOG</v>
          </cell>
          <cell r="J194" t="str">
            <v>WHS</v>
          </cell>
          <cell r="K194" t="str">
            <v>ALL</v>
          </cell>
          <cell r="L194" t="str">
            <v>ALL</v>
          </cell>
          <cell r="M194" t="str">
            <v>WHS</v>
          </cell>
          <cell r="N194" t="str">
            <v>Parts supply (piking &amp; material handling) from material werahouse</v>
          </cell>
          <cell r="O194" t="str">
            <v>WHS SUPPLY</v>
          </cell>
          <cell r="P194" t="str">
            <v>A (NS)</v>
          </cell>
          <cell r="Q194" t="str">
            <v>PS</v>
          </cell>
          <cell r="R194" t="str">
            <v>PERMANENT</v>
          </cell>
          <cell r="S194" t="str">
            <v>PRM</v>
          </cell>
          <cell r="T194" t="str">
            <v>TKN</v>
          </cell>
          <cell r="U194" t="str">
            <v>-</v>
          </cell>
          <cell r="V194" t="str">
            <v>L</v>
          </cell>
          <cell r="W194">
            <v>39</v>
          </cell>
        </row>
        <row r="195">
          <cell r="A195">
            <v>1064</v>
          </cell>
          <cell r="B195" t="str">
            <v>001064</v>
          </cell>
          <cell r="C195" t="str">
            <v>SEPTIAN ANDRIANTO</v>
          </cell>
          <cell r="D195" t="str">
            <v>SAMI</v>
          </cell>
          <cell r="E195" t="str">
            <v>SPV UP</v>
          </cell>
          <cell r="F195">
            <v>37879</v>
          </cell>
          <cell r="G195" t="str">
            <v>-</v>
          </cell>
          <cell r="H195" t="str">
            <v>-</v>
          </cell>
          <cell r="I195" t="str">
            <v>PP</v>
          </cell>
          <cell r="J195" t="str">
            <v>PP-1</v>
          </cell>
          <cell r="K195" t="str">
            <v>ALL</v>
          </cell>
          <cell r="L195" t="str">
            <v>ALL</v>
          </cell>
          <cell r="M195" t="str">
            <v>PP-1</v>
          </cell>
          <cell r="N195" t="str">
            <v>SUPERVISOR</v>
          </cell>
          <cell r="O195" t="str">
            <v>FPS SPV</v>
          </cell>
          <cell r="P195" t="str">
            <v>A (NS)</v>
          </cell>
          <cell r="Q195" t="str">
            <v>PS</v>
          </cell>
          <cell r="R195" t="str">
            <v>PERMANENT</v>
          </cell>
          <cell r="S195" t="str">
            <v>PRM</v>
          </cell>
          <cell r="T195" t="str">
            <v>SPV</v>
          </cell>
          <cell r="U195" t="str">
            <v>-</v>
          </cell>
          <cell r="V195" t="str">
            <v>L</v>
          </cell>
          <cell r="W195">
            <v>43</v>
          </cell>
        </row>
        <row r="196">
          <cell r="A196" t="str">
            <v>B00684</v>
          </cell>
          <cell r="B196" t="str">
            <v>B00684</v>
          </cell>
          <cell r="C196" t="str">
            <v>MILA AYU KORITA PUTRI</v>
          </cell>
          <cell r="D196" t="str">
            <v>SAMI</v>
          </cell>
          <cell r="E196" t="str">
            <v>BBF-011</v>
          </cell>
          <cell r="F196">
            <v>40896</v>
          </cell>
          <cell r="G196" t="str">
            <v>-</v>
          </cell>
          <cell r="H196" t="str">
            <v>-</v>
          </cell>
          <cell r="I196" t="str">
            <v>PRD</v>
          </cell>
          <cell r="J196" t="str">
            <v>PRE ASSY</v>
          </cell>
          <cell r="K196" t="str">
            <v>HONDA FIT</v>
          </cell>
          <cell r="L196" t="str">
            <v>HONDA FIT</v>
          </cell>
          <cell r="M196" t="str">
            <v>CPA HONDA FIT HEV/PET</v>
          </cell>
          <cell r="N196" t="str">
            <v>BM3-HDA-01</v>
          </cell>
          <cell r="O196" t="str">
            <v>BONDER</v>
          </cell>
          <cell r="P196" t="str">
            <v>A</v>
          </cell>
          <cell r="Q196" t="str">
            <v>DL</v>
          </cell>
          <cell r="R196" t="str">
            <v>PERMANENT</v>
          </cell>
          <cell r="S196" t="str">
            <v>PRM</v>
          </cell>
          <cell r="T196" t="str">
            <v>OPT</v>
          </cell>
          <cell r="U196" t="str">
            <v>-</v>
          </cell>
          <cell r="V196" t="str">
            <v>P</v>
          </cell>
          <cell r="W196">
            <v>31</v>
          </cell>
        </row>
        <row r="197">
          <cell r="A197">
            <v>1076</v>
          </cell>
          <cell r="B197" t="str">
            <v>001076</v>
          </cell>
          <cell r="C197" t="str">
            <v>ISMIATININGSIH</v>
          </cell>
          <cell r="D197" t="str">
            <v>SAMI</v>
          </cell>
          <cell r="E197" t="str">
            <v>OPT-27</v>
          </cell>
          <cell r="F197">
            <v>37887</v>
          </cell>
          <cell r="G197" t="str">
            <v>-</v>
          </cell>
          <cell r="H197" t="str">
            <v>-</v>
          </cell>
          <cell r="I197" t="str">
            <v>PP</v>
          </cell>
          <cell r="J197" t="str">
            <v>PP-2</v>
          </cell>
          <cell r="K197" t="str">
            <v>ALL</v>
          </cell>
          <cell r="L197" t="str">
            <v>ALL</v>
          </cell>
          <cell r="M197" t="str">
            <v>PP-2</v>
          </cell>
          <cell r="N197" t="str">
            <v>ANALISYS</v>
          </cell>
          <cell r="O197" t="str">
            <v>PROCESS ENG</v>
          </cell>
          <cell r="P197" t="str">
            <v>A (NS)</v>
          </cell>
          <cell r="Q197" t="str">
            <v>PS</v>
          </cell>
          <cell r="R197" t="str">
            <v>PERMANENT</v>
          </cell>
          <cell r="S197" t="str">
            <v>PRM</v>
          </cell>
          <cell r="T197" t="str">
            <v>OPT</v>
          </cell>
          <cell r="U197" t="str">
            <v>-</v>
          </cell>
          <cell r="V197" t="str">
            <v>P</v>
          </cell>
          <cell r="W197">
            <v>40</v>
          </cell>
        </row>
        <row r="198">
          <cell r="A198">
            <v>1079</v>
          </cell>
          <cell r="B198" t="str">
            <v>001079</v>
          </cell>
          <cell r="C198" t="str">
            <v>JUMIATI</v>
          </cell>
          <cell r="D198" t="str">
            <v>SAMI</v>
          </cell>
          <cell r="E198" t="str">
            <v>OPT-27</v>
          </cell>
          <cell r="F198">
            <v>37887</v>
          </cell>
          <cell r="G198" t="str">
            <v>-</v>
          </cell>
          <cell r="H198" t="str">
            <v>-</v>
          </cell>
          <cell r="I198" t="str">
            <v>PRD</v>
          </cell>
          <cell r="J198" t="str">
            <v>FINAL ASSY</v>
          </cell>
          <cell r="K198" t="str">
            <v>TOYOTA HV</v>
          </cell>
          <cell r="L198" t="str">
            <v xml:space="preserve">HV TOYOTA AC </v>
          </cell>
          <cell r="M198" t="str">
            <v>CV HV 10B</v>
          </cell>
          <cell r="N198" t="str">
            <v>VISUAL 2.1</v>
          </cell>
          <cell r="O198" t="str">
            <v>VISUAL INSPECTION</v>
          </cell>
          <cell r="P198" t="str">
            <v>B</v>
          </cell>
          <cell r="Q198" t="str">
            <v>DL</v>
          </cell>
          <cell r="R198" t="str">
            <v>PERMANENT</v>
          </cell>
          <cell r="S198" t="str">
            <v>PRM</v>
          </cell>
          <cell r="T198" t="str">
            <v>OPT</v>
          </cell>
          <cell r="U198" t="str">
            <v>-</v>
          </cell>
          <cell r="V198" t="str">
            <v>P</v>
          </cell>
          <cell r="W198">
            <v>40</v>
          </cell>
        </row>
        <row r="199">
          <cell r="A199">
            <v>614</v>
          </cell>
          <cell r="B199" t="str">
            <v>000614</v>
          </cell>
          <cell r="C199" t="str">
            <v>ETIK APRIYANTI</v>
          </cell>
          <cell r="D199" t="str">
            <v>SAMI</v>
          </cell>
          <cell r="E199" t="str">
            <v>OPT-16</v>
          </cell>
          <cell r="F199">
            <v>37781</v>
          </cell>
          <cell r="G199" t="str">
            <v>-</v>
          </cell>
          <cell r="H199" t="str">
            <v>-</v>
          </cell>
          <cell r="I199" t="str">
            <v>PRD</v>
          </cell>
          <cell r="J199" t="str">
            <v>PRE ASSY</v>
          </cell>
          <cell r="K199" t="str">
            <v>HONDA BBP</v>
          </cell>
          <cell r="L199" t="str">
            <v>HV HONDA 5JLA BBP</v>
          </cell>
          <cell r="M199" t="str">
            <v>CPA HONDA HV</v>
          </cell>
          <cell r="N199" t="str">
            <v>PRD LINE CHO</v>
          </cell>
          <cell r="O199" t="str">
            <v>FPI LL</v>
          </cell>
          <cell r="P199" t="str">
            <v>A</v>
          </cell>
          <cell r="Q199" t="str">
            <v>PI</v>
          </cell>
          <cell r="R199" t="str">
            <v>PERMANENT</v>
          </cell>
          <cell r="S199" t="str">
            <v>PRM</v>
          </cell>
          <cell r="T199" t="str">
            <v>LC</v>
          </cell>
          <cell r="U199" t="str">
            <v>-</v>
          </cell>
          <cell r="V199" t="str">
            <v>P</v>
          </cell>
          <cell r="W199">
            <v>41</v>
          </cell>
        </row>
        <row r="200">
          <cell r="A200">
            <v>1083</v>
          </cell>
          <cell r="B200" t="str">
            <v>001083</v>
          </cell>
          <cell r="C200" t="str">
            <v>EMA FITRIANI</v>
          </cell>
          <cell r="D200" t="str">
            <v>SAMI</v>
          </cell>
          <cell r="E200" t="str">
            <v>OPT-27</v>
          </cell>
          <cell r="F200">
            <v>37887</v>
          </cell>
          <cell r="G200" t="str">
            <v>-</v>
          </cell>
          <cell r="H200" t="str">
            <v>-</v>
          </cell>
          <cell r="I200" t="str">
            <v>PRD</v>
          </cell>
          <cell r="J200" t="str">
            <v>FINAL ASSY</v>
          </cell>
          <cell r="K200" t="str">
            <v>HONDA FIT</v>
          </cell>
          <cell r="L200" t="str">
            <v>HONDA FIT HEV PET ENGINE</v>
          </cell>
          <cell r="M200" t="str">
            <v>CV H02</v>
          </cell>
          <cell r="N200" t="str">
            <v>S/A 10</v>
          </cell>
          <cell r="O200" t="str">
            <v>SUB ASSY</v>
          </cell>
          <cell r="P200" t="str">
            <v>B</v>
          </cell>
          <cell r="Q200" t="str">
            <v>DL</v>
          </cell>
          <cell r="R200" t="str">
            <v>PERMANENT</v>
          </cell>
          <cell r="S200" t="str">
            <v>PRM</v>
          </cell>
          <cell r="T200" t="str">
            <v>OPT</v>
          </cell>
          <cell r="U200" t="str">
            <v>-</v>
          </cell>
          <cell r="V200" t="str">
            <v>P</v>
          </cell>
          <cell r="W200">
            <v>40</v>
          </cell>
        </row>
        <row r="201">
          <cell r="A201">
            <v>1086</v>
          </cell>
          <cell r="B201" t="str">
            <v>001086</v>
          </cell>
          <cell r="C201" t="str">
            <v>EKA SEFIANI</v>
          </cell>
          <cell r="D201" t="str">
            <v>SAMI</v>
          </cell>
          <cell r="E201" t="str">
            <v>OPT-27</v>
          </cell>
          <cell r="F201">
            <v>37887</v>
          </cell>
          <cell r="G201" t="str">
            <v>-</v>
          </cell>
          <cell r="H201" t="str">
            <v>-</v>
          </cell>
          <cell r="I201" t="str">
            <v>PRD</v>
          </cell>
          <cell r="J201" t="str">
            <v>PRE ASSY</v>
          </cell>
          <cell r="K201" t="str">
            <v>HONDA EXPORT</v>
          </cell>
          <cell r="L201" t="str">
            <v>HONDA EXPORT</v>
          </cell>
          <cell r="M201" t="str">
            <v>CPA HONDA EXPORT</v>
          </cell>
          <cell r="N201" t="str">
            <v>CUTTING AC90-HDA-30</v>
          </cell>
          <cell r="O201" t="str">
            <v>CUTTING WIRE</v>
          </cell>
          <cell r="P201" t="str">
            <v>B</v>
          </cell>
          <cell r="Q201" t="str">
            <v>DL</v>
          </cell>
          <cell r="R201" t="str">
            <v>PERMANENT</v>
          </cell>
          <cell r="S201" t="str">
            <v>PRM</v>
          </cell>
          <cell r="T201" t="str">
            <v>OPT</v>
          </cell>
          <cell r="U201" t="str">
            <v>-</v>
          </cell>
          <cell r="V201" t="str">
            <v>P</v>
          </cell>
          <cell r="W201">
            <v>39</v>
          </cell>
        </row>
        <row r="202">
          <cell r="A202">
            <v>1088</v>
          </cell>
          <cell r="B202" t="str">
            <v>001088</v>
          </cell>
          <cell r="C202" t="str">
            <v>DWI ASIHANTI</v>
          </cell>
          <cell r="D202" t="str">
            <v>SAMI</v>
          </cell>
          <cell r="E202" t="str">
            <v>OPT-27</v>
          </cell>
          <cell r="F202">
            <v>37887</v>
          </cell>
          <cell r="G202" t="str">
            <v>-</v>
          </cell>
          <cell r="H202" t="str">
            <v>-</v>
          </cell>
          <cell r="I202" t="str">
            <v>QA</v>
          </cell>
          <cell r="J202" t="str">
            <v>FINAL ASSY</v>
          </cell>
          <cell r="K202" t="str">
            <v>MAZDA ATENZA</v>
          </cell>
          <cell r="L202" t="str">
            <v>MAZDA J72A</v>
          </cell>
          <cell r="M202" t="str">
            <v>CV M03</v>
          </cell>
          <cell r="N202" t="str">
            <v>GL REWORK</v>
          </cell>
          <cell r="O202" t="str">
            <v>REWORK</v>
          </cell>
          <cell r="P202" t="str">
            <v>A</v>
          </cell>
          <cell r="Q202" t="str">
            <v>PI</v>
          </cell>
          <cell r="R202" t="str">
            <v>PERMANENT</v>
          </cell>
          <cell r="S202" t="str">
            <v>PRM</v>
          </cell>
          <cell r="T202" t="str">
            <v>GL</v>
          </cell>
          <cell r="U202" t="str">
            <v>-</v>
          </cell>
          <cell r="V202" t="str">
            <v>P</v>
          </cell>
          <cell r="W202">
            <v>39</v>
          </cell>
        </row>
        <row r="203">
          <cell r="A203">
            <v>1090</v>
          </cell>
          <cell r="B203" t="str">
            <v>001090</v>
          </cell>
          <cell r="C203" t="str">
            <v>NUR KHOTIMAH</v>
          </cell>
          <cell r="D203" t="str">
            <v>SAMI</v>
          </cell>
          <cell r="E203" t="str">
            <v>OPT-27</v>
          </cell>
          <cell r="F203">
            <v>37887</v>
          </cell>
          <cell r="G203" t="str">
            <v>-</v>
          </cell>
          <cell r="H203" t="str">
            <v>-</v>
          </cell>
          <cell r="I203" t="str">
            <v>PRD</v>
          </cell>
          <cell r="J203" t="str">
            <v>PRE ASSY</v>
          </cell>
          <cell r="K203" t="str">
            <v>TOYOTA HV</v>
          </cell>
          <cell r="L203" t="str">
            <v>HV TOYOTA</v>
          </cell>
          <cell r="M203" t="str">
            <v>CPA TOYOTA 10 PL</v>
          </cell>
          <cell r="N203" t="str">
            <v>US-T-04, 05</v>
          </cell>
          <cell r="O203" t="str">
            <v>WFAP 2.2</v>
          </cell>
          <cell r="P203" t="str">
            <v>B</v>
          </cell>
          <cell r="Q203" t="str">
            <v>DL</v>
          </cell>
          <cell r="R203" t="str">
            <v>PERMANENT</v>
          </cell>
          <cell r="S203" t="str">
            <v>PRM</v>
          </cell>
          <cell r="T203" t="str">
            <v>OPT</v>
          </cell>
          <cell r="U203" t="str">
            <v>-</v>
          </cell>
          <cell r="V203" t="str">
            <v>P</v>
          </cell>
          <cell r="W203">
            <v>40</v>
          </cell>
        </row>
        <row r="204">
          <cell r="A204">
            <v>5933</v>
          </cell>
          <cell r="B204" t="str">
            <v>005933</v>
          </cell>
          <cell r="C204" t="str">
            <v>PURINAWATI</v>
          </cell>
          <cell r="D204" t="str">
            <v>SAMI</v>
          </cell>
          <cell r="E204" t="str">
            <v>OPT-137</v>
          </cell>
          <cell r="F204">
            <v>39129</v>
          </cell>
          <cell r="G204" t="str">
            <v>-</v>
          </cell>
          <cell r="H204" t="str">
            <v>-</v>
          </cell>
          <cell r="I204" t="str">
            <v>PRD</v>
          </cell>
          <cell r="J204" t="str">
            <v>PRE ASSY</v>
          </cell>
          <cell r="K204" t="str">
            <v>HONDA BBP</v>
          </cell>
          <cell r="L204" t="str">
            <v>HV HONDA 5JLA BBP</v>
          </cell>
          <cell r="M204" t="str">
            <v>CPA HONDA HV</v>
          </cell>
          <cell r="N204" t="str">
            <v>CUTTING AC81-H-01</v>
          </cell>
          <cell r="O204" t="str">
            <v>CUTTING WIRE</v>
          </cell>
          <cell r="P204" t="str">
            <v>A</v>
          </cell>
          <cell r="Q204" t="str">
            <v>DL</v>
          </cell>
          <cell r="R204" t="str">
            <v>PERMANENT</v>
          </cell>
          <cell r="S204" t="str">
            <v>PRM</v>
          </cell>
          <cell r="T204" t="str">
            <v>OPT</v>
          </cell>
          <cell r="U204" t="str">
            <v>-</v>
          </cell>
          <cell r="V204" t="str">
            <v>P</v>
          </cell>
          <cell r="W204">
            <v>41</v>
          </cell>
        </row>
        <row r="205">
          <cell r="A205">
            <v>9320</v>
          </cell>
          <cell r="B205" t="str">
            <v>009320</v>
          </cell>
          <cell r="C205" t="str">
            <v>RISTANTI</v>
          </cell>
          <cell r="D205" t="str">
            <v>SAMI</v>
          </cell>
          <cell r="E205" t="str">
            <v>OPT-216</v>
          </cell>
          <cell r="F205">
            <v>40148</v>
          </cell>
          <cell r="G205" t="str">
            <v>-</v>
          </cell>
          <cell r="H205" t="str">
            <v>-</v>
          </cell>
          <cell r="I205" t="str">
            <v>PRD</v>
          </cell>
          <cell r="J205" t="str">
            <v>PRE ASSY</v>
          </cell>
          <cell r="K205" t="str">
            <v>HONDA BBP</v>
          </cell>
          <cell r="L205" t="str">
            <v>HV HONDA 5JLA BBP</v>
          </cell>
          <cell r="M205" t="str">
            <v>CPA HONDA HV</v>
          </cell>
          <cell r="N205" t="str">
            <v>INTERMEDIATE 3</v>
          </cell>
          <cell r="O205" t="str">
            <v>P/A INSPECTOR</v>
          </cell>
          <cell r="P205" t="str">
            <v>A</v>
          </cell>
          <cell r="Q205" t="str">
            <v>PI</v>
          </cell>
          <cell r="R205" t="str">
            <v>PERMANENT</v>
          </cell>
          <cell r="S205" t="str">
            <v>PRM</v>
          </cell>
          <cell r="T205" t="str">
            <v>OPT</v>
          </cell>
          <cell r="U205" t="str">
            <v>-</v>
          </cell>
          <cell r="V205" t="str">
            <v>P</v>
          </cell>
          <cell r="W205">
            <v>33</v>
          </cell>
        </row>
        <row r="206">
          <cell r="A206">
            <v>11656</v>
          </cell>
          <cell r="B206" t="str">
            <v>011656</v>
          </cell>
          <cell r="C206" t="str">
            <v>ANIS KHOIDAH</v>
          </cell>
          <cell r="D206" t="str">
            <v>SAMI</v>
          </cell>
          <cell r="E206" t="str">
            <v>OPT-308</v>
          </cell>
          <cell r="F206">
            <v>40714</v>
          </cell>
          <cell r="G206" t="str">
            <v>-</v>
          </cell>
          <cell r="H206" t="str">
            <v>-</v>
          </cell>
          <cell r="I206" t="str">
            <v>PRD</v>
          </cell>
          <cell r="J206" t="str">
            <v>PRE ASSY</v>
          </cell>
          <cell r="K206" t="str">
            <v>HONDA BBP</v>
          </cell>
          <cell r="L206" t="str">
            <v>HV HONDA 5JLA BBP</v>
          </cell>
          <cell r="M206" t="str">
            <v>CPA HONDA HV</v>
          </cell>
          <cell r="N206" t="str">
            <v>INTERMEDIATE 1</v>
          </cell>
          <cell r="O206" t="str">
            <v>P/A INSPECTOR</v>
          </cell>
          <cell r="P206" t="str">
            <v>A</v>
          </cell>
          <cell r="Q206" t="str">
            <v>PI</v>
          </cell>
          <cell r="R206" t="str">
            <v>PERMANENT</v>
          </cell>
          <cell r="S206" t="str">
            <v>PRM</v>
          </cell>
          <cell r="T206" t="str">
            <v>OPT</v>
          </cell>
          <cell r="U206" t="str">
            <v>-</v>
          </cell>
          <cell r="V206" t="str">
            <v>P</v>
          </cell>
          <cell r="W206">
            <v>32</v>
          </cell>
        </row>
        <row r="207">
          <cell r="A207">
            <v>1099</v>
          </cell>
          <cell r="B207" t="str">
            <v>001099</v>
          </cell>
          <cell r="C207" t="str">
            <v>AMBAR LIR TIMAS</v>
          </cell>
          <cell r="D207" t="str">
            <v>SAMI</v>
          </cell>
          <cell r="E207" t="str">
            <v>OPT-27</v>
          </cell>
          <cell r="F207">
            <v>37887</v>
          </cell>
          <cell r="G207" t="str">
            <v>-</v>
          </cell>
          <cell r="H207" t="str">
            <v>-</v>
          </cell>
          <cell r="I207" t="str">
            <v>QA</v>
          </cell>
          <cell r="J207" t="str">
            <v>PRE ASSY</v>
          </cell>
          <cell r="K207" t="str">
            <v>HONDA EXPORT</v>
          </cell>
          <cell r="L207" t="str">
            <v>HONDA EXPORT</v>
          </cell>
          <cell r="M207" t="str">
            <v>CPA HONDA EXPORT</v>
          </cell>
          <cell r="N207" t="str">
            <v>GL INSPECTION</v>
          </cell>
          <cell r="O207" t="str">
            <v>GL</v>
          </cell>
          <cell r="P207" t="str">
            <v>A</v>
          </cell>
          <cell r="Q207" t="str">
            <v>PI</v>
          </cell>
          <cell r="R207" t="str">
            <v>PERMANENT</v>
          </cell>
          <cell r="S207" t="str">
            <v>PRM</v>
          </cell>
          <cell r="T207" t="str">
            <v>GL</v>
          </cell>
          <cell r="U207" t="str">
            <v>-</v>
          </cell>
          <cell r="V207" t="str">
            <v>P</v>
          </cell>
          <cell r="W207">
            <v>40</v>
          </cell>
        </row>
        <row r="208">
          <cell r="A208">
            <v>1104</v>
          </cell>
          <cell r="B208" t="str">
            <v>001104</v>
          </cell>
          <cell r="C208" t="str">
            <v>KHODIJAH</v>
          </cell>
          <cell r="D208" t="str">
            <v>SAMI</v>
          </cell>
          <cell r="E208" t="str">
            <v>OPT-27</v>
          </cell>
          <cell r="F208">
            <v>37887</v>
          </cell>
          <cell r="G208" t="str">
            <v>-</v>
          </cell>
          <cell r="H208" t="str">
            <v>-</v>
          </cell>
          <cell r="I208" t="str">
            <v>PRD</v>
          </cell>
          <cell r="J208" t="str">
            <v>PRE ASSY</v>
          </cell>
          <cell r="K208" t="str">
            <v>TOYOTA</v>
          </cell>
          <cell r="L208" t="str">
            <v>HV TOYOTA LV</v>
          </cell>
          <cell r="M208" t="str">
            <v>CPA TOYOTA LV</v>
          </cell>
          <cell r="N208" t="str">
            <v>OJT CUTTING AC90-STA-06</v>
          </cell>
          <cell r="O208" t="str">
            <v>OTHERS</v>
          </cell>
          <cell r="P208" t="str">
            <v>B</v>
          </cell>
          <cell r="Q208" t="str">
            <v>PI</v>
          </cell>
          <cell r="R208" t="str">
            <v>PERMANENT</v>
          </cell>
          <cell r="S208" t="str">
            <v>PRM</v>
          </cell>
          <cell r="T208" t="str">
            <v>OPT</v>
          </cell>
          <cell r="U208" t="str">
            <v>-</v>
          </cell>
          <cell r="V208" t="str">
            <v>P</v>
          </cell>
          <cell r="W208">
            <v>40</v>
          </cell>
        </row>
        <row r="209">
          <cell r="A209">
            <v>12274</v>
          </cell>
          <cell r="B209" t="str">
            <v>012274</v>
          </cell>
          <cell r="C209" t="str">
            <v>FATIKHATUL AINI</v>
          </cell>
          <cell r="D209" t="str">
            <v>SAMI</v>
          </cell>
          <cell r="E209" t="str">
            <v>OPT-316</v>
          </cell>
          <cell r="F209">
            <v>40805</v>
          </cell>
          <cell r="G209" t="str">
            <v>-</v>
          </cell>
          <cell r="H209" t="str">
            <v>-</v>
          </cell>
          <cell r="I209" t="str">
            <v>PRD</v>
          </cell>
          <cell r="J209" t="str">
            <v>PRE ASSY</v>
          </cell>
          <cell r="K209" t="str">
            <v>HONDA BBP</v>
          </cell>
          <cell r="L209" t="str">
            <v>HV HONDA 5JLA BBP</v>
          </cell>
          <cell r="M209" t="str">
            <v>CPA HONDA HV</v>
          </cell>
          <cell r="N209" t="str">
            <v>INTERMEDIATE 2</v>
          </cell>
          <cell r="O209" t="str">
            <v>P/A INSPECTOR</v>
          </cell>
          <cell r="P209" t="str">
            <v>A</v>
          </cell>
          <cell r="Q209" t="str">
            <v>PI</v>
          </cell>
          <cell r="R209" t="str">
            <v>PERMANENT</v>
          </cell>
          <cell r="S209" t="str">
            <v>PRM</v>
          </cell>
          <cell r="T209" t="str">
            <v>OPT</v>
          </cell>
          <cell r="U209" t="str">
            <v>-</v>
          </cell>
          <cell r="V209" t="str">
            <v>P</v>
          </cell>
          <cell r="W209">
            <v>31</v>
          </cell>
        </row>
        <row r="210">
          <cell r="A210">
            <v>13871</v>
          </cell>
          <cell r="B210" t="str">
            <v>013871</v>
          </cell>
          <cell r="C210" t="str">
            <v>MAHFIROH</v>
          </cell>
          <cell r="D210" t="str">
            <v>SAMI</v>
          </cell>
          <cell r="E210" t="str">
            <v>OPT-356</v>
          </cell>
          <cell r="F210">
            <v>41250</v>
          </cell>
          <cell r="G210" t="str">
            <v>-</v>
          </cell>
          <cell r="H210" t="str">
            <v>-</v>
          </cell>
          <cell r="I210" t="str">
            <v>PRD</v>
          </cell>
          <cell r="J210" t="str">
            <v>PRE ASSY</v>
          </cell>
          <cell r="K210" t="str">
            <v>HONDA BBP</v>
          </cell>
          <cell r="L210" t="str">
            <v>HV HONDA 5JLA BBP</v>
          </cell>
          <cell r="M210" t="str">
            <v>CPA HONDA HV</v>
          </cell>
          <cell r="N210" t="str">
            <v>CUTTING AC81-H-02</v>
          </cell>
          <cell r="O210" t="str">
            <v>CUTTING WIRE</v>
          </cell>
          <cell r="P210" t="str">
            <v>A</v>
          </cell>
          <cell r="Q210" t="str">
            <v>DL</v>
          </cell>
          <cell r="R210" t="str">
            <v>PERMANENT</v>
          </cell>
          <cell r="S210" t="str">
            <v>PRM</v>
          </cell>
          <cell r="T210" t="str">
            <v>OPT</v>
          </cell>
          <cell r="U210" t="str">
            <v>-</v>
          </cell>
          <cell r="V210" t="str">
            <v>P</v>
          </cell>
          <cell r="W210">
            <v>31</v>
          </cell>
        </row>
        <row r="211">
          <cell r="A211">
            <v>55</v>
          </cell>
          <cell r="B211" t="str">
            <v>000055</v>
          </cell>
          <cell r="C211" t="str">
            <v>ENI PUJI ASTUTI</v>
          </cell>
          <cell r="D211" t="str">
            <v>SAMI</v>
          </cell>
          <cell r="E211" t="str">
            <v>OPT-1</v>
          </cell>
          <cell r="F211">
            <v>37578</v>
          </cell>
          <cell r="G211" t="str">
            <v>-</v>
          </cell>
          <cell r="H211" t="str">
            <v>-</v>
          </cell>
          <cell r="I211" t="str">
            <v>PRD</v>
          </cell>
          <cell r="J211" t="str">
            <v>PRE ASSY</v>
          </cell>
          <cell r="K211" t="str">
            <v>HONDA NES</v>
          </cell>
          <cell r="L211" t="str">
            <v>HONDA NES</v>
          </cell>
          <cell r="M211" t="str">
            <v>CPA HONDA NES HEV/PET</v>
          </cell>
          <cell r="N211" t="str">
            <v>RELIEF 2</v>
          </cell>
          <cell r="O211" t="str">
            <v>RELIEF</v>
          </cell>
          <cell r="P211" t="str">
            <v>A</v>
          </cell>
          <cell r="Q211" t="str">
            <v>PI</v>
          </cell>
          <cell r="R211" t="str">
            <v>PERMANENT</v>
          </cell>
          <cell r="S211" t="str">
            <v>PRM</v>
          </cell>
          <cell r="T211" t="str">
            <v>OPT</v>
          </cell>
          <cell r="U211" t="str">
            <v>-</v>
          </cell>
          <cell r="V211" t="str">
            <v>P</v>
          </cell>
          <cell r="W211">
            <v>42</v>
          </cell>
        </row>
        <row r="212">
          <cell r="A212">
            <v>1109</v>
          </cell>
          <cell r="B212" t="str">
            <v>001109</v>
          </cell>
          <cell r="C212" t="str">
            <v>DIAN PUSPITASARI</v>
          </cell>
          <cell r="D212" t="str">
            <v>SAMI</v>
          </cell>
          <cell r="E212" t="str">
            <v>ADM-8</v>
          </cell>
          <cell r="F212">
            <v>37887</v>
          </cell>
          <cell r="G212" t="str">
            <v>-</v>
          </cell>
          <cell r="H212" t="str">
            <v>-</v>
          </cell>
          <cell r="I212" t="str">
            <v>PGA</v>
          </cell>
          <cell r="J212" t="str">
            <v>HR</v>
          </cell>
          <cell r="K212" t="str">
            <v>ALL</v>
          </cell>
          <cell r="L212" t="str">
            <v>ALL</v>
          </cell>
          <cell r="M212" t="str">
            <v>HR</v>
          </cell>
          <cell r="N212" t="str">
            <v>LEADER</v>
          </cell>
          <cell r="O212" t="str">
            <v>IDL LL</v>
          </cell>
          <cell r="P212" t="str">
            <v>A (NS)</v>
          </cell>
          <cell r="Q212" t="str">
            <v>ADM</v>
          </cell>
          <cell r="R212" t="str">
            <v>PERMANENT</v>
          </cell>
          <cell r="S212" t="str">
            <v>PRM</v>
          </cell>
          <cell r="T212" t="str">
            <v>LL</v>
          </cell>
          <cell r="U212" t="str">
            <v>-</v>
          </cell>
          <cell r="V212" t="str">
            <v>P</v>
          </cell>
          <cell r="W212">
            <v>42</v>
          </cell>
        </row>
        <row r="213">
          <cell r="A213">
            <v>1111</v>
          </cell>
          <cell r="B213" t="str">
            <v>001111</v>
          </cell>
          <cell r="C213" t="str">
            <v>NURHIDAYAT</v>
          </cell>
          <cell r="D213" t="str">
            <v>SAMI</v>
          </cell>
          <cell r="E213" t="str">
            <v>ADM-8</v>
          </cell>
          <cell r="F213">
            <v>37887</v>
          </cell>
          <cell r="G213" t="str">
            <v>-</v>
          </cell>
          <cell r="H213" t="str">
            <v>-</v>
          </cell>
          <cell r="I213" t="str">
            <v>LOG</v>
          </cell>
          <cell r="J213" t="str">
            <v>LIS</v>
          </cell>
          <cell r="K213" t="str">
            <v>ALL</v>
          </cell>
          <cell r="L213" t="str">
            <v>ALL</v>
          </cell>
          <cell r="M213" t="str">
            <v>LOG. INVENTORY SYSTEM</v>
          </cell>
          <cell r="N213" t="str">
            <v>LEADER</v>
          </cell>
          <cell r="O213" t="str">
            <v>FPS LL</v>
          </cell>
          <cell r="P213" t="str">
            <v>A (NS)</v>
          </cell>
          <cell r="Q213" t="str">
            <v>PS</v>
          </cell>
          <cell r="R213" t="str">
            <v>PERMANENT</v>
          </cell>
          <cell r="S213" t="str">
            <v>PRM</v>
          </cell>
          <cell r="T213" t="str">
            <v>LL</v>
          </cell>
          <cell r="U213" t="str">
            <v>-</v>
          </cell>
          <cell r="V213" t="str">
            <v>L</v>
          </cell>
          <cell r="W213">
            <v>41</v>
          </cell>
        </row>
        <row r="214">
          <cell r="A214">
            <v>1113</v>
          </cell>
          <cell r="B214" t="str">
            <v>001113</v>
          </cell>
          <cell r="C214" t="str">
            <v>JOKO PAMUNGKAS S.N</v>
          </cell>
          <cell r="D214" t="str">
            <v>SAMI</v>
          </cell>
          <cell r="E214" t="str">
            <v>ADM-8</v>
          </cell>
          <cell r="F214">
            <v>37887</v>
          </cell>
          <cell r="G214" t="str">
            <v>-</v>
          </cell>
          <cell r="H214" t="str">
            <v>-</v>
          </cell>
          <cell r="I214" t="str">
            <v>QA</v>
          </cell>
          <cell r="J214" t="str">
            <v>NON LINE</v>
          </cell>
          <cell r="K214" t="str">
            <v>ALL</v>
          </cell>
          <cell r="L214" t="str">
            <v>ALL</v>
          </cell>
          <cell r="M214" t="str">
            <v>RCV - TUGU</v>
          </cell>
          <cell r="N214" t="str">
            <v>LEADER</v>
          </cell>
          <cell r="O214" t="str">
            <v>FPS LL</v>
          </cell>
          <cell r="P214" t="str">
            <v>A (NS)</v>
          </cell>
          <cell r="Q214" t="str">
            <v>PS</v>
          </cell>
          <cell r="R214" t="str">
            <v>PERMANENT</v>
          </cell>
          <cell r="S214" t="str">
            <v>PRM</v>
          </cell>
          <cell r="T214" t="str">
            <v>LL</v>
          </cell>
          <cell r="U214" t="str">
            <v>-</v>
          </cell>
          <cell r="V214" t="str">
            <v>L</v>
          </cell>
          <cell r="W214">
            <v>42</v>
          </cell>
        </row>
        <row r="215">
          <cell r="A215">
            <v>1123</v>
          </cell>
          <cell r="B215" t="str">
            <v>001123</v>
          </cell>
          <cell r="C215" t="str">
            <v>RITA UTAMI</v>
          </cell>
          <cell r="D215" t="str">
            <v>SAMI</v>
          </cell>
          <cell r="E215" t="str">
            <v>OPT-28</v>
          </cell>
          <cell r="F215">
            <v>37900</v>
          </cell>
          <cell r="G215" t="str">
            <v>-</v>
          </cell>
          <cell r="H215" t="str">
            <v>-</v>
          </cell>
          <cell r="I215" t="str">
            <v>QA</v>
          </cell>
          <cell r="J215" t="str">
            <v>FINAL ASSY</v>
          </cell>
          <cell r="K215" t="str">
            <v>HONDA BBP</v>
          </cell>
          <cell r="L215" t="str">
            <v>HV HONDA 5JLA BBP</v>
          </cell>
          <cell r="M215" t="str">
            <v>CV HV 04A</v>
          </cell>
          <cell r="N215" t="str">
            <v>GL INSPECTION</v>
          </cell>
          <cell r="O215" t="str">
            <v>GL</v>
          </cell>
          <cell r="P215" t="str">
            <v>B</v>
          </cell>
          <cell r="Q215" t="str">
            <v>PI</v>
          </cell>
          <cell r="R215" t="str">
            <v>PERMANENT</v>
          </cell>
          <cell r="S215" t="str">
            <v>PRM</v>
          </cell>
          <cell r="T215" t="str">
            <v>GL</v>
          </cell>
          <cell r="U215" t="str">
            <v>-</v>
          </cell>
          <cell r="V215" t="str">
            <v>P</v>
          </cell>
          <cell r="W215">
            <v>40</v>
          </cell>
        </row>
        <row r="216">
          <cell r="A216">
            <v>1126</v>
          </cell>
          <cell r="B216" t="str">
            <v>001126</v>
          </cell>
          <cell r="C216" t="str">
            <v>SITI KHOLIFAH</v>
          </cell>
          <cell r="D216" t="str">
            <v>SAMI</v>
          </cell>
          <cell r="E216" t="str">
            <v>OPT-28</v>
          </cell>
          <cell r="F216">
            <v>37900</v>
          </cell>
          <cell r="G216" t="str">
            <v>-</v>
          </cell>
          <cell r="H216" t="str">
            <v>-</v>
          </cell>
          <cell r="I216" t="str">
            <v>PRD</v>
          </cell>
          <cell r="J216" t="str">
            <v>FINAL ASSY</v>
          </cell>
          <cell r="K216" t="str">
            <v>HONDA NES</v>
          </cell>
          <cell r="L216" t="str">
            <v>HONDA NES HEV PET ENGINE</v>
          </cell>
          <cell r="M216" t="str">
            <v>CV H04</v>
          </cell>
          <cell r="N216" t="str">
            <v>SUB LINE CHO</v>
          </cell>
          <cell r="O216" t="str">
            <v>GL</v>
          </cell>
          <cell r="P216" t="str">
            <v>B</v>
          </cell>
          <cell r="Q216" t="str">
            <v>PI</v>
          </cell>
          <cell r="R216" t="str">
            <v>PERMANENT</v>
          </cell>
          <cell r="S216" t="str">
            <v>PRM</v>
          </cell>
          <cell r="T216" t="str">
            <v>SLC</v>
          </cell>
          <cell r="U216" t="str">
            <v>-</v>
          </cell>
          <cell r="V216" t="str">
            <v>P</v>
          </cell>
          <cell r="W216">
            <v>39</v>
          </cell>
        </row>
        <row r="217">
          <cell r="A217">
            <v>365</v>
          </cell>
          <cell r="B217" t="str">
            <v>000365</v>
          </cell>
          <cell r="C217" t="str">
            <v>DWI FAJAR RINI</v>
          </cell>
          <cell r="D217" t="str">
            <v>SAMI</v>
          </cell>
          <cell r="E217" t="str">
            <v>OPT-10</v>
          </cell>
          <cell r="F217">
            <v>37732</v>
          </cell>
          <cell r="G217" t="str">
            <v>-</v>
          </cell>
          <cell r="H217" t="str">
            <v>-</v>
          </cell>
          <cell r="I217" t="str">
            <v>PRD</v>
          </cell>
          <cell r="J217" t="str">
            <v>PRE ASSY</v>
          </cell>
          <cell r="K217" t="str">
            <v>HONDA NES</v>
          </cell>
          <cell r="L217" t="str">
            <v>HONDA NES</v>
          </cell>
          <cell r="M217" t="str">
            <v>CPA HONDA NES HEV/PET</v>
          </cell>
          <cell r="N217" t="str">
            <v>INSP CUTTING</v>
          </cell>
          <cell r="O217" t="str">
            <v>P/A INSPECTOR</v>
          </cell>
          <cell r="P217" t="str">
            <v>A</v>
          </cell>
          <cell r="Q217" t="str">
            <v>PI</v>
          </cell>
          <cell r="R217" t="str">
            <v>PERMANENT</v>
          </cell>
          <cell r="S217" t="str">
            <v>PRM</v>
          </cell>
          <cell r="T217" t="str">
            <v>OPT</v>
          </cell>
          <cell r="U217" t="str">
            <v>-</v>
          </cell>
          <cell r="V217" t="str">
            <v>P</v>
          </cell>
          <cell r="W217">
            <v>41</v>
          </cell>
        </row>
        <row r="218">
          <cell r="A218">
            <v>1133</v>
          </cell>
          <cell r="B218" t="str">
            <v>001133</v>
          </cell>
          <cell r="C218" t="str">
            <v>ISTI HANDAYANI</v>
          </cell>
          <cell r="D218" t="str">
            <v>SAMI</v>
          </cell>
          <cell r="E218" t="str">
            <v>OPT-28</v>
          </cell>
          <cell r="F218">
            <v>37900</v>
          </cell>
          <cell r="G218" t="str">
            <v>-</v>
          </cell>
          <cell r="H218" t="str">
            <v>-</v>
          </cell>
          <cell r="I218" t="str">
            <v>PRD</v>
          </cell>
          <cell r="J218" t="str">
            <v>FINAL ASSY</v>
          </cell>
          <cell r="K218" t="str">
            <v>HONDA NES</v>
          </cell>
          <cell r="L218" t="str">
            <v>HONDA NES HEV PET ENGINE</v>
          </cell>
          <cell r="M218" t="str">
            <v>CV H04</v>
          </cell>
          <cell r="N218" t="str">
            <v>VISUAL 2.2</v>
          </cell>
          <cell r="O218" t="str">
            <v>VISUAL INSPECTION</v>
          </cell>
          <cell r="P218" t="str">
            <v>B</v>
          </cell>
          <cell r="Q218" t="str">
            <v>DL</v>
          </cell>
          <cell r="R218" t="str">
            <v>PERMANENT</v>
          </cell>
          <cell r="S218" t="str">
            <v>PRM</v>
          </cell>
          <cell r="T218" t="str">
            <v>OPT</v>
          </cell>
          <cell r="U218" t="str">
            <v>-</v>
          </cell>
          <cell r="V218" t="str">
            <v>P</v>
          </cell>
          <cell r="W218">
            <v>39</v>
          </cell>
        </row>
        <row r="219">
          <cell r="A219">
            <v>1137</v>
          </cell>
          <cell r="B219" t="str">
            <v>001137</v>
          </cell>
          <cell r="C219" t="str">
            <v>NURUL SYAMSIYAH HANDAYANI</v>
          </cell>
          <cell r="D219" t="str">
            <v>SAMI</v>
          </cell>
          <cell r="E219" t="str">
            <v>OPT-28</v>
          </cell>
          <cell r="F219">
            <v>37900</v>
          </cell>
          <cell r="G219" t="str">
            <v>-</v>
          </cell>
          <cell r="H219" t="str">
            <v>-</v>
          </cell>
          <cell r="I219" t="str">
            <v>QA</v>
          </cell>
          <cell r="J219" t="str">
            <v>FINAL ASSY</v>
          </cell>
          <cell r="K219" t="str">
            <v>MAZDA 3</v>
          </cell>
          <cell r="L219" t="str">
            <v>MAZDA REAR</v>
          </cell>
          <cell r="M219" t="str">
            <v>CV M01</v>
          </cell>
          <cell r="N219" t="str">
            <v>GL REWORK</v>
          </cell>
          <cell r="O219" t="str">
            <v>REWORK</v>
          </cell>
          <cell r="P219" t="str">
            <v>B</v>
          </cell>
          <cell r="Q219" t="str">
            <v>PI</v>
          </cell>
          <cell r="R219" t="str">
            <v>PERMANENT</v>
          </cell>
          <cell r="S219" t="str">
            <v>PRM</v>
          </cell>
          <cell r="T219" t="str">
            <v>GL</v>
          </cell>
          <cell r="U219" t="str">
            <v>-</v>
          </cell>
          <cell r="V219" t="str">
            <v>P</v>
          </cell>
          <cell r="W219">
            <v>39</v>
          </cell>
        </row>
        <row r="220">
          <cell r="A220">
            <v>1275</v>
          </cell>
          <cell r="B220" t="str">
            <v>001275</v>
          </cell>
          <cell r="C220" t="str">
            <v>CHUSNUL CHOTIMAH</v>
          </cell>
          <cell r="D220" t="str">
            <v>SAMI</v>
          </cell>
          <cell r="E220" t="str">
            <v>OPT-31</v>
          </cell>
          <cell r="F220">
            <v>37921</v>
          </cell>
          <cell r="G220" t="str">
            <v>-</v>
          </cell>
          <cell r="H220" t="str">
            <v>-</v>
          </cell>
          <cell r="I220" t="str">
            <v>PRD</v>
          </cell>
          <cell r="J220" t="str">
            <v>PRE ASSY</v>
          </cell>
          <cell r="K220" t="str">
            <v>HONDA NES</v>
          </cell>
          <cell r="L220" t="str">
            <v>HONDA NES</v>
          </cell>
          <cell r="M220" t="str">
            <v>CPA HONDA NES HEV/PET</v>
          </cell>
          <cell r="N220" t="str">
            <v>BFT</v>
          </cell>
          <cell r="O220" t="str">
            <v>WFAP 2.2</v>
          </cell>
          <cell r="P220" t="str">
            <v>A</v>
          </cell>
          <cell r="Q220" t="str">
            <v>DL</v>
          </cell>
          <cell r="R220" t="str">
            <v>PERMANENT</v>
          </cell>
          <cell r="S220" t="str">
            <v>PRM</v>
          </cell>
          <cell r="T220" t="str">
            <v>OPT</v>
          </cell>
          <cell r="U220" t="str">
            <v>-</v>
          </cell>
          <cell r="V220" t="str">
            <v>P</v>
          </cell>
          <cell r="W220">
            <v>39</v>
          </cell>
        </row>
        <row r="221">
          <cell r="A221">
            <v>5443</v>
          </cell>
          <cell r="B221" t="str">
            <v>005443</v>
          </cell>
          <cell r="C221" t="str">
            <v>SITI MONDOLIFAH</v>
          </cell>
          <cell r="D221" t="str">
            <v>SAMI</v>
          </cell>
          <cell r="E221" t="str">
            <v>OPT-128</v>
          </cell>
          <cell r="F221">
            <v>38991</v>
          </cell>
          <cell r="G221" t="str">
            <v>-</v>
          </cell>
          <cell r="H221" t="str">
            <v>-</v>
          </cell>
          <cell r="I221" t="str">
            <v>PRD</v>
          </cell>
          <cell r="J221" t="str">
            <v>PRE ASSY</v>
          </cell>
          <cell r="K221" t="str">
            <v>HONDA NES</v>
          </cell>
          <cell r="L221" t="str">
            <v>HONDA NES</v>
          </cell>
          <cell r="M221" t="str">
            <v>CPA HONDA NES HEV/PET</v>
          </cell>
          <cell r="N221" t="str">
            <v>PRD LINE CHO</v>
          </cell>
          <cell r="O221" t="str">
            <v>FPI LL</v>
          </cell>
          <cell r="P221" t="str">
            <v>A</v>
          </cell>
          <cell r="Q221" t="str">
            <v>PI</v>
          </cell>
          <cell r="R221" t="str">
            <v>PERMANENT</v>
          </cell>
          <cell r="S221" t="str">
            <v>PRM</v>
          </cell>
          <cell r="T221" t="str">
            <v>LC</v>
          </cell>
          <cell r="U221" t="str">
            <v>-</v>
          </cell>
          <cell r="V221" t="str">
            <v>P</v>
          </cell>
          <cell r="W221">
            <v>39</v>
          </cell>
        </row>
        <row r="222">
          <cell r="A222">
            <v>1141</v>
          </cell>
          <cell r="B222" t="str">
            <v>001141</v>
          </cell>
          <cell r="C222" t="str">
            <v>DIAN INDRIANA</v>
          </cell>
          <cell r="D222" t="str">
            <v>SAMI</v>
          </cell>
          <cell r="E222" t="str">
            <v>OPT-28</v>
          </cell>
          <cell r="F222">
            <v>37900</v>
          </cell>
          <cell r="G222" t="str">
            <v>-</v>
          </cell>
          <cell r="H222" t="str">
            <v>-</v>
          </cell>
          <cell r="I222" t="str">
            <v>PE</v>
          </cell>
          <cell r="J222" t="str">
            <v>MTP</v>
          </cell>
          <cell r="K222" t="str">
            <v>ALL</v>
          </cell>
          <cell r="L222" t="str">
            <v>ALL</v>
          </cell>
          <cell r="M222" t="str">
            <v>MTP</v>
          </cell>
          <cell r="N222" t="str">
            <v>ADMINISTRASI</v>
          </cell>
          <cell r="O222" t="str">
            <v>DATA &amp; ORDERING</v>
          </cell>
          <cell r="P222" t="str">
            <v>A (NS)</v>
          </cell>
          <cell r="Q222" t="str">
            <v>PS</v>
          </cell>
          <cell r="R222" t="str">
            <v>PERMANENT</v>
          </cell>
          <cell r="S222" t="str">
            <v>PRM</v>
          </cell>
          <cell r="T222" t="str">
            <v>GL</v>
          </cell>
          <cell r="U222" t="str">
            <v>-</v>
          </cell>
          <cell r="V222" t="str">
            <v>P</v>
          </cell>
          <cell r="W222">
            <v>40</v>
          </cell>
        </row>
        <row r="223">
          <cell r="A223">
            <v>1143</v>
          </cell>
          <cell r="B223" t="str">
            <v>001143</v>
          </cell>
          <cell r="C223" t="str">
            <v>ENDANG SARWITRI</v>
          </cell>
          <cell r="D223" t="str">
            <v>SAMI</v>
          </cell>
          <cell r="E223" t="str">
            <v>OPT-28</v>
          </cell>
          <cell r="F223">
            <v>37900</v>
          </cell>
          <cell r="G223" t="str">
            <v>-</v>
          </cell>
          <cell r="H223" t="str">
            <v>-</v>
          </cell>
          <cell r="I223" t="str">
            <v>PRD</v>
          </cell>
          <cell r="J223" t="str">
            <v>PRE ASSY</v>
          </cell>
          <cell r="K223" t="str">
            <v>HONDA NES</v>
          </cell>
          <cell r="L223" t="str">
            <v>HONDA NES</v>
          </cell>
          <cell r="M223" t="str">
            <v>CPA HONDA NES HEV/PET</v>
          </cell>
          <cell r="N223" t="str">
            <v>INSP CUTTING</v>
          </cell>
          <cell r="O223" t="str">
            <v>P/A INSPECTOR</v>
          </cell>
          <cell r="P223" t="str">
            <v>B</v>
          </cell>
          <cell r="Q223" t="str">
            <v>PI</v>
          </cell>
          <cell r="R223" t="str">
            <v>PERMANENT</v>
          </cell>
          <cell r="S223" t="str">
            <v>PRM</v>
          </cell>
          <cell r="T223" t="str">
            <v>OPT</v>
          </cell>
          <cell r="U223" t="str">
            <v>-</v>
          </cell>
          <cell r="V223" t="str">
            <v>P</v>
          </cell>
          <cell r="W223">
            <v>42</v>
          </cell>
        </row>
        <row r="224">
          <cell r="A224">
            <v>5493</v>
          </cell>
          <cell r="B224" t="str">
            <v>005493</v>
          </cell>
          <cell r="C224" t="str">
            <v>DWI FAJAR RIYANTI</v>
          </cell>
          <cell r="D224" t="str">
            <v>SAMI</v>
          </cell>
          <cell r="E224" t="str">
            <v>OPT-129</v>
          </cell>
          <cell r="F224">
            <v>39022</v>
          </cell>
          <cell r="G224" t="str">
            <v>-</v>
          </cell>
          <cell r="H224" t="str">
            <v>-</v>
          </cell>
          <cell r="I224" t="str">
            <v>PRD</v>
          </cell>
          <cell r="J224" t="str">
            <v>PRE ASSY</v>
          </cell>
          <cell r="K224" t="str">
            <v>HONDA NES</v>
          </cell>
          <cell r="L224" t="str">
            <v>HONDA NES</v>
          </cell>
          <cell r="M224" t="str">
            <v>CPA HONDA NES HEV/PET</v>
          </cell>
          <cell r="N224" t="str">
            <v>INSP DOUBLE CHECK</v>
          </cell>
          <cell r="O224" t="str">
            <v>P/A INSPECTOR</v>
          </cell>
          <cell r="P224" t="str">
            <v>A</v>
          </cell>
          <cell r="Q224" t="str">
            <v>PI</v>
          </cell>
          <cell r="R224" t="str">
            <v>PERMANENT</v>
          </cell>
          <cell r="S224" t="str">
            <v>PRM</v>
          </cell>
          <cell r="T224" t="str">
            <v>OPT</v>
          </cell>
          <cell r="U224" t="str">
            <v>-</v>
          </cell>
          <cell r="V224" t="str">
            <v>P</v>
          </cell>
          <cell r="W224">
            <v>40</v>
          </cell>
        </row>
        <row r="225">
          <cell r="A225">
            <v>5791</v>
          </cell>
          <cell r="B225" t="str">
            <v>005791</v>
          </cell>
          <cell r="C225" t="str">
            <v>NUR WAHID</v>
          </cell>
          <cell r="D225" t="str">
            <v>SAMI</v>
          </cell>
          <cell r="E225" t="str">
            <v>OPT-135</v>
          </cell>
          <cell r="F225">
            <v>39114</v>
          </cell>
          <cell r="G225" t="str">
            <v>-</v>
          </cell>
          <cell r="H225" t="str">
            <v>-</v>
          </cell>
          <cell r="I225" t="str">
            <v>PRD</v>
          </cell>
          <cell r="J225" t="str">
            <v>PRE ASSY</v>
          </cell>
          <cell r="K225" t="str">
            <v>HONDA NES</v>
          </cell>
          <cell r="L225" t="str">
            <v>HONDA NES</v>
          </cell>
          <cell r="M225" t="str">
            <v>CPA HONDA NES HEV/PET</v>
          </cell>
          <cell r="N225" t="str">
            <v>CUTTING KDR-HDA-01</v>
          </cell>
          <cell r="O225" t="str">
            <v>CUTTING WIRE</v>
          </cell>
          <cell r="P225" t="str">
            <v>A</v>
          </cell>
          <cell r="Q225" t="str">
            <v>DL</v>
          </cell>
          <cell r="R225" t="str">
            <v>PERMANENT</v>
          </cell>
          <cell r="S225" t="str">
            <v>PRM</v>
          </cell>
          <cell r="T225" t="str">
            <v>OPT</v>
          </cell>
          <cell r="U225" t="str">
            <v>-</v>
          </cell>
          <cell r="V225" t="str">
            <v>L</v>
          </cell>
          <cell r="W225">
            <v>40</v>
          </cell>
        </row>
        <row r="226">
          <cell r="A226">
            <v>1153</v>
          </cell>
          <cell r="B226" t="str">
            <v>001153</v>
          </cell>
          <cell r="C226" t="str">
            <v>SRI REJEKI</v>
          </cell>
          <cell r="D226" t="str">
            <v>SAMI</v>
          </cell>
          <cell r="E226" t="str">
            <v>OPT-28</v>
          </cell>
          <cell r="F226">
            <v>37900</v>
          </cell>
          <cell r="G226" t="str">
            <v>-</v>
          </cell>
          <cell r="H226" t="str">
            <v>-</v>
          </cell>
          <cell r="I226" t="str">
            <v>PP</v>
          </cell>
          <cell r="J226" t="str">
            <v>OS &amp; IMPR</v>
          </cell>
          <cell r="K226" t="str">
            <v>ALL</v>
          </cell>
          <cell r="L226" t="str">
            <v>ALL</v>
          </cell>
          <cell r="M226" t="str">
            <v>OS &amp; IMPR</v>
          </cell>
          <cell r="N226" t="str">
            <v>DOKUMEN OS</v>
          </cell>
          <cell r="O226" t="str">
            <v>PROCESS ENG</v>
          </cell>
          <cell r="P226" t="str">
            <v>A (NS)</v>
          </cell>
          <cell r="Q226" t="str">
            <v>PS</v>
          </cell>
          <cell r="R226" t="str">
            <v>PERMANENT</v>
          </cell>
          <cell r="S226" t="str">
            <v>PRM</v>
          </cell>
          <cell r="T226" t="str">
            <v>ADM</v>
          </cell>
          <cell r="U226" t="str">
            <v>-</v>
          </cell>
          <cell r="V226" t="str">
            <v>P</v>
          </cell>
          <cell r="W226">
            <v>42</v>
          </cell>
        </row>
        <row r="227">
          <cell r="A227">
            <v>1154</v>
          </cell>
          <cell r="B227" t="str">
            <v>001154</v>
          </cell>
          <cell r="C227" t="str">
            <v>AFIK MUFARIDHO</v>
          </cell>
          <cell r="D227" t="str">
            <v>SAMI</v>
          </cell>
          <cell r="E227" t="str">
            <v>OPT-28</v>
          </cell>
          <cell r="F227">
            <v>37900</v>
          </cell>
          <cell r="G227" t="str">
            <v>-</v>
          </cell>
          <cell r="H227" t="str">
            <v>-</v>
          </cell>
          <cell r="I227" t="str">
            <v>QA</v>
          </cell>
          <cell r="J227" t="str">
            <v>FINAL ASSY</v>
          </cell>
          <cell r="K227" t="str">
            <v>TOYOTA</v>
          </cell>
          <cell r="L227" t="str">
            <v>AQUA SIENTA</v>
          </cell>
          <cell r="M227" t="str">
            <v>CV T01</v>
          </cell>
          <cell r="N227" t="str">
            <v>GL INSPECTION</v>
          </cell>
          <cell r="O227" t="str">
            <v>GL</v>
          </cell>
          <cell r="P227" t="str">
            <v>A</v>
          </cell>
          <cell r="Q227" t="str">
            <v>PI</v>
          </cell>
          <cell r="R227" t="str">
            <v>PERMANENT</v>
          </cell>
          <cell r="S227" t="str">
            <v>PRM</v>
          </cell>
          <cell r="T227" t="str">
            <v>GL</v>
          </cell>
          <cell r="U227" t="str">
            <v>-</v>
          </cell>
          <cell r="V227" t="str">
            <v>P</v>
          </cell>
          <cell r="W227">
            <v>40</v>
          </cell>
        </row>
        <row r="228">
          <cell r="A228">
            <v>1158</v>
          </cell>
          <cell r="B228" t="str">
            <v>001158</v>
          </cell>
          <cell r="C228" t="str">
            <v>DARMUJI</v>
          </cell>
          <cell r="D228" t="str">
            <v>SAMI</v>
          </cell>
          <cell r="E228" t="str">
            <v>SPV UP</v>
          </cell>
          <cell r="F228">
            <v>37900</v>
          </cell>
          <cell r="G228" t="str">
            <v>-</v>
          </cell>
          <cell r="H228" t="str">
            <v>-</v>
          </cell>
          <cell r="I228" t="str">
            <v>PGA</v>
          </cell>
          <cell r="J228" t="str">
            <v>QS</v>
          </cell>
          <cell r="K228" t="str">
            <v>ALL</v>
          </cell>
          <cell r="L228" t="str">
            <v>ALL</v>
          </cell>
          <cell r="M228" t="str">
            <v>QUALITY SYSTEM</v>
          </cell>
          <cell r="N228" t="str">
            <v>SUPERVISOR</v>
          </cell>
          <cell r="O228" t="str">
            <v>IDL SPV</v>
          </cell>
          <cell r="P228" t="str">
            <v>A (NS)</v>
          </cell>
          <cell r="Q228" t="str">
            <v>ADM</v>
          </cell>
          <cell r="R228" t="str">
            <v>PERMANENT</v>
          </cell>
          <cell r="S228" t="str">
            <v>PRM</v>
          </cell>
          <cell r="T228" t="str">
            <v>SPV</v>
          </cell>
          <cell r="U228" t="str">
            <v>-</v>
          </cell>
          <cell r="V228" t="str">
            <v>L</v>
          </cell>
          <cell r="W228">
            <v>44</v>
          </cell>
        </row>
        <row r="229">
          <cell r="A229">
            <v>1160</v>
          </cell>
          <cell r="B229" t="str">
            <v>001160</v>
          </cell>
          <cell r="C229" t="str">
            <v>FAJAR ADIDEWA</v>
          </cell>
          <cell r="D229" t="str">
            <v>SAMI</v>
          </cell>
          <cell r="E229" t="str">
            <v>SPV UP</v>
          </cell>
          <cell r="F229">
            <v>37900</v>
          </cell>
          <cell r="G229" t="str">
            <v>-</v>
          </cell>
          <cell r="H229" t="str">
            <v>-</v>
          </cell>
          <cell r="I229" t="str">
            <v>PGA</v>
          </cell>
          <cell r="J229" t="str">
            <v>HR</v>
          </cell>
          <cell r="K229" t="str">
            <v>ALL</v>
          </cell>
          <cell r="L229" t="str">
            <v>ALL</v>
          </cell>
          <cell r="M229" t="str">
            <v>HR</v>
          </cell>
          <cell r="N229" t="str">
            <v>COORD. SUPERVISOR</v>
          </cell>
          <cell r="O229" t="str">
            <v>IDL SPV</v>
          </cell>
          <cell r="P229" t="str">
            <v>A (NS)</v>
          </cell>
          <cell r="Q229" t="str">
            <v>ADM</v>
          </cell>
          <cell r="R229" t="str">
            <v>PERMANENT</v>
          </cell>
          <cell r="S229" t="str">
            <v>PRM</v>
          </cell>
          <cell r="T229" t="str">
            <v>SPV</v>
          </cell>
          <cell r="U229" t="str">
            <v>-</v>
          </cell>
          <cell r="V229" t="str">
            <v>L</v>
          </cell>
          <cell r="W229">
            <v>44</v>
          </cell>
        </row>
        <row r="230">
          <cell r="A230">
            <v>1168</v>
          </cell>
          <cell r="B230" t="str">
            <v>001168</v>
          </cell>
          <cell r="C230" t="str">
            <v>EVIN MEI SETA</v>
          </cell>
          <cell r="D230" t="str">
            <v>SAMI</v>
          </cell>
          <cell r="E230" t="str">
            <v>OPT-29</v>
          </cell>
          <cell r="F230">
            <v>37907</v>
          </cell>
          <cell r="G230" t="str">
            <v>-</v>
          </cell>
          <cell r="H230" t="str">
            <v>-</v>
          </cell>
          <cell r="I230" t="str">
            <v>PRD</v>
          </cell>
          <cell r="J230" t="str">
            <v>FINAL ASSY</v>
          </cell>
          <cell r="K230" t="str">
            <v>HONDA NES</v>
          </cell>
          <cell r="L230" t="str">
            <v>HONDA NES HEV PET ENGINE</v>
          </cell>
          <cell r="M230" t="str">
            <v>CV H03</v>
          </cell>
          <cell r="N230" t="str">
            <v>SUB LINE CHO</v>
          </cell>
          <cell r="O230" t="str">
            <v>GL</v>
          </cell>
          <cell r="P230" t="str">
            <v>B</v>
          </cell>
          <cell r="Q230" t="str">
            <v>PI</v>
          </cell>
          <cell r="R230" t="str">
            <v>PERMANENT</v>
          </cell>
          <cell r="S230" t="str">
            <v>PRM</v>
          </cell>
          <cell r="T230" t="str">
            <v>SLC</v>
          </cell>
          <cell r="U230" t="str">
            <v>-</v>
          </cell>
          <cell r="V230" t="str">
            <v>P</v>
          </cell>
          <cell r="W230">
            <v>41</v>
          </cell>
        </row>
        <row r="231">
          <cell r="A231">
            <v>5835</v>
          </cell>
          <cell r="B231" t="str">
            <v>005835</v>
          </cell>
          <cell r="C231" t="str">
            <v>TRI SUNARTI</v>
          </cell>
          <cell r="D231" t="str">
            <v>SAMI</v>
          </cell>
          <cell r="E231" t="str">
            <v>OPT-135</v>
          </cell>
          <cell r="F231">
            <v>39114</v>
          </cell>
          <cell r="G231" t="str">
            <v>-</v>
          </cell>
          <cell r="H231" t="str">
            <v>-</v>
          </cell>
          <cell r="I231" t="str">
            <v>PRD</v>
          </cell>
          <cell r="J231" t="str">
            <v>PRE ASSY</v>
          </cell>
          <cell r="K231" t="str">
            <v>HONDA NES</v>
          </cell>
          <cell r="L231" t="str">
            <v>HONDA NES</v>
          </cell>
          <cell r="M231" t="str">
            <v>CPA HONDA NES HEV/PET</v>
          </cell>
          <cell r="N231" t="str">
            <v>CUTTING AC90-3MO-07, AC81-3MO-01</v>
          </cell>
          <cell r="O231" t="str">
            <v>CUTTING WIRE</v>
          </cell>
          <cell r="P231" t="str">
            <v>A</v>
          </cell>
          <cell r="Q231" t="str">
            <v>DL</v>
          </cell>
          <cell r="R231" t="str">
            <v>PERMANENT</v>
          </cell>
          <cell r="S231" t="str">
            <v>PRM</v>
          </cell>
          <cell r="T231" t="str">
            <v>OPT</v>
          </cell>
          <cell r="U231" t="str">
            <v>-</v>
          </cell>
          <cell r="V231" t="str">
            <v>P</v>
          </cell>
          <cell r="W231">
            <v>39</v>
          </cell>
        </row>
        <row r="232">
          <cell r="A232">
            <v>1171</v>
          </cell>
          <cell r="B232" t="str">
            <v>001171</v>
          </cell>
          <cell r="C232" t="str">
            <v>TRI PALUPI HANDAYANI</v>
          </cell>
          <cell r="D232" t="str">
            <v>SAMI</v>
          </cell>
          <cell r="E232" t="str">
            <v>OPT-29</v>
          </cell>
          <cell r="F232">
            <v>37907</v>
          </cell>
          <cell r="G232" t="str">
            <v>-</v>
          </cell>
          <cell r="H232" t="str">
            <v>-</v>
          </cell>
          <cell r="I232" t="str">
            <v>PRD</v>
          </cell>
          <cell r="J232" t="str">
            <v>PRE ASSY</v>
          </cell>
          <cell r="K232" t="str">
            <v>SUZUKI WAGON R/HUSTLER</v>
          </cell>
          <cell r="L232" t="str">
            <v>SUZUKI YW0/Y0C/YEV</v>
          </cell>
          <cell r="M232" t="str">
            <v>CPA SUZUKI</v>
          </cell>
          <cell r="N232" t="str">
            <v>PRD LINE CHO</v>
          </cell>
          <cell r="O232" t="str">
            <v>FPI LL</v>
          </cell>
          <cell r="P232" t="str">
            <v>B</v>
          </cell>
          <cell r="Q232" t="str">
            <v>PI</v>
          </cell>
          <cell r="R232" t="str">
            <v>PERMANENT</v>
          </cell>
          <cell r="S232" t="str">
            <v>PRM</v>
          </cell>
          <cell r="T232" t="str">
            <v>LC</v>
          </cell>
          <cell r="U232" t="str">
            <v>-</v>
          </cell>
          <cell r="V232" t="str">
            <v>P</v>
          </cell>
          <cell r="W232">
            <v>39</v>
          </cell>
        </row>
        <row r="233">
          <cell r="A233">
            <v>5963</v>
          </cell>
          <cell r="B233" t="str">
            <v>005963</v>
          </cell>
          <cell r="C233" t="str">
            <v>WIJI LESTARI</v>
          </cell>
          <cell r="D233" t="str">
            <v>SAMI</v>
          </cell>
          <cell r="E233" t="str">
            <v>OPT-137</v>
          </cell>
          <cell r="F233">
            <v>39129</v>
          </cell>
          <cell r="G233" t="str">
            <v>-</v>
          </cell>
          <cell r="H233" t="str">
            <v>-</v>
          </cell>
          <cell r="I233" t="str">
            <v>PRD</v>
          </cell>
          <cell r="J233" t="str">
            <v>PRE ASSY</v>
          </cell>
          <cell r="K233" t="str">
            <v>HONDA NES</v>
          </cell>
          <cell r="L233" t="str">
            <v>HONDA NES</v>
          </cell>
          <cell r="M233" t="str">
            <v>CPA HONDA NES HEV/PET</v>
          </cell>
          <cell r="N233" t="str">
            <v>INSP SILICON</v>
          </cell>
          <cell r="O233" t="str">
            <v>P/A INSPECTOR</v>
          </cell>
          <cell r="P233" t="str">
            <v>A</v>
          </cell>
          <cell r="Q233" t="str">
            <v>PI</v>
          </cell>
          <cell r="R233" t="str">
            <v>PERMANENT</v>
          </cell>
          <cell r="S233" t="str">
            <v>PRM</v>
          </cell>
          <cell r="T233" t="str">
            <v>OPT</v>
          </cell>
          <cell r="U233" t="str">
            <v>-</v>
          </cell>
          <cell r="V233" t="str">
            <v>P</v>
          </cell>
          <cell r="W233">
            <v>39</v>
          </cell>
        </row>
        <row r="234">
          <cell r="A234">
            <v>6364</v>
          </cell>
          <cell r="B234" t="str">
            <v>006364</v>
          </cell>
          <cell r="C234" t="str">
            <v>ISTIHANAH</v>
          </cell>
          <cell r="D234" t="str">
            <v>SAMI</v>
          </cell>
          <cell r="E234" t="str">
            <v>OPT-148</v>
          </cell>
          <cell r="F234">
            <v>39279</v>
          </cell>
          <cell r="G234" t="str">
            <v>-</v>
          </cell>
          <cell r="H234" t="str">
            <v>-</v>
          </cell>
          <cell r="I234" t="str">
            <v>PRD</v>
          </cell>
          <cell r="J234" t="str">
            <v>PRE ASSY</v>
          </cell>
          <cell r="K234" t="str">
            <v>HONDA NES</v>
          </cell>
          <cell r="L234" t="str">
            <v>HONDA NES</v>
          </cell>
          <cell r="M234" t="str">
            <v>CPA HONDA NES HEV/PET</v>
          </cell>
          <cell r="N234" t="str">
            <v>CUTTING AC90-3MO-02</v>
          </cell>
          <cell r="O234" t="str">
            <v>CUTTING WIRE</v>
          </cell>
          <cell r="P234" t="str">
            <v>A</v>
          </cell>
          <cell r="Q234" t="str">
            <v>DL</v>
          </cell>
          <cell r="R234" t="str">
            <v>PERMANENT</v>
          </cell>
          <cell r="S234" t="str">
            <v>PRM</v>
          </cell>
          <cell r="T234" t="str">
            <v>OPT</v>
          </cell>
          <cell r="U234" t="str">
            <v>-</v>
          </cell>
          <cell r="V234" t="str">
            <v>P</v>
          </cell>
          <cell r="W234">
            <v>39</v>
          </cell>
        </row>
        <row r="235">
          <cell r="A235">
            <v>1192</v>
          </cell>
          <cell r="B235" t="str">
            <v>001192</v>
          </cell>
          <cell r="C235" t="str">
            <v>VERAWATI</v>
          </cell>
          <cell r="D235" t="str">
            <v>SAMI</v>
          </cell>
          <cell r="E235" t="str">
            <v>OPT-29</v>
          </cell>
          <cell r="F235">
            <v>37907</v>
          </cell>
          <cell r="G235" t="str">
            <v>-</v>
          </cell>
          <cell r="H235" t="str">
            <v>-</v>
          </cell>
          <cell r="I235" t="str">
            <v>QA</v>
          </cell>
          <cell r="J235" t="str">
            <v>FINAL ASSY</v>
          </cell>
          <cell r="K235" t="str">
            <v>SUZUKI WAGON R</v>
          </cell>
          <cell r="L235" t="str">
            <v>SUZUKI YW0</v>
          </cell>
          <cell r="M235" t="str">
            <v>CV S01</v>
          </cell>
          <cell r="N235" t="str">
            <v>GL REWORK</v>
          </cell>
          <cell r="O235" t="str">
            <v>REWORK</v>
          </cell>
          <cell r="P235" t="str">
            <v>A</v>
          </cell>
          <cell r="Q235" t="str">
            <v>PI</v>
          </cell>
          <cell r="R235" t="str">
            <v>PERMANENT</v>
          </cell>
          <cell r="S235" t="str">
            <v>PRM</v>
          </cell>
          <cell r="T235" t="str">
            <v>GL</v>
          </cell>
          <cell r="U235" t="str">
            <v>-</v>
          </cell>
          <cell r="V235" t="str">
            <v>P</v>
          </cell>
          <cell r="W235">
            <v>39</v>
          </cell>
        </row>
        <row r="236">
          <cell r="A236">
            <v>1193</v>
          </cell>
          <cell r="B236" t="str">
            <v>001193</v>
          </cell>
          <cell r="C236" t="str">
            <v>EXI MULYATI</v>
          </cell>
          <cell r="D236" t="str">
            <v>SAMI</v>
          </cell>
          <cell r="E236" t="str">
            <v>OPT-29</v>
          </cell>
          <cell r="F236">
            <v>37907</v>
          </cell>
          <cell r="G236" t="str">
            <v>-</v>
          </cell>
          <cell r="H236" t="str">
            <v>-</v>
          </cell>
          <cell r="I236" t="str">
            <v>PP</v>
          </cell>
          <cell r="J236" t="str">
            <v>PP-3</v>
          </cell>
          <cell r="K236" t="str">
            <v>ALL</v>
          </cell>
          <cell r="L236" t="str">
            <v>ALL</v>
          </cell>
          <cell r="M236" t="str">
            <v>PP-3</v>
          </cell>
          <cell r="N236" t="str">
            <v>LEADER</v>
          </cell>
          <cell r="O236" t="str">
            <v>PROCESS ENG</v>
          </cell>
          <cell r="P236" t="str">
            <v>A (NS)</v>
          </cell>
          <cell r="Q236" t="str">
            <v>PS</v>
          </cell>
          <cell r="R236" t="str">
            <v>PERMANENT</v>
          </cell>
          <cell r="S236" t="str">
            <v>PRM</v>
          </cell>
          <cell r="T236" t="str">
            <v>LL</v>
          </cell>
          <cell r="U236" t="str">
            <v>-</v>
          </cell>
          <cell r="V236" t="str">
            <v>P</v>
          </cell>
          <cell r="W236">
            <v>42</v>
          </cell>
        </row>
        <row r="237">
          <cell r="A237">
            <v>8834</v>
          </cell>
          <cell r="B237" t="str">
            <v>008834</v>
          </cell>
          <cell r="C237" t="str">
            <v>LULUK ATUL FATKHIYYAH</v>
          </cell>
          <cell r="D237" t="str">
            <v>SAMI</v>
          </cell>
          <cell r="E237" t="str">
            <v>OPT-195</v>
          </cell>
          <cell r="F237">
            <v>39937</v>
          </cell>
          <cell r="G237" t="str">
            <v>-</v>
          </cell>
          <cell r="H237" t="str">
            <v>-</v>
          </cell>
          <cell r="I237" t="str">
            <v>PRD</v>
          </cell>
          <cell r="J237" t="str">
            <v>PRE ASSY</v>
          </cell>
          <cell r="K237" t="str">
            <v>HONDA NES</v>
          </cell>
          <cell r="L237" t="str">
            <v>HONDA NES</v>
          </cell>
          <cell r="M237" t="str">
            <v>CPA HONDA NES HEV/PET</v>
          </cell>
          <cell r="N237" t="str">
            <v>CUTTING AC90-3MO-05</v>
          </cell>
          <cell r="O237" t="str">
            <v>CUTTING WIRE</v>
          </cell>
          <cell r="P237" t="str">
            <v>A</v>
          </cell>
          <cell r="Q237" t="str">
            <v>DL</v>
          </cell>
          <cell r="R237" t="str">
            <v>PERMANENT</v>
          </cell>
          <cell r="S237" t="str">
            <v>PRM</v>
          </cell>
          <cell r="T237" t="str">
            <v>OPT</v>
          </cell>
          <cell r="U237" t="str">
            <v>-</v>
          </cell>
          <cell r="V237" t="str">
            <v>P</v>
          </cell>
          <cell r="W237">
            <v>34</v>
          </cell>
        </row>
        <row r="238">
          <cell r="A238">
            <v>1203</v>
          </cell>
          <cell r="B238" t="str">
            <v>001203</v>
          </cell>
          <cell r="C238" t="str">
            <v>EKO RIYANTO</v>
          </cell>
          <cell r="D238" t="str">
            <v>SAMI</v>
          </cell>
          <cell r="E238" t="str">
            <v>TKN-5</v>
          </cell>
          <cell r="F238">
            <v>37907</v>
          </cell>
          <cell r="G238" t="str">
            <v>-</v>
          </cell>
          <cell r="H238" t="str">
            <v>-</v>
          </cell>
          <cell r="I238" t="str">
            <v>PE</v>
          </cell>
          <cell r="J238" t="str">
            <v>MTC</v>
          </cell>
          <cell r="K238" t="str">
            <v>ALL</v>
          </cell>
          <cell r="L238" t="str">
            <v>ALL</v>
          </cell>
          <cell r="M238" t="str">
            <v>CT</v>
          </cell>
          <cell r="N238" t="str">
            <v>CS &amp; BS + IPS</v>
          </cell>
          <cell r="O238" t="str">
            <v>CRIMP STD</v>
          </cell>
          <cell r="P238" t="str">
            <v>A (NS)</v>
          </cell>
          <cell r="Q238" t="str">
            <v>PS</v>
          </cell>
          <cell r="R238" t="str">
            <v>PERMANENT</v>
          </cell>
          <cell r="S238" t="str">
            <v>PRM</v>
          </cell>
          <cell r="T238" t="str">
            <v>TKN</v>
          </cell>
          <cell r="U238" t="str">
            <v>-</v>
          </cell>
          <cell r="V238" t="str">
            <v>L</v>
          </cell>
          <cell r="W238">
            <v>39</v>
          </cell>
        </row>
        <row r="239">
          <cell r="A239">
            <v>1204</v>
          </cell>
          <cell r="B239" t="str">
            <v>001204</v>
          </cell>
          <cell r="C239" t="str">
            <v>JEHEZKIEL KURNIAWAN</v>
          </cell>
          <cell r="D239" t="str">
            <v>SAMI</v>
          </cell>
          <cell r="E239" t="str">
            <v>TKN-5</v>
          </cell>
          <cell r="F239">
            <v>37907</v>
          </cell>
          <cell r="G239" t="str">
            <v>-</v>
          </cell>
          <cell r="H239" t="str">
            <v>-</v>
          </cell>
          <cell r="I239" t="str">
            <v>PE</v>
          </cell>
          <cell r="J239" t="str">
            <v>J/C BP</v>
          </cell>
          <cell r="K239" t="str">
            <v>ALL</v>
          </cell>
          <cell r="L239" t="str">
            <v>ALL</v>
          </cell>
          <cell r="M239" t="str">
            <v>JBP</v>
          </cell>
          <cell r="N239" t="str">
            <v>GL JIG BOARD PREPARATION</v>
          </cell>
          <cell r="O239" t="str">
            <v>JBP</v>
          </cell>
          <cell r="P239" t="str">
            <v>A (NS)</v>
          </cell>
          <cell r="Q239" t="str">
            <v>PS</v>
          </cell>
          <cell r="R239" t="str">
            <v>PERMANENT</v>
          </cell>
          <cell r="S239" t="str">
            <v>PRM</v>
          </cell>
          <cell r="T239" t="str">
            <v>GL</v>
          </cell>
          <cell r="U239" t="str">
            <v>-</v>
          </cell>
          <cell r="V239" t="str">
            <v>L</v>
          </cell>
          <cell r="W239">
            <v>42</v>
          </cell>
        </row>
        <row r="240">
          <cell r="A240">
            <v>8939</v>
          </cell>
          <cell r="B240" t="str">
            <v>008939</v>
          </cell>
          <cell r="C240" t="str">
            <v>SITI ROKHANA</v>
          </cell>
          <cell r="D240" t="str">
            <v>SAMI</v>
          </cell>
          <cell r="E240" t="str">
            <v>OPT-198</v>
          </cell>
          <cell r="F240">
            <v>39966</v>
          </cell>
          <cell r="G240" t="str">
            <v>-</v>
          </cell>
          <cell r="H240" t="str">
            <v>-</v>
          </cell>
          <cell r="I240" t="str">
            <v>PRD</v>
          </cell>
          <cell r="J240" t="str">
            <v>PRE ASSY</v>
          </cell>
          <cell r="K240" t="str">
            <v>HONDA NES</v>
          </cell>
          <cell r="L240" t="str">
            <v>HONDA NES</v>
          </cell>
          <cell r="M240" t="str">
            <v>CPA HONDA NES HEV/PET</v>
          </cell>
          <cell r="N240" t="str">
            <v>INSP CUTTING</v>
          </cell>
          <cell r="O240" t="str">
            <v>P/A INSPECTOR</v>
          </cell>
          <cell r="P240" t="str">
            <v>A</v>
          </cell>
          <cell r="Q240" t="str">
            <v>PI</v>
          </cell>
          <cell r="R240" t="str">
            <v>PERMANENT</v>
          </cell>
          <cell r="S240" t="str">
            <v>PRM</v>
          </cell>
          <cell r="T240" t="str">
            <v>OPT</v>
          </cell>
          <cell r="U240" t="str">
            <v>-</v>
          </cell>
          <cell r="V240" t="str">
            <v>P</v>
          </cell>
          <cell r="W240">
            <v>35</v>
          </cell>
        </row>
        <row r="241">
          <cell r="A241">
            <v>1206</v>
          </cell>
          <cell r="B241" t="str">
            <v>001206</v>
          </cell>
          <cell r="C241" t="str">
            <v>SRI PURWANTI</v>
          </cell>
          <cell r="D241" t="str">
            <v>SAMI</v>
          </cell>
          <cell r="E241" t="str">
            <v>SPV UP</v>
          </cell>
          <cell r="F241">
            <v>37914</v>
          </cell>
          <cell r="G241" t="str">
            <v>-</v>
          </cell>
          <cell r="H241" t="str">
            <v>-</v>
          </cell>
          <cell r="I241" t="str">
            <v>PRD</v>
          </cell>
          <cell r="J241" t="str">
            <v>FINAL ASSY</v>
          </cell>
          <cell r="K241" t="str">
            <v>ALL</v>
          </cell>
          <cell r="L241" t="str">
            <v>ALL</v>
          </cell>
          <cell r="M241" t="str">
            <v>SUPERVISOR FA</v>
          </cell>
          <cell r="N241" t="str">
            <v>HV FINAL ASSY</v>
          </cell>
          <cell r="O241" t="str">
            <v>FPI SPV</v>
          </cell>
          <cell r="P241" t="str">
            <v>B</v>
          </cell>
          <cell r="Q241" t="str">
            <v>PI</v>
          </cell>
          <cell r="R241" t="str">
            <v>PERMANENT</v>
          </cell>
          <cell r="S241" t="str">
            <v>PRM</v>
          </cell>
          <cell r="T241" t="str">
            <v>SPV</v>
          </cell>
          <cell r="U241" t="str">
            <v>-</v>
          </cell>
          <cell r="V241" t="str">
            <v>P</v>
          </cell>
          <cell r="W241">
            <v>39</v>
          </cell>
        </row>
        <row r="242">
          <cell r="A242">
            <v>1220</v>
          </cell>
          <cell r="B242" t="str">
            <v>001220</v>
          </cell>
          <cell r="C242" t="str">
            <v>SURYANI</v>
          </cell>
          <cell r="D242" t="str">
            <v>SAMI</v>
          </cell>
          <cell r="E242" t="str">
            <v>OPT-30</v>
          </cell>
          <cell r="F242">
            <v>37914</v>
          </cell>
          <cell r="G242" t="str">
            <v>-</v>
          </cell>
          <cell r="H242" t="str">
            <v>-</v>
          </cell>
          <cell r="I242" t="str">
            <v>PP</v>
          </cell>
          <cell r="J242" t="str">
            <v>SWCT</v>
          </cell>
          <cell r="K242" t="str">
            <v>ALL</v>
          </cell>
          <cell r="L242" t="str">
            <v>ALL</v>
          </cell>
          <cell r="M242" t="str">
            <v>SWCT</v>
          </cell>
          <cell r="N242" t="str">
            <v>LEADER</v>
          </cell>
          <cell r="O242" t="str">
            <v>FPS LL</v>
          </cell>
          <cell r="P242" t="str">
            <v>A (NS)</v>
          </cell>
          <cell r="Q242" t="str">
            <v>PS</v>
          </cell>
          <cell r="R242" t="str">
            <v>PERMANENT</v>
          </cell>
          <cell r="S242" t="str">
            <v>PRM</v>
          </cell>
          <cell r="T242" t="str">
            <v>LL</v>
          </cell>
          <cell r="U242" t="str">
            <v>-</v>
          </cell>
          <cell r="V242" t="str">
            <v>P</v>
          </cell>
          <cell r="W242">
            <v>39</v>
          </cell>
        </row>
        <row r="243">
          <cell r="A243">
            <v>1226</v>
          </cell>
          <cell r="B243" t="str">
            <v>001226</v>
          </cell>
          <cell r="C243" t="str">
            <v>NADIATUS SOLIKHAH</v>
          </cell>
          <cell r="D243" t="str">
            <v>SAMI</v>
          </cell>
          <cell r="E243" t="str">
            <v>OPT-30</v>
          </cell>
          <cell r="F243">
            <v>37914</v>
          </cell>
          <cell r="G243" t="str">
            <v>-</v>
          </cell>
          <cell r="H243" t="str">
            <v>-</v>
          </cell>
          <cell r="I243" t="str">
            <v>PRD</v>
          </cell>
          <cell r="J243" t="str">
            <v>PRE ASSY</v>
          </cell>
          <cell r="K243" t="str">
            <v>TOYOTA</v>
          </cell>
          <cell r="L243" t="str">
            <v>HV TOYOTA LV</v>
          </cell>
          <cell r="M243" t="str">
            <v>CPA TOYOTA LV</v>
          </cell>
          <cell r="N243" t="str">
            <v>OJT INSP 4</v>
          </cell>
          <cell r="O243" t="str">
            <v>OTHERS</v>
          </cell>
          <cell r="P243" t="str">
            <v>B</v>
          </cell>
          <cell r="Q243" t="str">
            <v>PI</v>
          </cell>
          <cell r="R243" t="str">
            <v>PERMANENT</v>
          </cell>
          <cell r="S243" t="str">
            <v>PRM</v>
          </cell>
          <cell r="T243" t="str">
            <v>OPT</v>
          </cell>
          <cell r="U243" t="str">
            <v>-</v>
          </cell>
          <cell r="V243" t="str">
            <v>P</v>
          </cell>
          <cell r="W243">
            <v>40</v>
          </cell>
        </row>
        <row r="244">
          <cell r="A244">
            <v>1229</v>
          </cell>
          <cell r="B244" t="str">
            <v>001229</v>
          </cell>
          <cell r="C244" t="str">
            <v>SULIYANINGSIH</v>
          </cell>
          <cell r="D244" t="str">
            <v>SAMI</v>
          </cell>
          <cell r="E244" t="str">
            <v>OPT-30</v>
          </cell>
          <cell r="F244">
            <v>37914</v>
          </cell>
          <cell r="G244" t="str">
            <v>-</v>
          </cell>
          <cell r="H244" t="str">
            <v>-</v>
          </cell>
          <cell r="I244" t="str">
            <v>PRD</v>
          </cell>
          <cell r="J244" t="str">
            <v>PRE ASSY</v>
          </cell>
          <cell r="K244" t="str">
            <v>HONDA NES</v>
          </cell>
          <cell r="L244" t="str">
            <v>HONDA NES</v>
          </cell>
          <cell r="M244" t="str">
            <v>CPA HONDA NES HEV/PET</v>
          </cell>
          <cell r="N244" t="str">
            <v>BFT</v>
          </cell>
          <cell r="O244" t="str">
            <v>WFAP 2.2</v>
          </cell>
          <cell r="P244" t="str">
            <v>B</v>
          </cell>
          <cell r="Q244" t="str">
            <v>DL</v>
          </cell>
          <cell r="R244" t="str">
            <v>PERMANENT</v>
          </cell>
          <cell r="S244" t="str">
            <v>PRM</v>
          </cell>
          <cell r="T244" t="str">
            <v>OPT</v>
          </cell>
          <cell r="U244" t="str">
            <v>-</v>
          </cell>
          <cell r="V244" t="str">
            <v>P</v>
          </cell>
          <cell r="W244">
            <v>40</v>
          </cell>
        </row>
        <row r="245">
          <cell r="A245">
            <v>1236</v>
          </cell>
          <cell r="B245" t="str">
            <v>001236</v>
          </cell>
          <cell r="C245" t="str">
            <v>NOVITA FAJAR SAPUTRI</v>
          </cell>
          <cell r="D245" t="str">
            <v>SAMI</v>
          </cell>
          <cell r="E245" t="str">
            <v>OPT-30</v>
          </cell>
          <cell r="F245">
            <v>37914</v>
          </cell>
          <cell r="G245" t="str">
            <v>-</v>
          </cell>
          <cell r="H245" t="str">
            <v>-</v>
          </cell>
          <cell r="I245" t="str">
            <v>PRD</v>
          </cell>
          <cell r="J245" t="str">
            <v>FINAL ASSY</v>
          </cell>
          <cell r="K245" t="str">
            <v>HONDA BBP</v>
          </cell>
          <cell r="L245" t="str">
            <v>HV HONDA 5JLA BBP</v>
          </cell>
          <cell r="M245" t="str">
            <v>CV HV 04A</v>
          </cell>
          <cell r="N245" t="str">
            <v>VISUAL 151, 152</v>
          </cell>
          <cell r="O245" t="str">
            <v>VISUAL INSPECTION</v>
          </cell>
          <cell r="P245" t="str">
            <v>B</v>
          </cell>
          <cell r="Q245" t="str">
            <v>DL</v>
          </cell>
          <cell r="R245" t="str">
            <v>PERMANENT</v>
          </cell>
          <cell r="S245" t="str">
            <v>PRM</v>
          </cell>
          <cell r="T245" t="str">
            <v>OPT</v>
          </cell>
          <cell r="U245" t="str">
            <v>-</v>
          </cell>
          <cell r="V245" t="str">
            <v>P</v>
          </cell>
          <cell r="W245">
            <v>40</v>
          </cell>
        </row>
        <row r="246">
          <cell r="A246">
            <v>1251</v>
          </cell>
          <cell r="B246" t="str">
            <v>001251</v>
          </cell>
          <cell r="C246" t="str">
            <v>MUAYANAH</v>
          </cell>
          <cell r="D246" t="str">
            <v>SAMI</v>
          </cell>
          <cell r="E246" t="str">
            <v>OPT-31</v>
          </cell>
          <cell r="F246">
            <v>37921</v>
          </cell>
          <cell r="G246" t="str">
            <v>-</v>
          </cell>
          <cell r="H246" t="str">
            <v>-</v>
          </cell>
          <cell r="I246" t="str">
            <v>QA</v>
          </cell>
          <cell r="J246" t="str">
            <v>PRE ASSY</v>
          </cell>
          <cell r="K246" t="str">
            <v>MAZDA 3</v>
          </cell>
          <cell r="L246" t="str">
            <v>MAZDA REAR</v>
          </cell>
          <cell r="M246" t="str">
            <v>CPA MAZDA J03</v>
          </cell>
          <cell r="N246" t="str">
            <v>INSP TENSILE</v>
          </cell>
          <cell r="O246" t="str">
            <v>TENSILE TEST</v>
          </cell>
          <cell r="P246" t="str">
            <v>A</v>
          </cell>
          <cell r="Q246" t="str">
            <v>PS</v>
          </cell>
          <cell r="R246" t="str">
            <v>PERMANENT</v>
          </cell>
          <cell r="S246" t="str">
            <v>PRM</v>
          </cell>
          <cell r="T246" t="str">
            <v>OPT</v>
          </cell>
          <cell r="U246" t="str">
            <v>-</v>
          </cell>
          <cell r="V246" t="str">
            <v>P</v>
          </cell>
          <cell r="W246">
            <v>42</v>
          </cell>
        </row>
        <row r="247">
          <cell r="A247">
            <v>1259</v>
          </cell>
          <cell r="B247" t="str">
            <v>001259</v>
          </cell>
          <cell r="C247" t="str">
            <v>SETIANI</v>
          </cell>
          <cell r="D247" t="str">
            <v>SAMI</v>
          </cell>
          <cell r="E247" t="str">
            <v>OPT-31</v>
          </cell>
          <cell r="F247">
            <v>37921</v>
          </cell>
          <cell r="G247" t="str">
            <v>-</v>
          </cell>
          <cell r="H247" t="str">
            <v>-</v>
          </cell>
          <cell r="I247" t="str">
            <v>QA</v>
          </cell>
          <cell r="J247" t="str">
            <v>FINAL ASSY</v>
          </cell>
          <cell r="K247" t="str">
            <v>FREED 25M</v>
          </cell>
          <cell r="L247" t="str">
            <v>L-CABIN</v>
          </cell>
          <cell r="M247" t="str">
            <v>CV H06</v>
          </cell>
          <cell r="N247" t="str">
            <v>OJT DC</v>
          </cell>
          <cell r="O247" t="str">
            <v>OTHERS</v>
          </cell>
          <cell r="P247" t="str">
            <v>A (NS)</v>
          </cell>
          <cell r="Q247" t="str">
            <v>PI</v>
          </cell>
          <cell r="R247" t="str">
            <v>PERMANENT</v>
          </cell>
          <cell r="S247" t="str">
            <v>PRM</v>
          </cell>
          <cell r="T247" t="str">
            <v>OPT</v>
          </cell>
          <cell r="U247" t="str">
            <v>-</v>
          </cell>
          <cell r="V247" t="str">
            <v>P</v>
          </cell>
          <cell r="W247">
            <v>41</v>
          </cell>
        </row>
        <row r="248">
          <cell r="A248">
            <v>8957</v>
          </cell>
          <cell r="B248" t="str">
            <v>008957</v>
          </cell>
          <cell r="C248" t="str">
            <v>SUMIATUN</v>
          </cell>
          <cell r="D248" t="str">
            <v>SAMI</v>
          </cell>
          <cell r="E248" t="str">
            <v>OPT-199</v>
          </cell>
          <cell r="F248">
            <v>39968</v>
          </cell>
          <cell r="G248" t="str">
            <v>-</v>
          </cell>
          <cell r="H248" t="str">
            <v>-</v>
          </cell>
          <cell r="I248" t="str">
            <v>PRD</v>
          </cell>
          <cell r="J248" t="str">
            <v>PRE ASSY</v>
          </cell>
          <cell r="K248" t="str">
            <v>HONDA NES</v>
          </cell>
          <cell r="L248" t="str">
            <v>HONDA NES</v>
          </cell>
          <cell r="M248" t="str">
            <v>CPA HONDA NES HEV/PET</v>
          </cell>
          <cell r="N248" t="str">
            <v>SUB LINE CHO</v>
          </cell>
          <cell r="O248" t="str">
            <v>GL</v>
          </cell>
          <cell r="P248" t="str">
            <v>A</v>
          </cell>
          <cell r="Q248" t="str">
            <v>PI</v>
          </cell>
          <cell r="R248" t="str">
            <v>PERMANENT</v>
          </cell>
          <cell r="S248" t="str">
            <v>PRM</v>
          </cell>
          <cell r="T248" t="str">
            <v>SLC</v>
          </cell>
          <cell r="U248" t="str">
            <v>-</v>
          </cell>
          <cell r="V248" t="str">
            <v>P</v>
          </cell>
          <cell r="W248">
            <v>37</v>
          </cell>
        </row>
        <row r="249">
          <cell r="A249">
            <v>10496</v>
          </cell>
          <cell r="B249" t="str">
            <v>010496</v>
          </cell>
          <cell r="C249" t="str">
            <v>BETI WIDIYASTUTI</v>
          </cell>
          <cell r="D249" t="str">
            <v>SAMI</v>
          </cell>
          <cell r="E249" t="str">
            <v>OPT-273</v>
          </cell>
          <cell r="F249">
            <v>40535</v>
          </cell>
          <cell r="G249" t="str">
            <v>-</v>
          </cell>
          <cell r="H249" t="str">
            <v>-</v>
          </cell>
          <cell r="I249" t="str">
            <v>PRD</v>
          </cell>
          <cell r="J249" t="str">
            <v>PRE ASSY</v>
          </cell>
          <cell r="K249" t="str">
            <v>HONDA NES</v>
          </cell>
          <cell r="L249" t="str">
            <v>HONDA NES</v>
          </cell>
          <cell r="M249" t="str">
            <v>CPA HONDA NES HEV/PET</v>
          </cell>
          <cell r="N249" t="str">
            <v>INSP CUTTING</v>
          </cell>
          <cell r="O249" t="str">
            <v>P/A INSPECTOR</v>
          </cell>
          <cell r="P249" t="str">
            <v>A</v>
          </cell>
          <cell r="Q249" t="str">
            <v>PI</v>
          </cell>
          <cell r="R249" t="str">
            <v>PERMANENT</v>
          </cell>
          <cell r="S249" t="str">
            <v>PRM</v>
          </cell>
          <cell r="T249" t="str">
            <v>OPT</v>
          </cell>
          <cell r="U249" t="str">
            <v>-</v>
          </cell>
          <cell r="V249" t="str">
            <v>P</v>
          </cell>
          <cell r="W249">
            <v>34</v>
          </cell>
        </row>
        <row r="250">
          <cell r="A250">
            <v>10502</v>
          </cell>
          <cell r="B250" t="str">
            <v>010502</v>
          </cell>
          <cell r="C250" t="str">
            <v>FANY LISTRI ANY</v>
          </cell>
          <cell r="D250" t="str">
            <v>SAMI</v>
          </cell>
          <cell r="E250" t="str">
            <v>OPT-273</v>
          </cell>
          <cell r="F250">
            <v>40535</v>
          </cell>
          <cell r="G250" t="str">
            <v>-</v>
          </cell>
          <cell r="H250" t="str">
            <v>-</v>
          </cell>
          <cell r="I250" t="str">
            <v>PRD</v>
          </cell>
          <cell r="J250" t="str">
            <v>PRE ASSY</v>
          </cell>
          <cell r="K250" t="str">
            <v>HONDA NES</v>
          </cell>
          <cell r="L250" t="str">
            <v>HONDA NES</v>
          </cell>
          <cell r="M250" t="str">
            <v>CPA HONDA NES HEV/PET</v>
          </cell>
          <cell r="N250" t="str">
            <v>BFT</v>
          </cell>
          <cell r="O250" t="str">
            <v>WFAP 2.2</v>
          </cell>
          <cell r="P250" t="str">
            <v>A</v>
          </cell>
          <cell r="Q250" t="str">
            <v>DL</v>
          </cell>
          <cell r="R250" t="str">
            <v>PERMANENT</v>
          </cell>
          <cell r="S250" t="str">
            <v>PRM</v>
          </cell>
          <cell r="T250" t="str">
            <v>OPT</v>
          </cell>
          <cell r="U250" t="str">
            <v>-</v>
          </cell>
          <cell r="V250" t="str">
            <v>P</v>
          </cell>
          <cell r="W250">
            <v>32</v>
          </cell>
        </row>
        <row r="251">
          <cell r="A251">
            <v>10540</v>
          </cell>
          <cell r="B251" t="str">
            <v>010540</v>
          </cell>
          <cell r="C251" t="str">
            <v>ANA RAHAYU</v>
          </cell>
          <cell r="D251" t="str">
            <v>SAMI</v>
          </cell>
          <cell r="E251" t="str">
            <v>OPT-275</v>
          </cell>
          <cell r="F251">
            <v>40542</v>
          </cell>
          <cell r="G251" t="str">
            <v>-</v>
          </cell>
          <cell r="H251" t="str">
            <v>-</v>
          </cell>
          <cell r="I251" t="str">
            <v>PRD</v>
          </cell>
          <cell r="J251" t="str">
            <v>PRE ASSY</v>
          </cell>
          <cell r="K251" t="str">
            <v>HONDA NES</v>
          </cell>
          <cell r="L251" t="str">
            <v>HONDA NES</v>
          </cell>
          <cell r="M251" t="str">
            <v>CPA HONDA NES HEV/PET</v>
          </cell>
          <cell r="N251" t="str">
            <v>CUTTING AC90-3MO-06</v>
          </cell>
          <cell r="O251" t="str">
            <v>CUTTING WIRE</v>
          </cell>
          <cell r="P251" t="str">
            <v>A</v>
          </cell>
          <cell r="Q251" t="str">
            <v>DL</v>
          </cell>
          <cell r="R251" t="str">
            <v>PERMANENT</v>
          </cell>
          <cell r="S251" t="str">
            <v>PRM</v>
          </cell>
          <cell r="T251" t="str">
            <v>OPT</v>
          </cell>
          <cell r="U251" t="str">
            <v>-</v>
          </cell>
          <cell r="V251" t="str">
            <v>P</v>
          </cell>
          <cell r="W251">
            <v>33</v>
          </cell>
        </row>
        <row r="252">
          <cell r="A252">
            <v>1269</v>
          </cell>
          <cell r="B252" t="str">
            <v>001269</v>
          </cell>
          <cell r="C252" t="str">
            <v>WIWIN INDRIYANI</v>
          </cell>
          <cell r="D252" t="str">
            <v>SAMI</v>
          </cell>
          <cell r="E252" t="str">
            <v>OPT-31</v>
          </cell>
          <cell r="F252">
            <v>37921</v>
          </cell>
          <cell r="G252" t="str">
            <v>-</v>
          </cell>
          <cell r="H252" t="str">
            <v>-</v>
          </cell>
          <cell r="I252" t="str">
            <v>PP</v>
          </cell>
          <cell r="J252" t="str">
            <v>PP-2</v>
          </cell>
          <cell r="K252" t="str">
            <v>ALL</v>
          </cell>
          <cell r="L252" t="str">
            <v>ALL</v>
          </cell>
          <cell r="M252" t="str">
            <v>PP-2</v>
          </cell>
          <cell r="N252" t="str">
            <v>ANALISYS</v>
          </cell>
          <cell r="O252" t="str">
            <v>PROCESS ENG</v>
          </cell>
          <cell r="P252" t="str">
            <v>A (NS)</v>
          </cell>
          <cell r="Q252" t="str">
            <v>PS</v>
          </cell>
          <cell r="R252" t="str">
            <v>PERMANENT</v>
          </cell>
          <cell r="S252" t="str">
            <v>PRM</v>
          </cell>
          <cell r="T252" t="str">
            <v>OPT</v>
          </cell>
          <cell r="U252" t="str">
            <v>-</v>
          </cell>
          <cell r="V252" t="str">
            <v>P</v>
          </cell>
          <cell r="W252">
            <v>40</v>
          </cell>
        </row>
        <row r="253">
          <cell r="A253">
            <v>11645</v>
          </cell>
          <cell r="B253" t="str">
            <v>011645</v>
          </cell>
          <cell r="C253" t="str">
            <v>YETTI APRILLIANINGSIH</v>
          </cell>
          <cell r="D253" t="str">
            <v>SAMI</v>
          </cell>
          <cell r="E253" t="str">
            <v>OPT-307</v>
          </cell>
          <cell r="F253">
            <v>40707</v>
          </cell>
          <cell r="G253" t="str">
            <v>-</v>
          </cell>
          <cell r="H253" t="str">
            <v>-</v>
          </cell>
          <cell r="I253" t="str">
            <v>PRD</v>
          </cell>
          <cell r="J253" t="str">
            <v>PRE ASSY</v>
          </cell>
          <cell r="K253" t="str">
            <v>HONDA NES</v>
          </cell>
          <cell r="L253" t="str">
            <v>HONDA NES</v>
          </cell>
          <cell r="M253" t="str">
            <v>CPA HONDA NES HEV/PET</v>
          </cell>
          <cell r="N253" t="str">
            <v>INSP CUTTING</v>
          </cell>
          <cell r="O253" t="str">
            <v>P/A INSPECTOR</v>
          </cell>
          <cell r="P253" t="str">
            <v>A</v>
          </cell>
          <cell r="Q253" t="str">
            <v>PI</v>
          </cell>
          <cell r="R253" t="str">
            <v>PERMANENT</v>
          </cell>
          <cell r="S253" t="str">
            <v>PRM</v>
          </cell>
          <cell r="T253" t="str">
            <v>OPT</v>
          </cell>
          <cell r="U253" t="str">
            <v>-</v>
          </cell>
          <cell r="V253" t="str">
            <v>P</v>
          </cell>
          <cell r="W253">
            <v>32</v>
          </cell>
        </row>
        <row r="254">
          <cell r="A254">
            <v>11820</v>
          </cell>
          <cell r="B254" t="str">
            <v>011820</v>
          </cell>
          <cell r="C254" t="str">
            <v>LIYA SETIYANINGSIH</v>
          </cell>
          <cell r="D254" t="str">
            <v>SAMI</v>
          </cell>
          <cell r="E254" t="str">
            <v>OPT-309</v>
          </cell>
          <cell r="F254">
            <v>40721</v>
          </cell>
          <cell r="G254" t="str">
            <v>-</v>
          </cell>
          <cell r="H254" t="str">
            <v>-</v>
          </cell>
          <cell r="I254" t="str">
            <v>PRD</v>
          </cell>
          <cell r="J254" t="str">
            <v>PRE ASSY</v>
          </cell>
          <cell r="K254" t="str">
            <v>HONDA NES</v>
          </cell>
          <cell r="L254" t="str">
            <v>HONDA NES</v>
          </cell>
          <cell r="M254" t="str">
            <v>CPA HONDA NES HEV/PET</v>
          </cell>
          <cell r="N254" t="str">
            <v>CUTTING AC90-3MO-03</v>
          </cell>
          <cell r="O254" t="str">
            <v>CUTTING WIRE</v>
          </cell>
          <cell r="P254" t="str">
            <v>A</v>
          </cell>
          <cell r="Q254" t="str">
            <v>DL</v>
          </cell>
          <cell r="R254" t="str">
            <v>PERMANENT</v>
          </cell>
          <cell r="S254" t="str">
            <v>PRM</v>
          </cell>
          <cell r="T254" t="str">
            <v>OPT</v>
          </cell>
          <cell r="U254" t="str">
            <v>-</v>
          </cell>
          <cell r="V254" t="str">
            <v>P</v>
          </cell>
          <cell r="W254">
            <v>31</v>
          </cell>
        </row>
        <row r="255">
          <cell r="A255">
            <v>12743</v>
          </cell>
          <cell r="B255" t="str">
            <v>012743</v>
          </cell>
          <cell r="C255" t="str">
            <v>SITI KHADARIYAH</v>
          </cell>
          <cell r="D255" t="str">
            <v>SAMI</v>
          </cell>
          <cell r="E255" t="str">
            <v>OPT-320</v>
          </cell>
          <cell r="F255">
            <v>40819</v>
          </cell>
          <cell r="G255" t="str">
            <v>-</v>
          </cell>
          <cell r="H255" t="str">
            <v>-</v>
          </cell>
          <cell r="I255" t="str">
            <v>PRD</v>
          </cell>
          <cell r="J255" t="str">
            <v>PRE ASSY</v>
          </cell>
          <cell r="K255" t="str">
            <v>HONDA NES</v>
          </cell>
          <cell r="L255" t="str">
            <v>HONDA NES</v>
          </cell>
          <cell r="M255" t="str">
            <v>CPA HONDA NES HEV/PET</v>
          </cell>
          <cell r="N255" t="str">
            <v>INSP CUTTING</v>
          </cell>
          <cell r="O255" t="str">
            <v>P/A INSPECTOR</v>
          </cell>
          <cell r="P255" t="str">
            <v>A</v>
          </cell>
          <cell r="Q255" t="str">
            <v>PI</v>
          </cell>
          <cell r="R255" t="str">
            <v>PERMANENT</v>
          </cell>
          <cell r="S255" t="str">
            <v>PRM</v>
          </cell>
          <cell r="T255" t="str">
            <v>OPT</v>
          </cell>
          <cell r="U255" t="str">
            <v>-</v>
          </cell>
          <cell r="V255" t="str">
            <v>P</v>
          </cell>
          <cell r="W255">
            <v>35</v>
          </cell>
        </row>
        <row r="256">
          <cell r="A256">
            <v>1284</v>
          </cell>
          <cell r="B256" t="str">
            <v>001284</v>
          </cell>
          <cell r="C256" t="str">
            <v>RINI LISTIANINGSIH</v>
          </cell>
          <cell r="D256" t="str">
            <v>SAMI</v>
          </cell>
          <cell r="E256" t="str">
            <v>OPT-31</v>
          </cell>
          <cell r="F256">
            <v>37921</v>
          </cell>
          <cell r="G256" t="str">
            <v>-</v>
          </cell>
          <cell r="H256" t="str">
            <v>-</v>
          </cell>
          <cell r="I256" t="str">
            <v>QA</v>
          </cell>
          <cell r="J256" t="str">
            <v>NON LINE</v>
          </cell>
          <cell r="K256" t="str">
            <v>ALL</v>
          </cell>
          <cell r="L256" t="str">
            <v>ALL</v>
          </cell>
          <cell r="M256" t="str">
            <v>PPAP</v>
          </cell>
          <cell r="N256" t="str">
            <v>HDR - ES TEST</v>
          </cell>
          <cell r="O256" t="str">
            <v>PPAP</v>
          </cell>
          <cell r="P256" t="str">
            <v>B</v>
          </cell>
          <cell r="Q256" t="str">
            <v>PS</v>
          </cell>
          <cell r="R256" t="str">
            <v>PERMANENT</v>
          </cell>
          <cell r="S256" t="str">
            <v>PRM</v>
          </cell>
          <cell r="T256" t="str">
            <v>OPT</v>
          </cell>
          <cell r="U256" t="str">
            <v>-</v>
          </cell>
          <cell r="V256" t="str">
            <v>P</v>
          </cell>
          <cell r="W256">
            <v>39</v>
          </cell>
        </row>
        <row r="257">
          <cell r="A257">
            <v>1286</v>
          </cell>
          <cell r="B257" t="str">
            <v>001286</v>
          </cell>
          <cell r="C257" t="str">
            <v>SITI TRISNAWATI</v>
          </cell>
          <cell r="D257" t="str">
            <v>SAMI</v>
          </cell>
          <cell r="E257" t="str">
            <v>OPT-31</v>
          </cell>
          <cell r="F257">
            <v>37921</v>
          </cell>
          <cell r="G257" t="str">
            <v>-</v>
          </cell>
          <cell r="H257" t="str">
            <v>-</v>
          </cell>
          <cell r="I257" t="str">
            <v>PRD</v>
          </cell>
          <cell r="J257" t="str">
            <v>PRE ASSY</v>
          </cell>
          <cell r="K257" t="str">
            <v>TOYOTA</v>
          </cell>
          <cell r="L257" t="str">
            <v>HV TOYOTA LV</v>
          </cell>
          <cell r="M257" t="str">
            <v>CPA TOYOTA LV</v>
          </cell>
          <cell r="N257" t="str">
            <v>OJT INSP 1</v>
          </cell>
          <cell r="O257" t="str">
            <v>OTHERS</v>
          </cell>
          <cell r="P257" t="str">
            <v>B</v>
          </cell>
          <cell r="Q257" t="str">
            <v>PI</v>
          </cell>
          <cell r="R257" t="str">
            <v>PERMANENT</v>
          </cell>
          <cell r="S257" t="str">
            <v>PRM</v>
          </cell>
          <cell r="T257" t="str">
            <v>OPT</v>
          </cell>
          <cell r="U257" t="str">
            <v>-</v>
          </cell>
          <cell r="V257" t="str">
            <v>P</v>
          </cell>
          <cell r="W257">
            <v>41</v>
          </cell>
        </row>
        <row r="258">
          <cell r="A258">
            <v>1301</v>
          </cell>
          <cell r="B258" t="str">
            <v>001301</v>
          </cell>
          <cell r="C258" t="str">
            <v>CATUR KUMALA DEWI</v>
          </cell>
          <cell r="D258" t="str">
            <v>SAMI</v>
          </cell>
          <cell r="E258" t="str">
            <v>OPT-32</v>
          </cell>
          <cell r="F258">
            <v>37928</v>
          </cell>
          <cell r="G258" t="str">
            <v>-</v>
          </cell>
          <cell r="H258" t="str">
            <v>-</v>
          </cell>
          <cell r="I258" t="str">
            <v>PGA</v>
          </cell>
          <cell r="J258" t="str">
            <v>HR</v>
          </cell>
          <cell r="K258" t="str">
            <v>ALL</v>
          </cell>
          <cell r="L258" t="str">
            <v>ALL</v>
          </cell>
          <cell r="M258" t="str">
            <v>HR</v>
          </cell>
          <cell r="N258" t="str">
            <v>PEOPLE DEVELOPMENT</v>
          </cell>
          <cell r="O258" t="str">
            <v>HR</v>
          </cell>
          <cell r="P258" t="str">
            <v>A (NS)</v>
          </cell>
          <cell r="Q258" t="str">
            <v>ADM</v>
          </cell>
          <cell r="R258" t="str">
            <v>PERMANENT</v>
          </cell>
          <cell r="S258" t="str">
            <v>PRM</v>
          </cell>
          <cell r="T258" t="str">
            <v>GL</v>
          </cell>
          <cell r="U258" t="str">
            <v>-</v>
          </cell>
          <cell r="V258" t="str">
            <v>P</v>
          </cell>
          <cell r="W258">
            <v>39</v>
          </cell>
        </row>
        <row r="259">
          <cell r="A259">
            <v>1305</v>
          </cell>
          <cell r="B259" t="str">
            <v>001305</v>
          </cell>
          <cell r="C259" t="str">
            <v>MUSAROFAH</v>
          </cell>
          <cell r="D259" t="str">
            <v>SAMI</v>
          </cell>
          <cell r="E259" t="str">
            <v>OPT-32</v>
          </cell>
          <cell r="F259">
            <v>37928</v>
          </cell>
          <cell r="G259" t="str">
            <v>-</v>
          </cell>
          <cell r="H259" t="str">
            <v>-</v>
          </cell>
          <cell r="I259" t="str">
            <v>PRD</v>
          </cell>
          <cell r="J259" t="str">
            <v>PRE ASSY</v>
          </cell>
          <cell r="K259" t="str">
            <v>MAZDA ATENZA</v>
          </cell>
          <cell r="L259" t="str">
            <v>MAZDA J72A</v>
          </cell>
          <cell r="M259" t="str">
            <v>CPA MAZDA CX-5</v>
          </cell>
          <cell r="N259" t="str">
            <v>BM1-MZD-01</v>
          </cell>
          <cell r="O259" t="str">
            <v>BONDER</v>
          </cell>
          <cell r="P259" t="str">
            <v>B</v>
          </cell>
          <cell r="Q259" t="str">
            <v>DL</v>
          </cell>
          <cell r="R259" t="str">
            <v>PERMANENT</v>
          </cell>
          <cell r="S259" t="str">
            <v>PRM</v>
          </cell>
          <cell r="T259" t="str">
            <v>OPT</v>
          </cell>
          <cell r="U259" t="str">
            <v>-</v>
          </cell>
          <cell r="V259" t="str">
            <v>P</v>
          </cell>
          <cell r="W259">
            <v>39</v>
          </cell>
        </row>
        <row r="260">
          <cell r="A260">
            <v>1306</v>
          </cell>
          <cell r="B260" t="str">
            <v>001306</v>
          </cell>
          <cell r="C260" t="str">
            <v>RAKHMA ROSITA INDAH</v>
          </cell>
          <cell r="D260" t="str">
            <v>SAMI</v>
          </cell>
          <cell r="E260" t="str">
            <v>OPT-32</v>
          </cell>
          <cell r="F260">
            <v>37928</v>
          </cell>
          <cell r="G260" t="str">
            <v>-</v>
          </cell>
          <cell r="H260" t="str">
            <v>-</v>
          </cell>
          <cell r="I260" t="str">
            <v>PRD</v>
          </cell>
          <cell r="J260" t="str">
            <v>PRE ASSY</v>
          </cell>
          <cell r="K260" t="str">
            <v>HONDA BBP</v>
          </cell>
          <cell r="L260" t="str">
            <v>HV HONDA 5JLA BBP</v>
          </cell>
          <cell r="M260" t="str">
            <v>CPA HONDA HV</v>
          </cell>
          <cell r="N260" t="str">
            <v>PRD LINE CHO</v>
          </cell>
          <cell r="O260" t="str">
            <v>FPI LL</v>
          </cell>
          <cell r="P260" t="str">
            <v>B</v>
          </cell>
          <cell r="Q260" t="str">
            <v>PI</v>
          </cell>
          <cell r="R260" t="str">
            <v>PERMANENT</v>
          </cell>
          <cell r="S260" t="str">
            <v>PRM</v>
          </cell>
          <cell r="T260" t="str">
            <v>LC</v>
          </cell>
          <cell r="U260" t="str">
            <v>-</v>
          </cell>
          <cell r="V260" t="str">
            <v>P</v>
          </cell>
          <cell r="W260">
            <v>40</v>
          </cell>
        </row>
        <row r="261">
          <cell r="A261">
            <v>20977</v>
          </cell>
          <cell r="B261" t="str">
            <v>020977</v>
          </cell>
          <cell r="C261" t="str">
            <v>IDA FARIKHAH</v>
          </cell>
          <cell r="D261" t="str">
            <v>SAMI</v>
          </cell>
          <cell r="E261" t="str">
            <v>OPT-513</v>
          </cell>
          <cell r="F261">
            <v>42674</v>
          </cell>
          <cell r="G261" t="str">
            <v>-</v>
          </cell>
          <cell r="H261" t="str">
            <v>-</v>
          </cell>
          <cell r="I261" t="str">
            <v>PRD</v>
          </cell>
          <cell r="J261" t="str">
            <v>PRE ASSY</v>
          </cell>
          <cell r="K261" t="str">
            <v>HONDA NES</v>
          </cell>
          <cell r="L261" t="str">
            <v>HONDA NES</v>
          </cell>
          <cell r="M261" t="str">
            <v>CPA HONDA NES HEV/PET</v>
          </cell>
          <cell r="N261" t="str">
            <v>BFT</v>
          </cell>
          <cell r="O261" t="str">
            <v>WFAP 2.2</v>
          </cell>
          <cell r="P261" t="str">
            <v>A</v>
          </cell>
          <cell r="Q261" t="str">
            <v>DL</v>
          </cell>
          <cell r="R261" t="str">
            <v>PERMANENT</v>
          </cell>
          <cell r="S261" t="str">
            <v>PRM</v>
          </cell>
          <cell r="T261" t="str">
            <v>OPT</v>
          </cell>
          <cell r="U261" t="str">
            <v>-</v>
          </cell>
          <cell r="V261" t="str">
            <v>P</v>
          </cell>
          <cell r="W261">
            <v>30</v>
          </cell>
        </row>
        <row r="262">
          <cell r="A262">
            <v>1314</v>
          </cell>
          <cell r="B262" t="str">
            <v>001314</v>
          </cell>
          <cell r="C262" t="str">
            <v>DARYATI</v>
          </cell>
          <cell r="D262" t="str">
            <v>SAMI</v>
          </cell>
          <cell r="E262" t="str">
            <v>OPT-32</v>
          </cell>
          <cell r="F262">
            <v>37928</v>
          </cell>
          <cell r="G262" t="str">
            <v>-</v>
          </cell>
          <cell r="H262" t="str">
            <v>-</v>
          </cell>
          <cell r="I262" t="str">
            <v>PRD</v>
          </cell>
          <cell r="J262" t="str">
            <v>PRE ASSY</v>
          </cell>
          <cell r="K262" t="str">
            <v>HONDA NES</v>
          </cell>
          <cell r="L262" t="str">
            <v>HONDA NES</v>
          </cell>
          <cell r="M262" t="str">
            <v>CPA HONDA NES HEV/PET</v>
          </cell>
          <cell r="N262" t="str">
            <v>CUTTING AC90-3MO-06</v>
          </cell>
          <cell r="O262" t="str">
            <v>CUTTING WIRE</v>
          </cell>
          <cell r="P262" t="str">
            <v>B</v>
          </cell>
          <cell r="Q262" t="str">
            <v>DL</v>
          </cell>
          <cell r="R262" t="str">
            <v>PERMANENT</v>
          </cell>
          <cell r="S262" t="str">
            <v>PRM</v>
          </cell>
          <cell r="T262" t="str">
            <v>OPT</v>
          </cell>
          <cell r="U262" t="str">
            <v>-</v>
          </cell>
          <cell r="V262" t="str">
            <v>P</v>
          </cell>
          <cell r="W262">
            <v>41</v>
          </cell>
        </row>
        <row r="263">
          <cell r="A263">
            <v>1315</v>
          </cell>
          <cell r="B263" t="str">
            <v>001315</v>
          </cell>
          <cell r="C263" t="str">
            <v>ENDANG KUSFIATI</v>
          </cell>
          <cell r="D263" t="str">
            <v>SAMI</v>
          </cell>
          <cell r="E263" t="str">
            <v>OPT-32</v>
          </cell>
          <cell r="F263">
            <v>37928</v>
          </cell>
          <cell r="G263" t="str">
            <v>-</v>
          </cell>
          <cell r="H263" t="str">
            <v>-</v>
          </cell>
          <cell r="I263" t="str">
            <v>PRD</v>
          </cell>
          <cell r="J263" t="str">
            <v>PRE ASSY</v>
          </cell>
          <cell r="K263" t="str">
            <v>MAZDA 3</v>
          </cell>
          <cell r="L263" t="str">
            <v>MAZDA REAR</v>
          </cell>
          <cell r="M263" t="str">
            <v>CPA MAZDA J03</v>
          </cell>
          <cell r="N263" t="str">
            <v>CUTTING AC90-J03-01</v>
          </cell>
          <cell r="O263" t="str">
            <v>CUTTING WIRE</v>
          </cell>
          <cell r="P263" t="str">
            <v>B</v>
          </cell>
          <cell r="Q263" t="str">
            <v>DL</v>
          </cell>
          <cell r="R263" t="str">
            <v>PERMANENT</v>
          </cell>
          <cell r="S263" t="str">
            <v>PRM</v>
          </cell>
          <cell r="T263" t="str">
            <v>OPT</v>
          </cell>
          <cell r="U263" t="str">
            <v>-</v>
          </cell>
          <cell r="V263" t="str">
            <v>P</v>
          </cell>
          <cell r="W263">
            <v>42</v>
          </cell>
        </row>
        <row r="264">
          <cell r="A264">
            <v>1436</v>
          </cell>
          <cell r="B264" t="str">
            <v>001436</v>
          </cell>
          <cell r="C264" t="str">
            <v>NINA SULISTYA</v>
          </cell>
          <cell r="D264" t="str">
            <v>SAMI</v>
          </cell>
          <cell r="E264" t="str">
            <v>OPT-35</v>
          </cell>
          <cell r="F264">
            <v>37970</v>
          </cell>
          <cell r="G264" t="str">
            <v>-</v>
          </cell>
          <cell r="H264" t="str">
            <v>-</v>
          </cell>
          <cell r="I264" t="str">
            <v>PRD</v>
          </cell>
          <cell r="J264" t="str">
            <v>PRE ASSY</v>
          </cell>
          <cell r="K264" t="str">
            <v>HONDA FIT</v>
          </cell>
          <cell r="L264" t="str">
            <v>HONDA FIT</v>
          </cell>
          <cell r="M264" t="str">
            <v>CPA HONDA FIT HEV/PET</v>
          </cell>
          <cell r="N264" t="str">
            <v>INSP CUTTING</v>
          </cell>
          <cell r="O264" t="str">
            <v>P/A INSPECTOR</v>
          </cell>
          <cell r="P264" t="str">
            <v>B</v>
          </cell>
          <cell r="Q264" t="str">
            <v>PI</v>
          </cell>
          <cell r="R264" t="str">
            <v>PERMANENT</v>
          </cell>
          <cell r="S264" t="str">
            <v>PRM</v>
          </cell>
          <cell r="T264" t="str">
            <v>OPT</v>
          </cell>
          <cell r="U264" t="str">
            <v>-</v>
          </cell>
          <cell r="V264" t="str">
            <v>P</v>
          </cell>
          <cell r="W264">
            <v>40</v>
          </cell>
        </row>
        <row r="265">
          <cell r="A265">
            <v>1447</v>
          </cell>
          <cell r="B265" t="str">
            <v>001447</v>
          </cell>
          <cell r="C265" t="str">
            <v>PEBRIYANTO</v>
          </cell>
          <cell r="D265" t="str">
            <v>SAMI</v>
          </cell>
          <cell r="E265" t="str">
            <v>TKN-7</v>
          </cell>
          <cell r="F265">
            <v>37970</v>
          </cell>
          <cell r="G265" t="str">
            <v>-</v>
          </cell>
          <cell r="H265" t="str">
            <v>-</v>
          </cell>
          <cell r="I265" t="str">
            <v>PE</v>
          </cell>
          <cell r="J265" t="str">
            <v>PrE</v>
          </cell>
          <cell r="K265" t="str">
            <v>ALL</v>
          </cell>
          <cell r="L265" t="str">
            <v>ALL</v>
          </cell>
          <cell r="M265" t="str">
            <v>PrE</v>
          </cell>
          <cell r="N265" t="str">
            <v>LL IMPROVEMENT AND LAYOUT</v>
          </cell>
          <cell r="O265" t="str">
            <v>FPS LL</v>
          </cell>
          <cell r="P265" t="str">
            <v>A (NS)</v>
          </cell>
          <cell r="Q265" t="str">
            <v>PS</v>
          </cell>
          <cell r="R265" t="str">
            <v>PERMANENT</v>
          </cell>
          <cell r="S265" t="str">
            <v>PRM</v>
          </cell>
          <cell r="T265" t="str">
            <v>LL</v>
          </cell>
          <cell r="U265" t="str">
            <v>-</v>
          </cell>
          <cell r="V265" t="str">
            <v>L</v>
          </cell>
          <cell r="W265">
            <v>39</v>
          </cell>
        </row>
        <row r="266">
          <cell r="A266" t="str">
            <v>B02497</v>
          </cell>
          <cell r="B266" t="str">
            <v>B02497</v>
          </cell>
          <cell r="C266" t="str">
            <v>ENI MARLINA</v>
          </cell>
          <cell r="D266" t="str">
            <v>SAMI</v>
          </cell>
          <cell r="E266" t="str">
            <v>BBF-113</v>
          </cell>
          <cell r="F266">
            <v>41835</v>
          </cell>
          <cell r="G266" t="str">
            <v>-</v>
          </cell>
          <cell r="H266" t="str">
            <v>-</v>
          </cell>
          <cell r="I266" t="str">
            <v>PRD</v>
          </cell>
          <cell r="J266" t="str">
            <v>PRE ASSY</v>
          </cell>
          <cell r="K266" t="str">
            <v>HONDA NES</v>
          </cell>
          <cell r="L266" t="str">
            <v>HONDA NES</v>
          </cell>
          <cell r="M266" t="str">
            <v>CPA HONDA NES HEV/PET</v>
          </cell>
          <cell r="N266" t="str">
            <v>BM3-3MO-01</v>
          </cell>
          <cell r="O266" t="str">
            <v>BONDER</v>
          </cell>
          <cell r="P266" t="str">
            <v>A</v>
          </cell>
          <cell r="Q266" t="str">
            <v>DL</v>
          </cell>
          <cell r="R266" t="str">
            <v>PERMANENT</v>
          </cell>
          <cell r="S266" t="str">
            <v>PRM</v>
          </cell>
          <cell r="T266" t="str">
            <v>OPT</v>
          </cell>
          <cell r="U266" t="str">
            <v>-</v>
          </cell>
          <cell r="V266" t="str">
            <v>P</v>
          </cell>
          <cell r="W266">
            <v>31</v>
          </cell>
        </row>
        <row r="267">
          <cell r="A267">
            <v>328</v>
          </cell>
          <cell r="B267" t="str">
            <v>000328</v>
          </cell>
          <cell r="C267" t="str">
            <v>IDA ASTUTIK</v>
          </cell>
          <cell r="D267" t="str">
            <v>SAMI</v>
          </cell>
          <cell r="E267" t="str">
            <v>OPT-9</v>
          </cell>
          <cell r="F267">
            <v>37725</v>
          </cell>
          <cell r="G267" t="str">
            <v>-</v>
          </cell>
          <cell r="H267" t="str">
            <v>-</v>
          </cell>
          <cell r="I267" t="str">
            <v>PRD</v>
          </cell>
          <cell r="J267" t="str">
            <v>PRE ASSY</v>
          </cell>
          <cell r="K267" t="str">
            <v>HONDA SOLENOID</v>
          </cell>
          <cell r="L267" t="str">
            <v>HONDA SOLENOID</v>
          </cell>
          <cell r="M267" t="str">
            <v>CPA HONDA SOLENOID</v>
          </cell>
          <cell r="N267" t="str">
            <v>INSP CUTTING</v>
          </cell>
          <cell r="O267" t="str">
            <v>P/A INSPECTOR</v>
          </cell>
          <cell r="P267" t="str">
            <v>A</v>
          </cell>
          <cell r="Q267" t="str">
            <v>PI</v>
          </cell>
          <cell r="R267" t="str">
            <v>PERMANENT</v>
          </cell>
          <cell r="S267" t="str">
            <v>PRM</v>
          </cell>
          <cell r="T267" t="str">
            <v>OPT</v>
          </cell>
          <cell r="U267" t="str">
            <v>-</v>
          </cell>
          <cell r="V267" t="str">
            <v>P</v>
          </cell>
          <cell r="W267">
            <v>41</v>
          </cell>
        </row>
        <row r="268">
          <cell r="A268">
            <v>6129</v>
          </cell>
          <cell r="B268" t="str">
            <v>006129</v>
          </cell>
          <cell r="C268" t="str">
            <v>DIAN ANGGRAENI</v>
          </cell>
          <cell r="D268" t="str">
            <v>SAMI</v>
          </cell>
          <cell r="E268" t="str">
            <v>OPT-140</v>
          </cell>
          <cell r="F268">
            <v>39157</v>
          </cell>
          <cell r="G268" t="str">
            <v>-</v>
          </cell>
          <cell r="H268" t="str">
            <v>-</v>
          </cell>
          <cell r="I268" t="str">
            <v>PRD</v>
          </cell>
          <cell r="J268" t="str">
            <v>PRE ASSY</v>
          </cell>
          <cell r="K268" t="str">
            <v>HONDA SOLENOID</v>
          </cell>
          <cell r="L268" t="str">
            <v>HONDA SOLENOID</v>
          </cell>
          <cell r="M268" t="str">
            <v>CPA HONDA SOLENOID</v>
          </cell>
          <cell r="N268" t="str">
            <v>CUTTING AC90-HDS-01 + IG</v>
          </cell>
          <cell r="O268" t="str">
            <v>CUTTING WIRE</v>
          </cell>
          <cell r="P268" t="str">
            <v>A</v>
          </cell>
          <cell r="Q268" t="str">
            <v>DL</v>
          </cell>
          <cell r="R268" t="str">
            <v>PERMANENT</v>
          </cell>
          <cell r="S268" t="str">
            <v>PRM</v>
          </cell>
          <cell r="T268" t="str">
            <v>OPT</v>
          </cell>
          <cell r="U268" t="str">
            <v>-</v>
          </cell>
          <cell r="V268" t="str">
            <v>P</v>
          </cell>
          <cell r="W268">
            <v>39</v>
          </cell>
        </row>
        <row r="269">
          <cell r="A269">
            <v>1655</v>
          </cell>
          <cell r="B269" t="str">
            <v>001655</v>
          </cell>
          <cell r="C269" t="str">
            <v>JOKO PURWANTO</v>
          </cell>
          <cell r="D269" t="str">
            <v>SAMI</v>
          </cell>
          <cell r="E269" t="str">
            <v>SPV UP</v>
          </cell>
          <cell r="F269">
            <v>38061</v>
          </cell>
          <cell r="G269" t="str">
            <v>-</v>
          </cell>
          <cell r="H269" t="str">
            <v>-</v>
          </cell>
          <cell r="I269" t="str">
            <v>PRD</v>
          </cell>
          <cell r="J269" t="str">
            <v>NON LINE</v>
          </cell>
          <cell r="K269" t="str">
            <v>ALL</v>
          </cell>
          <cell r="L269" t="str">
            <v>ALL</v>
          </cell>
          <cell r="M269" t="str">
            <v>COORD. SUPERVISOR</v>
          </cell>
          <cell r="N269" t="str">
            <v>COORD. SPV PRODUKSI</v>
          </cell>
          <cell r="O269" t="str">
            <v>FPI SPV</v>
          </cell>
          <cell r="P269" t="str">
            <v>B</v>
          </cell>
          <cell r="Q269" t="str">
            <v>PI</v>
          </cell>
          <cell r="R269" t="str">
            <v>PERMANENT</v>
          </cell>
          <cell r="S269" t="str">
            <v>PRM</v>
          </cell>
          <cell r="T269" t="str">
            <v>CSPV</v>
          </cell>
          <cell r="U269" t="str">
            <v>-</v>
          </cell>
          <cell r="V269" t="str">
            <v>L</v>
          </cell>
          <cell r="W269">
            <v>45</v>
          </cell>
        </row>
        <row r="270">
          <cell r="A270">
            <v>1908</v>
          </cell>
          <cell r="B270" t="str">
            <v>001908</v>
          </cell>
          <cell r="C270" t="str">
            <v>AGUS FREDDY KURNIAWAN</v>
          </cell>
          <cell r="D270" t="str">
            <v>SAMI</v>
          </cell>
          <cell r="E270" t="str">
            <v>SPV UP</v>
          </cell>
          <cell r="F270">
            <v>38103</v>
          </cell>
          <cell r="G270" t="str">
            <v>-</v>
          </cell>
          <cell r="H270" t="str">
            <v>-</v>
          </cell>
          <cell r="I270" t="str">
            <v>PGA</v>
          </cell>
          <cell r="J270" t="str">
            <v>IT</v>
          </cell>
          <cell r="K270" t="str">
            <v>ALL</v>
          </cell>
          <cell r="L270" t="str">
            <v>ALL</v>
          </cell>
          <cell r="M270" t="str">
            <v>IT</v>
          </cell>
          <cell r="N270" t="str">
            <v>SUPERVISOR IT</v>
          </cell>
          <cell r="O270" t="str">
            <v>IDL SPV</v>
          </cell>
          <cell r="P270" t="str">
            <v>A (NS)</v>
          </cell>
          <cell r="Q270" t="str">
            <v>ADM</v>
          </cell>
          <cell r="R270" t="str">
            <v>PERMANENT</v>
          </cell>
          <cell r="S270" t="str">
            <v>PRM</v>
          </cell>
          <cell r="T270" t="str">
            <v>SPV</v>
          </cell>
          <cell r="U270" t="str">
            <v>-</v>
          </cell>
          <cell r="V270" t="str">
            <v>L</v>
          </cell>
          <cell r="W270">
            <v>43</v>
          </cell>
        </row>
        <row r="271">
          <cell r="A271">
            <v>2227</v>
          </cell>
          <cell r="B271" t="str">
            <v>002227</v>
          </cell>
          <cell r="C271" t="str">
            <v>FITRIA ENDAH PRATIWI</v>
          </cell>
          <cell r="D271" t="str">
            <v>SAMI</v>
          </cell>
          <cell r="E271" t="str">
            <v>SPV UP</v>
          </cell>
          <cell r="F271">
            <v>38168</v>
          </cell>
          <cell r="G271" t="str">
            <v>-</v>
          </cell>
          <cell r="H271" t="str">
            <v>-</v>
          </cell>
          <cell r="I271" t="str">
            <v>LOG</v>
          </cell>
          <cell r="J271" t="str">
            <v>EXIM</v>
          </cell>
          <cell r="K271" t="str">
            <v>ALL</v>
          </cell>
          <cell r="L271" t="str">
            <v>ALL</v>
          </cell>
          <cell r="M271" t="str">
            <v>EXIM</v>
          </cell>
          <cell r="N271" t="str">
            <v>SUPERVISOR</v>
          </cell>
          <cell r="O271" t="str">
            <v>FPS SPV</v>
          </cell>
          <cell r="P271" t="str">
            <v>A (NS)</v>
          </cell>
          <cell r="Q271" t="str">
            <v>PS</v>
          </cell>
          <cell r="R271" t="str">
            <v>PERMANENT</v>
          </cell>
          <cell r="S271" t="str">
            <v>PRM</v>
          </cell>
          <cell r="T271" t="str">
            <v>SPV</v>
          </cell>
          <cell r="U271" t="str">
            <v>-</v>
          </cell>
          <cell r="V271" t="str">
            <v>P</v>
          </cell>
          <cell r="W271">
            <v>43</v>
          </cell>
        </row>
        <row r="272">
          <cell r="A272">
            <v>2409</v>
          </cell>
          <cell r="B272" t="str">
            <v>002409</v>
          </cell>
          <cell r="C272" t="str">
            <v>BONIR ARIO TUBAGUS</v>
          </cell>
          <cell r="D272" t="str">
            <v>SAMI</v>
          </cell>
          <cell r="E272" t="str">
            <v>SPV UP</v>
          </cell>
          <cell r="F272">
            <v>38189</v>
          </cell>
          <cell r="G272" t="str">
            <v>-</v>
          </cell>
          <cell r="H272" t="str">
            <v>-</v>
          </cell>
          <cell r="I272" t="str">
            <v>PE</v>
          </cell>
          <cell r="J272" t="str">
            <v>MTC</v>
          </cell>
          <cell r="K272" t="str">
            <v>ALL</v>
          </cell>
          <cell r="L272" t="str">
            <v>ALL</v>
          </cell>
          <cell r="M272" t="str">
            <v>PREPARATION</v>
          </cell>
          <cell r="N272" t="str">
            <v>COORD. SUPERVISOR (MAGANG)</v>
          </cell>
          <cell r="O272" t="str">
            <v>FPS SPV</v>
          </cell>
          <cell r="P272" t="str">
            <v>A (NS)</v>
          </cell>
          <cell r="Q272" t="str">
            <v>PS</v>
          </cell>
          <cell r="R272" t="str">
            <v>PERMANENT</v>
          </cell>
          <cell r="S272" t="str">
            <v>PRM</v>
          </cell>
          <cell r="T272" t="str">
            <v>CSPV</v>
          </cell>
          <cell r="U272" t="str">
            <v>-</v>
          </cell>
          <cell r="V272" t="str">
            <v>L</v>
          </cell>
          <cell r="W272">
            <v>44</v>
          </cell>
        </row>
        <row r="273">
          <cell r="A273">
            <v>2412</v>
          </cell>
          <cell r="B273" t="str">
            <v>002412</v>
          </cell>
          <cell r="C273" t="str">
            <v>NUNING DIAN PERTIWI</v>
          </cell>
          <cell r="D273" t="str">
            <v>SAMI</v>
          </cell>
          <cell r="E273" t="str">
            <v>SPV UP</v>
          </cell>
          <cell r="F273">
            <v>38189</v>
          </cell>
          <cell r="G273" t="str">
            <v>-</v>
          </cell>
          <cell r="H273" t="str">
            <v>-</v>
          </cell>
          <cell r="I273" t="str">
            <v>PGA</v>
          </cell>
          <cell r="J273" t="str">
            <v>HR</v>
          </cell>
          <cell r="K273" t="str">
            <v>ALL</v>
          </cell>
          <cell r="L273" t="str">
            <v>ALL</v>
          </cell>
          <cell r="M273" t="str">
            <v>HR</v>
          </cell>
          <cell r="N273" t="str">
            <v>SUPERVISOR PED</v>
          </cell>
          <cell r="O273" t="str">
            <v>IDL SPV</v>
          </cell>
          <cell r="P273" t="str">
            <v>A (NS)</v>
          </cell>
          <cell r="Q273" t="str">
            <v>ADM</v>
          </cell>
          <cell r="R273" t="str">
            <v>PERMANENT</v>
          </cell>
          <cell r="S273" t="str">
            <v>PRM</v>
          </cell>
          <cell r="T273" t="str">
            <v>SPV</v>
          </cell>
          <cell r="U273" t="str">
            <v>-</v>
          </cell>
          <cell r="V273" t="str">
            <v>P</v>
          </cell>
          <cell r="W273">
            <v>43</v>
          </cell>
        </row>
        <row r="274">
          <cell r="A274">
            <v>3102</v>
          </cell>
          <cell r="B274" t="str">
            <v>003102</v>
          </cell>
          <cell r="C274" t="str">
            <v>HARI SASONGKO</v>
          </cell>
          <cell r="D274" t="str">
            <v>SAMI</v>
          </cell>
          <cell r="E274" t="str">
            <v>SPV UP</v>
          </cell>
          <cell r="F274">
            <v>38236</v>
          </cell>
          <cell r="G274" t="str">
            <v>-</v>
          </cell>
          <cell r="H274" t="str">
            <v>-</v>
          </cell>
          <cell r="I274" t="str">
            <v>PP</v>
          </cell>
          <cell r="J274" t="str">
            <v>PD 1</v>
          </cell>
          <cell r="K274" t="str">
            <v>ALL</v>
          </cell>
          <cell r="L274" t="str">
            <v>ALL</v>
          </cell>
          <cell r="M274" t="str">
            <v>PD 1</v>
          </cell>
          <cell r="N274" t="str">
            <v>SPV HONDA 1 &amp; 2, MAZDA, SUZUKI, BC</v>
          </cell>
          <cell r="O274" t="str">
            <v>FPS SPV</v>
          </cell>
          <cell r="P274" t="str">
            <v>A (NS)</v>
          </cell>
          <cell r="Q274" t="str">
            <v>PS</v>
          </cell>
          <cell r="R274" t="str">
            <v>PERMANENT</v>
          </cell>
          <cell r="S274" t="str">
            <v>PRM</v>
          </cell>
          <cell r="T274" t="str">
            <v>SPV</v>
          </cell>
          <cell r="U274" t="str">
            <v>-</v>
          </cell>
          <cell r="V274" t="str">
            <v>L</v>
          </cell>
          <cell r="W274">
            <v>46</v>
          </cell>
        </row>
        <row r="275">
          <cell r="A275">
            <v>3640</v>
          </cell>
          <cell r="B275" t="str">
            <v>003640</v>
          </cell>
          <cell r="C275" t="str">
            <v>AGUS NANANG SETYAWAN</v>
          </cell>
          <cell r="D275" t="str">
            <v>SAMI</v>
          </cell>
          <cell r="E275" t="str">
            <v>SPV UP</v>
          </cell>
          <cell r="F275">
            <v>38285</v>
          </cell>
          <cell r="G275" t="str">
            <v>-</v>
          </cell>
          <cell r="H275" t="str">
            <v>-</v>
          </cell>
          <cell r="I275" t="str">
            <v>PP</v>
          </cell>
          <cell r="J275" t="str">
            <v>MANAGEMENT</v>
          </cell>
          <cell r="K275" t="str">
            <v>ALL</v>
          </cell>
          <cell r="L275" t="str">
            <v>ALL</v>
          </cell>
          <cell r="M275" t="str">
            <v>MANAGEMENT</v>
          </cell>
          <cell r="N275" t="str">
            <v>ASS. MANAGER PP (MAGANG)</v>
          </cell>
          <cell r="O275" t="str">
            <v>MGR FPS</v>
          </cell>
          <cell r="P275" t="str">
            <v>A (NS)</v>
          </cell>
          <cell r="Q275" t="str">
            <v>PS</v>
          </cell>
          <cell r="R275" t="str">
            <v>PERMANENT</v>
          </cell>
          <cell r="S275" t="str">
            <v>PRM</v>
          </cell>
          <cell r="T275" t="str">
            <v>AM</v>
          </cell>
          <cell r="U275" t="str">
            <v>-</v>
          </cell>
          <cell r="V275" t="str">
            <v>L</v>
          </cell>
          <cell r="W275">
            <v>43</v>
          </cell>
        </row>
        <row r="276">
          <cell r="A276">
            <v>3644</v>
          </cell>
          <cell r="B276" t="str">
            <v>003644</v>
          </cell>
          <cell r="C276" t="str">
            <v>HENDRIA AYUNITA SAPUTRA</v>
          </cell>
          <cell r="D276" t="str">
            <v>SAMI</v>
          </cell>
          <cell r="E276" t="str">
            <v>SPV UP</v>
          </cell>
          <cell r="F276">
            <v>38285</v>
          </cell>
          <cell r="G276" t="str">
            <v>-</v>
          </cell>
          <cell r="H276" t="str">
            <v>-</v>
          </cell>
          <cell r="I276" t="str">
            <v>QA</v>
          </cell>
          <cell r="J276" t="str">
            <v>NON LINE</v>
          </cell>
          <cell r="K276" t="str">
            <v>ALL</v>
          </cell>
          <cell r="L276" t="str">
            <v>ALL</v>
          </cell>
          <cell r="M276" t="str">
            <v>SUPERVISOR</v>
          </cell>
          <cell r="N276" t="str">
            <v>HONDA HV, NISSAN HV, TOYOTA HV, BATTERY CABLE  &amp; All Tensile and Cross Section &amp; QAV 1</v>
          </cell>
          <cell r="O276" t="str">
            <v>FPS SPV</v>
          </cell>
          <cell r="P276" t="str">
            <v>A (NS)</v>
          </cell>
          <cell r="Q276" t="str">
            <v>PS</v>
          </cell>
          <cell r="R276" t="str">
            <v>PERMANENT</v>
          </cell>
          <cell r="S276" t="str">
            <v>PRM</v>
          </cell>
          <cell r="T276" t="str">
            <v>SPV</v>
          </cell>
          <cell r="U276" t="str">
            <v>-</v>
          </cell>
          <cell r="V276" t="str">
            <v>L</v>
          </cell>
          <cell r="W276">
            <v>42</v>
          </cell>
        </row>
        <row r="277">
          <cell r="A277">
            <v>3718</v>
          </cell>
          <cell r="B277" t="str">
            <v>003718</v>
          </cell>
          <cell r="C277" t="str">
            <v>MUHAMMAD FATKUL</v>
          </cell>
          <cell r="D277" t="str">
            <v>SAMI</v>
          </cell>
          <cell r="E277" t="str">
            <v>SPV UP</v>
          </cell>
          <cell r="F277">
            <v>38621</v>
          </cell>
          <cell r="G277" t="str">
            <v>-</v>
          </cell>
          <cell r="H277" t="str">
            <v>-</v>
          </cell>
          <cell r="I277" t="str">
            <v>PGA</v>
          </cell>
          <cell r="J277" t="str">
            <v>GA</v>
          </cell>
          <cell r="K277" t="str">
            <v>ALL</v>
          </cell>
          <cell r="L277" t="str">
            <v>ALL</v>
          </cell>
          <cell r="M277" t="str">
            <v>GA</v>
          </cell>
          <cell r="N277" t="str">
            <v>SUPERVISOR</v>
          </cell>
          <cell r="O277" t="str">
            <v>IDL SPV</v>
          </cell>
          <cell r="P277" t="str">
            <v>A (NS)</v>
          </cell>
          <cell r="Q277" t="str">
            <v>ADM</v>
          </cell>
          <cell r="R277" t="str">
            <v>PERMANENT</v>
          </cell>
          <cell r="S277" t="str">
            <v>PRM</v>
          </cell>
          <cell r="T277" t="str">
            <v>SPV</v>
          </cell>
          <cell r="U277" t="str">
            <v>-</v>
          </cell>
          <cell r="V277" t="str">
            <v>L</v>
          </cell>
          <cell r="W277">
            <v>48</v>
          </cell>
        </row>
        <row r="278">
          <cell r="A278">
            <v>3723</v>
          </cell>
          <cell r="B278" t="str">
            <v>003723</v>
          </cell>
          <cell r="C278" t="str">
            <v>NURUL KHASANAH</v>
          </cell>
          <cell r="D278" t="str">
            <v>SAMI</v>
          </cell>
          <cell r="E278" t="str">
            <v>OPT-98</v>
          </cell>
          <cell r="F278">
            <v>38626</v>
          </cell>
          <cell r="G278" t="str">
            <v>-</v>
          </cell>
          <cell r="H278" t="str">
            <v>-</v>
          </cell>
          <cell r="I278" t="str">
            <v>QA</v>
          </cell>
          <cell r="J278" t="str">
            <v>FINAL ASSY</v>
          </cell>
          <cell r="K278" t="str">
            <v>FREED 25M</v>
          </cell>
          <cell r="L278" t="str">
            <v>R-CABIN</v>
          </cell>
          <cell r="M278" t="str">
            <v>CV H05</v>
          </cell>
          <cell r="N278" t="str">
            <v>GL INSPECTION</v>
          </cell>
          <cell r="O278" t="str">
            <v>GL</v>
          </cell>
          <cell r="P278" t="str">
            <v>A (NS)</v>
          </cell>
          <cell r="Q278" t="str">
            <v>PI</v>
          </cell>
          <cell r="R278" t="str">
            <v>PERMANENT</v>
          </cell>
          <cell r="S278" t="str">
            <v>PRM</v>
          </cell>
          <cell r="T278" t="str">
            <v>GL</v>
          </cell>
          <cell r="U278" t="str">
            <v>-</v>
          </cell>
          <cell r="V278" t="str">
            <v>P</v>
          </cell>
          <cell r="W278">
            <v>42</v>
          </cell>
        </row>
        <row r="279">
          <cell r="A279">
            <v>3725</v>
          </cell>
          <cell r="B279" t="str">
            <v>003725</v>
          </cell>
          <cell r="C279" t="str">
            <v>SRI RETNO ISTIYANI</v>
          </cell>
          <cell r="D279" t="str">
            <v>SAMI</v>
          </cell>
          <cell r="E279" t="str">
            <v>OPT-98</v>
          </cell>
          <cell r="F279">
            <v>38626</v>
          </cell>
          <cell r="G279" t="str">
            <v>-</v>
          </cell>
          <cell r="H279" t="str">
            <v>-</v>
          </cell>
          <cell r="I279" t="str">
            <v>QA</v>
          </cell>
          <cell r="J279" t="str">
            <v>NON LINE</v>
          </cell>
          <cell r="K279" t="str">
            <v>ALL</v>
          </cell>
          <cell r="L279" t="str">
            <v>ALL</v>
          </cell>
          <cell r="M279" t="str">
            <v>PPAP</v>
          </cell>
          <cell r="N279" t="str">
            <v>HDR - ES TEST</v>
          </cell>
          <cell r="O279" t="str">
            <v>PPAP</v>
          </cell>
          <cell r="P279" t="str">
            <v>A</v>
          </cell>
          <cell r="Q279" t="str">
            <v>PS</v>
          </cell>
          <cell r="R279" t="str">
            <v>PERMANENT</v>
          </cell>
          <cell r="S279" t="str">
            <v>PRM</v>
          </cell>
          <cell r="T279" t="str">
            <v>OPT</v>
          </cell>
          <cell r="U279" t="str">
            <v>-</v>
          </cell>
          <cell r="V279" t="str">
            <v>P</v>
          </cell>
          <cell r="W279">
            <v>41</v>
          </cell>
        </row>
        <row r="280">
          <cell r="A280">
            <v>8682</v>
          </cell>
          <cell r="B280" t="str">
            <v>008682</v>
          </cell>
          <cell r="C280" t="str">
            <v>ENY KUMAESAROCH</v>
          </cell>
          <cell r="D280" t="str">
            <v>SAMI</v>
          </cell>
          <cell r="E280" t="str">
            <v>OPT-190</v>
          </cell>
          <cell r="F280">
            <v>39888</v>
          </cell>
          <cell r="G280" t="str">
            <v>-</v>
          </cell>
          <cell r="H280" t="str">
            <v>-</v>
          </cell>
          <cell r="I280" t="str">
            <v>PRD</v>
          </cell>
          <cell r="J280" t="str">
            <v>PRE ASSY</v>
          </cell>
          <cell r="K280" t="str">
            <v>HONDA SOLENOID</v>
          </cell>
          <cell r="L280" t="str">
            <v>HONDA SOLENOID</v>
          </cell>
          <cell r="M280" t="str">
            <v>CPA HONDA SOLENOID</v>
          </cell>
          <cell r="N280" t="str">
            <v>INSP CUTTING</v>
          </cell>
          <cell r="O280" t="str">
            <v>P/A INSPECTOR</v>
          </cell>
          <cell r="P280" t="str">
            <v>A</v>
          </cell>
          <cell r="Q280" t="str">
            <v>PI</v>
          </cell>
          <cell r="R280" t="str">
            <v>PERMANENT</v>
          </cell>
          <cell r="S280" t="str">
            <v>PRM</v>
          </cell>
          <cell r="T280" t="str">
            <v>OPT</v>
          </cell>
          <cell r="U280" t="str">
            <v>-</v>
          </cell>
          <cell r="V280" t="str">
            <v>P</v>
          </cell>
          <cell r="W280">
            <v>35</v>
          </cell>
        </row>
        <row r="281">
          <cell r="A281">
            <v>10909</v>
          </cell>
          <cell r="B281" t="str">
            <v>010909</v>
          </cell>
          <cell r="C281" t="str">
            <v>ULYATI</v>
          </cell>
          <cell r="D281" t="str">
            <v>SAMI</v>
          </cell>
          <cell r="E281" t="str">
            <v>OPT-284</v>
          </cell>
          <cell r="F281">
            <v>40574</v>
          </cell>
          <cell r="G281" t="str">
            <v>-</v>
          </cell>
          <cell r="H281" t="str">
            <v>-</v>
          </cell>
          <cell r="I281" t="str">
            <v>PRD</v>
          </cell>
          <cell r="J281" t="str">
            <v>PRE ASSY</v>
          </cell>
          <cell r="K281" t="str">
            <v>HONDA SOLENOID</v>
          </cell>
          <cell r="L281" t="str">
            <v>HONDA SOLENOID</v>
          </cell>
          <cell r="M281" t="str">
            <v>CPA HONDA SOLENOID</v>
          </cell>
          <cell r="N281" t="str">
            <v>MC2-HDS-01, 03 &amp; UST</v>
          </cell>
          <cell r="O281" t="str">
            <v>WFAP 2.1</v>
          </cell>
          <cell r="P281" t="str">
            <v>A</v>
          </cell>
          <cell r="Q281" t="str">
            <v>DL</v>
          </cell>
          <cell r="R281" t="str">
            <v>PERMANENT</v>
          </cell>
          <cell r="S281" t="str">
            <v>PRM</v>
          </cell>
          <cell r="T281" t="str">
            <v>OPT</v>
          </cell>
          <cell r="U281" t="str">
            <v>-</v>
          </cell>
          <cell r="V281" t="str">
            <v>P</v>
          </cell>
          <cell r="W281">
            <v>34</v>
          </cell>
        </row>
        <row r="282">
          <cell r="A282">
            <v>12460</v>
          </cell>
          <cell r="B282" t="str">
            <v>012460</v>
          </cell>
          <cell r="C282" t="str">
            <v>FITA RATNAWATI</v>
          </cell>
          <cell r="D282" t="str">
            <v>SAMI</v>
          </cell>
          <cell r="E282" t="str">
            <v>OPT-318</v>
          </cell>
          <cell r="F282">
            <v>40812</v>
          </cell>
          <cell r="G282" t="str">
            <v>-</v>
          </cell>
          <cell r="H282" t="str">
            <v>-</v>
          </cell>
          <cell r="I282" t="str">
            <v>PRD</v>
          </cell>
          <cell r="J282" t="str">
            <v>PRE ASSY</v>
          </cell>
          <cell r="K282" t="str">
            <v>HONDA SOLENOID</v>
          </cell>
          <cell r="L282" t="str">
            <v>HONDA SOLENOID</v>
          </cell>
          <cell r="M282" t="str">
            <v>CPA HONDA SOLENOID</v>
          </cell>
          <cell r="N282" t="str">
            <v>CUTTING AC90-HDS-02</v>
          </cell>
          <cell r="O282" t="str">
            <v>CUTTING WIRE</v>
          </cell>
          <cell r="P282" t="str">
            <v>A</v>
          </cell>
          <cell r="Q282" t="str">
            <v>DL</v>
          </cell>
          <cell r="R282" t="str">
            <v>PERMANENT</v>
          </cell>
          <cell r="S282" t="str">
            <v>PRM</v>
          </cell>
          <cell r="T282" t="str">
            <v>OPT</v>
          </cell>
          <cell r="U282" t="str">
            <v>-</v>
          </cell>
          <cell r="V282" t="str">
            <v>P</v>
          </cell>
          <cell r="W282">
            <v>31</v>
          </cell>
        </row>
        <row r="283">
          <cell r="A283">
            <v>4041</v>
          </cell>
          <cell r="B283" t="str">
            <v>004041</v>
          </cell>
          <cell r="C283" t="str">
            <v>YUDHISTIRA SETYABUDI</v>
          </cell>
          <cell r="D283" t="str">
            <v>SAMI</v>
          </cell>
          <cell r="E283" t="str">
            <v>TKN-21</v>
          </cell>
          <cell r="F283">
            <v>38722</v>
          </cell>
          <cell r="G283" t="str">
            <v>-</v>
          </cell>
          <cell r="H283" t="str">
            <v>-</v>
          </cell>
          <cell r="I283" t="str">
            <v>PE</v>
          </cell>
          <cell r="J283" t="str">
            <v>MTC</v>
          </cell>
          <cell r="K283" t="str">
            <v>ALL</v>
          </cell>
          <cell r="L283" t="str">
            <v>ALL</v>
          </cell>
          <cell r="M283" t="str">
            <v>BREAKDOWN</v>
          </cell>
          <cell r="N283" t="str">
            <v>BREAKDOWN</v>
          </cell>
          <cell r="O283" t="str">
            <v>MTC</v>
          </cell>
          <cell r="P283" t="str">
            <v>A</v>
          </cell>
          <cell r="Q283" t="str">
            <v>PI</v>
          </cell>
          <cell r="R283" t="str">
            <v>PERMANENT</v>
          </cell>
          <cell r="S283" t="str">
            <v>PRM</v>
          </cell>
          <cell r="T283" t="str">
            <v>GL</v>
          </cell>
          <cell r="U283" t="str">
            <v>-</v>
          </cell>
          <cell r="V283" t="str">
            <v>L</v>
          </cell>
          <cell r="W283">
            <v>42</v>
          </cell>
        </row>
        <row r="284">
          <cell r="A284">
            <v>4356</v>
          </cell>
          <cell r="B284" t="str">
            <v>004356</v>
          </cell>
          <cell r="C284" t="str">
            <v>KUS HERYYONO</v>
          </cell>
          <cell r="D284" t="str">
            <v>SAMI</v>
          </cell>
          <cell r="E284" t="str">
            <v>SPV UP</v>
          </cell>
          <cell r="F284">
            <v>38741</v>
          </cell>
          <cell r="G284" t="str">
            <v>-</v>
          </cell>
          <cell r="H284" t="str">
            <v>-</v>
          </cell>
          <cell r="I284" t="str">
            <v>PP</v>
          </cell>
          <cell r="J284" t="str">
            <v>PPM</v>
          </cell>
          <cell r="K284" t="str">
            <v>ALL</v>
          </cell>
          <cell r="L284" t="str">
            <v>ALL</v>
          </cell>
          <cell r="M284" t="str">
            <v>PPM/PPC/PLCT</v>
          </cell>
          <cell r="N284" t="str">
            <v>COORD. SUPERVISOR</v>
          </cell>
          <cell r="O284" t="str">
            <v>FPS SPV</v>
          </cell>
          <cell r="P284" t="str">
            <v>A (NS)</v>
          </cell>
          <cell r="Q284" t="str">
            <v>PS</v>
          </cell>
          <cell r="R284" t="str">
            <v>PERMANENT</v>
          </cell>
          <cell r="S284" t="str">
            <v>PRM</v>
          </cell>
          <cell r="T284" t="str">
            <v>CSPV</v>
          </cell>
          <cell r="U284" t="str">
            <v>-</v>
          </cell>
          <cell r="V284" t="str">
            <v>L</v>
          </cell>
          <cell r="W284">
            <v>42</v>
          </cell>
        </row>
        <row r="285">
          <cell r="A285">
            <v>1044</v>
          </cell>
          <cell r="B285" t="str">
            <v>001044</v>
          </cell>
          <cell r="C285" t="str">
            <v>ENDANG DEWI MURNI</v>
          </cell>
          <cell r="D285" t="str">
            <v>SAMI</v>
          </cell>
          <cell r="E285" t="str">
            <v>OPT-26</v>
          </cell>
          <cell r="F285">
            <v>37879</v>
          </cell>
          <cell r="G285" t="str">
            <v>-</v>
          </cell>
          <cell r="H285" t="str">
            <v>-</v>
          </cell>
          <cell r="I285" t="str">
            <v>PRD</v>
          </cell>
          <cell r="J285" t="str">
            <v>PRE ASSY</v>
          </cell>
          <cell r="K285" t="str">
            <v>MAZDA ATENZA</v>
          </cell>
          <cell r="L285" t="str">
            <v>MAZDA J71E IPM3</v>
          </cell>
          <cell r="M285" t="str">
            <v>CPA MAZDA ATENZA</v>
          </cell>
          <cell r="N285" t="str">
            <v>BM2-MZD-01, BM4-MZD-01, JM2-MZD-01, JM2-MZD-02, JM3-MZD-01</v>
          </cell>
          <cell r="O285" t="str">
            <v>BONDER</v>
          </cell>
          <cell r="P285" t="str">
            <v>A (NS)</v>
          </cell>
          <cell r="Q285" t="str">
            <v>DL</v>
          </cell>
          <cell r="R285" t="str">
            <v>PERMANENT</v>
          </cell>
          <cell r="S285" t="str">
            <v>PRM</v>
          </cell>
          <cell r="T285" t="str">
            <v>OPT</v>
          </cell>
          <cell r="U285" t="str">
            <v>-</v>
          </cell>
          <cell r="V285" t="str">
            <v>P</v>
          </cell>
          <cell r="W285">
            <v>42</v>
          </cell>
        </row>
        <row r="286">
          <cell r="A286">
            <v>4488</v>
          </cell>
          <cell r="B286" t="str">
            <v>004488</v>
          </cell>
          <cell r="C286" t="str">
            <v>AGUS NUGROHO</v>
          </cell>
          <cell r="D286" t="str">
            <v>SAMI</v>
          </cell>
          <cell r="E286" t="str">
            <v>SPV UP</v>
          </cell>
          <cell r="F286">
            <v>38789</v>
          </cell>
          <cell r="G286" t="str">
            <v>-</v>
          </cell>
          <cell r="H286" t="str">
            <v>-</v>
          </cell>
          <cell r="I286" t="str">
            <v>QA</v>
          </cell>
          <cell r="J286" t="str">
            <v>MANAGEMENT</v>
          </cell>
          <cell r="K286" t="str">
            <v>ALL</v>
          </cell>
          <cell r="L286" t="str">
            <v>ALL</v>
          </cell>
          <cell r="M286" t="str">
            <v>MANAGEMENT</v>
          </cell>
          <cell r="N286" t="str">
            <v>JUNIOR MANAGER QA</v>
          </cell>
          <cell r="O286" t="str">
            <v>MGR FPS</v>
          </cell>
          <cell r="P286" t="str">
            <v>A (NS)</v>
          </cell>
          <cell r="Q286" t="str">
            <v>PS</v>
          </cell>
          <cell r="R286" t="str">
            <v>PERMANENT</v>
          </cell>
          <cell r="S286" t="str">
            <v>PRM</v>
          </cell>
          <cell r="T286" t="str">
            <v>JR. MGR</v>
          </cell>
          <cell r="U286" t="str">
            <v>-</v>
          </cell>
          <cell r="V286" t="str">
            <v>L</v>
          </cell>
          <cell r="W286">
            <v>41</v>
          </cell>
        </row>
        <row r="287">
          <cell r="A287">
            <v>1106</v>
          </cell>
          <cell r="B287" t="str">
            <v>001106</v>
          </cell>
          <cell r="C287" t="str">
            <v>KHUSWATUN KHASANAH</v>
          </cell>
          <cell r="D287" t="str">
            <v>SAMI</v>
          </cell>
          <cell r="E287" t="str">
            <v>OPT-27</v>
          </cell>
          <cell r="F287">
            <v>37887</v>
          </cell>
          <cell r="G287" t="str">
            <v>-</v>
          </cell>
          <cell r="H287" t="str">
            <v>-</v>
          </cell>
          <cell r="I287" t="str">
            <v>PRD</v>
          </cell>
          <cell r="J287" t="str">
            <v>PRE ASSY</v>
          </cell>
          <cell r="K287" t="str">
            <v>MAZDA ATENZA</v>
          </cell>
          <cell r="L287" t="str">
            <v>MAZDA J71E IPM3</v>
          </cell>
          <cell r="M287" t="str">
            <v>CPA MAZDA ATENZA</v>
          </cell>
          <cell r="N287" t="str">
            <v>INSP CUTTING</v>
          </cell>
          <cell r="O287" t="str">
            <v>P/A INSPECTOR</v>
          </cell>
          <cell r="P287" t="str">
            <v>A (NS)</v>
          </cell>
          <cell r="Q287" t="str">
            <v>PI</v>
          </cell>
          <cell r="R287" t="str">
            <v>PERMANENT</v>
          </cell>
          <cell r="S287" t="str">
            <v>PRM</v>
          </cell>
          <cell r="T287" t="str">
            <v>OPT</v>
          </cell>
          <cell r="U287" t="str">
            <v>-</v>
          </cell>
          <cell r="V287" t="str">
            <v>P</v>
          </cell>
          <cell r="W287">
            <v>40</v>
          </cell>
        </row>
        <row r="288">
          <cell r="A288">
            <v>9693</v>
          </cell>
          <cell r="B288" t="str">
            <v>009693</v>
          </cell>
          <cell r="C288" t="str">
            <v>YUDA ROHMAULLAH</v>
          </cell>
          <cell r="D288" t="str">
            <v>SAMI</v>
          </cell>
          <cell r="E288" t="str">
            <v>OPT-222</v>
          </cell>
          <cell r="F288">
            <v>40297</v>
          </cell>
          <cell r="G288" t="str">
            <v>-</v>
          </cell>
          <cell r="H288" t="str">
            <v>-</v>
          </cell>
          <cell r="I288" t="str">
            <v>PRD</v>
          </cell>
          <cell r="J288" t="str">
            <v>PRE ASSY</v>
          </cell>
          <cell r="K288" t="str">
            <v>MAZDA ATENZA</v>
          </cell>
          <cell r="L288" t="str">
            <v>MAZDA J71E IPM3</v>
          </cell>
          <cell r="M288" t="str">
            <v>CPA MAZDA ATENZA</v>
          </cell>
          <cell r="N288" t="str">
            <v>INSP CUTTING</v>
          </cell>
          <cell r="O288" t="str">
            <v>P/A INSPECTOR</v>
          </cell>
          <cell r="P288" t="str">
            <v>A (NS)</v>
          </cell>
          <cell r="Q288" t="str">
            <v>PI</v>
          </cell>
          <cell r="R288" t="str">
            <v>PERMANENT</v>
          </cell>
          <cell r="S288" t="str">
            <v>PRM</v>
          </cell>
          <cell r="T288" t="str">
            <v>OPT</v>
          </cell>
          <cell r="U288" t="str">
            <v>-</v>
          </cell>
          <cell r="V288" t="str">
            <v>P</v>
          </cell>
          <cell r="W288">
            <v>35</v>
          </cell>
        </row>
        <row r="289">
          <cell r="A289">
            <v>11942</v>
          </cell>
          <cell r="B289" t="str">
            <v>011942</v>
          </cell>
          <cell r="C289" t="str">
            <v>MUALIFAH</v>
          </cell>
          <cell r="D289" t="str">
            <v>SAMI</v>
          </cell>
          <cell r="E289" t="str">
            <v>OPT-311</v>
          </cell>
          <cell r="F289">
            <v>40770</v>
          </cell>
          <cell r="G289" t="str">
            <v>-</v>
          </cell>
          <cell r="H289" t="str">
            <v>-</v>
          </cell>
          <cell r="I289" t="str">
            <v>PRD</v>
          </cell>
          <cell r="J289" t="str">
            <v>PRE ASSY</v>
          </cell>
          <cell r="K289" t="str">
            <v>MAZDA ATENZA</v>
          </cell>
          <cell r="L289" t="str">
            <v>MAZDA J71E IPM3</v>
          </cell>
          <cell r="M289" t="str">
            <v>CPA MAZDA ATENZA</v>
          </cell>
          <cell r="N289" t="str">
            <v>CUTTING AC90-MZD-05</v>
          </cell>
          <cell r="O289" t="str">
            <v>CUTTING WIRE</v>
          </cell>
          <cell r="P289" t="str">
            <v>A (NS)</v>
          </cell>
          <cell r="Q289" t="str">
            <v>DL</v>
          </cell>
          <cell r="R289" t="str">
            <v>PERMANENT</v>
          </cell>
          <cell r="S289" t="str">
            <v>PRM</v>
          </cell>
          <cell r="T289" t="str">
            <v>OPT</v>
          </cell>
          <cell r="U289" t="str">
            <v>-</v>
          </cell>
          <cell r="V289" t="str">
            <v>P</v>
          </cell>
          <cell r="W289">
            <v>33</v>
          </cell>
        </row>
        <row r="290">
          <cell r="A290" t="str">
            <v>B00153</v>
          </cell>
          <cell r="B290" t="str">
            <v>B00153</v>
          </cell>
          <cell r="C290" t="str">
            <v>NUR HIDAYAH</v>
          </cell>
          <cell r="D290" t="str">
            <v>SAMI</v>
          </cell>
          <cell r="E290" t="str">
            <v>BBF-003</v>
          </cell>
          <cell r="F290">
            <v>40840</v>
          </cell>
          <cell r="G290" t="str">
            <v>-</v>
          </cell>
          <cell r="H290" t="str">
            <v>-</v>
          </cell>
          <cell r="I290" t="str">
            <v>PRD</v>
          </cell>
          <cell r="J290" t="str">
            <v>PRE ASSY</v>
          </cell>
          <cell r="K290" t="str">
            <v>MAZDA ATENZA</v>
          </cell>
          <cell r="L290" t="str">
            <v>MAZDA J71E IPM3</v>
          </cell>
          <cell r="M290" t="str">
            <v>CPA MAZDA ATENZA</v>
          </cell>
          <cell r="N290" t="str">
            <v>CUTTING AC90-MZD-03, 04</v>
          </cell>
          <cell r="O290" t="str">
            <v>CUTTING WIRE</v>
          </cell>
          <cell r="P290" t="str">
            <v>A (NS)</v>
          </cell>
          <cell r="Q290" t="str">
            <v>DL</v>
          </cell>
          <cell r="R290" t="str">
            <v>PERMANENT</v>
          </cell>
          <cell r="S290" t="str">
            <v>PRM</v>
          </cell>
          <cell r="T290" t="str">
            <v>OPT</v>
          </cell>
          <cell r="U290" t="str">
            <v>-</v>
          </cell>
          <cell r="V290" t="str">
            <v>P</v>
          </cell>
          <cell r="W290">
            <v>32</v>
          </cell>
        </row>
        <row r="291">
          <cell r="A291">
            <v>4651</v>
          </cell>
          <cell r="B291" t="str">
            <v>004651</v>
          </cell>
          <cell r="C291" t="str">
            <v>SRI SULASMI</v>
          </cell>
          <cell r="D291" t="str">
            <v>SAMI</v>
          </cell>
          <cell r="E291" t="str">
            <v>OPT-115</v>
          </cell>
          <cell r="F291">
            <v>38901</v>
          </cell>
          <cell r="G291" t="str">
            <v>-</v>
          </cell>
          <cell r="H291" t="str">
            <v>-</v>
          </cell>
          <cell r="I291" t="str">
            <v>PRD</v>
          </cell>
          <cell r="J291" t="str">
            <v>FINAL ASSY</v>
          </cell>
          <cell r="K291" t="str">
            <v>SUZUKI WAGON R</v>
          </cell>
          <cell r="L291" t="str">
            <v>SUZUKI YW0</v>
          </cell>
          <cell r="M291" t="str">
            <v>CV S01</v>
          </cell>
          <cell r="N291" t="str">
            <v>LQC</v>
          </cell>
          <cell r="O291" t="str">
            <v>RELIEF</v>
          </cell>
          <cell r="P291" t="str">
            <v>B</v>
          </cell>
          <cell r="Q291" t="str">
            <v>PI</v>
          </cell>
          <cell r="R291" t="str">
            <v>PERMANENT</v>
          </cell>
          <cell r="S291" t="str">
            <v>PRM</v>
          </cell>
          <cell r="T291" t="str">
            <v>PJK</v>
          </cell>
          <cell r="U291" t="str">
            <v>-</v>
          </cell>
          <cell r="V291" t="str">
            <v>P</v>
          </cell>
          <cell r="W291">
            <v>41</v>
          </cell>
        </row>
        <row r="292">
          <cell r="A292">
            <v>4653</v>
          </cell>
          <cell r="B292" t="str">
            <v>004653</v>
          </cell>
          <cell r="C292" t="str">
            <v>EKA SULISTIYANI</v>
          </cell>
          <cell r="D292" t="str">
            <v>SAMI</v>
          </cell>
          <cell r="E292" t="str">
            <v>OPT-115</v>
          </cell>
          <cell r="F292">
            <v>38901</v>
          </cell>
          <cell r="G292" t="str">
            <v>-</v>
          </cell>
          <cell r="H292" t="str">
            <v>-</v>
          </cell>
          <cell r="I292" t="str">
            <v>PRD</v>
          </cell>
          <cell r="J292" t="str">
            <v>FINAL ASSY</v>
          </cell>
          <cell r="K292" t="str">
            <v>TOYOTA HV</v>
          </cell>
          <cell r="L292" t="str">
            <v>HV TOYOTA NIKEL</v>
          </cell>
          <cell r="M292" t="str">
            <v>CV HV 07</v>
          </cell>
          <cell r="N292" t="str">
            <v>SUB LINE CHO</v>
          </cell>
          <cell r="O292" t="str">
            <v>GL</v>
          </cell>
          <cell r="P292" t="str">
            <v>B</v>
          </cell>
          <cell r="Q292" t="str">
            <v>PI</v>
          </cell>
          <cell r="R292" t="str">
            <v>PERMANENT</v>
          </cell>
          <cell r="S292" t="str">
            <v>PRM</v>
          </cell>
          <cell r="T292" t="str">
            <v>SLC</v>
          </cell>
          <cell r="U292" t="str">
            <v>-</v>
          </cell>
          <cell r="V292" t="str">
            <v>P</v>
          </cell>
          <cell r="W292">
            <v>39</v>
          </cell>
        </row>
        <row r="293">
          <cell r="A293">
            <v>4655</v>
          </cell>
          <cell r="B293" t="str">
            <v>004655</v>
          </cell>
          <cell r="C293" t="str">
            <v>BUDI HARTONO</v>
          </cell>
          <cell r="D293" t="str">
            <v>SAMI</v>
          </cell>
          <cell r="E293" t="str">
            <v>OPT-115</v>
          </cell>
          <cell r="F293">
            <v>38901</v>
          </cell>
          <cell r="G293" t="str">
            <v>-</v>
          </cell>
          <cell r="H293" t="str">
            <v>-</v>
          </cell>
          <cell r="I293" t="str">
            <v>PRD</v>
          </cell>
          <cell r="J293" t="str">
            <v>FINAL ASSY</v>
          </cell>
          <cell r="K293" t="str">
            <v>SUZUKI WAGON R</v>
          </cell>
          <cell r="L293" t="str">
            <v>SUZUKI YW0</v>
          </cell>
          <cell r="M293" t="str">
            <v>CV S01</v>
          </cell>
          <cell r="N293" t="str">
            <v>EXPANDER GROMMET</v>
          </cell>
          <cell r="O293" t="str">
            <v>FINISHING &amp; GROMMET INJECTION</v>
          </cell>
          <cell r="P293" t="str">
            <v>B</v>
          </cell>
          <cell r="Q293" t="str">
            <v>DL</v>
          </cell>
          <cell r="R293" t="str">
            <v>PERMANENT</v>
          </cell>
          <cell r="S293" t="str">
            <v>PRM</v>
          </cell>
          <cell r="T293" t="str">
            <v>OPT</v>
          </cell>
          <cell r="U293" t="str">
            <v>-</v>
          </cell>
          <cell r="V293" t="str">
            <v>L</v>
          </cell>
          <cell r="W293">
            <v>40</v>
          </cell>
        </row>
        <row r="294">
          <cell r="A294">
            <v>4657</v>
          </cell>
          <cell r="B294" t="str">
            <v>004657</v>
          </cell>
          <cell r="C294" t="str">
            <v>DEDEK KUSMANA</v>
          </cell>
          <cell r="D294" t="str">
            <v>SAMI</v>
          </cell>
          <cell r="E294" t="str">
            <v>TKN-25</v>
          </cell>
          <cell r="F294">
            <v>38901</v>
          </cell>
          <cell r="G294" t="str">
            <v>-</v>
          </cell>
          <cell r="H294" t="str">
            <v>-</v>
          </cell>
          <cell r="I294" t="str">
            <v>PE</v>
          </cell>
          <cell r="J294" t="str">
            <v>PrE</v>
          </cell>
          <cell r="K294" t="str">
            <v>ALL</v>
          </cell>
          <cell r="L294" t="str">
            <v>ALL</v>
          </cell>
          <cell r="M294" t="str">
            <v>PrE</v>
          </cell>
          <cell r="N294" t="str">
            <v>CNC &amp; MILLING MATTING PART DESIGN &amp; FABRICATION</v>
          </cell>
          <cell r="O294" t="str">
            <v>PROCESS ENG</v>
          </cell>
          <cell r="P294" t="str">
            <v>A (NS)</v>
          </cell>
          <cell r="Q294" t="str">
            <v>PS</v>
          </cell>
          <cell r="R294" t="str">
            <v>PERMANENT</v>
          </cell>
          <cell r="S294" t="str">
            <v>PRM</v>
          </cell>
          <cell r="T294" t="str">
            <v>TKN</v>
          </cell>
          <cell r="U294" t="str">
            <v>-</v>
          </cell>
          <cell r="V294" t="str">
            <v>L</v>
          </cell>
          <cell r="W294">
            <v>40</v>
          </cell>
        </row>
        <row r="295">
          <cell r="A295" t="str">
            <v>B01433</v>
          </cell>
          <cell r="B295" t="str">
            <v>B01433</v>
          </cell>
          <cell r="C295" t="str">
            <v>UMI ATIKA</v>
          </cell>
          <cell r="D295" t="str">
            <v>SAMI</v>
          </cell>
          <cell r="E295" t="str">
            <v>BBF-047</v>
          </cell>
          <cell r="F295">
            <v>41295</v>
          </cell>
          <cell r="G295" t="str">
            <v>-</v>
          </cell>
          <cell r="H295" t="str">
            <v>-</v>
          </cell>
          <cell r="I295" t="str">
            <v>PRD</v>
          </cell>
          <cell r="J295" t="str">
            <v>PRE ASSY</v>
          </cell>
          <cell r="K295" t="str">
            <v>MAZDA ATENZA</v>
          </cell>
          <cell r="L295" t="str">
            <v>MAZDA J71E IPM3</v>
          </cell>
          <cell r="M295" t="str">
            <v>CPA MAZDA ATENZA</v>
          </cell>
          <cell r="N295" t="str">
            <v>CUTTING AC90-MZD-08</v>
          </cell>
          <cell r="O295" t="str">
            <v>CUTTING WIRE</v>
          </cell>
          <cell r="P295" t="str">
            <v>A (NS)</v>
          </cell>
          <cell r="Q295" t="str">
            <v>DL</v>
          </cell>
          <cell r="R295" t="str">
            <v>PERMANENT</v>
          </cell>
          <cell r="S295" t="str">
            <v>PRM</v>
          </cell>
          <cell r="T295" t="str">
            <v>OPT</v>
          </cell>
          <cell r="U295" t="str">
            <v>-</v>
          </cell>
          <cell r="V295" t="str">
            <v>P</v>
          </cell>
          <cell r="W295">
            <v>35</v>
          </cell>
        </row>
        <row r="296">
          <cell r="A296">
            <v>4849</v>
          </cell>
          <cell r="B296" t="str">
            <v>004849</v>
          </cell>
          <cell r="C296" t="str">
            <v>YENY FADILAH</v>
          </cell>
          <cell r="D296" t="str">
            <v>SAMI</v>
          </cell>
          <cell r="E296" t="str">
            <v>OPT-120</v>
          </cell>
          <cell r="F296">
            <v>38930</v>
          </cell>
          <cell r="G296" t="str">
            <v>-</v>
          </cell>
          <cell r="H296" t="str">
            <v>-</v>
          </cell>
          <cell r="I296" t="str">
            <v>PGA</v>
          </cell>
          <cell r="J296" t="str">
            <v>TRN &amp; MOTO</v>
          </cell>
          <cell r="K296" t="str">
            <v>ALL</v>
          </cell>
          <cell r="L296" t="str">
            <v>ALL</v>
          </cell>
          <cell r="M296" t="str">
            <v>TRN</v>
          </cell>
          <cell r="N296" t="str">
            <v>TRAINING &amp; 136 RULES</v>
          </cell>
          <cell r="O296" t="str">
            <v>TRN</v>
          </cell>
          <cell r="P296" t="str">
            <v>A (NS)</v>
          </cell>
          <cell r="Q296" t="str">
            <v>ADM</v>
          </cell>
          <cell r="R296" t="str">
            <v>PERMANENT</v>
          </cell>
          <cell r="S296" t="str">
            <v>PRM</v>
          </cell>
          <cell r="T296" t="str">
            <v>GL</v>
          </cell>
          <cell r="U296" t="str">
            <v>-</v>
          </cell>
          <cell r="V296" t="str">
            <v>P</v>
          </cell>
          <cell r="W296">
            <v>41</v>
          </cell>
        </row>
        <row r="297">
          <cell r="A297">
            <v>82</v>
          </cell>
          <cell r="B297" t="str">
            <v>000082</v>
          </cell>
          <cell r="C297" t="str">
            <v>DWI WIDIYANA</v>
          </cell>
          <cell r="D297" t="str">
            <v>SAMI</v>
          </cell>
          <cell r="E297" t="str">
            <v>OPT-2</v>
          </cell>
          <cell r="F297">
            <v>37610</v>
          </cell>
          <cell r="G297" t="str">
            <v>-</v>
          </cell>
          <cell r="H297" t="str">
            <v>-</v>
          </cell>
          <cell r="I297" t="str">
            <v>PRD</v>
          </cell>
          <cell r="J297" t="str">
            <v>PRE ASSY</v>
          </cell>
          <cell r="K297" t="str">
            <v>MAZDA ATENZA</v>
          </cell>
          <cell r="L297" t="str">
            <v>MAZDA J72A</v>
          </cell>
          <cell r="M297" t="str">
            <v>CPA MAZDA CX-5</v>
          </cell>
          <cell r="N297" t="str">
            <v>PRD LINE CHO</v>
          </cell>
          <cell r="O297" t="str">
            <v>FPI LL</v>
          </cell>
          <cell r="P297" t="str">
            <v>A</v>
          </cell>
          <cell r="Q297" t="str">
            <v>PI</v>
          </cell>
          <cell r="R297" t="str">
            <v>PERMANENT</v>
          </cell>
          <cell r="S297" t="str">
            <v>PRM</v>
          </cell>
          <cell r="T297" t="str">
            <v>LC</v>
          </cell>
          <cell r="U297" t="str">
            <v>-</v>
          </cell>
          <cell r="V297" t="str">
            <v>P</v>
          </cell>
          <cell r="W297">
            <v>42</v>
          </cell>
        </row>
        <row r="298">
          <cell r="A298">
            <v>630</v>
          </cell>
          <cell r="B298" t="str">
            <v>000630</v>
          </cell>
          <cell r="C298" t="str">
            <v>SETYORINI</v>
          </cell>
          <cell r="D298" t="str">
            <v>SAMI</v>
          </cell>
          <cell r="E298" t="str">
            <v>OPT-16</v>
          </cell>
          <cell r="F298">
            <v>37781</v>
          </cell>
          <cell r="G298" t="str">
            <v>-</v>
          </cell>
          <cell r="H298" t="str">
            <v>-</v>
          </cell>
          <cell r="I298" t="str">
            <v>PRD</v>
          </cell>
          <cell r="J298" t="str">
            <v>PRE ASSY</v>
          </cell>
          <cell r="K298" t="str">
            <v>MAZDA ATENZA</v>
          </cell>
          <cell r="L298" t="str">
            <v>MAZDA J72A</v>
          </cell>
          <cell r="M298" t="str">
            <v>CPA MAZDA CX-5</v>
          </cell>
          <cell r="N298" t="str">
            <v>SUB LINE CHO</v>
          </cell>
          <cell r="O298" t="str">
            <v>GL</v>
          </cell>
          <cell r="P298" t="str">
            <v>A</v>
          </cell>
          <cell r="Q298" t="str">
            <v>PI</v>
          </cell>
          <cell r="R298" t="str">
            <v>PERMANENT</v>
          </cell>
          <cell r="S298" t="str">
            <v>PRM</v>
          </cell>
          <cell r="T298" t="str">
            <v>SLC</v>
          </cell>
          <cell r="U298" t="str">
            <v>-</v>
          </cell>
          <cell r="V298" t="str">
            <v>P</v>
          </cell>
          <cell r="W298">
            <v>40</v>
          </cell>
        </row>
        <row r="299">
          <cell r="A299">
            <v>4857</v>
          </cell>
          <cell r="B299" t="str">
            <v>004857</v>
          </cell>
          <cell r="C299" t="str">
            <v>NUR ASIYAH</v>
          </cell>
          <cell r="D299" t="str">
            <v>SAMI</v>
          </cell>
          <cell r="E299" t="str">
            <v>OPT-120</v>
          </cell>
          <cell r="F299">
            <v>38930</v>
          </cell>
          <cell r="G299" t="str">
            <v>-</v>
          </cell>
          <cell r="H299" t="str">
            <v>-</v>
          </cell>
          <cell r="I299" t="str">
            <v>QA</v>
          </cell>
          <cell r="J299" t="str">
            <v>NON LINE</v>
          </cell>
          <cell r="K299" t="str">
            <v>ALL</v>
          </cell>
          <cell r="L299" t="str">
            <v>ALL</v>
          </cell>
          <cell r="M299" t="str">
            <v>OTHERS (BUFFER)</v>
          </cell>
          <cell r="N299" t="str">
            <v>SUPPORT CV HV 04A</v>
          </cell>
          <cell r="O299" t="str">
            <v>OTHERS</v>
          </cell>
          <cell r="P299" t="str">
            <v>A</v>
          </cell>
          <cell r="Q299" t="str">
            <v>PI</v>
          </cell>
          <cell r="R299" t="str">
            <v>PERMANENT</v>
          </cell>
          <cell r="S299" t="str">
            <v>PRM</v>
          </cell>
          <cell r="T299" t="str">
            <v>OPT</v>
          </cell>
          <cell r="U299" t="str">
            <v>-</v>
          </cell>
          <cell r="V299" t="str">
            <v>P</v>
          </cell>
          <cell r="W299">
            <v>40</v>
          </cell>
        </row>
        <row r="300">
          <cell r="A300">
            <v>4960</v>
          </cell>
          <cell r="B300" t="str">
            <v>004960</v>
          </cell>
          <cell r="C300" t="str">
            <v>WAHYUDI</v>
          </cell>
          <cell r="D300" t="str">
            <v>SAMI</v>
          </cell>
          <cell r="E300" t="str">
            <v>SPV UP</v>
          </cell>
          <cell r="F300">
            <v>38936</v>
          </cell>
          <cell r="G300" t="str">
            <v>-</v>
          </cell>
          <cell r="H300" t="str">
            <v>-</v>
          </cell>
          <cell r="I300" t="str">
            <v>LOG</v>
          </cell>
          <cell r="J300" t="str">
            <v>PPIC</v>
          </cell>
          <cell r="K300" t="str">
            <v>ALL</v>
          </cell>
          <cell r="L300" t="str">
            <v>ALL</v>
          </cell>
          <cell r="M300" t="str">
            <v>PPIC</v>
          </cell>
          <cell r="N300" t="str">
            <v>COORD. SUPERVISOR</v>
          </cell>
          <cell r="O300" t="str">
            <v>FPS SPV</v>
          </cell>
          <cell r="P300" t="str">
            <v>A (NS)</v>
          </cell>
          <cell r="Q300" t="str">
            <v>PS</v>
          </cell>
          <cell r="R300" t="str">
            <v>PERMANENT</v>
          </cell>
          <cell r="S300" t="str">
            <v>PRM</v>
          </cell>
          <cell r="T300" t="str">
            <v>CSPV</v>
          </cell>
          <cell r="U300" t="str">
            <v>-</v>
          </cell>
          <cell r="V300" t="str">
            <v>L</v>
          </cell>
          <cell r="W300">
            <v>40</v>
          </cell>
        </row>
        <row r="301">
          <cell r="A301">
            <v>5220</v>
          </cell>
          <cell r="B301" t="str">
            <v>005220</v>
          </cell>
          <cell r="C301" t="str">
            <v>PURWANTORO</v>
          </cell>
          <cell r="D301" t="str">
            <v>SAMI</v>
          </cell>
          <cell r="E301" t="str">
            <v>TKN-27</v>
          </cell>
          <cell r="F301">
            <v>38961</v>
          </cell>
          <cell r="G301" t="str">
            <v>-</v>
          </cell>
          <cell r="H301" t="str">
            <v>-</v>
          </cell>
          <cell r="I301" t="str">
            <v>PE</v>
          </cell>
          <cell r="J301" t="str">
            <v>MTC</v>
          </cell>
          <cell r="K301" t="str">
            <v>ALL</v>
          </cell>
          <cell r="L301" t="str">
            <v>ALL</v>
          </cell>
          <cell r="M301" t="str">
            <v>CT</v>
          </cell>
          <cell r="N301" t="str">
            <v>PREPARATION CT &amp; MODIF APPL</v>
          </cell>
          <cell r="O301" t="str">
            <v>CRIMP STD</v>
          </cell>
          <cell r="P301" t="str">
            <v>A (NS)</v>
          </cell>
          <cell r="Q301" t="str">
            <v>PS</v>
          </cell>
          <cell r="R301" t="str">
            <v>PERMANENT</v>
          </cell>
          <cell r="S301" t="str">
            <v>PRM</v>
          </cell>
          <cell r="T301" t="str">
            <v>TKN</v>
          </cell>
          <cell r="U301" t="str">
            <v>-</v>
          </cell>
          <cell r="V301" t="str">
            <v>L</v>
          </cell>
          <cell r="W301">
            <v>39</v>
          </cell>
        </row>
        <row r="302">
          <cell r="A302">
            <v>5222</v>
          </cell>
          <cell r="B302" t="str">
            <v>005222</v>
          </cell>
          <cell r="C302" t="str">
            <v>MUGO SIHONO</v>
          </cell>
          <cell r="D302" t="str">
            <v>SAMI</v>
          </cell>
          <cell r="E302" t="str">
            <v>TKN-27</v>
          </cell>
          <cell r="F302">
            <v>38961</v>
          </cell>
          <cell r="G302" t="str">
            <v>-</v>
          </cell>
          <cell r="H302" t="str">
            <v>-</v>
          </cell>
          <cell r="I302" t="str">
            <v>PE</v>
          </cell>
          <cell r="J302" t="str">
            <v>MTC</v>
          </cell>
          <cell r="K302" t="str">
            <v>ALL</v>
          </cell>
          <cell r="L302" t="str">
            <v>ALL</v>
          </cell>
          <cell r="M302" t="str">
            <v>TPM</v>
          </cell>
          <cell r="N302" t="str">
            <v>PREVENTIVE</v>
          </cell>
          <cell r="O302" t="str">
            <v>PROCESS ENG</v>
          </cell>
          <cell r="P302" t="str">
            <v>A</v>
          </cell>
          <cell r="Q302" t="str">
            <v>PS</v>
          </cell>
          <cell r="R302" t="str">
            <v>PERMANENT</v>
          </cell>
          <cell r="S302" t="str">
            <v>PRM</v>
          </cell>
          <cell r="T302" t="str">
            <v>TKN</v>
          </cell>
          <cell r="U302" t="str">
            <v>-</v>
          </cell>
          <cell r="V302" t="str">
            <v>L</v>
          </cell>
          <cell r="W302">
            <v>40</v>
          </cell>
        </row>
        <row r="303">
          <cell r="A303">
            <v>5226</v>
          </cell>
          <cell r="B303" t="str">
            <v>005226</v>
          </cell>
          <cell r="C303" t="str">
            <v>SUPRAYOGI</v>
          </cell>
          <cell r="D303" t="str">
            <v>SAMI</v>
          </cell>
          <cell r="E303" t="str">
            <v>TKN-27</v>
          </cell>
          <cell r="F303">
            <v>38961</v>
          </cell>
          <cell r="G303" t="str">
            <v>-</v>
          </cell>
          <cell r="H303" t="str">
            <v>-</v>
          </cell>
          <cell r="I303" t="str">
            <v>PE</v>
          </cell>
          <cell r="J303" t="str">
            <v>J/C BP</v>
          </cell>
          <cell r="K303" t="str">
            <v>ALL</v>
          </cell>
          <cell r="L303" t="str">
            <v>ALL</v>
          </cell>
          <cell r="M303" t="str">
            <v>CBP</v>
          </cell>
          <cell r="N303" t="str">
            <v>PROGRAMER CHECKER BOARD</v>
          </cell>
          <cell r="O303" t="str">
            <v>CBP</v>
          </cell>
          <cell r="P303" t="str">
            <v>B</v>
          </cell>
          <cell r="Q303" t="str">
            <v>PS</v>
          </cell>
          <cell r="R303" t="str">
            <v>PERMANENT</v>
          </cell>
          <cell r="S303" t="str">
            <v>PRM</v>
          </cell>
          <cell r="T303" t="str">
            <v>TKN</v>
          </cell>
          <cell r="U303" t="str">
            <v>-</v>
          </cell>
          <cell r="V303" t="str">
            <v>L</v>
          </cell>
          <cell r="W303">
            <v>41</v>
          </cell>
        </row>
        <row r="304">
          <cell r="A304">
            <v>5227</v>
          </cell>
          <cell r="B304" t="str">
            <v>005227</v>
          </cell>
          <cell r="C304" t="str">
            <v>DINA MARYANI</v>
          </cell>
          <cell r="D304" t="str">
            <v>SAMI</v>
          </cell>
          <cell r="E304" t="str">
            <v>OPT-125</v>
          </cell>
          <cell r="F304">
            <v>38961</v>
          </cell>
          <cell r="G304" t="str">
            <v>-</v>
          </cell>
          <cell r="H304" t="str">
            <v>-</v>
          </cell>
          <cell r="I304" t="str">
            <v>LOG</v>
          </cell>
          <cell r="J304" t="str">
            <v>WHS</v>
          </cell>
          <cell r="K304" t="str">
            <v>ALL</v>
          </cell>
          <cell r="L304" t="str">
            <v>ALL</v>
          </cell>
          <cell r="M304" t="str">
            <v>WHS</v>
          </cell>
          <cell r="N304" t="str">
            <v>Parts warehouse (receiving, handling in warehouse &amp; wire setting to reel)</v>
          </cell>
          <cell r="O304" t="str">
            <v>WHS IN</v>
          </cell>
          <cell r="P304" t="str">
            <v>A</v>
          </cell>
          <cell r="Q304" t="str">
            <v>PS</v>
          </cell>
          <cell r="R304" t="str">
            <v>PERMANENT</v>
          </cell>
          <cell r="S304" t="str">
            <v>PRM</v>
          </cell>
          <cell r="T304" t="str">
            <v>OPT</v>
          </cell>
          <cell r="U304" t="str">
            <v>-</v>
          </cell>
          <cell r="V304" t="str">
            <v>P</v>
          </cell>
          <cell r="W304">
            <v>40</v>
          </cell>
        </row>
        <row r="305">
          <cell r="A305">
            <v>5230</v>
          </cell>
          <cell r="B305" t="str">
            <v>005230</v>
          </cell>
          <cell r="C305" t="str">
            <v>IKA YULIANI</v>
          </cell>
          <cell r="D305" t="str">
            <v>SAMI</v>
          </cell>
          <cell r="E305" t="str">
            <v>OPT-125</v>
          </cell>
          <cell r="F305">
            <v>38961</v>
          </cell>
          <cell r="G305" t="str">
            <v>-</v>
          </cell>
          <cell r="H305" t="str">
            <v>-</v>
          </cell>
          <cell r="I305" t="str">
            <v>PRD</v>
          </cell>
          <cell r="J305" t="str">
            <v>FINAL ASSY</v>
          </cell>
          <cell r="K305" t="str">
            <v>MAZDA 3</v>
          </cell>
          <cell r="L305" t="str">
            <v>MAZDA REAR</v>
          </cell>
          <cell r="M305" t="str">
            <v>CV M01</v>
          </cell>
          <cell r="N305" t="str">
            <v>VISUAL 2.2</v>
          </cell>
          <cell r="O305" t="str">
            <v>VISUAL INSPECTION</v>
          </cell>
          <cell r="P305" t="str">
            <v>B</v>
          </cell>
          <cell r="Q305" t="str">
            <v>DL</v>
          </cell>
          <cell r="R305" t="str">
            <v>PERMANENT</v>
          </cell>
          <cell r="S305" t="str">
            <v>PRM</v>
          </cell>
          <cell r="T305" t="str">
            <v>OPT</v>
          </cell>
          <cell r="U305" t="str">
            <v>-</v>
          </cell>
          <cell r="V305" t="str">
            <v>P</v>
          </cell>
          <cell r="W305">
            <v>39</v>
          </cell>
        </row>
        <row r="306">
          <cell r="A306">
            <v>1074</v>
          </cell>
          <cell r="B306" t="str">
            <v>001074</v>
          </cell>
          <cell r="C306" t="str">
            <v>YULI SETYONINGSIH</v>
          </cell>
          <cell r="D306" t="str">
            <v>SAMI</v>
          </cell>
          <cell r="E306" t="str">
            <v>OPT-27</v>
          </cell>
          <cell r="F306">
            <v>37887</v>
          </cell>
          <cell r="G306" t="str">
            <v>-</v>
          </cell>
          <cell r="H306" t="str">
            <v>-</v>
          </cell>
          <cell r="I306" t="str">
            <v>PRD</v>
          </cell>
          <cell r="J306" t="str">
            <v>PRE ASSY</v>
          </cell>
          <cell r="K306" t="str">
            <v>MAZDA ATENZA</v>
          </cell>
          <cell r="L306" t="str">
            <v>MAZDA J72A</v>
          </cell>
          <cell r="M306" t="str">
            <v>CPA MAZDA CX-5</v>
          </cell>
          <cell r="N306" t="str">
            <v>BM4-MZD-02</v>
          </cell>
          <cell r="O306" t="str">
            <v>BONDER</v>
          </cell>
          <cell r="P306" t="str">
            <v>A</v>
          </cell>
          <cell r="Q306" t="str">
            <v>DL</v>
          </cell>
          <cell r="R306" t="str">
            <v>PERMANENT</v>
          </cell>
          <cell r="S306" t="str">
            <v>PRM</v>
          </cell>
          <cell r="T306" t="str">
            <v>OPT</v>
          </cell>
          <cell r="U306" t="str">
            <v>-</v>
          </cell>
          <cell r="V306" t="str">
            <v>P</v>
          </cell>
          <cell r="W306">
            <v>39</v>
          </cell>
        </row>
        <row r="307">
          <cell r="A307">
            <v>5233</v>
          </cell>
          <cell r="B307" t="str">
            <v>005233</v>
          </cell>
          <cell r="C307" t="str">
            <v>SUS MULYANI</v>
          </cell>
          <cell r="D307" t="str">
            <v>SAMI</v>
          </cell>
          <cell r="E307" t="str">
            <v>OPT-125</v>
          </cell>
          <cell r="F307">
            <v>38961</v>
          </cell>
          <cell r="G307" t="str">
            <v>-</v>
          </cell>
          <cell r="H307" t="str">
            <v>-</v>
          </cell>
          <cell r="I307" t="str">
            <v>PRD</v>
          </cell>
          <cell r="J307" t="str">
            <v>PRE ASSY</v>
          </cell>
          <cell r="K307" t="str">
            <v>MAZDA ATENZA</v>
          </cell>
          <cell r="L307" t="str">
            <v>MAZDA J72A</v>
          </cell>
          <cell r="M307" t="str">
            <v>CPA MAZDA CX-5</v>
          </cell>
          <cell r="N307" t="str">
            <v>INSP PRE ASSY</v>
          </cell>
          <cell r="O307" t="str">
            <v>P/A INSPECTOR</v>
          </cell>
          <cell r="P307" t="str">
            <v>A</v>
          </cell>
          <cell r="Q307" t="str">
            <v>PI</v>
          </cell>
          <cell r="R307" t="str">
            <v>PERMANENT</v>
          </cell>
          <cell r="S307" t="str">
            <v>PRM</v>
          </cell>
          <cell r="T307" t="str">
            <v>OPT</v>
          </cell>
          <cell r="U307" t="str">
            <v>-</v>
          </cell>
          <cell r="V307" t="str">
            <v>P</v>
          </cell>
          <cell r="W307">
            <v>40</v>
          </cell>
        </row>
        <row r="308">
          <cell r="A308">
            <v>5245</v>
          </cell>
          <cell r="B308" t="str">
            <v>005245</v>
          </cell>
          <cell r="C308" t="str">
            <v>DWI INDARWATI</v>
          </cell>
          <cell r="D308" t="str">
            <v>SAMI</v>
          </cell>
          <cell r="E308" t="str">
            <v>OPT-125</v>
          </cell>
          <cell r="F308">
            <v>38961</v>
          </cell>
          <cell r="G308" t="str">
            <v>-</v>
          </cell>
          <cell r="H308" t="str">
            <v>-</v>
          </cell>
          <cell r="I308" t="str">
            <v>PRD</v>
          </cell>
          <cell r="J308" t="str">
            <v>PRE ASSY</v>
          </cell>
          <cell r="K308" t="str">
            <v>MAZDA ATENZA</v>
          </cell>
          <cell r="L308" t="str">
            <v>MAZDA J72A</v>
          </cell>
          <cell r="M308" t="str">
            <v>CPA MAZDA CX-5</v>
          </cell>
          <cell r="N308" t="str">
            <v>CUTTING AC90-MZD-02</v>
          </cell>
          <cell r="O308" t="str">
            <v>CUTTING WIRE</v>
          </cell>
          <cell r="P308" t="str">
            <v>A</v>
          </cell>
          <cell r="Q308" t="str">
            <v>DL</v>
          </cell>
          <cell r="R308" t="str">
            <v>PERMANENT</v>
          </cell>
          <cell r="S308" t="str">
            <v>PRM</v>
          </cell>
          <cell r="T308" t="str">
            <v>OPT</v>
          </cell>
          <cell r="U308" t="str">
            <v>-</v>
          </cell>
          <cell r="V308" t="str">
            <v>P</v>
          </cell>
          <cell r="W308">
            <v>41</v>
          </cell>
        </row>
        <row r="309">
          <cell r="A309">
            <v>5444</v>
          </cell>
          <cell r="B309" t="str">
            <v>005444</v>
          </cell>
          <cell r="C309" t="str">
            <v>SITI NADHIYAH</v>
          </cell>
          <cell r="D309" t="str">
            <v>SAMI</v>
          </cell>
          <cell r="E309" t="str">
            <v>OPT-128</v>
          </cell>
          <cell r="F309">
            <v>38991</v>
          </cell>
          <cell r="G309" t="str">
            <v>-</v>
          </cell>
          <cell r="H309" t="str">
            <v>-</v>
          </cell>
          <cell r="I309" t="str">
            <v>PRD</v>
          </cell>
          <cell r="J309" t="str">
            <v>PRE ASSY</v>
          </cell>
          <cell r="K309" t="str">
            <v>MAZDA ATENZA</v>
          </cell>
          <cell r="L309" t="str">
            <v>MAZDA J72A</v>
          </cell>
          <cell r="M309" t="str">
            <v>CPA MAZDA CX-5</v>
          </cell>
          <cell r="N309" t="str">
            <v>INSP CUTTING</v>
          </cell>
          <cell r="O309" t="str">
            <v>P/A INSPECTOR</v>
          </cell>
          <cell r="P309" t="str">
            <v>A</v>
          </cell>
          <cell r="Q309" t="str">
            <v>PI</v>
          </cell>
          <cell r="R309" t="str">
            <v>PERMANENT</v>
          </cell>
          <cell r="S309" t="str">
            <v>PRM</v>
          </cell>
          <cell r="T309" t="str">
            <v>OPT</v>
          </cell>
          <cell r="U309" t="str">
            <v>-</v>
          </cell>
          <cell r="V309" t="str">
            <v>P</v>
          </cell>
          <cell r="W309">
            <v>40</v>
          </cell>
        </row>
        <row r="310">
          <cell r="A310">
            <v>5252</v>
          </cell>
          <cell r="B310" t="str">
            <v>005252</v>
          </cell>
          <cell r="C310" t="str">
            <v>ZUSTINA</v>
          </cell>
          <cell r="D310" t="str">
            <v>SAMI</v>
          </cell>
          <cell r="E310" t="str">
            <v>OPT-125</v>
          </cell>
          <cell r="F310">
            <v>38961</v>
          </cell>
          <cell r="G310" t="str">
            <v>-</v>
          </cell>
          <cell r="H310" t="str">
            <v>-</v>
          </cell>
          <cell r="I310" t="str">
            <v>PE</v>
          </cell>
          <cell r="J310" t="str">
            <v>PrE</v>
          </cell>
          <cell r="K310" t="str">
            <v>ALL</v>
          </cell>
          <cell r="L310" t="str">
            <v>ALL</v>
          </cell>
          <cell r="M310" t="str">
            <v>PrE</v>
          </cell>
          <cell r="N310" t="str">
            <v>IDENTITAS</v>
          </cell>
          <cell r="O310" t="str">
            <v>PROCESS ENG</v>
          </cell>
          <cell r="P310" t="str">
            <v>A (NS)</v>
          </cell>
          <cell r="Q310" t="str">
            <v>PS</v>
          </cell>
          <cell r="R310" t="str">
            <v>PERMANENT</v>
          </cell>
          <cell r="S310" t="str">
            <v>PRM</v>
          </cell>
          <cell r="T310" t="str">
            <v>ADM</v>
          </cell>
          <cell r="U310" t="str">
            <v>-</v>
          </cell>
          <cell r="V310" t="str">
            <v>P</v>
          </cell>
          <cell r="W310">
            <v>39</v>
          </cell>
        </row>
        <row r="311">
          <cell r="A311">
            <v>8845</v>
          </cell>
          <cell r="B311" t="str">
            <v>008845</v>
          </cell>
          <cell r="C311" t="str">
            <v>NUR TIAS MAHARDIKA</v>
          </cell>
          <cell r="D311" t="str">
            <v>SAMI</v>
          </cell>
          <cell r="E311" t="str">
            <v>OPT-195</v>
          </cell>
          <cell r="F311">
            <v>39937</v>
          </cell>
          <cell r="G311" t="str">
            <v>-</v>
          </cell>
          <cell r="H311" t="str">
            <v>-</v>
          </cell>
          <cell r="I311" t="str">
            <v>PRD</v>
          </cell>
          <cell r="J311" t="str">
            <v>PRE ASSY</v>
          </cell>
          <cell r="K311" t="str">
            <v>MAZDA ATENZA</v>
          </cell>
          <cell r="L311" t="str">
            <v>MAZDA J72A</v>
          </cell>
          <cell r="M311" t="str">
            <v>CPA MAZDA CX-5</v>
          </cell>
          <cell r="N311" t="str">
            <v>CUTTING AC81-MZD-04</v>
          </cell>
          <cell r="O311" t="str">
            <v>CUTTING WIRE</v>
          </cell>
          <cell r="P311" t="str">
            <v>A</v>
          </cell>
          <cell r="Q311" t="str">
            <v>DL</v>
          </cell>
          <cell r="R311" t="str">
            <v>PERMANENT</v>
          </cell>
          <cell r="S311" t="str">
            <v>PRM</v>
          </cell>
          <cell r="T311" t="str">
            <v>OPT</v>
          </cell>
          <cell r="U311" t="str">
            <v>-</v>
          </cell>
          <cell r="V311" t="str">
            <v>P</v>
          </cell>
          <cell r="W311">
            <v>36</v>
          </cell>
        </row>
        <row r="312">
          <cell r="A312">
            <v>9615</v>
          </cell>
          <cell r="B312" t="str">
            <v>009615</v>
          </cell>
          <cell r="C312" t="str">
            <v>NANING HASANAH</v>
          </cell>
          <cell r="D312" t="str">
            <v>SAMI</v>
          </cell>
          <cell r="E312" t="str">
            <v>OPT-218</v>
          </cell>
          <cell r="F312">
            <v>40179</v>
          </cell>
          <cell r="G312" t="str">
            <v>-</v>
          </cell>
          <cell r="H312" t="str">
            <v>-</v>
          </cell>
          <cell r="I312" t="str">
            <v>PRD</v>
          </cell>
          <cell r="J312" t="str">
            <v>PRE ASSY</v>
          </cell>
          <cell r="K312" t="str">
            <v>MAZDA ATENZA</v>
          </cell>
          <cell r="L312" t="str">
            <v>MAZDA J72A</v>
          </cell>
          <cell r="M312" t="str">
            <v>CPA MAZDA CX-5</v>
          </cell>
          <cell r="N312" t="str">
            <v>BM4-MZD-03</v>
          </cell>
          <cell r="O312" t="str">
            <v>BONDER</v>
          </cell>
          <cell r="P312" t="str">
            <v>A</v>
          </cell>
          <cell r="Q312" t="str">
            <v>DL</v>
          </cell>
          <cell r="R312" t="str">
            <v>PERMANENT</v>
          </cell>
          <cell r="S312" t="str">
            <v>PRM</v>
          </cell>
          <cell r="T312" t="str">
            <v>OPT</v>
          </cell>
          <cell r="U312" t="str">
            <v>-</v>
          </cell>
          <cell r="V312" t="str">
            <v>P</v>
          </cell>
          <cell r="W312">
            <v>33</v>
          </cell>
        </row>
        <row r="313">
          <cell r="A313">
            <v>5256</v>
          </cell>
          <cell r="B313" t="str">
            <v>005256</v>
          </cell>
          <cell r="C313" t="str">
            <v>MUKHAYATI</v>
          </cell>
          <cell r="D313" t="str">
            <v>SAMI</v>
          </cell>
          <cell r="E313" t="str">
            <v>OPT-125</v>
          </cell>
          <cell r="F313">
            <v>38961</v>
          </cell>
          <cell r="G313" t="str">
            <v>-</v>
          </cell>
          <cell r="H313" t="str">
            <v>-</v>
          </cell>
          <cell r="I313" t="str">
            <v>QA</v>
          </cell>
          <cell r="J313" t="str">
            <v>FINAL ASSY</v>
          </cell>
          <cell r="K313" t="str">
            <v>TOYOTA HV</v>
          </cell>
          <cell r="L313" t="str">
            <v>HV TOYOTA NIKEL</v>
          </cell>
          <cell r="M313" t="str">
            <v>CV HV 07</v>
          </cell>
          <cell r="N313" t="str">
            <v>GL INSPECTION</v>
          </cell>
          <cell r="O313" t="str">
            <v>GL</v>
          </cell>
          <cell r="P313" t="str">
            <v>A</v>
          </cell>
          <cell r="Q313" t="str">
            <v>PI</v>
          </cell>
          <cell r="R313" t="str">
            <v>PERMANENT</v>
          </cell>
          <cell r="S313" t="str">
            <v>PRM</v>
          </cell>
          <cell r="T313" t="str">
            <v>GL</v>
          </cell>
          <cell r="U313" t="str">
            <v>-</v>
          </cell>
          <cell r="V313" t="str">
            <v>P</v>
          </cell>
          <cell r="W313">
            <v>39</v>
          </cell>
        </row>
        <row r="314">
          <cell r="A314">
            <v>10513</v>
          </cell>
          <cell r="B314" t="str">
            <v>010513</v>
          </cell>
          <cell r="C314" t="str">
            <v>NAJIKHATUL MU'ALIFAH</v>
          </cell>
          <cell r="D314" t="str">
            <v>SAMI</v>
          </cell>
          <cell r="E314" t="str">
            <v>OPT-273</v>
          </cell>
          <cell r="F314">
            <v>40535</v>
          </cell>
          <cell r="G314" t="str">
            <v>-</v>
          </cell>
          <cell r="H314" t="str">
            <v>-</v>
          </cell>
          <cell r="I314" t="str">
            <v>PRD</v>
          </cell>
          <cell r="J314" t="str">
            <v>PRE ASSY</v>
          </cell>
          <cell r="K314" t="str">
            <v>MAZDA ATENZA</v>
          </cell>
          <cell r="L314" t="str">
            <v>MAZDA J72A</v>
          </cell>
          <cell r="M314" t="str">
            <v>CPA MAZDA CX-5</v>
          </cell>
          <cell r="N314" t="str">
            <v>BM1-MZD-01</v>
          </cell>
          <cell r="O314" t="str">
            <v>BONDER</v>
          </cell>
          <cell r="P314" t="str">
            <v>A</v>
          </cell>
          <cell r="Q314" t="str">
            <v>DL</v>
          </cell>
          <cell r="R314" t="str">
            <v>PERMANENT</v>
          </cell>
          <cell r="S314" t="str">
            <v>PRM</v>
          </cell>
          <cell r="T314" t="str">
            <v>OPT</v>
          </cell>
          <cell r="U314" t="str">
            <v>-</v>
          </cell>
          <cell r="V314" t="str">
            <v>P</v>
          </cell>
          <cell r="W314">
            <v>33</v>
          </cell>
        </row>
        <row r="315">
          <cell r="A315">
            <v>5269</v>
          </cell>
          <cell r="B315" t="str">
            <v>005269</v>
          </cell>
          <cell r="C315" t="str">
            <v>SITI ASROFAH</v>
          </cell>
          <cell r="D315" t="str">
            <v>SAMI</v>
          </cell>
          <cell r="E315" t="str">
            <v>OPT-125</v>
          </cell>
          <cell r="F315">
            <v>38961</v>
          </cell>
          <cell r="G315" t="str">
            <v>-</v>
          </cell>
          <cell r="H315" t="str">
            <v>-</v>
          </cell>
          <cell r="I315" t="str">
            <v>QA</v>
          </cell>
          <cell r="J315" t="str">
            <v>NON LINE</v>
          </cell>
          <cell r="K315" t="str">
            <v>ALL</v>
          </cell>
          <cell r="L315" t="str">
            <v>ALL</v>
          </cell>
          <cell r="M315" t="str">
            <v>PPAP</v>
          </cell>
          <cell r="N315" t="str">
            <v>GL PPAP</v>
          </cell>
          <cell r="O315" t="str">
            <v>PPAP</v>
          </cell>
          <cell r="P315" t="str">
            <v>A (NS)</v>
          </cell>
          <cell r="Q315" t="str">
            <v>PS</v>
          </cell>
          <cell r="R315" t="str">
            <v>PERMANENT</v>
          </cell>
          <cell r="S315" t="str">
            <v>PRM</v>
          </cell>
          <cell r="T315" t="str">
            <v>GL</v>
          </cell>
          <cell r="U315" t="str">
            <v>-</v>
          </cell>
          <cell r="V315" t="str">
            <v>P</v>
          </cell>
          <cell r="W315">
            <v>39</v>
          </cell>
        </row>
        <row r="316">
          <cell r="A316">
            <v>5275</v>
          </cell>
          <cell r="B316" t="str">
            <v>005275</v>
          </cell>
          <cell r="C316" t="str">
            <v>TRI RAHAYU</v>
          </cell>
          <cell r="D316" t="str">
            <v>SAMI</v>
          </cell>
          <cell r="E316" t="str">
            <v>OPT-125</v>
          </cell>
          <cell r="F316">
            <v>38961</v>
          </cell>
          <cell r="G316" t="str">
            <v>-</v>
          </cell>
          <cell r="H316" t="str">
            <v>-</v>
          </cell>
          <cell r="I316" t="str">
            <v>QA</v>
          </cell>
          <cell r="J316" t="str">
            <v>FINAL ASSY</v>
          </cell>
          <cell r="K316" t="str">
            <v>TOYOTA</v>
          </cell>
          <cell r="L316" t="str">
            <v>AQUA SIENTA</v>
          </cell>
          <cell r="M316" t="str">
            <v>CV T01</v>
          </cell>
          <cell r="N316" t="str">
            <v>GL REWORK</v>
          </cell>
          <cell r="O316" t="str">
            <v>REWORK</v>
          </cell>
          <cell r="P316" t="str">
            <v>B</v>
          </cell>
          <cell r="Q316" t="str">
            <v>PI</v>
          </cell>
          <cell r="R316" t="str">
            <v>PERMANENT</v>
          </cell>
          <cell r="S316" t="str">
            <v>PRM</v>
          </cell>
          <cell r="T316" t="str">
            <v>GL</v>
          </cell>
          <cell r="U316" t="str">
            <v>-</v>
          </cell>
          <cell r="V316" t="str">
            <v>P</v>
          </cell>
          <cell r="W316">
            <v>41</v>
          </cell>
        </row>
        <row r="317">
          <cell r="A317">
            <v>10541</v>
          </cell>
          <cell r="B317" t="str">
            <v>010541</v>
          </cell>
          <cell r="C317" t="str">
            <v>ANI ROHMANIYAH</v>
          </cell>
          <cell r="D317" t="str">
            <v>SAMI</v>
          </cell>
          <cell r="E317" t="str">
            <v>OPT-275</v>
          </cell>
          <cell r="F317">
            <v>40542</v>
          </cell>
          <cell r="G317" t="str">
            <v>-</v>
          </cell>
          <cell r="H317" t="str">
            <v>-</v>
          </cell>
          <cell r="I317" t="str">
            <v>PRD</v>
          </cell>
          <cell r="J317" t="str">
            <v>PRE ASSY</v>
          </cell>
          <cell r="K317" t="str">
            <v>MAZDA ATENZA</v>
          </cell>
          <cell r="L317" t="str">
            <v>MAZDA J72A</v>
          </cell>
          <cell r="M317" t="str">
            <v>CPA MAZDA CX-5</v>
          </cell>
          <cell r="N317" t="str">
            <v>CUTTING AC90-MZD-06</v>
          </cell>
          <cell r="O317" t="str">
            <v>CUTTING WIRE</v>
          </cell>
          <cell r="P317" t="str">
            <v>A</v>
          </cell>
          <cell r="Q317" t="str">
            <v>DL</v>
          </cell>
          <cell r="R317" t="str">
            <v>PERMANENT</v>
          </cell>
          <cell r="S317" t="str">
            <v>PRM</v>
          </cell>
          <cell r="T317" t="str">
            <v>OPT</v>
          </cell>
          <cell r="U317" t="str">
            <v>-</v>
          </cell>
          <cell r="V317" t="str">
            <v>P</v>
          </cell>
          <cell r="W317">
            <v>32</v>
          </cell>
        </row>
        <row r="318">
          <cell r="A318">
            <v>5400</v>
          </cell>
          <cell r="B318" t="str">
            <v>005400</v>
          </cell>
          <cell r="C318" t="str">
            <v>BEKTI UTAMI</v>
          </cell>
          <cell r="D318" t="str">
            <v>SAMI</v>
          </cell>
          <cell r="E318" t="str">
            <v>OPT-128</v>
          </cell>
          <cell r="F318">
            <v>38991</v>
          </cell>
          <cell r="G318" t="str">
            <v>-</v>
          </cell>
          <cell r="H318" t="str">
            <v>-</v>
          </cell>
          <cell r="I318" t="str">
            <v>LOG</v>
          </cell>
          <cell r="J318" t="str">
            <v>EXIM</v>
          </cell>
          <cell r="K318" t="str">
            <v>ALL</v>
          </cell>
          <cell r="L318" t="str">
            <v>ALL</v>
          </cell>
          <cell r="M318" t="str">
            <v>EXIM - CANDI</v>
          </cell>
          <cell r="N318" t="str">
            <v>OPT IMPORT</v>
          </cell>
          <cell r="O318" t="str">
            <v>EXIM</v>
          </cell>
          <cell r="P318" t="str">
            <v>A (NS)</v>
          </cell>
          <cell r="Q318" t="str">
            <v>PS</v>
          </cell>
          <cell r="R318" t="str">
            <v>PERMANENT</v>
          </cell>
          <cell r="S318" t="str">
            <v>PRM</v>
          </cell>
          <cell r="T318" t="str">
            <v>ADM</v>
          </cell>
          <cell r="U318" t="str">
            <v>-</v>
          </cell>
          <cell r="V318" t="str">
            <v>P</v>
          </cell>
          <cell r="W318">
            <v>40</v>
          </cell>
        </row>
        <row r="319">
          <cell r="A319" t="str">
            <v>B00962</v>
          </cell>
          <cell r="B319" t="str">
            <v>B00962</v>
          </cell>
          <cell r="C319" t="str">
            <v>LISA DEWI AMINATI</v>
          </cell>
          <cell r="D319" t="str">
            <v>SAMI</v>
          </cell>
          <cell r="E319" t="str">
            <v>BBF-023</v>
          </cell>
          <cell r="F319">
            <v>41015</v>
          </cell>
          <cell r="G319" t="str">
            <v>-</v>
          </cell>
          <cell r="H319" t="str">
            <v>-</v>
          </cell>
          <cell r="I319" t="str">
            <v>PRD</v>
          </cell>
          <cell r="J319" t="str">
            <v>PRE ASSY</v>
          </cell>
          <cell r="K319" t="str">
            <v>MAZDA ATENZA</v>
          </cell>
          <cell r="L319" t="str">
            <v>MAZDA J72A</v>
          </cell>
          <cell r="M319" t="str">
            <v>CPA MAZDA CX-5</v>
          </cell>
          <cell r="N319" t="str">
            <v>INSP CUTTING</v>
          </cell>
          <cell r="O319" t="str">
            <v>P/A INSPECTOR</v>
          </cell>
          <cell r="P319" t="str">
            <v>A</v>
          </cell>
          <cell r="Q319" t="str">
            <v>PI</v>
          </cell>
          <cell r="R319" t="str">
            <v>PERMANENT</v>
          </cell>
          <cell r="S319" t="str">
            <v>PRM</v>
          </cell>
          <cell r="T319" t="str">
            <v>OPT</v>
          </cell>
          <cell r="U319" t="str">
            <v>-</v>
          </cell>
          <cell r="V319" t="str">
            <v>P</v>
          </cell>
          <cell r="W319">
            <v>31</v>
          </cell>
        </row>
        <row r="320">
          <cell r="A320">
            <v>5403</v>
          </cell>
          <cell r="B320" t="str">
            <v>005403</v>
          </cell>
          <cell r="C320" t="str">
            <v>DWI YULIYATI</v>
          </cell>
          <cell r="D320" t="str">
            <v>SAMI</v>
          </cell>
          <cell r="E320" t="str">
            <v>OPT-128</v>
          </cell>
          <cell r="F320">
            <v>38991</v>
          </cell>
          <cell r="G320" t="str">
            <v>-</v>
          </cell>
          <cell r="H320" t="str">
            <v>-</v>
          </cell>
          <cell r="I320" t="str">
            <v>PRD</v>
          </cell>
          <cell r="J320" t="str">
            <v>PRE ASSY</v>
          </cell>
          <cell r="K320" t="str">
            <v>MAZDA 3</v>
          </cell>
          <cell r="L320" t="str">
            <v>MAZDA REAR</v>
          </cell>
          <cell r="M320" t="str">
            <v>CPA MAZDA J03</v>
          </cell>
          <cell r="N320" t="str">
            <v>SUB LINE CHO</v>
          </cell>
          <cell r="O320" t="str">
            <v>GL</v>
          </cell>
          <cell r="P320" t="str">
            <v>B</v>
          </cell>
          <cell r="Q320" t="str">
            <v>PI</v>
          </cell>
          <cell r="R320" t="str">
            <v>PERMANENT</v>
          </cell>
          <cell r="S320" t="str">
            <v>PRM</v>
          </cell>
          <cell r="T320" t="str">
            <v>SLC</v>
          </cell>
          <cell r="U320" t="str">
            <v>-</v>
          </cell>
          <cell r="V320" t="str">
            <v>P</v>
          </cell>
          <cell r="W320">
            <v>39</v>
          </cell>
        </row>
        <row r="321">
          <cell r="A321" t="str">
            <v>B01276</v>
          </cell>
          <cell r="B321" t="str">
            <v>B01276</v>
          </cell>
          <cell r="C321" t="str">
            <v>SUNARTI</v>
          </cell>
          <cell r="D321" t="str">
            <v>SAMI</v>
          </cell>
          <cell r="E321" t="str">
            <v>BBF-036</v>
          </cell>
          <cell r="F321">
            <v>41205</v>
          </cell>
          <cell r="G321" t="str">
            <v>-</v>
          </cell>
          <cell r="H321" t="str">
            <v>-</v>
          </cell>
          <cell r="I321" t="str">
            <v>PRD</v>
          </cell>
          <cell r="J321" t="str">
            <v>PRE ASSY</v>
          </cell>
          <cell r="K321" t="str">
            <v>MAZDA ATENZA</v>
          </cell>
          <cell r="L321" t="str">
            <v>MAZDA J72A</v>
          </cell>
          <cell r="M321" t="str">
            <v>CPA MAZDA CX-5</v>
          </cell>
          <cell r="N321" t="str">
            <v>CUTTING AC90-MZD-07</v>
          </cell>
          <cell r="O321" t="str">
            <v>CUTTING WIRE</v>
          </cell>
          <cell r="P321" t="str">
            <v>A</v>
          </cell>
          <cell r="Q321" t="str">
            <v>DL</v>
          </cell>
          <cell r="R321" t="str">
            <v>PERMANENT</v>
          </cell>
          <cell r="S321" t="str">
            <v>PRM</v>
          </cell>
          <cell r="T321" t="str">
            <v>OPT</v>
          </cell>
          <cell r="U321" t="str">
            <v>-</v>
          </cell>
          <cell r="V321" t="str">
            <v>P</v>
          </cell>
          <cell r="W321">
            <v>34</v>
          </cell>
        </row>
        <row r="322">
          <cell r="A322">
            <v>649</v>
          </cell>
          <cell r="B322" t="str">
            <v>000649</v>
          </cell>
          <cell r="C322" t="str">
            <v>FAJARINI DWI WAHYUNI</v>
          </cell>
          <cell r="D322" t="str">
            <v>SAMI</v>
          </cell>
          <cell r="E322" t="str">
            <v>OPT-17</v>
          </cell>
          <cell r="F322">
            <v>37788</v>
          </cell>
          <cell r="G322" t="str">
            <v>-</v>
          </cell>
          <cell r="H322" t="str">
            <v>-</v>
          </cell>
          <cell r="I322" t="str">
            <v>PRD</v>
          </cell>
          <cell r="J322" t="str">
            <v>PRE ASSY</v>
          </cell>
          <cell r="K322" t="str">
            <v>MAZDA 3</v>
          </cell>
          <cell r="L322" t="str">
            <v>MAZDA REAR</v>
          </cell>
          <cell r="M322" t="str">
            <v>CPA MAZDA J03</v>
          </cell>
          <cell r="N322" t="str">
            <v>PRD LINE CHO</v>
          </cell>
          <cell r="O322" t="str">
            <v>FPI LL</v>
          </cell>
          <cell r="P322" t="str">
            <v>A</v>
          </cell>
          <cell r="Q322" t="str">
            <v>PI</v>
          </cell>
          <cell r="R322" t="str">
            <v>PERMANENT</v>
          </cell>
          <cell r="S322" t="str">
            <v>PRM</v>
          </cell>
          <cell r="T322" t="str">
            <v>LC</v>
          </cell>
          <cell r="U322" t="str">
            <v>-</v>
          </cell>
          <cell r="V322" t="str">
            <v>P</v>
          </cell>
          <cell r="W322">
            <v>43</v>
          </cell>
        </row>
        <row r="323">
          <cell r="A323">
            <v>756</v>
          </cell>
          <cell r="B323" t="str">
            <v>000756</v>
          </cell>
          <cell r="C323" t="str">
            <v>TRI ROCHANIYATI</v>
          </cell>
          <cell r="D323" t="str">
            <v>SAMI</v>
          </cell>
          <cell r="E323" t="str">
            <v>OPT-20</v>
          </cell>
          <cell r="F323">
            <v>37830</v>
          </cell>
          <cell r="G323" t="str">
            <v>-</v>
          </cell>
          <cell r="H323" t="str">
            <v>-</v>
          </cell>
          <cell r="I323" t="str">
            <v>PRD</v>
          </cell>
          <cell r="J323" t="str">
            <v>PRE ASSY</v>
          </cell>
          <cell r="K323" t="str">
            <v>MAZDA 3</v>
          </cell>
          <cell r="L323" t="str">
            <v>MAZDA REAR</v>
          </cell>
          <cell r="M323" t="str">
            <v>CPA MAZDA J03</v>
          </cell>
          <cell r="N323" t="str">
            <v>SUB LINE CHO</v>
          </cell>
          <cell r="O323" t="str">
            <v>GL</v>
          </cell>
          <cell r="P323" t="str">
            <v>A</v>
          </cell>
          <cell r="Q323" t="str">
            <v>PI</v>
          </cell>
          <cell r="R323" t="str">
            <v>PERMANENT</v>
          </cell>
          <cell r="S323" t="str">
            <v>PRM</v>
          </cell>
          <cell r="T323" t="str">
            <v>SLC</v>
          </cell>
          <cell r="U323" t="str">
            <v>-</v>
          </cell>
          <cell r="V323" t="str">
            <v>P</v>
          </cell>
          <cell r="W323">
            <v>39</v>
          </cell>
        </row>
        <row r="324">
          <cell r="A324">
            <v>5425</v>
          </cell>
          <cell r="B324" t="str">
            <v>005425</v>
          </cell>
          <cell r="C324" t="str">
            <v>JULIATI</v>
          </cell>
          <cell r="D324" t="str">
            <v>SAMI</v>
          </cell>
          <cell r="E324" t="str">
            <v>OPT-128</v>
          </cell>
          <cell r="F324">
            <v>38991</v>
          </cell>
          <cell r="G324" t="str">
            <v>-</v>
          </cell>
          <cell r="H324" t="str">
            <v>-</v>
          </cell>
          <cell r="I324" t="str">
            <v>PRD</v>
          </cell>
          <cell r="J324" t="str">
            <v>FINAL ASSY</v>
          </cell>
          <cell r="K324" t="str">
            <v>HONDA NES</v>
          </cell>
          <cell r="L324" t="str">
            <v>HONDA NES HEV PET ENGINE</v>
          </cell>
          <cell r="M324" t="str">
            <v>CV H04</v>
          </cell>
          <cell r="N324" t="str">
            <v>PRD LINE CHO</v>
          </cell>
          <cell r="O324" t="str">
            <v>FPI LL</v>
          </cell>
          <cell r="P324" t="str">
            <v>B</v>
          </cell>
          <cell r="Q324" t="str">
            <v>PI</v>
          </cell>
          <cell r="R324" t="str">
            <v>PERMANENT</v>
          </cell>
          <cell r="S324" t="str">
            <v>PRM</v>
          </cell>
          <cell r="T324" t="str">
            <v>LC</v>
          </cell>
          <cell r="U324" t="str">
            <v>-</v>
          </cell>
          <cell r="V324" t="str">
            <v>P</v>
          </cell>
          <cell r="W324">
            <v>41</v>
          </cell>
        </row>
        <row r="325">
          <cell r="A325">
            <v>1107</v>
          </cell>
          <cell r="B325" t="str">
            <v>001107</v>
          </cell>
          <cell r="C325" t="str">
            <v>MUDJI TRININGSIH</v>
          </cell>
          <cell r="D325" t="str">
            <v>SAMI</v>
          </cell>
          <cell r="E325" t="str">
            <v>OPT-27</v>
          </cell>
          <cell r="F325">
            <v>37887</v>
          </cell>
          <cell r="G325" t="str">
            <v>-</v>
          </cell>
          <cell r="H325" t="str">
            <v>-</v>
          </cell>
          <cell r="I325" t="str">
            <v>PRD</v>
          </cell>
          <cell r="J325" t="str">
            <v>PRE ASSY</v>
          </cell>
          <cell r="K325" t="str">
            <v>MAZDA 3</v>
          </cell>
          <cell r="L325" t="str">
            <v>MAZDA REAR</v>
          </cell>
          <cell r="M325" t="str">
            <v>CPA MAZDA J03</v>
          </cell>
          <cell r="N325" t="str">
            <v>BM1-J03-01, BM3-J03-01, BM2-J03-06</v>
          </cell>
          <cell r="O325" t="str">
            <v>BONDER</v>
          </cell>
          <cell r="P325" t="str">
            <v>A</v>
          </cell>
          <cell r="Q325" t="str">
            <v>DL</v>
          </cell>
          <cell r="R325" t="str">
            <v>PERMANENT</v>
          </cell>
          <cell r="S325" t="str">
            <v>PRM</v>
          </cell>
          <cell r="T325" t="str">
            <v>OPT</v>
          </cell>
          <cell r="U325" t="str">
            <v>-</v>
          </cell>
          <cell r="V325" t="str">
            <v>P</v>
          </cell>
          <cell r="W325">
            <v>40</v>
          </cell>
        </row>
        <row r="326">
          <cell r="A326">
            <v>5430</v>
          </cell>
          <cell r="B326" t="str">
            <v>005430</v>
          </cell>
          <cell r="C326" t="str">
            <v>MAS ENDI</v>
          </cell>
          <cell r="D326" t="str">
            <v>SAMI</v>
          </cell>
          <cell r="E326" t="str">
            <v>OPT-128</v>
          </cell>
          <cell r="F326">
            <v>38991</v>
          </cell>
          <cell r="G326" t="str">
            <v>-</v>
          </cell>
          <cell r="H326" t="str">
            <v>-</v>
          </cell>
          <cell r="I326" t="str">
            <v>OTHERS</v>
          </cell>
          <cell r="J326" t="str">
            <v>AT HOME</v>
          </cell>
          <cell r="K326" t="str">
            <v>ALL</v>
          </cell>
          <cell r="L326" t="str">
            <v>ALL</v>
          </cell>
          <cell r="M326" t="str">
            <v>AT HOME</v>
          </cell>
          <cell r="N326" t="str">
            <v>MP SAKIT</v>
          </cell>
          <cell r="O326" t="str">
            <v>OTHERS IDL</v>
          </cell>
          <cell r="P326" t="str">
            <v>-</v>
          </cell>
          <cell r="Q326" t="str">
            <v>ADM</v>
          </cell>
          <cell r="R326" t="str">
            <v>PERMANENT</v>
          </cell>
          <cell r="S326" t="str">
            <v>PRM</v>
          </cell>
          <cell r="T326" t="str">
            <v>GL</v>
          </cell>
          <cell r="U326" t="str">
            <v>-</v>
          </cell>
          <cell r="V326" t="str">
            <v>L</v>
          </cell>
          <cell r="W326">
            <v>39</v>
          </cell>
        </row>
        <row r="327">
          <cell r="A327">
            <v>5431</v>
          </cell>
          <cell r="B327" t="str">
            <v>005431</v>
          </cell>
          <cell r="C327" t="str">
            <v>MOCHAMAT SOBIRIN</v>
          </cell>
          <cell r="D327" t="str">
            <v>SAMI</v>
          </cell>
          <cell r="E327" t="str">
            <v>OPT-128</v>
          </cell>
          <cell r="F327">
            <v>38991</v>
          </cell>
          <cell r="G327" t="str">
            <v>-</v>
          </cell>
          <cell r="H327" t="str">
            <v>-</v>
          </cell>
          <cell r="I327" t="str">
            <v>LOG</v>
          </cell>
          <cell r="J327" t="str">
            <v>WHS</v>
          </cell>
          <cell r="K327" t="str">
            <v>ALL</v>
          </cell>
          <cell r="L327" t="str">
            <v>ALL</v>
          </cell>
          <cell r="M327" t="str">
            <v>WHS</v>
          </cell>
          <cell r="N327" t="str">
            <v>LEADER</v>
          </cell>
          <cell r="O327" t="str">
            <v>FPS LL</v>
          </cell>
          <cell r="P327" t="str">
            <v>A</v>
          </cell>
          <cell r="Q327" t="str">
            <v>PS</v>
          </cell>
          <cell r="R327" t="str">
            <v>PERMANENT</v>
          </cell>
          <cell r="S327" t="str">
            <v>PRM</v>
          </cell>
          <cell r="T327" t="str">
            <v>LL</v>
          </cell>
          <cell r="U327" t="str">
            <v>-</v>
          </cell>
          <cell r="V327" t="str">
            <v>L</v>
          </cell>
          <cell r="W327">
            <v>39</v>
          </cell>
        </row>
        <row r="328">
          <cell r="A328">
            <v>1205</v>
          </cell>
          <cell r="B328" t="str">
            <v>001205</v>
          </cell>
          <cell r="C328" t="str">
            <v>AULIYA RAHMAN</v>
          </cell>
          <cell r="D328" t="str">
            <v>SAMI</v>
          </cell>
          <cell r="E328" t="str">
            <v>OPT-29</v>
          </cell>
          <cell r="F328">
            <v>37907</v>
          </cell>
          <cell r="G328" t="str">
            <v>-</v>
          </cell>
          <cell r="H328" t="str">
            <v>-</v>
          </cell>
          <cell r="I328" t="str">
            <v>PRD</v>
          </cell>
          <cell r="J328" t="str">
            <v>PRE ASSY</v>
          </cell>
          <cell r="K328" t="str">
            <v>MAZDA 3</v>
          </cell>
          <cell r="L328" t="str">
            <v>MAZDA REAR</v>
          </cell>
          <cell r="M328" t="str">
            <v>CPA MAZDA J03</v>
          </cell>
          <cell r="N328" t="str">
            <v>CUTTING AC90-J03-04</v>
          </cell>
          <cell r="O328" t="str">
            <v>CUTTING WIRE</v>
          </cell>
          <cell r="P328" t="str">
            <v>A</v>
          </cell>
          <cell r="Q328" t="str">
            <v>DL</v>
          </cell>
          <cell r="R328" t="str">
            <v>PERMANENT</v>
          </cell>
          <cell r="S328" t="str">
            <v>PRM</v>
          </cell>
          <cell r="T328" t="str">
            <v>OPT</v>
          </cell>
          <cell r="U328" t="str">
            <v>-</v>
          </cell>
          <cell r="V328" t="str">
            <v>L</v>
          </cell>
          <cell r="W328">
            <v>40</v>
          </cell>
        </row>
        <row r="329">
          <cell r="A329">
            <v>1498</v>
          </cell>
          <cell r="B329" t="str">
            <v>001498</v>
          </cell>
          <cell r="C329" t="str">
            <v>APRILIA SULISTIYOWATI</v>
          </cell>
          <cell r="D329" t="str">
            <v>SAMI</v>
          </cell>
          <cell r="E329" t="str">
            <v>OPT-37</v>
          </cell>
          <cell r="F329">
            <v>37984</v>
          </cell>
          <cell r="G329" t="str">
            <v>-</v>
          </cell>
          <cell r="H329" t="str">
            <v>-</v>
          </cell>
          <cell r="I329" t="str">
            <v>PRD</v>
          </cell>
          <cell r="J329" t="str">
            <v>PRE ASSY</v>
          </cell>
          <cell r="K329" t="str">
            <v>MAZDA 3</v>
          </cell>
          <cell r="L329" t="str">
            <v>MAZDA REAR</v>
          </cell>
          <cell r="M329" t="str">
            <v>CPA MAZDA J03</v>
          </cell>
          <cell r="N329" t="str">
            <v>INSP PRE ASSY</v>
          </cell>
          <cell r="O329" t="str">
            <v>P/A INSPECTOR</v>
          </cell>
          <cell r="P329" t="str">
            <v>A</v>
          </cell>
          <cell r="Q329" t="str">
            <v>PI</v>
          </cell>
          <cell r="R329" t="str">
            <v>PERMANENT</v>
          </cell>
          <cell r="S329" t="str">
            <v>PRM</v>
          </cell>
          <cell r="T329" t="str">
            <v>OPT</v>
          </cell>
          <cell r="U329" t="str">
            <v>-</v>
          </cell>
          <cell r="V329" t="str">
            <v>P</v>
          </cell>
          <cell r="W329">
            <v>41</v>
          </cell>
        </row>
        <row r="330">
          <cell r="A330">
            <v>5435</v>
          </cell>
          <cell r="B330" t="str">
            <v>005435</v>
          </cell>
          <cell r="C330" t="str">
            <v>PUJIATI</v>
          </cell>
          <cell r="D330" t="str">
            <v>SAMI</v>
          </cell>
          <cell r="E330" t="str">
            <v>OPT-128</v>
          </cell>
          <cell r="F330">
            <v>38991</v>
          </cell>
          <cell r="G330" t="str">
            <v>-</v>
          </cell>
          <cell r="H330" t="str">
            <v>-</v>
          </cell>
          <cell r="I330" t="str">
            <v>QA</v>
          </cell>
          <cell r="J330" t="str">
            <v>FINAL ASSY</v>
          </cell>
          <cell r="K330" t="str">
            <v>TOYOTA</v>
          </cell>
          <cell r="L330" t="str">
            <v>AQUA SIENTA</v>
          </cell>
          <cell r="M330" t="str">
            <v>CV T02</v>
          </cell>
          <cell r="N330" t="str">
            <v>OJT DC</v>
          </cell>
          <cell r="O330" t="str">
            <v>OTHERS</v>
          </cell>
          <cell r="P330" t="str">
            <v>A</v>
          </cell>
          <cell r="Q330" t="str">
            <v>PI</v>
          </cell>
          <cell r="R330" t="str">
            <v>PERMANENT</v>
          </cell>
          <cell r="S330" t="str">
            <v>PRM</v>
          </cell>
          <cell r="T330" t="str">
            <v>OPT</v>
          </cell>
          <cell r="U330" t="str">
            <v>-</v>
          </cell>
          <cell r="V330" t="str">
            <v>P</v>
          </cell>
          <cell r="W330">
            <v>40</v>
          </cell>
        </row>
        <row r="331">
          <cell r="A331">
            <v>5439</v>
          </cell>
          <cell r="B331" t="str">
            <v>005439</v>
          </cell>
          <cell r="C331" t="str">
            <v>RINY CUSYANINGSIH</v>
          </cell>
          <cell r="D331" t="str">
            <v>SAMI</v>
          </cell>
          <cell r="E331" t="str">
            <v>SPV UP</v>
          </cell>
          <cell r="F331">
            <v>38991</v>
          </cell>
          <cell r="G331" t="str">
            <v>-</v>
          </cell>
          <cell r="H331" t="str">
            <v>-</v>
          </cell>
          <cell r="I331" t="str">
            <v>PP</v>
          </cell>
          <cell r="J331" t="str">
            <v>PD 2</v>
          </cell>
          <cell r="K331" t="str">
            <v>ALL</v>
          </cell>
          <cell r="L331" t="str">
            <v>ALL</v>
          </cell>
          <cell r="M331" t="str">
            <v>PD 2</v>
          </cell>
          <cell r="N331" t="str">
            <v>SPV DYNA, HV, HONDA 3</v>
          </cell>
          <cell r="O331" t="str">
            <v>FPS SPV</v>
          </cell>
          <cell r="P331" t="str">
            <v>A (NS)</v>
          </cell>
          <cell r="Q331" t="str">
            <v>PS</v>
          </cell>
          <cell r="R331" t="str">
            <v>PERMANENT</v>
          </cell>
          <cell r="S331" t="str">
            <v>PRM</v>
          </cell>
          <cell r="T331" t="str">
            <v>SPV</v>
          </cell>
          <cell r="U331" t="str">
            <v>-</v>
          </cell>
          <cell r="V331" t="str">
            <v>P</v>
          </cell>
          <cell r="W331">
            <v>41</v>
          </cell>
        </row>
        <row r="332">
          <cell r="A332">
            <v>5441</v>
          </cell>
          <cell r="B332" t="str">
            <v>005441</v>
          </cell>
          <cell r="C332" t="str">
            <v>SITI KOMARIYAH</v>
          </cell>
          <cell r="D332" t="str">
            <v>SAMI</v>
          </cell>
          <cell r="E332" t="str">
            <v>OPT-128</v>
          </cell>
          <cell r="F332">
            <v>38991</v>
          </cell>
          <cell r="G332" t="str">
            <v>-</v>
          </cell>
          <cell r="H332" t="str">
            <v>-</v>
          </cell>
          <cell r="I332" t="str">
            <v>PRD</v>
          </cell>
          <cell r="J332" t="str">
            <v>PRE ASSY</v>
          </cell>
          <cell r="K332" t="str">
            <v>HONDA NES</v>
          </cell>
          <cell r="L332" t="str">
            <v>HONDA NES</v>
          </cell>
          <cell r="M332" t="str">
            <v>CPA HONDA NES HEV/PET</v>
          </cell>
          <cell r="N332" t="str">
            <v>PRD LINE CHO</v>
          </cell>
          <cell r="O332" t="str">
            <v>FPI LL</v>
          </cell>
          <cell r="P332" t="str">
            <v>B</v>
          </cell>
          <cell r="Q332" t="str">
            <v>PI</v>
          </cell>
          <cell r="R332" t="str">
            <v>PERMANENT</v>
          </cell>
          <cell r="S332" t="str">
            <v>PRM</v>
          </cell>
          <cell r="T332" t="str">
            <v>LC</v>
          </cell>
          <cell r="U332" t="str">
            <v>-</v>
          </cell>
          <cell r="V332" t="str">
            <v>P</v>
          </cell>
          <cell r="W332">
            <v>39</v>
          </cell>
        </row>
        <row r="333">
          <cell r="A333">
            <v>5479</v>
          </cell>
          <cell r="B333" t="str">
            <v>005479</v>
          </cell>
          <cell r="C333" t="str">
            <v>SURYA HINDRIYANI</v>
          </cell>
          <cell r="D333" t="str">
            <v>SAMI</v>
          </cell>
          <cell r="E333" t="str">
            <v>ADM-28</v>
          </cell>
          <cell r="F333">
            <v>38991</v>
          </cell>
          <cell r="G333" t="str">
            <v>-</v>
          </cell>
          <cell r="H333" t="str">
            <v>-</v>
          </cell>
          <cell r="I333" t="str">
            <v>PRD</v>
          </cell>
          <cell r="J333" t="str">
            <v>PRE ASSY</v>
          </cell>
          <cell r="K333" t="str">
            <v>MAZDA 3</v>
          </cell>
          <cell r="L333" t="str">
            <v>MAZDA REAR</v>
          </cell>
          <cell r="M333" t="str">
            <v>CPA MAZDA J03</v>
          </cell>
          <cell r="N333" t="str">
            <v>BM2-J03-02, 04, 05</v>
          </cell>
          <cell r="O333" t="str">
            <v>BONDER</v>
          </cell>
          <cell r="P333" t="str">
            <v>A</v>
          </cell>
          <cell r="Q333" t="str">
            <v>DL</v>
          </cell>
          <cell r="R333" t="str">
            <v>PERMANENT</v>
          </cell>
          <cell r="S333" t="str">
            <v>PRM</v>
          </cell>
          <cell r="T333" t="str">
            <v>ADM</v>
          </cell>
          <cell r="U333" t="str">
            <v>-</v>
          </cell>
          <cell r="V333" t="str">
            <v>P</v>
          </cell>
          <cell r="W333">
            <v>41</v>
          </cell>
        </row>
        <row r="334">
          <cell r="A334">
            <v>5710</v>
          </cell>
          <cell r="B334" t="str">
            <v>005710</v>
          </cell>
          <cell r="C334" t="str">
            <v>KHUTMAWATI</v>
          </cell>
          <cell r="D334" t="str">
            <v>SAMI</v>
          </cell>
          <cell r="E334" t="str">
            <v>OPT-134</v>
          </cell>
          <cell r="F334">
            <v>39098</v>
          </cell>
          <cell r="G334" t="str">
            <v>-</v>
          </cell>
          <cell r="H334" t="str">
            <v>-</v>
          </cell>
          <cell r="I334" t="str">
            <v>PRD</v>
          </cell>
          <cell r="J334" t="str">
            <v>PRE ASSY</v>
          </cell>
          <cell r="K334" t="str">
            <v>MAZDA 3</v>
          </cell>
          <cell r="L334" t="str">
            <v>MAZDA REAR</v>
          </cell>
          <cell r="M334" t="str">
            <v>CPA MAZDA J03</v>
          </cell>
          <cell r="N334" t="str">
            <v>INSP CUTTING</v>
          </cell>
          <cell r="O334" t="str">
            <v>P/A INSPECTOR</v>
          </cell>
          <cell r="P334" t="str">
            <v>A</v>
          </cell>
          <cell r="Q334" t="str">
            <v>PI</v>
          </cell>
          <cell r="R334" t="str">
            <v>PERMANENT</v>
          </cell>
          <cell r="S334" t="str">
            <v>PRM</v>
          </cell>
          <cell r="T334" t="str">
            <v>OPT</v>
          </cell>
          <cell r="U334" t="str">
            <v>-</v>
          </cell>
          <cell r="V334" t="str">
            <v>P</v>
          </cell>
          <cell r="W334">
            <v>39</v>
          </cell>
        </row>
        <row r="335">
          <cell r="A335">
            <v>5459</v>
          </cell>
          <cell r="B335" t="str">
            <v>005459</v>
          </cell>
          <cell r="C335" t="str">
            <v>SUPRIYANTO</v>
          </cell>
          <cell r="D335" t="str">
            <v>SAMI</v>
          </cell>
          <cell r="E335" t="str">
            <v>OPT-128</v>
          </cell>
          <cell r="F335">
            <v>38991</v>
          </cell>
          <cell r="G335" t="str">
            <v>-</v>
          </cell>
          <cell r="H335" t="str">
            <v>-</v>
          </cell>
          <cell r="I335" t="str">
            <v>LOG</v>
          </cell>
          <cell r="J335" t="str">
            <v>WHS</v>
          </cell>
          <cell r="K335" t="str">
            <v>ALL</v>
          </cell>
          <cell r="L335" t="str">
            <v>ALL</v>
          </cell>
          <cell r="M335" t="str">
            <v>WHS</v>
          </cell>
          <cell r="N335" t="str">
            <v>Parts supply (piking &amp; material handling) from material werahouse</v>
          </cell>
          <cell r="O335" t="str">
            <v>WHS SUPPLY</v>
          </cell>
          <cell r="P335" t="str">
            <v>B</v>
          </cell>
          <cell r="Q335" t="str">
            <v>PS</v>
          </cell>
          <cell r="R335" t="str">
            <v>PERMANENT</v>
          </cell>
          <cell r="S335" t="str">
            <v>PRM</v>
          </cell>
          <cell r="T335" t="str">
            <v>OPT</v>
          </cell>
          <cell r="U335" t="str">
            <v>-</v>
          </cell>
          <cell r="V335" t="str">
            <v>L</v>
          </cell>
          <cell r="W335">
            <v>39</v>
          </cell>
        </row>
        <row r="336">
          <cell r="A336">
            <v>5460</v>
          </cell>
          <cell r="B336" t="str">
            <v>005460</v>
          </cell>
          <cell r="C336" t="str">
            <v>SURIATI</v>
          </cell>
          <cell r="D336" t="str">
            <v>SAMI</v>
          </cell>
          <cell r="E336" t="str">
            <v>OPT-128</v>
          </cell>
          <cell r="F336">
            <v>38991</v>
          </cell>
          <cell r="G336" t="str">
            <v>-</v>
          </cell>
          <cell r="H336" t="str">
            <v>-</v>
          </cell>
          <cell r="I336" t="str">
            <v>PRD</v>
          </cell>
          <cell r="J336" t="str">
            <v>FINAL ASSY</v>
          </cell>
          <cell r="K336" t="str">
            <v>HONDA NES</v>
          </cell>
          <cell r="L336" t="str">
            <v>HONDA NES HEV PET ENGINE</v>
          </cell>
          <cell r="M336" t="str">
            <v>CV H03</v>
          </cell>
          <cell r="N336" t="str">
            <v>SUB LINE CHO</v>
          </cell>
          <cell r="O336" t="str">
            <v>GL</v>
          </cell>
          <cell r="P336" t="str">
            <v>B</v>
          </cell>
          <cell r="Q336" t="str">
            <v>PI</v>
          </cell>
          <cell r="R336" t="str">
            <v>PERMANENT</v>
          </cell>
          <cell r="S336" t="str">
            <v>PRM</v>
          </cell>
          <cell r="T336" t="str">
            <v>SLC</v>
          </cell>
          <cell r="U336" t="str">
            <v>-</v>
          </cell>
          <cell r="V336" t="str">
            <v>P</v>
          </cell>
          <cell r="W336">
            <v>39</v>
          </cell>
        </row>
        <row r="337">
          <cell r="A337">
            <v>6030</v>
          </cell>
          <cell r="B337" t="str">
            <v>006030</v>
          </cell>
          <cell r="C337" t="str">
            <v>AHMAD MAHFUDLON</v>
          </cell>
          <cell r="D337" t="str">
            <v>SAMI</v>
          </cell>
          <cell r="E337" t="str">
            <v>OPT-139</v>
          </cell>
          <cell r="F337">
            <v>39142</v>
          </cell>
          <cell r="G337" t="str">
            <v>-</v>
          </cell>
          <cell r="H337" t="str">
            <v>-</v>
          </cell>
          <cell r="I337" t="str">
            <v>PRD</v>
          </cell>
          <cell r="J337" t="str">
            <v>PRE ASSY</v>
          </cell>
          <cell r="K337" t="str">
            <v>MAZDA 3</v>
          </cell>
          <cell r="L337" t="str">
            <v>MAZDA REAR</v>
          </cell>
          <cell r="M337" t="str">
            <v>CPA MAZDA J03</v>
          </cell>
          <cell r="N337" t="str">
            <v>CUTTING AC90-J03-09, SCH</v>
          </cell>
          <cell r="O337" t="str">
            <v>CUTTING WIRE</v>
          </cell>
          <cell r="P337" t="str">
            <v>A</v>
          </cell>
          <cell r="Q337" t="str">
            <v>DL</v>
          </cell>
          <cell r="R337" t="str">
            <v>PERMANENT</v>
          </cell>
          <cell r="S337" t="str">
            <v>PRM</v>
          </cell>
          <cell r="T337" t="str">
            <v>OPT</v>
          </cell>
          <cell r="U337" t="str">
            <v>-</v>
          </cell>
          <cell r="V337" t="str">
            <v>L</v>
          </cell>
          <cell r="W337">
            <v>40</v>
          </cell>
        </row>
        <row r="338">
          <cell r="A338">
            <v>8941</v>
          </cell>
          <cell r="B338" t="str">
            <v>008941</v>
          </cell>
          <cell r="C338" t="str">
            <v>WITJAYANTI</v>
          </cell>
          <cell r="D338" t="str">
            <v>SAMI</v>
          </cell>
          <cell r="E338" t="str">
            <v>OPT-198</v>
          </cell>
          <cell r="F338">
            <v>39966</v>
          </cell>
          <cell r="G338" t="str">
            <v>-</v>
          </cell>
          <cell r="H338" t="str">
            <v>-</v>
          </cell>
          <cell r="I338" t="str">
            <v>PRD</v>
          </cell>
          <cell r="J338" t="str">
            <v>PRE ASSY</v>
          </cell>
          <cell r="K338" t="str">
            <v>MAZDA 3</v>
          </cell>
          <cell r="L338" t="str">
            <v>MAZDA REAR</v>
          </cell>
          <cell r="M338" t="str">
            <v>CPA MAZDA J03</v>
          </cell>
          <cell r="N338" t="str">
            <v>PRD LINE CHO</v>
          </cell>
          <cell r="O338" t="str">
            <v>FPI LL</v>
          </cell>
          <cell r="P338" t="str">
            <v>A</v>
          </cell>
          <cell r="Q338" t="str">
            <v>PI</v>
          </cell>
          <cell r="R338" t="str">
            <v>PERMANENT</v>
          </cell>
          <cell r="S338" t="str">
            <v>PRM</v>
          </cell>
          <cell r="T338" t="str">
            <v>LC</v>
          </cell>
          <cell r="U338" t="str">
            <v>-</v>
          </cell>
          <cell r="V338" t="str">
            <v>P</v>
          </cell>
          <cell r="W338">
            <v>36</v>
          </cell>
        </row>
        <row r="339">
          <cell r="A339">
            <v>5465</v>
          </cell>
          <cell r="B339" t="str">
            <v>005465</v>
          </cell>
          <cell r="C339" t="str">
            <v>TITIK WAHYUNI</v>
          </cell>
          <cell r="D339" t="str">
            <v>SAMI</v>
          </cell>
          <cell r="E339" t="str">
            <v>OPT-128</v>
          </cell>
          <cell r="F339">
            <v>38991</v>
          </cell>
          <cell r="G339" t="str">
            <v>-</v>
          </cell>
          <cell r="H339" t="str">
            <v>-</v>
          </cell>
          <cell r="I339" t="str">
            <v>PP</v>
          </cell>
          <cell r="J339" t="str">
            <v>PP-2</v>
          </cell>
          <cell r="K339" t="str">
            <v>ALL</v>
          </cell>
          <cell r="L339" t="str">
            <v>ALL</v>
          </cell>
          <cell r="M339" t="str">
            <v>PP-2</v>
          </cell>
          <cell r="N339" t="str">
            <v>ANALISYS</v>
          </cell>
          <cell r="O339" t="str">
            <v>PROCESS ENG</v>
          </cell>
          <cell r="P339" t="str">
            <v>A (NS)</v>
          </cell>
          <cell r="Q339" t="str">
            <v>PS</v>
          </cell>
          <cell r="R339" t="str">
            <v>PERMANENT</v>
          </cell>
          <cell r="S339" t="str">
            <v>PRM</v>
          </cell>
          <cell r="T339" t="str">
            <v>OPT</v>
          </cell>
          <cell r="U339" t="str">
            <v>-</v>
          </cell>
          <cell r="V339" t="str">
            <v>P</v>
          </cell>
          <cell r="W339">
            <v>40</v>
          </cell>
        </row>
        <row r="340">
          <cell r="A340">
            <v>5467</v>
          </cell>
          <cell r="B340" t="str">
            <v>005467</v>
          </cell>
          <cell r="C340" t="str">
            <v>WAHYU NUR DIYANINGSIH</v>
          </cell>
          <cell r="D340" t="str">
            <v>SAMI</v>
          </cell>
          <cell r="E340" t="str">
            <v>OPT-128</v>
          </cell>
          <cell r="F340">
            <v>38991</v>
          </cell>
          <cell r="G340" t="str">
            <v>-</v>
          </cell>
          <cell r="H340" t="str">
            <v>-</v>
          </cell>
          <cell r="I340" t="str">
            <v>PP</v>
          </cell>
          <cell r="J340" t="str">
            <v>SWCT</v>
          </cell>
          <cell r="K340" t="str">
            <v>ALL</v>
          </cell>
          <cell r="L340" t="str">
            <v>ALL</v>
          </cell>
          <cell r="M340" t="str">
            <v>SWCT</v>
          </cell>
          <cell r="N340" t="str">
            <v>DOKUMEN SWCT</v>
          </cell>
          <cell r="O340" t="str">
            <v>PROCESS ENG</v>
          </cell>
          <cell r="P340" t="str">
            <v>A (NS)</v>
          </cell>
          <cell r="Q340" t="str">
            <v>PS</v>
          </cell>
          <cell r="R340" t="str">
            <v>PERMANENT</v>
          </cell>
          <cell r="S340" t="str">
            <v>PRM</v>
          </cell>
          <cell r="T340" t="str">
            <v>OPT</v>
          </cell>
          <cell r="U340" t="str">
            <v>-</v>
          </cell>
          <cell r="V340" t="str">
            <v>P</v>
          </cell>
          <cell r="W340">
            <v>40</v>
          </cell>
        </row>
        <row r="341">
          <cell r="A341">
            <v>9319</v>
          </cell>
          <cell r="B341" t="str">
            <v>009319</v>
          </cell>
          <cell r="C341" t="str">
            <v>RISA PUJIANTI</v>
          </cell>
          <cell r="D341" t="str">
            <v>SAMI</v>
          </cell>
          <cell r="E341" t="str">
            <v>OPT-216</v>
          </cell>
          <cell r="F341">
            <v>40148</v>
          </cell>
          <cell r="G341" t="str">
            <v>-</v>
          </cell>
          <cell r="H341" t="str">
            <v>-</v>
          </cell>
          <cell r="I341" t="str">
            <v>PRD</v>
          </cell>
          <cell r="J341" t="str">
            <v>PRE ASSY</v>
          </cell>
          <cell r="K341" t="str">
            <v>MAZDA 3</v>
          </cell>
          <cell r="L341" t="str">
            <v>MAZDA REAR</v>
          </cell>
          <cell r="M341" t="str">
            <v>CPA MAZDA J03</v>
          </cell>
          <cell r="N341" t="str">
            <v>INSP CUTTING</v>
          </cell>
          <cell r="O341" t="str">
            <v>P/A INSPECTOR</v>
          </cell>
          <cell r="P341" t="str">
            <v>A</v>
          </cell>
          <cell r="Q341" t="str">
            <v>PI</v>
          </cell>
          <cell r="R341" t="str">
            <v>PERMANENT</v>
          </cell>
          <cell r="S341" t="str">
            <v>PRM</v>
          </cell>
          <cell r="T341" t="str">
            <v>OPT</v>
          </cell>
          <cell r="U341" t="str">
            <v>-</v>
          </cell>
          <cell r="V341" t="str">
            <v>P</v>
          </cell>
          <cell r="W341">
            <v>34</v>
          </cell>
        </row>
        <row r="342">
          <cell r="A342">
            <v>10974</v>
          </cell>
          <cell r="B342" t="str">
            <v>010974</v>
          </cell>
          <cell r="C342" t="str">
            <v>ANNA FAIZAH</v>
          </cell>
          <cell r="D342" t="str">
            <v>SAMI</v>
          </cell>
          <cell r="E342" t="str">
            <v>OPT-286</v>
          </cell>
          <cell r="F342">
            <v>40582</v>
          </cell>
          <cell r="G342" t="str">
            <v>-</v>
          </cell>
          <cell r="H342" t="str">
            <v>-</v>
          </cell>
          <cell r="I342" t="str">
            <v>PRD</v>
          </cell>
          <cell r="J342" t="str">
            <v>PRE ASSY</v>
          </cell>
          <cell r="K342" t="str">
            <v>MAZDA 3</v>
          </cell>
          <cell r="L342" t="str">
            <v>MAZDA REAR</v>
          </cell>
          <cell r="M342" t="str">
            <v>CPA MAZDA J03</v>
          </cell>
          <cell r="N342" t="str">
            <v>CUTTING AC90-J03-02</v>
          </cell>
          <cell r="O342" t="str">
            <v>CUTTING WIRE</v>
          </cell>
          <cell r="P342" t="str">
            <v>A</v>
          </cell>
          <cell r="Q342" t="str">
            <v>DL</v>
          </cell>
          <cell r="R342" t="str">
            <v>PERMANENT</v>
          </cell>
          <cell r="S342" t="str">
            <v>PRM</v>
          </cell>
          <cell r="T342" t="str">
            <v>OPT</v>
          </cell>
          <cell r="U342" t="str">
            <v>-</v>
          </cell>
          <cell r="V342" t="str">
            <v>P</v>
          </cell>
          <cell r="W342">
            <v>33</v>
          </cell>
        </row>
        <row r="343">
          <cell r="A343">
            <v>5474</v>
          </cell>
          <cell r="B343" t="str">
            <v>005474</v>
          </cell>
          <cell r="C343" t="str">
            <v>DENDI CAHYONO</v>
          </cell>
          <cell r="D343" t="str">
            <v>SAMI</v>
          </cell>
          <cell r="E343" t="str">
            <v>ADM-28</v>
          </cell>
          <cell r="F343">
            <v>38991</v>
          </cell>
          <cell r="G343" t="str">
            <v>-</v>
          </cell>
          <cell r="H343" t="str">
            <v>-</v>
          </cell>
          <cell r="I343" t="str">
            <v>PE</v>
          </cell>
          <cell r="J343" t="str">
            <v>MTP</v>
          </cell>
          <cell r="K343" t="str">
            <v>ALL</v>
          </cell>
          <cell r="L343" t="str">
            <v>ALL</v>
          </cell>
          <cell r="M343" t="str">
            <v>MTP</v>
          </cell>
          <cell r="N343" t="str">
            <v>LL STOCK CONTROL</v>
          </cell>
          <cell r="O343" t="str">
            <v>FPS LL</v>
          </cell>
          <cell r="P343" t="str">
            <v>A (NS)</v>
          </cell>
          <cell r="Q343" t="str">
            <v>PS</v>
          </cell>
          <cell r="R343" t="str">
            <v>PERMANENT</v>
          </cell>
          <cell r="S343" t="str">
            <v>PRM</v>
          </cell>
          <cell r="T343" t="str">
            <v>LL</v>
          </cell>
          <cell r="U343" t="str">
            <v>-</v>
          </cell>
          <cell r="V343" t="str">
            <v>L</v>
          </cell>
          <cell r="W343">
            <v>42</v>
          </cell>
        </row>
        <row r="344">
          <cell r="A344">
            <v>5475</v>
          </cell>
          <cell r="B344" t="str">
            <v>005475</v>
          </cell>
          <cell r="C344" t="str">
            <v>ERMA LATIFAH</v>
          </cell>
          <cell r="D344" t="str">
            <v>SAMI</v>
          </cell>
          <cell r="E344" t="str">
            <v>ADM-28</v>
          </cell>
          <cell r="F344">
            <v>38991</v>
          </cell>
          <cell r="G344" t="str">
            <v>-</v>
          </cell>
          <cell r="H344" t="str">
            <v>-</v>
          </cell>
          <cell r="I344" t="str">
            <v>QA</v>
          </cell>
          <cell r="J344" t="str">
            <v>NON LINE</v>
          </cell>
          <cell r="K344" t="str">
            <v>ALL</v>
          </cell>
          <cell r="L344" t="str">
            <v>ALL</v>
          </cell>
          <cell r="M344" t="str">
            <v>QA ADM</v>
          </cell>
          <cell r="N344" t="str">
            <v>ADMINISTRATION</v>
          </cell>
          <cell r="O344" t="str">
            <v>QA ADM</v>
          </cell>
          <cell r="P344" t="str">
            <v>A (NS)</v>
          </cell>
          <cell r="Q344" t="str">
            <v>PS</v>
          </cell>
          <cell r="R344" t="str">
            <v>PERMANENT</v>
          </cell>
          <cell r="S344" t="str">
            <v>PRM</v>
          </cell>
          <cell r="T344" t="str">
            <v>ADM</v>
          </cell>
          <cell r="U344" t="str">
            <v>-</v>
          </cell>
          <cell r="V344" t="str">
            <v>P</v>
          </cell>
          <cell r="W344">
            <v>39</v>
          </cell>
        </row>
        <row r="345">
          <cell r="A345">
            <v>5477</v>
          </cell>
          <cell r="B345" t="str">
            <v>005477</v>
          </cell>
          <cell r="C345" t="str">
            <v>SITI KHOIRIYAH</v>
          </cell>
          <cell r="D345" t="str">
            <v>SAMI</v>
          </cell>
          <cell r="E345" t="str">
            <v>ADM-28</v>
          </cell>
          <cell r="F345">
            <v>38991</v>
          </cell>
          <cell r="G345" t="str">
            <v>-</v>
          </cell>
          <cell r="H345" t="str">
            <v>-</v>
          </cell>
          <cell r="I345" t="str">
            <v>LOG</v>
          </cell>
          <cell r="J345" t="str">
            <v>PPIC</v>
          </cell>
          <cell r="K345" t="str">
            <v>ALL</v>
          </cell>
          <cell r="L345" t="str">
            <v>ALL</v>
          </cell>
          <cell r="M345" t="str">
            <v>PPIC</v>
          </cell>
          <cell r="N345" t="str">
            <v>LEADER ORDERING</v>
          </cell>
          <cell r="O345" t="str">
            <v>FPS LL</v>
          </cell>
          <cell r="P345" t="str">
            <v>A (NS)</v>
          </cell>
          <cell r="Q345" t="str">
            <v>PS</v>
          </cell>
          <cell r="R345" t="str">
            <v>PERMANENT</v>
          </cell>
          <cell r="S345" t="str">
            <v>PRM</v>
          </cell>
          <cell r="T345" t="str">
            <v>LL</v>
          </cell>
          <cell r="U345" t="str">
            <v>-</v>
          </cell>
          <cell r="V345" t="str">
            <v>P</v>
          </cell>
          <cell r="W345">
            <v>42</v>
          </cell>
        </row>
        <row r="346">
          <cell r="A346">
            <v>11268</v>
          </cell>
          <cell r="B346" t="str">
            <v>011268</v>
          </cell>
          <cell r="C346" t="str">
            <v>NOVI KARTIKA SETYANINGRUM</v>
          </cell>
          <cell r="D346" t="str">
            <v>SAMI</v>
          </cell>
          <cell r="E346" t="str">
            <v>OPT-294</v>
          </cell>
          <cell r="F346">
            <v>40617</v>
          </cell>
          <cell r="G346" t="str">
            <v>-</v>
          </cell>
          <cell r="H346" t="str">
            <v>-</v>
          </cell>
          <cell r="I346" t="str">
            <v>PRD</v>
          </cell>
          <cell r="J346" t="str">
            <v>PRE ASSY</v>
          </cell>
          <cell r="K346" t="str">
            <v>MAZDA 3</v>
          </cell>
          <cell r="L346" t="str">
            <v>MAZDA REAR</v>
          </cell>
          <cell r="M346" t="str">
            <v>CPA MAZDA J03</v>
          </cell>
          <cell r="N346" t="str">
            <v>RELIEF 2</v>
          </cell>
          <cell r="O346" t="str">
            <v>RELIEF</v>
          </cell>
          <cell r="P346" t="str">
            <v>A</v>
          </cell>
          <cell r="Q346" t="str">
            <v>PI</v>
          </cell>
          <cell r="R346" t="str">
            <v>PERMANENT</v>
          </cell>
          <cell r="S346" t="str">
            <v>PRM</v>
          </cell>
          <cell r="T346" t="str">
            <v>OPT</v>
          </cell>
          <cell r="U346" t="str">
            <v>-</v>
          </cell>
          <cell r="V346" t="str">
            <v>P</v>
          </cell>
          <cell r="W346">
            <v>33</v>
          </cell>
        </row>
        <row r="347">
          <cell r="A347">
            <v>5480</v>
          </cell>
          <cell r="B347" t="str">
            <v>005480</v>
          </cell>
          <cell r="C347" t="str">
            <v>TOYI'IN</v>
          </cell>
          <cell r="D347" t="str">
            <v>SAMI</v>
          </cell>
          <cell r="E347" t="str">
            <v>SPV UP</v>
          </cell>
          <cell r="F347">
            <v>38991</v>
          </cell>
          <cell r="G347" t="str">
            <v>-</v>
          </cell>
          <cell r="H347" t="str">
            <v>-</v>
          </cell>
          <cell r="I347" t="str">
            <v>LOG</v>
          </cell>
          <cell r="J347" t="str">
            <v>L. DOCK</v>
          </cell>
          <cell r="K347" t="str">
            <v>ALL</v>
          </cell>
          <cell r="L347" t="str">
            <v>ALL</v>
          </cell>
          <cell r="M347" t="str">
            <v>L. DOCK</v>
          </cell>
          <cell r="N347" t="str">
            <v>SUPERVISOR</v>
          </cell>
          <cell r="O347" t="str">
            <v>FPS SPV</v>
          </cell>
          <cell r="P347" t="str">
            <v>A (NS)</v>
          </cell>
          <cell r="Q347" t="str">
            <v>PS</v>
          </cell>
          <cell r="R347" t="str">
            <v>PERMANENT</v>
          </cell>
          <cell r="S347" t="str">
            <v>PRM</v>
          </cell>
          <cell r="T347" t="str">
            <v>SPV</v>
          </cell>
          <cell r="U347" t="str">
            <v>-</v>
          </cell>
          <cell r="V347" t="str">
            <v>L</v>
          </cell>
          <cell r="W347">
            <v>40</v>
          </cell>
        </row>
        <row r="348">
          <cell r="A348">
            <v>5483</v>
          </cell>
          <cell r="B348" t="str">
            <v>005483</v>
          </cell>
          <cell r="C348" t="str">
            <v>AMANTO FERI PURNOMO</v>
          </cell>
          <cell r="D348" t="str">
            <v>SAMI</v>
          </cell>
          <cell r="E348" t="str">
            <v>TKN-31</v>
          </cell>
          <cell r="F348">
            <v>38991</v>
          </cell>
          <cell r="G348" t="str">
            <v>-</v>
          </cell>
          <cell r="H348" t="str">
            <v>-</v>
          </cell>
          <cell r="I348" t="str">
            <v>PE</v>
          </cell>
          <cell r="J348" t="str">
            <v>J/C BP</v>
          </cell>
          <cell r="K348" t="str">
            <v>ALL</v>
          </cell>
          <cell r="L348" t="str">
            <v>ALL</v>
          </cell>
          <cell r="M348" t="str">
            <v>JCN</v>
          </cell>
          <cell r="N348" t="str">
            <v>BREAKDOWN FA</v>
          </cell>
          <cell r="O348" t="str">
            <v>MTC</v>
          </cell>
          <cell r="P348" t="str">
            <v>B</v>
          </cell>
          <cell r="Q348" t="str">
            <v>PI</v>
          </cell>
          <cell r="R348" t="str">
            <v>PERMANENT</v>
          </cell>
          <cell r="S348" t="str">
            <v>PRM</v>
          </cell>
          <cell r="T348" t="str">
            <v>TKN</v>
          </cell>
          <cell r="U348" t="str">
            <v>-</v>
          </cell>
          <cell r="V348" t="str">
            <v>L</v>
          </cell>
          <cell r="W348">
            <v>39</v>
          </cell>
        </row>
        <row r="349">
          <cell r="A349">
            <v>11610</v>
          </cell>
          <cell r="B349" t="str">
            <v>011610</v>
          </cell>
          <cell r="C349" t="str">
            <v>SITI AISYAH</v>
          </cell>
          <cell r="D349" t="str">
            <v>SAMI</v>
          </cell>
          <cell r="E349" t="str">
            <v>OPT-307</v>
          </cell>
          <cell r="F349">
            <v>40707</v>
          </cell>
          <cell r="G349" t="str">
            <v>-</v>
          </cell>
          <cell r="H349" t="str">
            <v>-</v>
          </cell>
          <cell r="I349" t="str">
            <v>PRD</v>
          </cell>
          <cell r="J349" t="str">
            <v>PRE ASSY</v>
          </cell>
          <cell r="K349" t="str">
            <v>MAZDA 3</v>
          </cell>
          <cell r="L349" t="str">
            <v>MAZDA REAR</v>
          </cell>
          <cell r="M349" t="str">
            <v>CPA MAZDA J03</v>
          </cell>
          <cell r="N349" t="str">
            <v>INSP CUTTING</v>
          </cell>
          <cell r="O349" t="str">
            <v>P/A INSPECTOR</v>
          </cell>
          <cell r="P349" t="str">
            <v>A</v>
          </cell>
          <cell r="Q349" t="str">
            <v>PI</v>
          </cell>
          <cell r="R349" t="str">
            <v>PERMANENT</v>
          </cell>
          <cell r="S349" t="str">
            <v>PRM</v>
          </cell>
          <cell r="T349" t="str">
            <v>OPT</v>
          </cell>
          <cell r="U349" t="str">
            <v>-</v>
          </cell>
          <cell r="V349" t="str">
            <v>P</v>
          </cell>
          <cell r="W349">
            <v>31</v>
          </cell>
        </row>
        <row r="350">
          <cell r="A350" t="str">
            <v>B00672</v>
          </cell>
          <cell r="B350" t="str">
            <v>B00672</v>
          </cell>
          <cell r="C350" t="str">
            <v>HEQMATUL KASANAH</v>
          </cell>
          <cell r="D350" t="str">
            <v>SAMI</v>
          </cell>
          <cell r="E350" t="str">
            <v>BBF-011</v>
          </cell>
          <cell r="F350">
            <v>40896</v>
          </cell>
          <cell r="G350" t="str">
            <v>-</v>
          </cell>
          <cell r="H350" t="str">
            <v>-</v>
          </cell>
          <cell r="I350" t="str">
            <v>PRD</v>
          </cell>
          <cell r="J350" t="str">
            <v>PRE ASSY</v>
          </cell>
          <cell r="K350" t="str">
            <v>MAZDA 3</v>
          </cell>
          <cell r="L350" t="str">
            <v>MAZDA REAR</v>
          </cell>
          <cell r="M350" t="str">
            <v>CPA MAZDA J03</v>
          </cell>
          <cell r="N350" t="str">
            <v>INSP CUTTING</v>
          </cell>
          <cell r="O350" t="str">
            <v>P/A INSPECTOR</v>
          </cell>
          <cell r="P350" t="str">
            <v>A</v>
          </cell>
          <cell r="Q350" t="str">
            <v>PI</v>
          </cell>
          <cell r="R350" t="str">
            <v>PERMANENT</v>
          </cell>
          <cell r="S350" t="str">
            <v>PRM</v>
          </cell>
          <cell r="T350" t="str">
            <v>OPT</v>
          </cell>
          <cell r="U350" t="str">
            <v>-</v>
          </cell>
          <cell r="V350" t="str">
            <v>P</v>
          </cell>
          <cell r="W350">
            <v>31</v>
          </cell>
        </row>
        <row r="351">
          <cell r="A351">
            <v>67</v>
          </cell>
          <cell r="B351" t="str">
            <v>000067</v>
          </cell>
          <cell r="C351" t="str">
            <v>RIKA HANDAYANI</v>
          </cell>
          <cell r="D351" t="str">
            <v>SAMI</v>
          </cell>
          <cell r="E351" t="str">
            <v>OPT-1</v>
          </cell>
          <cell r="F351">
            <v>37578</v>
          </cell>
          <cell r="G351" t="str">
            <v>-</v>
          </cell>
          <cell r="H351" t="str">
            <v>-</v>
          </cell>
          <cell r="I351" t="str">
            <v>PRD</v>
          </cell>
          <cell r="J351" t="str">
            <v>PRE ASSY</v>
          </cell>
          <cell r="K351" t="str">
            <v>SUZUKI WAGON R/HUSTLER</v>
          </cell>
          <cell r="L351" t="str">
            <v>SUZUKI YW0/Y0C/YEV</v>
          </cell>
          <cell r="M351" t="str">
            <v>CPA SUZUKI</v>
          </cell>
          <cell r="N351" t="str">
            <v>SUB LINE CHO</v>
          </cell>
          <cell r="O351" t="str">
            <v>GL</v>
          </cell>
          <cell r="P351" t="str">
            <v>A</v>
          </cell>
          <cell r="Q351" t="str">
            <v>PI</v>
          </cell>
          <cell r="R351" t="str">
            <v>PERMANENT</v>
          </cell>
          <cell r="S351" t="str">
            <v>PRM</v>
          </cell>
          <cell r="T351" t="str">
            <v>SLC</v>
          </cell>
          <cell r="U351" t="str">
            <v>-</v>
          </cell>
          <cell r="V351" t="str">
            <v>P</v>
          </cell>
          <cell r="W351">
            <v>41</v>
          </cell>
        </row>
        <row r="352">
          <cell r="A352">
            <v>5506</v>
          </cell>
          <cell r="B352" t="str">
            <v>005506</v>
          </cell>
          <cell r="C352" t="str">
            <v>ROFI'AH</v>
          </cell>
          <cell r="D352" t="str">
            <v>SAMI</v>
          </cell>
          <cell r="E352" t="str">
            <v>OPT-129</v>
          </cell>
          <cell r="F352">
            <v>39022</v>
          </cell>
          <cell r="G352" t="str">
            <v>-</v>
          </cell>
          <cell r="H352" t="str">
            <v>-</v>
          </cell>
          <cell r="I352" t="str">
            <v>PRD</v>
          </cell>
          <cell r="J352" t="str">
            <v>FINAL ASSY</v>
          </cell>
          <cell r="K352" t="str">
            <v>TOYOTA</v>
          </cell>
          <cell r="L352" t="str">
            <v>AQUA SIENTA</v>
          </cell>
          <cell r="M352" t="str">
            <v>CV T02</v>
          </cell>
          <cell r="N352" t="str">
            <v>RELIEF 2</v>
          </cell>
          <cell r="O352" t="str">
            <v>RELIEF</v>
          </cell>
          <cell r="P352" t="str">
            <v>B</v>
          </cell>
          <cell r="Q352" t="str">
            <v>PI</v>
          </cell>
          <cell r="R352" t="str">
            <v>PERMANENT</v>
          </cell>
          <cell r="S352" t="str">
            <v>PRM</v>
          </cell>
          <cell r="T352" t="str">
            <v>OPT</v>
          </cell>
          <cell r="U352" t="str">
            <v>-</v>
          </cell>
          <cell r="V352" t="str">
            <v>P</v>
          </cell>
          <cell r="W352">
            <v>40</v>
          </cell>
        </row>
        <row r="353">
          <cell r="A353">
            <v>5510</v>
          </cell>
          <cell r="B353" t="str">
            <v>005510</v>
          </cell>
          <cell r="C353" t="str">
            <v>SRI MULYANI</v>
          </cell>
          <cell r="D353" t="str">
            <v>SAMI</v>
          </cell>
          <cell r="E353" t="str">
            <v>OPT-129</v>
          </cell>
          <cell r="F353">
            <v>39022</v>
          </cell>
          <cell r="G353" t="str">
            <v>-</v>
          </cell>
          <cell r="H353" t="str">
            <v>-</v>
          </cell>
          <cell r="I353" t="str">
            <v>QA</v>
          </cell>
          <cell r="J353" t="str">
            <v>NON LINE</v>
          </cell>
          <cell r="K353" t="str">
            <v>ALL</v>
          </cell>
          <cell r="L353" t="str">
            <v>ALL</v>
          </cell>
          <cell r="M353" t="str">
            <v>QA ADM</v>
          </cell>
          <cell r="N353" t="str">
            <v>QA LEADER</v>
          </cell>
          <cell r="O353" t="str">
            <v>FPS LL</v>
          </cell>
          <cell r="P353" t="str">
            <v>A (NS)</v>
          </cell>
          <cell r="Q353" t="str">
            <v>PS</v>
          </cell>
          <cell r="R353" t="str">
            <v>PERMANENT</v>
          </cell>
          <cell r="S353" t="str">
            <v>PRM</v>
          </cell>
          <cell r="T353" t="str">
            <v>LL</v>
          </cell>
          <cell r="U353" t="str">
            <v>-</v>
          </cell>
          <cell r="V353" t="str">
            <v>P</v>
          </cell>
          <cell r="W353">
            <v>40</v>
          </cell>
        </row>
        <row r="354">
          <cell r="A354">
            <v>5518</v>
          </cell>
          <cell r="B354" t="str">
            <v>005518</v>
          </cell>
          <cell r="C354" t="str">
            <v>TRI MEI WULANDARI</v>
          </cell>
          <cell r="D354" t="str">
            <v>SAMI</v>
          </cell>
          <cell r="E354" t="str">
            <v>OPT-129</v>
          </cell>
          <cell r="F354">
            <v>39022</v>
          </cell>
          <cell r="G354" t="str">
            <v>-</v>
          </cell>
          <cell r="H354" t="str">
            <v>-</v>
          </cell>
          <cell r="I354" t="str">
            <v>PRD</v>
          </cell>
          <cell r="J354" t="str">
            <v>FINAL ASSY</v>
          </cell>
          <cell r="K354" t="str">
            <v>HONDA NES</v>
          </cell>
          <cell r="L354" t="str">
            <v>HONDA NES HEV PET ENGINE</v>
          </cell>
          <cell r="M354" t="str">
            <v>CV H03</v>
          </cell>
          <cell r="N354" t="str">
            <v>S/A AB</v>
          </cell>
          <cell r="O354" t="str">
            <v>SUB ASSY</v>
          </cell>
          <cell r="P354" t="str">
            <v>B</v>
          </cell>
          <cell r="Q354" t="str">
            <v>DL</v>
          </cell>
          <cell r="R354" t="str">
            <v>PERMANENT</v>
          </cell>
          <cell r="S354" t="str">
            <v>PRM</v>
          </cell>
          <cell r="T354" t="str">
            <v>OPT</v>
          </cell>
          <cell r="U354" t="str">
            <v>-</v>
          </cell>
          <cell r="V354" t="str">
            <v>P</v>
          </cell>
          <cell r="W354">
            <v>39</v>
          </cell>
        </row>
        <row r="355">
          <cell r="A355">
            <v>5522</v>
          </cell>
          <cell r="B355" t="str">
            <v>005522</v>
          </cell>
          <cell r="C355" t="str">
            <v>WIWIK FIKANIATI</v>
          </cell>
          <cell r="D355" t="str">
            <v>SAMI</v>
          </cell>
          <cell r="E355" t="str">
            <v>OPT-129</v>
          </cell>
          <cell r="F355">
            <v>39022</v>
          </cell>
          <cell r="G355" t="str">
            <v>-</v>
          </cell>
          <cell r="H355" t="str">
            <v>-</v>
          </cell>
          <cell r="I355" t="str">
            <v>QA</v>
          </cell>
          <cell r="J355" t="str">
            <v>FINAL ASSY</v>
          </cell>
          <cell r="K355" t="str">
            <v>TOYOTA HV</v>
          </cell>
          <cell r="L355" t="str">
            <v>TOYOTA HV 10PL</v>
          </cell>
          <cell r="M355" t="str">
            <v>CV HV 14B</v>
          </cell>
          <cell r="N355" t="str">
            <v>GL INSPECTION</v>
          </cell>
          <cell r="O355" t="str">
            <v>GL</v>
          </cell>
          <cell r="P355" t="str">
            <v>B</v>
          </cell>
          <cell r="Q355" t="str">
            <v>PI</v>
          </cell>
          <cell r="R355" t="str">
            <v>PERMANENT</v>
          </cell>
          <cell r="S355" t="str">
            <v>PRM</v>
          </cell>
          <cell r="T355" t="str">
            <v>GL</v>
          </cell>
          <cell r="U355" t="str">
            <v>-</v>
          </cell>
          <cell r="V355" t="str">
            <v>P</v>
          </cell>
          <cell r="W355">
            <v>40</v>
          </cell>
        </row>
        <row r="356">
          <cell r="A356">
            <v>5527</v>
          </cell>
          <cell r="B356" t="str">
            <v>005527</v>
          </cell>
          <cell r="C356" t="str">
            <v>AMALIA ULFA</v>
          </cell>
          <cell r="D356" t="str">
            <v>SAMI</v>
          </cell>
          <cell r="E356" t="str">
            <v>ADM-29</v>
          </cell>
          <cell r="F356">
            <v>39022</v>
          </cell>
          <cell r="G356" t="str">
            <v>-</v>
          </cell>
          <cell r="H356" t="str">
            <v>-</v>
          </cell>
          <cell r="I356" t="str">
            <v>LOG</v>
          </cell>
          <cell r="J356" t="str">
            <v>PPIC</v>
          </cell>
          <cell r="K356" t="str">
            <v>ALL</v>
          </cell>
          <cell r="L356" t="str">
            <v>ALL</v>
          </cell>
          <cell r="M356" t="str">
            <v>PPIC</v>
          </cell>
          <cell r="N356" t="str">
            <v>LEADER ORDERING</v>
          </cell>
          <cell r="O356" t="str">
            <v>FPS LL</v>
          </cell>
          <cell r="P356" t="str">
            <v>A (NS)</v>
          </cell>
          <cell r="Q356" t="str">
            <v>PS</v>
          </cell>
          <cell r="R356" t="str">
            <v>PERMANENT</v>
          </cell>
          <cell r="S356" t="str">
            <v>PRM</v>
          </cell>
          <cell r="T356" t="str">
            <v>LL</v>
          </cell>
          <cell r="U356" t="str">
            <v>-</v>
          </cell>
          <cell r="V356" t="str">
            <v>P</v>
          </cell>
          <cell r="W356">
            <v>40</v>
          </cell>
        </row>
        <row r="357">
          <cell r="A357">
            <v>5528</v>
          </cell>
          <cell r="B357" t="str">
            <v>005528</v>
          </cell>
          <cell r="C357" t="str">
            <v>NUNIK MANDARWATI</v>
          </cell>
          <cell r="D357" t="str">
            <v>SAMI</v>
          </cell>
          <cell r="E357" t="str">
            <v>ADM-29</v>
          </cell>
          <cell r="F357">
            <v>39022</v>
          </cell>
          <cell r="G357" t="str">
            <v>-</v>
          </cell>
          <cell r="H357" t="str">
            <v>-</v>
          </cell>
          <cell r="I357" t="str">
            <v>LOG</v>
          </cell>
          <cell r="J357" t="str">
            <v>L. DOCK</v>
          </cell>
          <cell r="K357" t="str">
            <v>ALL</v>
          </cell>
          <cell r="L357" t="str">
            <v>ALL</v>
          </cell>
          <cell r="M357" t="str">
            <v>L. DOCK</v>
          </cell>
          <cell r="N357" t="str">
            <v>ADMIN PURCHASING</v>
          </cell>
          <cell r="O357" t="str">
            <v>LD</v>
          </cell>
          <cell r="P357" t="str">
            <v>A (NS)</v>
          </cell>
          <cell r="Q357" t="str">
            <v>PS</v>
          </cell>
          <cell r="R357" t="str">
            <v>PERMANENT</v>
          </cell>
          <cell r="S357" t="str">
            <v>PRM</v>
          </cell>
          <cell r="T357" t="str">
            <v>ADM</v>
          </cell>
          <cell r="U357" t="str">
            <v>-</v>
          </cell>
          <cell r="V357" t="str">
            <v>P</v>
          </cell>
          <cell r="W357">
            <v>41</v>
          </cell>
        </row>
        <row r="358">
          <cell r="A358">
            <v>786</v>
          </cell>
          <cell r="B358" t="str">
            <v>000786</v>
          </cell>
          <cell r="C358" t="str">
            <v>SUPRIYONO</v>
          </cell>
          <cell r="D358" t="str">
            <v>SAMI</v>
          </cell>
          <cell r="E358" t="str">
            <v>TKN-3</v>
          </cell>
          <cell r="F358">
            <v>37830</v>
          </cell>
          <cell r="G358" t="str">
            <v>-</v>
          </cell>
          <cell r="H358" t="str">
            <v>-</v>
          </cell>
          <cell r="I358" t="str">
            <v>PRD</v>
          </cell>
          <cell r="J358" t="str">
            <v>PRE ASSY</v>
          </cell>
          <cell r="K358" t="str">
            <v>SUZUKI WAGON R/HUSTLER</v>
          </cell>
          <cell r="L358" t="str">
            <v>SUZUKI YW0/Y0C/YEV</v>
          </cell>
          <cell r="M358" t="str">
            <v>CPA SUZUKI</v>
          </cell>
          <cell r="N358" t="str">
            <v>PRD LINE CHO</v>
          </cell>
          <cell r="O358" t="str">
            <v>FPI LL</v>
          </cell>
          <cell r="P358" t="str">
            <v>A</v>
          </cell>
          <cell r="Q358" t="str">
            <v>PI</v>
          </cell>
          <cell r="R358" t="str">
            <v>PERMANENT</v>
          </cell>
          <cell r="S358" t="str">
            <v>PRM</v>
          </cell>
          <cell r="T358" t="str">
            <v>LC</v>
          </cell>
          <cell r="U358" t="str">
            <v>-</v>
          </cell>
          <cell r="V358" t="str">
            <v>L</v>
          </cell>
          <cell r="W358">
            <v>43</v>
          </cell>
        </row>
        <row r="359">
          <cell r="A359">
            <v>5535</v>
          </cell>
          <cell r="B359" t="str">
            <v>005535</v>
          </cell>
          <cell r="C359" t="str">
            <v>PUPUT ANDRIYANTO</v>
          </cell>
          <cell r="D359" t="str">
            <v>SAMI</v>
          </cell>
          <cell r="E359" t="str">
            <v>SPV UP</v>
          </cell>
          <cell r="F359">
            <v>39027</v>
          </cell>
          <cell r="G359" t="str">
            <v>-</v>
          </cell>
          <cell r="H359" t="str">
            <v>-</v>
          </cell>
          <cell r="I359" t="str">
            <v>OTHERS</v>
          </cell>
          <cell r="J359" t="str">
            <v>TRN @ OVERSEAS</v>
          </cell>
          <cell r="K359" t="str">
            <v>ALL</v>
          </cell>
          <cell r="L359" t="str">
            <v>ALL</v>
          </cell>
          <cell r="M359" t="str">
            <v>TRN @ OVERSEAS - TCS 9</v>
          </cell>
          <cell r="N359" t="str">
            <v>TRN @ OVERSEAS</v>
          </cell>
          <cell r="O359" t="str">
            <v>OTHERS IDL</v>
          </cell>
          <cell r="P359" t="str">
            <v>A (NS)</v>
          </cell>
          <cell r="Q359" t="str">
            <v>ADM</v>
          </cell>
          <cell r="R359" t="str">
            <v>PERMANENT</v>
          </cell>
          <cell r="S359" t="str">
            <v>PRM</v>
          </cell>
          <cell r="T359" t="str">
            <v>AM</v>
          </cell>
          <cell r="U359" t="str">
            <v>-</v>
          </cell>
          <cell r="V359" t="str">
            <v>L</v>
          </cell>
          <cell r="W359">
            <v>40</v>
          </cell>
        </row>
        <row r="360">
          <cell r="A360">
            <v>5537</v>
          </cell>
          <cell r="B360" t="str">
            <v>005537</v>
          </cell>
          <cell r="C360" t="str">
            <v>AGUS SANTOSO</v>
          </cell>
          <cell r="D360" t="str">
            <v>SAMI</v>
          </cell>
          <cell r="E360" t="str">
            <v>OPT-130</v>
          </cell>
          <cell r="F360">
            <v>39052</v>
          </cell>
          <cell r="G360" t="str">
            <v>-</v>
          </cell>
          <cell r="H360" t="str">
            <v>-</v>
          </cell>
          <cell r="I360" t="str">
            <v>LOG</v>
          </cell>
          <cell r="J360" t="str">
            <v>L. DOCK</v>
          </cell>
          <cell r="K360" t="str">
            <v>ALL</v>
          </cell>
          <cell r="L360" t="str">
            <v>ALL</v>
          </cell>
          <cell r="M360" t="str">
            <v>L. DOCK</v>
          </cell>
          <cell r="N360" t="str">
            <v>L. DOCK</v>
          </cell>
          <cell r="O360" t="str">
            <v>LD</v>
          </cell>
          <cell r="P360" t="str">
            <v>B</v>
          </cell>
          <cell r="Q360" t="str">
            <v>PS</v>
          </cell>
          <cell r="R360" t="str">
            <v>PERMANENT</v>
          </cell>
          <cell r="S360" t="str">
            <v>PRM</v>
          </cell>
          <cell r="T360" t="str">
            <v>OPT</v>
          </cell>
          <cell r="U360" t="str">
            <v>-</v>
          </cell>
          <cell r="V360" t="str">
            <v>L</v>
          </cell>
          <cell r="W360">
            <v>40</v>
          </cell>
        </row>
        <row r="361">
          <cell r="A361">
            <v>5538</v>
          </cell>
          <cell r="B361" t="str">
            <v>005538</v>
          </cell>
          <cell r="C361" t="str">
            <v>AHMAD ISNAPUN</v>
          </cell>
          <cell r="D361" t="str">
            <v>SAMI</v>
          </cell>
          <cell r="E361" t="str">
            <v>OPT-130</v>
          </cell>
          <cell r="F361">
            <v>39052</v>
          </cell>
          <cell r="G361" t="str">
            <v>-</v>
          </cell>
          <cell r="H361" t="str">
            <v>-</v>
          </cell>
          <cell r="I361" t="str">
            <v>PE</v>
          </cell>
          <cell r="J361" t="str">
            <v>PrE</v>
          </cell>
          <cell r="K361" t="str">
            <v>ALL</v>
          </cell>
          <cell r="L361" t="str">
            <v>ALL</v>
          </cell>
          <cell r="M361" t="str">
            <v>PrE</v>
          </cell>
          <cell r="N361" t="str">
            <v>GL IMPROVEMENT &amp; LAYOUT</v>
          </cell>
          <cell r="O361" t="str">
            <v>KAIZEN</v>
          </cell>
          <cell r="P361" t="str">
            <v>A (NS)</v>
          </cell>
          <cell r="Q361" t="str">
            <v>PS</v>
          </cell>
          <cell r="R361" t="str">
            <v>PERMANENT</v>
          </cell>
          <cell r="S361" t="str">
            <v>PRM</v>
          </cell>
          <cell r="T361" t="str">
            <v>GL</v>
          </cell>
          <cell r="U361" t="str">
            <v>-</v>
          </cell>
          <cell r="V361" t="str">
            <v>L</v>
          </cell>
          <cell r="W361">
            <v>41</v>
          </cell>
        </row>
        <row r="362">
          <cell r="A362">
            <v>4530</v>
          </cell>
          <cell r="B362" t="str">
            <v>004530</v>
          </cell>
          <cell r="C362" t="str">
            <v>SRI MULYANI</v>
          </cell>
          <cell r="D362" t="str">
            <v>SAMI</v>
          </cell>
          <cell r="E362" t="str">
            <v>OPT-111</v>
          </cell>
          <cell r="F362">
            <v>38789</v>
          </cell>
          <cell r="G362" t="str">
            <v>-</v>
          </cell>
          <cell r="H362" t="str">
            <v>-</v>
          </cell>
          <cell r="I362" t="str">
            <v>PRD</v>
          </cell>
          <cell r="J362" t="str">
            <v>PRE ASSY</v>
          </cell>
          <cell r="K362" t="str">
            <v>SUZUKI WAGON R/HUSTLER</v>
          </cell>
          <cell r="L362" t="str">
            <v>SUZUKI YW0/Y0C/YEV</v>
          </cell>
          <cell r="M362" t="str">
            <v>CPA SUZUKI</v>
          </cell>
          <cell r="N362" t="str">
            <v>INSP PRE ASSY</v>
          </cell>
          <cell r="O362" t="str">
            <v>P/A INSPECTOR</v>
          </cell>
          <cell r="P362" t="str">
            <v>A</v>
          </cell>
          <cell r="Q362" t="str">
            <v>PI</v>
          </cell>
          <cell r="R362" t="str">
            <v>PERMANENT</v>
          </cell>
          <cell r="S362" t="str">
            <v>PRM</v>
          </cell>
          <cell r="T362" t="str">
            <v>OPT</v>
          </cell>
          <cell r="U362" t="str">
            <v>-</v>
          </cell>
          <cell r="V362" t="str">
            <v>P</v>
          </cell>
          <cell r="W362">
            <v>39</v>
          </cell>
        </row>
        <row r="363">
          <cell r="A363">
            <v>5545</v>
          </cell>
          <cell r="B363" t="str">
            <v>005545</v>
          </cell>
          <cell r="C363" t="str">
            <v>M.LUKMAN HAKIM</v>
          </cell>
          <cell r="D363" t="str">
            <v>SAMI</v>
          </cell>
          <cell r="E363" t="str">
            <v>OPT-130</v>
          </cell>
          <cell r="F363">
            <v>39052</v>
          </cell>
          <cell r="G363" t="str">
            <v>-</v>
          </cell>
          <cell r="H363" t="str">
            <v>-</v>
          </cell>
          <cell r="I363" t="str">
            <v>PRD</v>
          </cell>
          <cell r="J363" t="str">
            <v>FINAL ASSY</v>
          </cell>
          <cell r="K363" t="str">
            <v>HONDA NES</v>
          </cell>
          <cell r="L363" t="str">
            <v>HONDA NES HEV PET ENGINE</v>
          </cell>
          <cell r="M363" t="str">
            <v>CV H04</v>
          </cell>
          <cell r="N363" t="str">
            <v>LQC</v>
          </cell>
          <cell r="O363" t="str">
            <v>RELIEF</v>
          </cell>
          <cell r="P363" t="str">
            <v>B</v>
          </cell>
          <cell r="Q363" t="str">
            <v>PI</v>
          </cell>
          <cell r="R363" t="str">
            <v>PERMANENT</v>
          </cell>
          <cell r="S363" t="str">
            <v>PRM</v>
          </cell>
          <cell r="T363" t="str">
            <v>PJK</v>
          </cell>
          <cell r="U363" t="str">
            <v>-</v>
          </cell>
          <cell r="V363" t="str">
            <v>L</v>
          </cell>
          <cell r="W363">
            <v>40</v>
          </cell>
        </row>
        <row r="364">
          <cell r="A364">
            <v>8859</v>
          </cell>
          <cell r="B364" t="str">
            <v>008859</v>
          </cell>
          <cell r="C364" t="str">
            <v>SETYARINI</v>
          </cell>
          <cell r="D364" t="str">
            <v>SAMI</v>
          </cell>
          <cell r="E364" t="str">
            <v>OPT-195</v>
          </cell>
          <cell r="F364">
            <v>39937</v>
          </cell>
          <cell r="G364" t="str">
            <v>-</v>
          </cell>
          <cell r="H364" t="str">
            <v>-</v>
          </cell>
          <cell r="I364" t="str">
            <v>PRD</v>
          </cell>
          <cell r="J364" t="str">
            <v>PRE ASSY</v>
          </cell>
          <cell r="K364" t="str">
            <v>SUZUKI WAGON R/HUSTLER</v>
          </cell>
          <cell r="L364" t="str">
            <v>SUZUKI YW0/Y0C/YEV</v>
          </cell>
          <cell r="M364" t="str">
            <v>CPA SUZUKI</v>
          </cell>
          <cell r="N364" t="str">
            <v>INSP CUTTING</v>
          </cell>
          <cell r="O364" t="str">
            <v>P/A INSPECTOR</v>
          </cell>
          <cell r="P364" t="str">
            <v>A</v>
          </cell>
          <cell r="Q364" t="str">
            <v>PI</v>
          </cell>
          <cell r="R364" t="str">
            <v>PERMANENT</v>
          </cell>
          <cell r="S364" t="str">
            <v>PRM</v>
          </cell>
          <cell r="T364" t="str">
            <v>OPT</v>
          </cell>
          <cell r="U364" t="str">
            <v>-</v>
          </cell>
          <cell r="V364" t="str">
            <v>P</v>
          </cell>
          <cell r="W364">
            <v>35</v>
          </cell>
        </row>
        <row r="365">
          <cell r="A365">
            <v>8885</v>
          </cell>
          <cell r="B365" t="str">
            <v>008885</v>
          </cell>
          <cell r="C365" t="str">
            <v>MUNASIYAH</v>
          </cell>
          <cell r="D365" t="str">
            <v>SAMI</v>
          </cell>
          <cell r="E365" t="str">
            <v>OPT-196</v>
          </cell>
          <cell r="F365">
            <v>39961</v>
          </cell>
          <cell r="G365" t="str">
            <v>-</v>
          </cell>
          <cell r="H365" t="str">
            <v>-</v>
          </cell>
          <cell r="I365" t="str">
            <v>PRD</v>
          </cell>
          <cell r="J365" t="str">
            <v>PRE ASSY</v>
          </cell>
          <cell r="K365" t="str">
            <v>SUZUKI WAGON R/HUSTLER</v>
          </cell>
          <cell r="L365" t="str">
            <v>SUZUKI YW0/Y0C/YEV</v>
          </cell>
          <cell r="M365" t="str">
            <v>CPA SUZUKI</v>
          </cell>
          <cell r="N365" t="str">
            <v>CUTTING AC90-SZK-07</v>
          </cell>
          <cell r="O365" t="str">
            <v>CUTTING WIRE</v>
          </cell>
          <cell r="P365" t="str">
            <v>A</v>
          </cell>
          <cell r="Q365" t="str">
            <v>DL</v>
          </cell>
          <cell r="R365" t="str">
            <v>PERMANENT</v>
          </cell>
          <cell r="S365" t="str">
            <v>PRM</v>
          </cell>
          <cell r="T365" t="str">
            <v>OPT</v>
          </cell>
          <cell r="U365" t="str">
            <v>-</v>
          </cell>
          <cell r="V365" t="str">
            <v>P</v>
          </cell>
          <cell r="W365">
            <v>35</v>
          </cell>
        </row>
        <row r="366">
          <cell r="A366">
            <v>5549</v>
          </cell>
          <cell r="B366" t="str">
            <v>005549</v>
          </cell>
          <cell r="C366" t="str">
            <v>SRI WINARNI</v>
          </cell>
          <cell r="D366" t="str">
            <v>SAMI</v>
          </cell>
          <cell r="E366" t="str">
            <v>OPT-130</v>
          </cell>
          <cell r="F366">
            <v>39052</v>
          </cell>
          <cell r="G366" t="str">
            <v>-</v>
          </cell>
          <cell r="H366" t="str">
            <v>-</v>
          </cell>
          <cell r="I366" t="str">
            <v>LOG</v>
          </cell>
          <cell r="J366" t="str">
            <v>WHS</v>
          </cell>
          <cell r="K366" t="str">
            <v>ALL</v>
          </cell>
          <cell r="L366" t="str">
            <v>ALL</v>
          </cell>
          <cell r="M366" t="str">
            <v>WHS</v>
          </cell>
          <cell r="N366" t="str">
            <v>Parts supply (piking &amp; material handling) from material werahouse</v>
          </cell>
          <cell r="O366" t="str">
            <v>WHS IN</v>
          </cell>
          <cell r="P366" t="str">
            <v>B</v>
          </cell>
          <cell r="Q366" t="str">
            <v>PS</v>
          </cell>
          <cell r="R366" t="str">
            <v>PERMANENT</v>
          </cell>
          <cell r="S366" t="str">
            <v>PRM</v>
          </cell>
          <cell r="T366" t="str">
            <v>OPT</v>
          </cell>
          <cell r="U366" t="str">
            <v>-</v>
          </cell>
          <cell r="V366" t="str">
            <v>P</v>
          </cell>
          <cell r="W366">
            <v>40</v>
          </cell>
        </row>
        <row r="367">
          <cell r="A367">
            <v>9074</v>
          </cell>
          <cell r="B367" t="str">
            <v>009074</v>
          </cell>
          <cell r="C367" t="str">
            <v>ISTIANI AGUSTINA</v>
          </cell>
          <cell r="D367" t="str">
            <v>SAMI</v>
          </cell>
          <cell r="E367" t="str">
            <v>OPT-203</v>
          </cell>
          <cell r="F367">
            <v>39993</v>
          </cell>
          <cell r="G367" t="str">
            <v>-</v>
          </cell>
          <cell r="H367" t="str">
            <v>-</v>
          </cell>
          <cell r="I367" t="str">
            <v>PRD</v>
          </cell>
          <cell r="J367" t="str">
            <v>PRE ASSY</v>
          </cell>
          <cell r="K367" t="str">
            <v>SUZUKI WAGON R/HUSTLER</v>
          </cell>
          <cell r="L367" t="str">
            <v>SUZUKI YW0/Y0C/YEV</v>
          </cell>
          <cell r="M367" t="str">
            <v>CPA SUZUKI</v>
          </cell>
          <cell r="N367" t="str">
            <v>INSP CUTTING</v>
          </cell>
          <cell r="O367" t="str">
            <v>P/A INSPECTOR</v>
          </cell>
          <cell r="P367" t="str">
            <v>A</v>
          </cell>
          <cell r="Q367" t="str">
            <v>PI</v>
          </cell>
          <cell r="R367" t="str">
            <v>PERMANENT</v>
          </cell>
          <cell r="S367" t="str">
            <v>PRM</v>
          </cell>
          <cell r="T367" t="str">
            <v>OPT</v>
          </cell>
          <cell r="U367" t="str">
            <v>-</v>
          </cell>
          <cell r="V367" t="str">
            <v>P</v>
          </cell>
          <cell r="W367">
            <v>33</v>
          </cell>
        </row>
        <row r="368">
          <cell r="A368">
            <v>5553</v>
          </cell>
          <cell r="B368" t="str">
            <v>005553</v>
          </cell>
          <cell r="C368" t="str">
            <v>HENY YULIASTUTI</v>
          </cell>
          <cell r="D368" t="str">
            <v>SAMI</v>
          </cell>
          <cell r="E368" t="str">
            <v>ADM-30</v>
          </cell>
          <cell r="F368">
            <v>39052</v>
          </cell>
          <cell r="G368" t="str">
            <v>-</v>
          </cell>
          <cell r="H368" t="str">
            <v>-</v>
          </cell>
          <cell r="I368" t="str">
            <v>PGA</v>
          </cell>
          <cell r="J368" t="str">
            <v>TRN &amp; MOTO</v>
          </cell>
          <cell r="K368" t="str">
            <v>ALL</v>
          </cell>
          <cell r="L368" t="str">
            <v>ALL</v>
          </cell>
          <cell r="M368" t="str">
            <v>TRN</v>
          </cell>
          <cell r="N368" t="str">
            <v>LICENSE</v>
          </cell>
          <cell r="O368" t="str">
            <v>IDL LL</v>
          </cell>
          <cell r="P368" t="str">
            <v>A (NS)</v>
          </cell>
          <cell r="Q368" t="str">
            <v>ADM</v>
          </cell>
          <cell r="R368" t="str">
            <v>PERMANENT</v>
          </cell>
          <cell r="S368" t="str">
            <v>PRM</v>
          </cell>
          <cell r="T368" t="str">
            <v>LL</v>
          </cell>
          <cell r="U368" t="str">
            <v>-</v>
          </cell>
          <cell r="V368" t="str">
            <v>P</v>
          </cell>
          <cell r="W368">
            <v>42</v>
          </cell>
        </row>
        <row r="369">
          <cell r="A369">
            <v>5555</v>
          </cell>
          <cell r="B369" t="str">
            <v>005555</v>
          </cell>
          <cell r="C369" t="str">
            <v>ARIF PRAMONO</v>
          </cell>
          <cell r="D369" t="str">
            <v>SAMI</v>
          </cell>
          <cell r="E369" t="str">
            <v>TKN-33</v>
          </cell>
          <cell r="F369">
            <v>39052</v>
          </cell>
          <cell r="G369" t="str">
            <v>-</v>
          </cell>
          <cell r="H369" t="str">
            <v>-</v>
          </cell>
          <cell r="I369" t="str">
            <v>PE</v>
          </cell>
          <cell r="J369" t="str">
            <v>MTC</v>
          </cell>
          <cell r="K369" t="str">
            <v>ALL</v>
          </cell>
          <cell r="L369" t="str">
            <v>ALL</v>
          </cell>
          <cell r="M369" t="str">
            <v>BREAKDOWN</v>
          </cell>
          <cell r="N369" t="str">
            <v>BREAKDOWN</v>
          </cell>
          <cell r="O369" t="str">
            <v>MTC</v>
          </cell>
          <cell r="P369" t="str">
            <v>A</v>
          </cell>
          <cell r="Q369" t="str">
            <v>PI</v>
          </cell>
          <cell r="R369" t="str">
            <v>PERMANENT</v>
          </cell>
          <cell r="S369" t="str">
            <v>PRM</v>
          </cell>
          <cell r="T369" t="str">
            <v>TKN</v>
          </cell>
          <cell r="U369" t="str">
            <v>-</v>
          </cell>
          <cell r="V369" t="str">
            <v>L</v>
          </cell>
          <cell r="W369">
            <v>40</v>
          </cell>
        </row>
        <row r="370">
          <cell r="A370">
            <v>5556</v>
          </cell>
          <cell r="B370" t="str">
            <v>005556</v>
          </cell>
          <cell r="C370" t="str">
            <v>DEDDY YUDHA KUSUMA</v>
          </cell>
          <cell r="D370" t="str">
            <v>SAMI</v>
          </cell>
          <cell r="E370" t="str">
            <v>TKN-33</v>
          </cell>
          <cell r="F370">
            <v>39052</v>
          </cell>
          <cell r="G370" t="str">
            <v>-</v>
          </cell>
          <cell r="H370" t="str">
            <v>-</v>
          </cell>
          <cell r="I370" t="str">
            <v>PGA</v>
          </cell>
          <cell r="J370" t="str">
            <v>GA</v>
          </cell>
          <cell r="K370" t="str">
            <v>ALL</v>
          </cell>
          <cell r="L370" t="str">
            <v>ALL</v>
          </cell>
          <cell r="M370" t="str">
            <v>GA</v>
          </cell>
          <cell r="N370" t="str">
            <v>BUILDING MAINTENANCE</v>
          </cell>
          <cell r="O370" t="str">
            <v>BDM</v>
          </cell>
          <cell r="P370" t="str">
            <v>A (NS)</v>
          </cell>
          <cell r="Q370" t="str">
            <v>ADM</v>
          </cell>
          <cell r="R370" t="str">
            <v>PERMANENT</v>
          </cell>
          <cell r="S370" t="str">
            <v>PRM</v>
          </cell>
          <cell r="T370" t="str">
            <v>GL</v>
          </cell>
          <cell r="U370" t="str">
            <v>-</v>
          </cell>
          <cell r="V370" t="str">
            <v>L</v>
          </cell>
          <cell r="W370">
            <v>39</v>
          </cell>
        </row>
        <row r="371">
          <cell r="A371">
            <v>5557</v>
          </cell>
          <cell r="B371" t="str">
            <v>005557</v>
          </cell>
          <cell r="C371" t="str">
            <v>GIYARNA</v>
          </cell>
          <cell r="D371" t="str">
            <v>SAMI</v>
          </cell>
          <cell r="E371" t="str">
            <v>TKN-33</v>
          </cell>
          <cell r="F371">
            <v>39052</v>
          </cell>
          <cell r="G371" t="str">
            <v>-</v>
          </cell>
          <cell r="H371" t="str">
            <v>-</v>
          </cell>
          <cell r="I371" t="str">
            <v>PE</v>
          </cell>
          <cell r="J371" t="str">
            <v>J/C BP</v>
          </cell>
          <cell r="K371" t="str">
            <v>ALL</v>
          </cell>
          <cell r="L371" t="str">
            <v>ALL</v>
          </cell>
          <cell r="M371" t="str">
            <v>JBP</v>
          </cell>
          <cell r="N371" t="str">
            <v>LL JIG BOARD PREPARATION</v>
          </cell>
          <cell r="O371" t="str">
            <v>FPS LL</v>
          </cell>
          <cell r="P371" t="str">
            <v>A (NS)</v>
          </cell>
          <cell r="Q371" t="str">
            <v>PS</v>
          </cell>
          <cell r="R371" t="str">
            <v>PERMANENT</v>
          </cell>
          <cell r="S371" t="str">
            <v>PRM</v>
          </cell>
          <cell r="T371" t="str">
            <v>LL</v>
          </cell>
          <cell r="U371" t="str">
            <v>-</v>
          </cell>
          <cell r="V371" t="str">
            <v>L</v>
          </cell>
          <cell r="W371">
            <v>40</v>
          </cell>
        </row>
        <row r="372">
          <cell r="A372">
            <v>5558</v>
          </cell>
          <cell r="B372" t="str">
            <v>005558</v>
          </cell>
          <cell r="C372" t="str">
            <v>MATIYAS NURUL FAJAR</v>
          </cell>
          <cell r="D372" t="str">
            <v>SAMI</v>
          </cell>
          <cell r="E372" t="str">
            <v>TKN-33</v>
          </cell>
          <cell r="F372">
            <v>39052</v>
          </cell>
          <cell r="G372" t="str">
            <v>-</v>
          </cell>
          <cell r="H372" t="str">
            <v>-</v>
          </cell>
          <cell r="I372" t="str">
            <v>PE</v>
          </cell>
          <cell r="J372" t="str">
            <v>MTC</v>
          </cell>
          <cell r="K372" t="str">
            <v>ALL</v>
          </cell>
          <cell r="L372" t="str">
            <v>ALL</v>
          </cell>
          <cell r="M372" t="str">
            <v>BREAKDOWN</v>
          </cell>
          <cell r="N372" t="str">
            <v>BREAKDOWN</v>
          </cell>
          <cell r="O372" t="str">
            <v>MTC</v>
          </cell>
          <cell r="P372" t="str">
            <v>B</v>
          </cell>
          <cell r="Q372" t="str">
            <v>PI</v>
          </cell>
          <cell r="R372" t="str">
            <v>PERMANENT</v>
          </cell>
          <cell r="S372" t="str">
            <v>PRM</v>
          </cell>
          <cell r="T372" t="str">
            <v>TKN</v>
          </cell>
          <cell r="U372" t="str">
            <v>-</v>
          </cell>
          <cell r="V372" t="str">
            <v>L</v>
          </cell>
          <cell r="W372">
            <v>39</v>
          </cell>
        </row>
        <row r="373">
          <cell r="A373">
            <v>5559</v>
          </cell>
          <cell r="B373" t="str">
            <v>005559</v>
          </cell>
          <cell r="C373" t="str">
            <v>MUHAMMAD ARIFIN</v>
          </cell>
          <cell r="D373" t="str">
            <v>SAMI</v>
          </cell>
          <cell r="E373" t="str">
            <v>TKN-33</v>
          </cell>
          <cell r="F373">
            <v>39052</v>
          </cell>
          <cell r="G373" t="str">
            <v>-</v>
          </cell>
          <cell r="H373" t="str">
            <v>-</v>
          </cell>
          <cell r="I373" t="str">
            <v>PE</v>
          </cell>
          <cell r="J373" t="str">
            <v>J/C BP</v>
          </cell>
          <cell r="K373" t="str">
            <v>ALL</v>
          </cell>
          <cell r="L373" t="str">
            <v>ALL</v>
          </cell>
          <cell r="M373" t="str">
            <v>NIP</v>
          </cell>
          <cell r="N373" t="str">
            <v>LL NAVIGATION AND INSPECTION BOARD PREPARATION</v>
          </cell>
          <cell r="O373" t="str">
            <v>FPS LL</v>
          </cell>
          <cell r="P373" t="str">
            <v>A (NS)</v>
          </cell>
          <cell r="Q373" t="str">
            <v>PS</v>
          </cell>
          <cell r="R373" t="str">
            <v>PERMANENT</v>
          </cell>
          <cell r="S373" t="str">
            <v>PRM</v>
          </cell>
          <cell r="T373" t="str">
            <v>LL</v>
          </cell>
          <cell r="U373" t="str">
            <v>-</v>
          </cell>
          <cell r="V373" t="str">
            <v>L</v>
          </cell>
          <cell r="W373">
            <v>41</v>
          </cell>
        </row>
        <row r="374">
          <cell r="A374">
            <v>5561</v>
          </cell>
          <cell r="B374" t="str">
            <v>005561</v>
          </cell>
          <cell r="C374" t="str">
            <v>SULIS HARIYANTO</v>
          </cell>
          <cell r="D374" t="str">
            <v>SAMI</v>
          </cell>
          <cell r="E374" t="str">
            <v>SPV UP</v>
          </cell>
          <cell r="F374">
            <v>39052</v>
          </cell>
          <cell r="G374" t="str">
            <v>-</v>
          </cell>
          <cell r="H374" t="str">
            <v>-</v>
          </cell>
          <cell r="I374" t="str">
            <v>PE</v>
          </cell>
          <cell r="J374" t="str">
            <v>MTC</v>
          </cell>
          <cell r="K374" t="str">
            <v>ALL</v>
          </cell>
          <cell r="L374" t="str">
            <v>ALL</v>
          </cell>
          <cell r="M374" t="str">
            <v>BREAKDOWN</v>
          </cell>
          <cell r="N374" t="str">
            <v>SUPERVISOR</v>
          </cell>
          <cell r="O374" t="str">
            <v>FPS SPV</v>
          </cell>
          <cell r="P374" t="str">
            <v>A (NS)</v>
          </cell>
          <cell r="Q374" t="str">
            <v>PS</v>
          </cell>
          <cell r="R374" t="str">
            <v>PERMANENT</v>
          </cell>
          <cell r="S374" t="str">
            <v>PRM</v>
          </cell>
          <cell r="T374" t="str">
            <v>SPV</v>
          </cell>
          <cell r="U374" t="str">
            <v>-</v>
          </cell>
          <cell r="V374" t="str">
            <v>L</v>
          </cell>
          <cell r="W374">
            <v>40</v>
          </cell>
        </row>
        <row r="375">
          <cell r="A375">
            <v>5683</v>
          </cell>
          <cell r="B375" t="str">
            <v>005683</v>
          </cell>
          <cell r="C375" t="str">
            <v>ABAL MUGHOFAR</v>
          </cell>
          <cell r="D375" t="str">
            <v>SAMI</v>
          </cell>
          <cell r="E375" t="str">
            <v>OPT-134</v>
          </cell>
          <cell r="F375">
            <v>39098</v>
          </cell>
          <cell r="G375" t="str">
            <v>-</v>
          </cell>
          <cell r="H375" t="str">
            <v>-</v>
          </cell>
          <cell r="I375" t="str">
            <v>PRD</v>
          </cell>
          <cell r="J375" t="str">
            <v>FINAL ASSY</v>
          </cell>
          <cell r="K375" t="str">
            <v>SUZUKI WAGON R</v>
          </cell>
          <cell r="L375" t="str">
            <v>SUZUKI YW0</v>
          </cell>
          <cell r="M375" t="str">
            <v>CV S01</v>
          </cell>
          <cell r="N375" t="str">
            <v>RELIEF 2</v>
          </cell>
          <cell r="O375" t="str">
            <v>RELIEF</v>
          </cell>
          <cell r="P375" t="str">
            <v>B</v>
          </cell>
          <cell r="Q375" t="str">
            <v>PI</v>
          </cell>
          <cell r="R375" t="str">
            <v>PERMANENT</v>
          </cell>
          <cell r="S375" t="str">
            <v>PRM</v>
          </cell>
          <cell r="T375" t="str">
            <v>OPT</v>
          </cell>
          <cell r="U375" t="str">
            <v>-</v>
          </cell>
          <cell r="V375" t="str">
            <v>L</v>
          </cell>
          <cell r="W375">
            <v>41</v>
          </cell>
        </row>
        <row r="376">
          <cell r="A376">
            <v>5684</v>
          </cell>
          <cell r="B376" t="str">
            <v>005684</v>
          </cell>
          <cell r="C376" t="str">
            <v>ABDUL AZIS ALHUDHA</v>
          </cell>
          <cell r="D376" t="str">
            <v>SAMI</v>
          </cell>
          <cell r="E376" t="str">
            <v>OPT-134</v>
          </cell>
          <cell r="F376">
            <v>39098</v>
          </cell>
          <cell r="G376" t="str">
            <v>-</v>
          </cell>
          <cell r="H376" t="str">
            <v>-</v>
          </cell>
          <cell r="I376" t="str">
            <v>PP</v>
          </cell>
          <cell r="J376" t="str">
            <v>PP-3</v>
          </cell>
          <cell r="K376" t="str">
            <v>ALL</v>
          </cell>
          <cell r="L376" t="str">
            <v>ALL</v>
          </cell>
          <cell r="M376" t="str">
            <v>PP-3</v>
          </cell>
          <cell r="N376" t="str">
            <v>SUPERVISOR (MAGANG)</v>
          </cell>
          <cell r="O376" t="str">
            <v>FPS SPV</v>
          </cell>
          <cell r="P376" t="str">
            <v>A (NS)</v>
          </cell>
          <cell r="Q376" t="str">
            <v>PS</v>
          </cell>
          <cell r="R376" t="str">
            <v>PERMANENT</v>
          </cell>
          <cell r="S376" t="str">
            <v>PRM</v>
          </cell>
          <cell r="T376" t="str">
            <v>SPV</v>
          </cell>
          <cell r="U376" t="str">
            <v>-</v>
          </cell>
          <cell r="V376" t="str">
            <v>L</v>
          </cell>
          <cell r="W376">
            <v>39</v>
          </cell>
        </row>
        <row r="377">
          <cell r="A377">
            <v>5688</v>
          </cell>
          <cell r="B377" t="str">
            <v>005688</v>
          </cell>
          <cell r="C377" t="str">
            <v>ANIK SAFAATI</v>
          </cell>
          <cell r="D377" t="str">
            <v>SAMI</v>
          </cell>
          <cell r="E377" t="str">
            <v>OPT-134</v>
          </cell>
          <cell r="F377">
            <v>39098</v>
          </cell>
          <cell r="G377" t="str">
            <v>-</v>
          </cell>
          <cell r="H377" t="str">
            <v>-</v>
          </cell>
          <cell r="I377" t="str">
            <v>PRD</v>
          </cell>
          <cell r="J377" t="str">
            <v>FINAL ASSY</v>
          </cell>
          <cell r="K377" t="str">
            <v>MAZDA 3</v>
          </cell>
          <cell r="L377" t="str">
            <v>MAZDA REAR</v>
          </cell>
          <cell r="M377" t="str">
            <v>CV M01</v>
          </cell>
          <cell r="N377" t="str">
            <v>T/P 1.2</v>
          </cell>
          <cell r="O377" t="str">
            <v>ASSEMBLY</v>
          </cell>
          <cell r="P377" t="str">
            <v>B</v>
          </cell>
          <cell r="Q377" t="str">
            <v>DL</v>
          </cell>
          <cell r="R377" t="str">
            <v>PERMANENT</v>
          </cell>
          <cell r="S377" t="str">
            <v>PRM</v>
          </cell>
          <cell r="T377" t="str">
            <v>OPT</v>
          </cell>
          <cell r="U377" t="str">
            <v>-</v>
          </cell>
          <cell r="V377" t="str">
            <v>P</v>
          </cell>
          <cell r="W377">
            <v>41</v>
          </cell>
        </row>
        <row r="378">
          <cell r="A378">
            <v>10096</v>
          </cell>
          <cell r="B378" t="str">
            <v>010096</v>
          </cell>
          <cell r="C378" t="str">
            <v>KHONITA FAUZIYAH</v>
          </cell>
          <cell r="D378" t="str">
            <v>SAMI</v>
          </cell>
          <cell r="E378" t="str">
            <v>OPT-248</v>
          </cell>
          <cell r="F378">
            <v>40444</v>
          </cell>
          <cell r="G378" t="str">
            <v>-</v>
          </cell>
          <cell r="H378" t="str">
            <v>-</v>
          </cell>
          <cell r="I378" t="str">
            <v>PRD</v>
          </cell>
          <cell r="J378" t="str">
            <v>PRE ASSY</v>
          </cell>
          <cell r="K378" t="str">
            <v>SUZUKI WAGON R/HUSTLER</v>
          </cell>
          <cell r="L378" t="str">
            <v>SUZUKI YW0/Y0C/YEV</v>
          </cell>
          <cell r="M378" t="str">
            <v>CPA SUZUKI</v>
          </cell>
          <cell r="N378" t="str">
            <v>CUTTING AC90-SZK-05</v>
          </cell>
          <cell r="O378" t="str">
            <v>CUTTING WIRE</v>
          </cell>
          <cell r="P378" t="str">
            <v>A</v>
          </cell>
          <cell r="Q378" t="str">
            <v>DL</v>
          </cell>
          <cell r="R378" t="str">
            <v>PERMANENT</v>
          </cell>
          <cell r="S378" t="str">
            <v>PRM</v>
          </cell>
          <cell r="T378" t="str">
            <v>OPT</v>
          </cell>
          <cell r="U378" t="str">
            <v>-</v>
          </cell>
          <cell r="V378" t="str">
            <v>P</v>
          </cell>
          <cell r="W378">
            <v>32</v>
          </cell>
        </row>
        <row r="379">
          <cell r="A379">
            <v>5692</v>
          </cell>
          <cell r="B379" t="str">
            <v>005692</v>
          </cell>
          <cell r="C379" t="str">
            <v>BUDI PURNOMO</v>
          </cell>
          <cell r="D379" t="str">
            <v>SAMI</v>
          </cell>
          <cell r="E379" t="str">
            <v>OPT-134</v>
          </cell>
          <cell r="F379">
            <v>39098</v>
          </cell>
          <cell r="G379" t="str">
            <v>-</v>
          </cell>
          <cell r="H379" t="str">
            <v>-</v>
          </cell>
          <cell r="I379" t="str">
            <v>PE</v>
          </cell>
          <cell r="J379" t="str">
            <v>WORKSHOP</v>
          </cell>
          <cell r="K379" t="str">
            <v>ALL</v>
          </cell>
          <cell r="L379" t="str">
            <v>ALL</v>
          </cell>
          <cell r="M379" t="str">
            <v>WORKSHOP</v>
          </cell>
          <cell r="N379" t="str">
            <v>LL WORKSHOP</v>
          </cell>
          <cell r="O379" t="str">
            <v>FPS LL</v>
          </cell>
          <cell r="P379" t="str">
            <v>A (NS)</v>
          </cell>
          <cell r="Q379" t="str">
            <v>PS</v>
          </cell>
          <cell r="R379" t="str">
            <v>PERMANENT</v>
          </cell>
          <cell r="S379" t="str">
            <v>PRM</v>
          </cell>
          <cell r="T379" t="str">
            <v>LL</v>
          </cell>
          <cell r="U379" t="str">
            <v>-</v>
          </cell>
          <cell r="V379" t="str">
            <v>L</v>
          </cell>
          <cell r="W379">
            <v>40</v>
          </cell>
        </row>
        <row r="380">
          <cell r="A380">
            <v>5694</v>
          </cell>
          <cell r="B380" t="str">
            <v>005694</v>
          </cell>
          <cell r="C380" t="str">
            <v>DEWI MURWANTI</v>
          </cell>
          <cell r="D380" t="str">
            <v>SAMI</v>
          </cell>
          <cell r="E380" t="str">
            <v>OPT-134</v>
          </cell>
          <cell r="F380">
            <v>39098</v>
          </cell>
          <cell r="G380" t="str">
            <v>-</v>
          </cell>
          <cell r="H380" t="str">
            <v>-</v>
          </cell>
          <cell r="I380" t="str">
            <v>PRD</v>
          </cell>
          <cell r="J380" t="str">
            <v>FINAL ASSY</v>
          </cell>
          <cell r="K380" t="str">
            <v>HONDA NES</v>
          </cell>
          <cell r="L380" t="str">
            <v>HONDA NES HEV PET ENGINE</v>
          </cell>
          <cell r="M380" t="str">
            <v>CV H03</v>
          </cell>
          <cell r="N380" t="str">
            <v>PRD LINE CHO</v>
          </cell>
          <cell r="O380" t="str">
            <v>FPI LL</v>
          </cell>
          <cell r="P380" t="str">
            <v>B</v>
          </cell>
          <cell r="Q380" t="str">
            <v>PI</v>
          </cell>
          <cell r="R380" t="str">
            <v>PERMANENT</v>
          </cell>
          <cell r="S380" t="str">
            <v>PRM</v>
          </cell>
          <cell r="T380" t="str">
            <v>LC</v>
          </cell>
          <cell r="U380" t="str">
            <v>-</v>
          </cell>
          <cell r="V380" t="str">
            <v>P</v>
          </cell>
          <cell r="W380">
            <v>39</v>
          </cell>
        </row>
        <row r="381">
          <cell r="A381">
            <v>5695</v>
          </cell>
          <cell r="B381" t="str">
            <v>005695</v>
          </cell>
          <cell r="C381" t="str">
            <v>DWI APRILANI</v>
          </cell>
          <cell r="D381" t="str">
            <v>SAMI</v>
          </cell>
          <cell r="E381" t="str">
            <v>OPT-134</v>
          </cell>
          <cell r="F381">
            <v>39098</v>
          </cell>
          <cell r="G381" t="str">
            <v>-</v>
          </cell>
          <cell r="H381" t="str">
            <v>-</v>
          </cell>
          <cell r="I381" t="str">
            <v>PRD</v>
          </cell>
          <cell r="J381" t="str">
            <v>PRE ASSY</v>
          </cell>
          <cell r="K381" t="str">
            <v>HONDA BBP</v>
          </cell>
          <cell r="L381" t="str">
            <v>HV HONDA 5JLA BBP</v>
          </cell>
          <cell r="M381" t="str">
            <v>CPA HONDA HV</v>
          </cell>
          <cell r="N381" t="str">
            <v>CUTTING AC81-H-04</v>
          </cell>
          <cell r="O381" t="str">
            <v>CUTTING WIRE</v>
          </cell>
          <cell r="P381" t="str">
            <v>B</v>
          </cell>
          <cell r="Q381" t="str">
            <v>DL</v>
          </cell>
          <cell r="R381" t="str">
            <v>PERMANENT</v>
          </cell>
          <cell r="S381" t="str">
            <v>PRM</v>
          </cell>
          <cell r="T381" t="str">
            <v>OPT</v>
          </cell>
          <cell r="U381" t="str">
            <v>-</v>
          </cell>
          <cell r="V381" t="str">
            <v>P</v>
          </cell>
          <cell r="W381">
            <v>41</v>
          </cell>
        </row>
        <row r="382">
          <cell r="A382">
            <v>11825</v>
          </cell>
          <cell r="B382" t="str">
            <v>011825</v>
          </cell>
          <cell r="C382" t="str">
            <v>NURUL ARIFAH APRILIYANI</v>
          </cell>
          <cell r="D382" t="str">
            <v>SAMI</v>
          </cell>
          <cell r="E382" t="str">
            <v>OPT-309</v>
          </cell>
          <cell r="F382">
            <v>40721</v>
          </cell>
          <cell r="G382" t="str">
            <v>-</v>
          </cell>
          <cell r="H382" t="str">
            <v>-</v>
          </cell>
          <cell r="I382" t="str">
            <v>PRD</v>
          </cell>
          <cell r="J382" t="str">
            <v>PRE ASSY</v>
          </cell>
          <cell r="K382" t="str">
            <v>SUZUKI WAGON R/HUSTLER</v>
          </cell>
          <cell r="L382" t="str">
            <v>SUZUKI YW0/Y0C/YEV</v>
          </cell>
          <cell r="M382" t="str">
            <v>CPA SUZUKI</v>
          </cell>
          <cell r="N382" t="str">
            <v>CUTTING AC90-SZK-03</v>
          </cell>
          <cell r="O382" t="str">
            <v>CUTTING WIRE</v>
          </cell>
          <cell r="P382" t="str">
            <v>A</v>
          </cell>
          <cell r="Q382" t="str">
            <v>DL</v>
          </cell>
          <cell r="R382" t="str">
            <v>PERMANENT</v>
          </cell>
          <cell r="S382" t="str">
            <v>PRM</v>
          </cell>
          <cell r="T382" t="str">
            <v>OPT</v>
          </cell>
          <cell r="U382" t="str">
            <v>-</v>
          </cell>
          <cell r="V382" t="str">
            <v>P</v>
          </cell>
          <cell r="W382">
            <v>31</v>
          </cell>
        </row>
        <row r="383">
          <cell r="A383">
            <v>12571</v>
          </cell>
          <cell r="B383" t="str">
            <v>012571</v>
          </cell>
          <cell r="C383" t="str">
            <v>WINARTI</v>
          </cell>
          <cell r="D383" t="str">
            <v>SAMI</v>
          </cell>
          <cell r="E383" t="str">
            <v>OPT-318</v>
          </cell>
          <cell r="F383">
            <v>40812</v>
          </cell>
          <cell r="G383" t="str">
            <v>-</v>
          </cell>
          <cell r="H383" t="str">
            <v>-</v>
          </cell>
          <cell r="I383" t="str">
            <v>PRD</v>
          </cell>
          <cell r="J383" t="str">
            <v>PRE ASSY</v>
          </cell>
          <cell r="K383" t="str">
            <v>SUZUKI WAGON R/HUSTLER</v>
          </cell>
          <cell r="L383" t="str">
            <v>SUZUKI YW0/Y0C/YEV</v>
          </cell>
          <cell r="M383" t="str">
            <v>CPA SUZUKI</v>
          </cell>
          <cell r="N383" t="str">
            <v>SUB LINE CHO</v>
          </cell>
          <cell r="O383" t="str">
            <v>GL</v>
          </cell>
          <cell r="P383" t="str">
            <v>A</v>
          </cell>
          <cell r="Q383" t="str">
            <v>PI</v>
          </cell>
          <cell r="R383" t="str">
            <v>PERMANENT</v>
          </cell>
          <cell r="S383" t="str">
            <v>PRM</v>
          </cell>
          <cell r="T383" t="str">
            <v>SLC</v>
          </cell>
          <cell r="U383" t="str">
            <v>-</v>
          </cell>
          <cell r="V383" t="str">
            <v>P</v>
          </cell>
          <cell r="W383">
            <v>32</v>
          </cell>
        </row>
        <row r="384">
          <cell r="A384">
            <v>12714</v>
          </cell>
          <cell r="B384" t="str">
            <v>012714</v>
          </cell>
          <cell r="C384" t="str">
            <v>PURWANTI</v>
          </cell>
          <cell r="D384" t="str">
            <v>SAMI</v>
          </cell>
          <cell r="E384" t="str">
            <v>OPT-320</v>
          </cell>
          <cell r="F384">
            <v>40819</v>
          </cell>
          <cell r="G384" t="str">
            <v>-</v>
          </cell>
          <cell r="H384" t="str">
            <v>-</v>
          </cell>
          <cell r="I384" t="str">
            <v>PRD</v>
          </cell>
          <cell r="J384" t="str">
            <v>PRE ASSY</v>
          </cell>
          <cell r="K384" t="str">
            <v>SUZUKI WAGON R/HUSTLER</v>
          </cell>
          <cell r="L384" t="str">
            <v>SUZUKI YW0/Y0C/YEV</v>
          </cell>
          <cell r="M384" t="str">
            <v>CPA SUZUKI</v>
          </cell>
          <cell r="N384" t="str">
            <v>INSP CUTTING</v>
          </cell>
          <cell r="O384" t="str">
            <v>P/A INSPECTOR</v>
          </cell>
          <cell r="P384" t="str">
            <v>A</v>
          </cell>
          <cell r="Q384" t="str">
            <v>PI</v>
          </cell>
          <cell r="R384" t="str">
            <v>PERMANENT</v>
          </cell>
          <cell r="S384" t="str">
            <v>PRM</v>
          </cell>
          <cell r="T384" t="str">
            <v>OPT</v>
          </cell>
          <cell r="U384" t="str">
            <v>-</v>
          </cell>
          <cell r="V384" t="str">
            <v>P</v>
          </cell>
          <cell r="W384">
            <v>34</v>
          </cell>
        </row>
        <row r="385">
          <cell r="A385">
            <v>5702</v>
          </cell>
          <cell r="B385" t="str">
            <v>005702</v>
          </cell>
          <cell r="C385" t="str">
            <v>FURSIAM</v>
          </cell>
          <cell r="D385" t="str">
            <v>SAMI</v>
          </cell>
          <cell r="E385" t="str">
            <v>OPT-134</v>
          </cell>
          <cell r="F385">
            <v>39098</v>
          </cell>
          <cell r="G385" t="str">
            <v>-</v>
          </cell>
          <cell r="H385" t="str">
            <v>-</v>
          </cell>
          <cell r="I385" t="str">
            <v>PP</v>
          </cell>
          <cell r="J385" t="str">
            <v>PP-1</v>
          </cell>
          <cell r="K385" t="str">
            <v>ALL</v>
          </cell>
          <cell r="L385" t="str">
            <v>ALL</v>
          </cell>
          <cell r="M385" t="str">
            <v>PP-1</v>
          </cell>
          <cell r="N385" t="str">
            <v>GROUP LEADER</v>
          </cell>
          <cell r="O385" t="str">
            <v>PROCESS ENG</v>
          </cell>
          <cell r="P385" t="str">
            <v>A (NS)</v>
          </cell>
          <cell r="Q385" t="str">
            <v>PS</v>
          </cell>
          <cell r="R385" t="str">
            <v>PERMANENT</v>
          </cell>
          <cell r="S385" t="str">
            <v>PRM</v>
          </cell>
          <cell r="T385" t="str">
            <v>GL</v>
          </cell>
          <cell r="U385" t="str">
            <v>-</v>
          </cell>
          <cell r="V385" t="str">
            <v>P</v>
          </cell>
          <cell r="W385">
            <v>39</v>
          </cell>
        </row>
        <row r="386">
          <cell r="A386">
            <v>5703</v>
          </cell>
          <cell r="B386" t="str">
            <v>005703</v>
          </cell>
          <cell r="C386" t="str">
            <v>GIYATNO</v>
          </cell>
          <cell r="D386" t="str">
            <v>SAMI</v>
          </cell>
          <cell r="E386" t="str">
            <v>OPT-134</v>
          </cell>
          <cell r="F386">
            <v>39098</v>
          </cell>
          <cell r="G386" t="str">
            <v>-</v>
          </cell>
          <cell r="H386" t="str">
            <v>-</v>
          </cell>
          <cell r="I386" t="str">
            <v>PE</v>
          </cell>
          <cell r="J386" t="str">
            <v>J/C BP</v>
          </cell>
          <cell r="K386" t="str">
            <v>ALL</v>
          </cell>
          <cell r="L386" t="str">
            <v>ALL</v>
          </cell>
          <cell r="M386" t="str">
            <v>JCN</v>
          </cell>
          <cell r="N386" t="str">
            <v>FINAL ASSY PREVENTIVE</v>
          </cell>
          <cell r="O386" t="str">
            <v>CBP</v>
          </cell>
          <cell r="P386" t="str">
            <v>A (NS)</v>
          </cell>
          <cell r="Q386" t="str">
            <v>PS</v>
          </cell>
          <cell r="R386" t="str">
            <v>PERMANENT</v>
          </cell>
          <cell r="S386" t="str">
            <v>PRM</v>
          </cell>
          <cell r="T386" t="str">
            <v>TKN</v>
          </cell>
          <cell r="U386" t="str">
            <v>-</v>
          </cell>
          <cell r="V386" t="str">
            <v>L</v>
          </cell>
          <cell r="W386">
            <v>42</v>
          </cell>
        </row>
        <row r="387">
          <cell r="A387" t="str">
            <v>B00591</v>
          </cell>
          <cell r="B387" t="str">
            <v>B00591</v>
          </cell>
          <cell r="C387" t="str">
            <v>MURTI ARUM MAWARNI</v>
          </cell>
          <cell r="D387" t="str">
            <v>SAMI</v>
          </cell>
          <cell r="E387" t="str">
            <v>BBF-009</v>
          </cell>
          <cell r="F387">
            <v>40882</v>
          </cell>
          <cell r="G387" t="str">
            <v>-</v>
          </cell>
          <cell r="H387" t="str">
            <v>-</v>
          </cell>
          <cell r="I387" t="str">
            <v>PRD</v>
          </cell>
          <cell r="J387" t="str">
            <v>PRE ASSY</v>
          </cell>
          <cell r="K387" t="str">
            <v>SUZUKI WAGON R/HUSTLER</v>
          </cell>
          <cell r="L387" t="str">
            <v>SUZUKI YW0/Y0C/YEV</v>
          </cell>
          <cell r="M387" t="str">
            <v>CPA SUZUKI</v>
          </cell>
          <cell r="N387" t="str">
            <v>BM3-SZK-01, 02</v>
          </cell>
          <cell r="O387" t="str">
            <v>BONDER</v>
          </cell>
          <cell r="P387" t="str">
            <v>A</v>
          </cell>
          <cell r="Q387" t="str">
            <v>DL</v>
          </cell>
          <cell r="R387" t="str">
            <v>PERMANENT</v>
          </cell>
          <cell r="S387" t="str">
            <v>PRM</v>
          </cell>
          <cell r="T387" t="str">
            <v>OPT</v>
          </cell>
          <cell r="U387" t="str">
            <v>-</v>
          </cell>
          <cell r="V387" t="str">
            <v>P</v>
          </cell>
          <cell r="W387">
            <v>32</v>
          </cell>
        </row>
        <row r="388">
          <cell r="A388">
            <v>5706</v>
          </cell>
          <cell r="B388" t="str">
            <v>005706</v>
          </cell>
          <cell r="C388" t="str">
            <v>INNAYATUS SHOLIKHAH</v>
          </cell>
          <cell r="D388" t="str">
            <v>SAMI</v>
          </cell>
          <cell r="E388" t="str">
            <v>OPT-134</v>
          </cell>
          <cell r="F388">
            <v>39098</v>
          </cell>
          <cell r="G388" t="str">
            <v>-</v>
          </cell>
          <cell r="H388" t="str">
            <v>-</v>
          </cell>
          <cell r="I388" t="str">
            <v>QA</v>
          </cell>
          <cell r="J388" t="str">
            <v>FINAL ASSY</v>
          </cell>
          <cell r="K388" t="str">
            <v>HONDA NES</v>
          </cell>
          <cell r="L388" t="str">
            <v>HONDA NES HEV PET ENGINE</v>
          </cell>
          <cell r="M388" t="str">
            <v>CV H04</v>
          </cell>
          <cell r="N388" t="str">
            <v>DC</v>
          </cell>
          <cell r="O388" t="str">
            <v>DC</v>
          </cell>
          <cell r="P388" t="str">
            <v>B</v>
          </cell>
          <cell r="Q388" t="str">
            <v>PI</v>
          </cell>
          <cell r="R388" t="str">
            <v>PERMANENT</v>
          </cell>
          <cell r="S388" t="str">
            <v>PRM</v>
          </cell>
          <cell r="T388" t="str">
            <v>OPT</v>
          </cell>
          <cell r="U388" t="str">
            <v>-</v>
          </cell>
          <cell r="V388" t="str">
            <v>P</v>
          </cell>
          <cell r="W388">
            <v>38</v>
          </cell>
        </row>
        <row r="389">
          <cell r="A389">
            <v>165</v>
          </cell>
          <cell r="B389" t="str">
            <v>000165</v>
          </cell>
          <cell r="C389" t="str">
            <v>DEWI SETYANINGSIH</v>
          </cell>
          <cell r="D389" t="str">
            <v>SAMI</v>
          </cell>
          <cell r="E389" t="str">
            <v>OPT-5</v>
          </cell>
          <cell r="F389">
            <v>37679</v>
          </cell>
          <cell r="G389" t="str">
            <v>-</v>
          </cell>
          <cell r="H389" t="str">
            <v>-</v>
          </cell>
          <cell r="I389" t="str">
            <v>PRD</v>
          </cell>
          <cell r="J389" t="str">
            <v>PRE ASSY</v>
          </cell>
          <cell r="K389" t="str">
            <v>TOYOTA HV</v>
          </cell>
          <cell r="L389" t="str">
            <v>HV TOYOTA</v>
          </cell>
          <cell r="M389" t="str">
            <v>CPA TOYOTA 10 PL</v>
          </cell>
          <cell r="N389" t="str">
            <v>SUB LINE CHO</v>
          </cell>
          <cell r="O389" t="str">
            <v>GL</v>
          </cell>
          <cell r="P389" t="str">
            <v>A</v>
          </cell>
          <cell r="Q389" t="str">
            <v>PI</v>
          </cell>
          <cell r="R389" t="str">
            <v>PERMANENT</v>
          </cell>
          <cell r="S389" t="str">
            <v>PRM</v>
          </cell>
          <cell r="T389" t="str">
            <v>SLC</v>
          </cell>
          <cell r="U389" t="str">
            <v>-</v>
          </cell>
          <cell r="V389" t="str">
            <v>P</v>
          </cell>
          <cell r="W389">
            <v>42</v>
          </cell>
        </row>
        <row r="390">
          <cell r="A390">
            <v>1455</v>
          </cell>
          <cell r="B390" t="str">
            <v>001455</v>
          </cell>
          <cell r="C390" t="str">
            <v>NUR BAETI</v>
          </cell>
          <cell r="D390" t="str">
            <v>SAMI</v>
          </cell>
          <cell r="E390" t="str">
            <v>OPT-36</v>
          </cell>
          <cell r="F390">
            <v>37977</v>
          </cell>
          <cell r="G390" t="str">
            <v>-</v>
          </cell>
          <cell r="H390" t="str">
            <v>-</v>
          </cell>
          <cell r="I390" t="str">
            <v>PRD</v>
          </cell>
          <cell r="J390" t="str">
            <v>PRE ASSY</v>
          </cell>
          <cell r="K390" t="str">
            <v>TOYOTA HV</v>
          </cell>
          <cell r="L390" t="str">
            <v>HV TOYOTA</v>
          </cell>
          <cell r="M390" t="str">
            <v>CPA TOYOTA 10 PL</v>
          </cell>
          <cell r="N390" t="str">
            <v>CUTTING AC90-T-09</v>
          </cell>
          <cell r="O390" t="str">
            <v>CUTTING WIRE</v>
          </cell>
          <cell r="P390" t="str">
            <v>A</v>
          </cell>
          <cell r="Q390" t="str">
            <v>DL</v>
          </cell>
          <cell r="R390" t="str">
            <v>PERMANENT</v>
          </cell>
          <cell r="S390" t="str">
            <v>PRM</v>
          </cell>
          <cell r="T390" t="str">
            <v>OPT</v>
          </cell>
          <cell r="U390" t="str">
            <v>-</v>
          </cell>
          <cell r="V390" t="str">
            <v>P</v>
          </cell>
          <cell r="W390">
            <v>39</v>
          </cell>
        </row>
        <row r="391">
          <cell r="A391">
            <v>5724</v>
          </cell>
          <cell r="B391" t="str">
            <v>005724</v>
          </cell>
          <cell r="C391" t="str">
            <v>PENI LUSIANA</v>
          </cell>
          <cell r="D391" t="str">
            <v>SAMI</v>
          </cell>
          <cell r="E391" t="str">
            <v>OPT-134</v>
          </cell>
          <cell r="F391">
            <v>39098</v>
          </cell>
          <cell r="G391" t="str">
            <v>-</v>
          </cell>
          <cell r="H391" t="str">
            <v>-</v>
          </cell>
          <cell r="I391" t="str">
            <v>PRD</v>
          </cell>
          <cell r="J391" t="str">
            <v>FINAL ASSY</v>
          </cell>
          <cell r="K391" t="str">
            <v>TOYOTA HV</v>
          </cell>
          <cell r="L391" t="str">
            <v xml:space="preserve">HV TOYOTA AC </v>
          </cell>
          <cell r="M391" t="str">
            <v>CV HV 10A</v>
          </cell>
          <cell r="N391" t="str">
            <v>VISUAL 2</v>
          </cell>
          <cell r="O391" t="str">
            <v>VISUAL INSPECTION</v>
          </cell>
          <cell r="P391" t="str">
            <v>B</v>
          </cell>
          <cell r="Q391" t="str">
            <v>DL</v>
          </cell>
          <cell r="R391" t="str">
            <v>PERMANENT</v>
          </cell>
          <cell r="S391" t="str">
            <v>PRM</v>
          </cell>
          <cell r="T391" t="str">
            <v>OPT</v>
          </cell>
          <cell r="U391" t="str">
            <v>-</v>
          </cell>
          <cell r="V391" t="str">
            <v>P</v>
          </cell>
          <cell r="W391">
            <v>38</v>
          </cell>
        </row>
        <row r="392">
          <cell r="A392">
            <v>9825</v>
          </cell>
          <cell r="B392" t="str">
            <v>009825</v>
          </cell>
          <cell r="C392" t="str">
            <v>MASHADIAH</v>
          </cell>
          <cell r="D392" t="str">
            <v>SAMI</v>
          </cell>
          <cell r="E392" t="str">
            <v>OPT-164</v>
          </cell>
          <cell r="F392">
            <v>40391</v>
          </cell>
          <cell r="G392" t="str">
            <v>-</v>
          </cell>
          <cell r="H392" t="str">
            <v>-</v>
          </cell>
          <cell r="I392" t="str">
            <v>PRD</v>
          </cell>
          <cell r="J392" t="str">
            <v>PRE ASSY</v>
          </cell>
          <cell r="K392" t="str">
            <v>TOYOTA HV</v>
          </cell>
          <cell r="L392" t="str">
            <v>HV TOYOTA</v>
          </cell>
          <cell r="M392" t="str">
            <v>CPA TOYOTA 10 PL</v>
          </cell>
          <cell r="N392" t="str">
            <v>INSP CUTTING</v>
          </cell>
          <cell r="O392" t="str">
            <v>P/A INSPECTOR</v>
          </cell>
          <cell r="P392" t="str">
            <v>A</v>
          </cell>
          <cell r="Q392" t="str">
            <v>PI</v>
          </cell>
          <cell r="R392" t="str">
            <v>PERMANENT</v>
          </cell>
          <cell r="S392" t="str">
            <v>PRM</v>
          </cell>
          <cell r="T392" t="str">
            <v>OPT</v>
          </cell>
          <cell r="U392" t="str">
            <v>-</v>
          </cell>
          <cell r="V392" t="str">
            <v>P</v>
          </cell>
          <cell r="W392">
            <v>38</v>
          </cell>
        </row>
        <row r="393">
          <cell r="A393">
            <v>10090</v>
          </cell>
          <cell r="B393" t="str">
            <v>010090</v>
          </cell>
          <cell r="C393" t="str">
            <v>HENNI SULISTYOWATI</v>
          </cell>
          <cell r="D393" t="str">
            <v>SAMI</v>
          </cell>
          <cell r="E393" t="str">
            <v>OPT-248</v>
          </cell>
          <cell r="F393">
            <v>40444</v>
          </cell>
          <cell r="G393" t="str">
            <v>-</v>
          </cell>
          <cell r="H393" t="str">
            <v>-</v>
          </cell>
          <cell r="I393" t="str">
            <v>PRD</v>
          </cell>
          <cell r="J393" t="str">
            <v>PRE ASSY</v>
          </cell>
          <cell r="K393" t="str">
            <v>TOYOTA HV</v>
          </cell>
          <cell r="L393" t="str">
            <v>HV TOYOTA</v>
          </cell>
          <cell r="M393" t="str">
            <v>CPA TOYOTA 10 PL</v>
          </cell>
          <cell r="N393" t="str">
            <v>CUTTING AC90-T-10</v>
          </cell>
          <cell r="O393" t="str">
            <v>CUTTING WIRE</v>
          </cell>
          <cell r="P393" t="str">
            <v>A</v>
          </cell>
          <cell r="Q393" t="str">
            <v>DL</v>
          </cell>
          <cell r="R393" t="str">
            <v>PERMANENT</v>
          </cell>
          <cell r="S393" t="str">
            <v>PRM</v>
          </cell>
          <cell r="T393" t="str">
            <v>OPT</v>
          </cell>
          <cell r="U393" t="str">
            <v>-</v>
          </cell>
          <cell r="V393" t="str">
            <v>P</v>
          </cell>
          <cell r="W393">
            <v>32</v>
          </cell>
        </row>
        <row r="394">
          <cell r="A394">
            <v>10181</v>
          </cell>
          <cell r="B394" t="str">
            <v>010181</v>
          </cell>
          <cell r="C394" t="str">
            <v>HIMMATUL AZIZAH</v>
          </cell>
          <cell r="D394" t="str">
            <v>SAMI</v>
          </cell>
          <cell r="E394" t="str">
            <v>OPT-253</v>
          </cell>
          <cell r="F394">
            <v>40458</v>
          </cell>
          <cell r="G394" t="str">
            <v>-</v>
          </cell>
          <cell r="H394" t="str">
            <v>-</v>
          </cell>
          <cell r="I394" t="str">
            <v>PRD</v>
          </cell>
          <cell r="J394" t="str">
            <v>PRE ASSY</v>
          </cell>
          <cell r="K394" t="str">
            <v>TOYOTA HV</v>
          </cell>
          <cell r="L394" t="str">
            <v>HV TOYOTA</v>
          </cell>
          <cell r="M394" t="str">
            <v>CPA TOYOTA 10 PL</v>
          </cell>
          <cell r="N394" t="str">
            <v>CUTTING AC90-T-07</v>
          </cell>
          <cell r="O394" t="str">
            <v>CUTTING WIRE</v>
          </cell>
          <cell r="P394" t="str">
            <v>A</v>
          </cell>
          <cell r="Q394" t="str">
            <v>DL</v>
          </cell>
          <cell r="R394" t="str">
            <v>PERMANENT</v>
          </cell>
          <cell r="S394" t="str">
            <v>PRM</v>
          </cell>
          <cell r="T394" t="str">
            <v>OPT</v>
          </cell>
          <cell r="U394" t="str">
            <v>-</v>
          </cell>
          <cell r="V394" t="str">
            <v>P</v>
          </cell>
          <cell r="W394">
            <v>32</v>
          </cell>
        </row>
        <row r="395">
          <cell r="A395">
            <v>11026</v>
          </cell>
          <cell r="B395" t="str">
            <v>011026</v>
          </cell>
          <cell r="C395" t="str">
            <v>SITI NURHIDAYATI EVY ANISA</v>
          </cell>
          <cell r="D395" t="str">
            <v>SAMI</v>
          </cell>
          <cell r="E395" t="str">
            <v>OPT-287</v>
          </cell>
          <cell r="F395">
            <v>40585</v>
          </cell>
          <cell r="G395" t="str">
            <v>-</v>
          </cell>
          <cell r="H395" t="str">
            <v>-</v>
          </cell>
          <cell r="I395" t="str">
            <v>PRD</v>
          </cell>
          <cell r="J395" t="str">
            <v>PRE ASSY</v>
          </cell>
          <cell r="K395" t="str">
            <v>TOYOTA HV</v>
          </cell>
          <cell r="L395" t="str">
            <v>HV TOYOTA</v>
          </cell>
          <cell r="M395" t="str">
            <v>CPA TOYOTA 10 PL</v>
          </cell>
          <cell r="N395" t="str">
            <v>RELIEF 2</v>
          </cell>
          <cell r="O395" t="str">
            <v>RELIEF</v>
          </cell>
          <cell r="P395" t="str">
            <v>A</v>
          </cell>
          <cell r="Q395" t="str">
            <v>PI</v>
          </cell>
          <cell r="R395" t="str">
            <v>PERMANENT</v>
          </cell>
          <cell r="S395" t="str">
            <v>PRM</v>
          </cell>
          <cell r="T395" t="str">
            <v>OPT</v>
          </cell>
          <cell r="U395" t="str">
            <v>-</v>
          </cell>
          <cell r="V395" t="str">
            <v>P</v>
          </cell>
          <cell r="W395">
            <v>32</v>
          </cell>
        </row>
        <row r="396">
          <cell r="A396">
            <v>5742</v>
          </cell>
          <cell r="B396" t="str">
            <v>005742</v>
          </cell>
          <cell r="C396" t="str">
            <v>SUSANTI</v>
          </cell>
          <cell r="D396" t="str">
            <v>SAMI</v>
          </cell>
          <cell r="E396" t="str">
            <v>OPT-134</v>
          </cell>
          <cell r="F396">
            <v>39098</v>
          </cell>
          <cell r="G396" t="str">
            <v>-</v>
          </cell>
          <cell r="H396" t="str">
            <v>-</v>
          </cell>
          <cell r="I396" t="str">
            <v>PRD</v>
          </cell>
          <cell r="J396" t="str">
            <v>FINAL ASSY</v>
          </cell>
          <cell r="K396" t="str">
            <v>TOYOTA HV</v>
          </cell>
          <cell r="L396" t="str">
            <v>HV TOYOTA 858W 874W BBM</v>
          </cell>
          <cell r="M396" t="str">
            <v>CV HV 15</v>
          </cell>
          <cell r="N396" t="str">
            <v>SUB LINE CHO</v>
          </cell>
          <cell r="O396" t="str">
            <v>GL</v>
          </cell>
          <cell r="P396" t="str">
            <v>B</v>
          </cell>
          <cell r="Q396" t="str">
            <v>PI</v>
          </cell>
          <cell r="R396" t="str">
            <v>PERMANENT</v>
          </cell>
          <cell r="S396" t="str">
            <v>PRM</v>
          </cell>
          <cell r="T396" t="str">
            <v>SLC</v>
          </cell>
          <cell r="U396" t="str">
            <v>-</v>
          </cell>
          <cell r="V396" t="str">
            <v>P</v>
          </cell>
          <cell r="W396">
            <v>40</v>
          </cell>
        </row>
        <row r="397">
          <cell r="A397">
            <v>5743</v>
          </cell>
          <cell r="B397" t="str">
            <v>005743</v>
          </cell>
          <cell r="C397" t="str">
            <v>SUTIYONO</v>
          </cell>
          <cell r="D397" t="str">
            <v>SAMI</v>
          </cell>
          <cell r="E397" t="str">
            <v>OPT-134</v>
          </cell>
          <cell r="F397">
            <v>39098</v>
          </cell>
          <cell r="G397" t="str">
            <v>-</v>
          </cell>
          <cell r="H397" t="str">
            <v>-</v>
          </cell>
          <cell r="I397" t="str">
            <v>LOG</v>
          </cell>
          <cell r="J397" t="str">
            <v>WHS</v>
          </cell>
          <cell r="K397" t="str">
            <v>ALL</v>
          </cell>
          <cell r="L397" t="str">
            <v>ALL</v>
          </cell>
          <cell r="M397" t="str">
            <v>WHS</v>
          </cell>
          <cell r="N397" t="str">
            <v>Parts warehouse (receiving, handling in warehouse &amp; wire setting to reel)</v>
          </cell>
          <cell r="O397" t="str">
            <v>WHS IN</v>
          </cell>
          <cell r="P397" t="str">
            <v>A</v>
          </cell>
          <cell r="Q397" t="str">
            <v>PS</v>
          </cell>
          <cell r="R397" t="str">
            <v>PERMANENT</v>
          </cell>
          <cell r="S397" t="str">
            <v>PRM</v>
          </cell>
          <cell r="T397" t="str">
            <v>OPT</v>
          </cell>
          <cell r="U397" t="str">
            <v>-</v>
          </cell>
          <cell r="V397" t="str">
            <v>L</v>
          </cell>
          <cell r="W397">
            <v>40</v>
          </cell>
        </row>
        <row r="398">
          <cell r="A398">
            <v>11345</v>
          </cell>
          <cell r="B398" t="str">
            <v>011345</v>
          </cell>
          <cell r="C398" t="str">
            <v>NOVIANA ISFRIYANTI</v>
          </cell>
          <cell r="D398" t="str">
            <v>SAMI</v>
          </cell>
          <cell r="E398" t="str">
            <v>OPT-301</v>
          </cell>
          <cell r="F398">
            <v>40672</v>
          </cell>
          <cell r="G398" t="str">
            <v>-</v>
          </cell>
          <cell r="H398" t="str">
            <v>-</v>
          </cell>
          <cell r="I398" t="str">
            <v>PRD</v>
          </cell>
          <cell r="J398" t="str">
            <v>PRE ASSY</v>
          </cell>
          <cell r="K398" t="str">
            <v>TOYOTA HV</v>
          </cell>
          <cell r="L398" t="str">
            <v>HV TOYOTA</v>
          </cell>
          <cell r="M398" t="str">
            <v>CPA TOYOTA 10 PL</v>
          </cell>
          <cell r="N398" t="str">
            <v>INSP CUTTING</v>
          </cell>
          <cell r="O398" t="str">
            <v>P/A INSPECTOR</v>
          </cell>
          <cell r="P398" t="str">
            <v>A</v>
          </cell>
          <cell r="Q398" t="str">
            <v>PI</v>
          </cell>
          <cell r="R398" t="str">
            <v>PERMANENT</v>
          </cell>
          <cell r="S398" t="str">
            <v>PRM</v>
          </cell>
          <cell r="T398" t="str">
            <v>OPT</v>
          </cell>
          <cell r="U398" t="str">
            <v>-</v>
          </cell>
          <cell r="V398" t="str">
            <v>P</v>
          </cell>
          <cell r="W398">
            <v>35</v>
          </cell>
        </row>
        <row r="399">
          <cell r="A399">
            <v>5747</v>
          </cell>
          <cell r="B399" t="str">
            <v>005747</v>
          </cell>
          <cell r="C399" t="str">
            <v>WAHYU ANGGRAINI S.</v>
          </cell>
          <cell r="D399" t="str">
            <v>SAMI</v>
          </cell>
          <cell r="E399" t="str">
            <v>OPT-134</v>
          </cell>
          <cell r="F399">
            <v>39098</v>
          </cell>
          <cell r="G399" t="str">
            <v>-</v>
          </cell>
          <cell r="H399" t="str">
            <v>-</v>
          </cell>
          <cell r="I399" t="str">
            <v>PRD</v>
          </cell>
          <cell r="J399" t="str">
            <v>FINAL ASSY</v>
          </cell>
          <cell r="K399" t="str">
            <v>HONDA FIT</v>
          </cell>
          <cell r="L399" t="str">
            <v>HONDA FIT HEV PET ENGINE</v>
          </cell>
          <cell r="M399" t="str">
            <v>CV H02</v>
          </cell>
          <cell r="N399" t="str">
            <v>CHECKER 2</v>
          </cell>
          <cell r="O399" t="str">
            <v>ELECTRICAL INSPECTION</v>
          </cell>
          <cell r="P399" t="str">
            <v>B</v>
          </cell>
          <cell r="Q399" t="str">
            <v>DL</v>
          </cell>
          <cell r="R399" t="str">
            <v>PERMANENT</v>
          </cell>
          <cell r="S399" t="str">
            <v>PRM</v>
          </cell>
          <cell r="T399" t="str">
            <v>OPT</v>
          </cell>
          <cell r="U399" t="str">
            <v>-</v>
          </cell>
          <cell r="V399" t="str">
            <v>P</v>
          </cell>
          <cell r="W399">
            <v>41</v>
          </cell>
        </row>
        <row r="400">
          <cell r="A400">
            <v>5748</v>
          </cell>
          <cell r="B400" t="str">
            <v>005748</v>
          </cell>
          <cell r="C400" t="str">
            <v>WAHYU SUDRAJAT</v>
          </cell>
          <cell r="D400" t="str">
            <v>SAMI</v>
          </cell>
          <cell r="E400" t="str">
            <v>OPT-134</v>
          </cell>
          <cell r="F400">
            <v>39098</v>
          </cell>
          <cell r="G400" t="str">
            <v>-</v>
          </cell>
          <cell r="H400" t="str">
            <v>-</v>
          </cell>
          <cell r="I400" t="str">
            <v>LOG</v>
          </cell>
          <cell r="J400" t="str">
            <v>WHS</v>
          </cell>
          <cell r="K400" t="str">
            <v>ALL</v>
          </cell>
          <cell r="L400" t="str">
            <v>ALL</v>
          </cell>
          <cell r="M400" t="str">
            <v>WHS</v>
          </cell>
          <cell r="N400" t="str">
            <v>LEADER</v>
          </cell>
          <cell r="O400" t="str">
            <v>FPS LL</v>
          </cell>
          <cell r="P400" t="str">
            <v>B</v>
          </cell>
          <cell r="Q400" t="str">
            <v>PS</v>
          </cell>
          <cell r="R400" t="str">
            <v>PERMANENT</v>
          </cell>
          <cell r="S400" t="str">
            <v>PRM</v>
          </cell>
          <cell r="T400" t="str">
            <v>LL</v>
          </cell>
          <cell r="U400" t="str">
            <v>-</v>
          </cell>
          <cell r="V400" t="str">
            <v>L</v>
          </cell>
          <cell r="W400">
            <v>40</v>
          </cell>
        </row>
        <row r="401">
          <cell r="A401">
            <v>5749</v>
          </cell>
          <cell r="B401" t="str">
            <v>005749</v>
          </cell>
          <cell r="C401" t="str">
            <v>WARSIATMI</v>
          </cell>
          <cell r="D401" t="str">
            <v>SAMI</v>
          </cell>
          <cell r="E401" t="str">
            <v>OPT-134</v>
          </cell>
          <cell r="F401">
            <v>39098</v>
          </cell>
          <cell r="G401" t="str">
            <v>-</v>
          </cell>
          <cell r="H401" t="str">
            <v>-</v>
          </cell>
          <cell r="I401" t="str">
            <v>PRD</v>
          </cell>
          <cell r="J401" t="str">
            <v>FINAL ASSY</v>
          </cell>
          <cell r="K401" t="str">
            <v>HONDA FREED</v>
          </cell>
          <cell r="L401" t="str">
            <v>HONDA FREED W/H FLOOR</v>
          </cell>
          <cell r="M401" t="str">
            <v>CV 4</v>
          </cell>
          <cell r="N401" t="str">
            <v>RELIEF 2</v>
          </cell>
          <cell r="O401" t="str">
            <v>RELIEF</v>
          </cell>
          <cell r="P401" t="str">
            <v>B</v>
          </cell>
          <cell r="Q401" t="str">
            <v>PI</v>
          </cell>
          <cell r="R401" t="str">
            <v>PERMANENT</v>
          </cell>
          <cell r="S401" t="str">
            <v>PRM</v>
          </cell>
          <cell r="T401" t="str">
            <v>OPT</v>
          </cell>
          <cell r="U401" t="str">
            <v>-</v>
          </cell>
          <cell r="V401" t="str">
            <v>P</v>
          </cell>
          <cell r="W401">
            <v>40</v>
          </cell>
        </row>
        <row r="402">
          <cell r="A402">
            <v>5751</v>
          </cell>
          <cell r="B402" t="str">
            <v>005751</v>
          </cell>
          <cell r="C402" t="str">
            <v>YULI SETIAWATI</v>
          </cell>
          <cell r="D402" t="str">
            <v>SAMI</v>
          </cell>
          <cell r="E402" t="str">
            <v>OPT-134</v>
          </cell>
          <cell r="F402">
            <v>39098</v>
          </cell>
          <cell r="G402" t="str">
            <v>-</v>
          </cell>
          <cell r="H402" t="str">
            <v>-</v>
          </cell>
          <cell r="I402" t="str">
            <v>QA</v>
          </cell>
          <cell r="J402" t="str">
            <v>FINAL ASSY</v>
          </cell>
          <cell r="K402" t="str">
            <v>MAZDA 3</v>
          </cell>
          <cell r="L402" t="str">
            <v>MAZDA REAR</v>
          </cell>
          <cell r="M402" t="str">
            <v>CV M01</v>
          </cell>
          <cell r="N402" t="str">
            <v>DC</v>
          </cell>
          <cell r="O402" t="str">
            <v>DC</v>
          </cell>
          <cell r="P402" t="str">
            <v>A</v>
          </cell>
          <cell r="Q402" t="str">
            <v>PI</v>
          </cell>
          <cell r="R402" t="str">
            <v>PERMANENT</v>
          </cell>
          <cell r="S402" t="str">
            <v>PRM</v>
          </cell>
          <cell r="T402" t="str">
            <v>OPT</v>
          </cell>
          <cell r="U402" t="str">
            <v>-</v>
          </cell>
          <cell r="V402" t="str">
            <v>P</v>
          </cell>
          <cell r="W402">
            <v>39</v>
          </cell>
        </row>
        <row r="403">
          <cell r="A403">
            <v>5754</v>
          </cell>
          <cell r="B403" t="str">
            <v>005754</v>
          </cell>
          <cell r="C403" t="str">
            <v>ABIL HUDA</v>
          </cell>
          <cell r="D403" t="str">
            <v>SAMI</v>
          </cell>
          <cell r="E403" t="str">
            <v>OPT-135</v>
          </cell>
          <cell r="F403">
            <v>39114</v>
          </cell>
          <cell r="G403" t="str">
            <v>-</v>
          </cell>
          <cell r="H403" t="str">
            <v>-</v>
          </cell>
          <cell r="I403" t="str">
            <v>PE</v>
          </cell>
          <cell r="J403" t="str">
            <v>J/C BP</v>
          </cell>
          <cell r="K403" t="str">
            <v>ALL</v>
          </cell>
          <cell r="L403" t="str">
            <v>ALL</v>
          </cell>
          <cell r="M403" t="str">
            <v>NIP</v>
          </cell>
          <cell r="N403" t="str">
            <v>INSPECTION BOARD FABRICATION</v>
          </cell>
          <cell r="O403" t="str">
            <v>CBP</v>
          </cell>
          <cell r="P403" t="str">
            <v>A (NS)</v>
          </cell>
          <cell r="Q403" t="str">
            <v>PS</v>
          </cell>
          <cell r="R403" t="str">
            <v>PERMANENT</v>
          </cell>
          <cell r="S403" t="str">
            <v>PRM</v>
          </cell>
          <cell r="T403" t="str">
            <v>TKN</v>
          </cell>
          <cell r="U403" t="str">
            <v>-</v>
          </cell>
          <cell r="V403" t="str">
            <v>L</v>
          </cell>
          <cell r="W403">
            <v>41</v>
          </cell>
        </row>
        <row r="404">
          <cell r="A404">
            <v>11549</v>
          </cell>
          <cell r="B404" t="str">
            <v>011549</v>
          </cell>
          <cell r="C404" t="str">
            <v>ERI DEVIA PRIHATININGRUM</v>
          </cell>
          <cell r="D404" t="str">
            <v>SAMI</v>
          </cell>
          <cell r="E404" t="str">
            <v>OPT-307</v>
          </cell>
          <cell r="F404">
            <v>40707</v>
          </cell>
          <cell r="G404" t="str">
            <v>-</v>
          </cell>
          <cell r="H404" t="str">
            <v>-</v>
          </cell>
          <cell r="I404" t="str">
            <v>PRD</v>
          </cell>
          <cell r="J404" t="str">
            <v>PRE ASSY</v>
          </cell>
          <cell r="K404" t="str">
            <v>TOYOTA HV</v>
          </cell>
          <cell r="L404" t="str">
            <v>HV TOYOTA</v>
          </cell>
          <cell r="M404" t="str">
            <v>CPA TOYOTA 10 PL</v>
          </cell>
          <cell r="N404" t="str">
            <v>CUTTING AC90-T-04</v>
          </cell>
          <cell r="O404" t="str">
            <v>CUTTING WIRE</v>
          </cell>
          <cell r="P404" t="str">
            <v>A</v>
          </cell>
          <cell r="Q404" t="str">
            <v>DL</v>
          </cell>
          <cell r="R404" t="str">
            <v>PERMANENT</v>
          </cell>
          <cell r="S404" t="str">
            <v>PRM</v>
          </cell>
          <cell r="T404" t="str">
            <v>OPT</v>
          </cell>
          <cell r="U404" t="str">
            <v>-</v>
          </cell>
          <cell r="V404" t="str">
            <v>P</v>
          </cell>
          <cell r="W404">
            <v>31</v>
          </cell>
        </row>
        <row r="405">
          <cell r="A405">
            <v>5762</v>
          </cell>
          <cell r="B405" t="str">
            <v>005762</v>
          </cell>
          <cell r="C405" t="str">
            <v>DWI YANTINI</v>
          </cell>
          <cell r="D405" t="str">
            <v>SAMI</v>
          </cell>
          <cell r="E405" t="str">
            <v>OPT-135</v>
          </cell>
          <cell r="F405">
            <v>39114</v>
          </cell>
          <cell r="G405" t="str">
            <v>-</v>
          </cell>
          <cell r="H405" t="str">
            <v>-</v>
          </cell>
          <cell r="I405" t="str">
            <v>PRD</v>
          </cell>
          <cell r="J405" t="str">
            <v>PRE ASSY</v>
          </cell>
          <cell r="K405" t="str">
            <v>HONDA FIT</v>
          </cell>
          <cell r="L405" t="str">
            <v>HONDA FIT</v>
          </cell>
          <cell r="M405" t="str">
            <v>CPA HONDA FIT HEV/PET</v>
          </cell>
          <cell r="N405" t="str">
            <v>INSP DOUBLE CHECK</v>
          </cell>
          <cell r="O405" t="str">
            <v>P/A INSPECTOR</v>
          </cell>
          <cell r="P405" t="str">
            <v>B</v>
          </cell>
          <cell r="Q405" t="str">
            <v>PI</v>
          </cell>
          <cell r="R405" t="str">
            <v>PERMANENT</v>
          </cell>
          <cell r="S405" t="str">
            <v>PRM</v>
          </cell>
          <cell r="T405" t="str">
            <v>OPT</v>
          </cell>
          <cell r="U405" t="str">
            <v>-</v>
          </cell>
          <cell r="V405" t="str">
            <v>P</v>
          </cell>
          <cell r="W405">
            <v>41</v>
          </cell>
        </row>
        <row r="406">
          <cell r="A406">
            <v>5764</v>
          </cell>
          <cell r="B406" t="str">
            <v>005764</v>
          </cell>
          <cell r="C406" t="str">
            <v>ENDANG SAYEKTI</v>
          </cell>
          <cell r="D406" t="str">
            <v>SAMI</v>
          </cell>
          <cell r="E406" t="str">
            <v>OPT-135</v>
          </cell>
          <cell r="F406">
            <v>39114</v>
          </cell>
          <cell r="G406" t="str">
            <v>-</v>
          </cell>
          <cell r="H406" t="str">
            <v>-</v>
          </cell>
          <cell r="I406" t="str">
            <v>PRD</v>
          </cell>
          <cell r="J406" t="str">
            <v>PRE ASSY</v>
          </cell>
          <cell r="K406" t="str">
            <v>MAZDA ATENZA</v>
          </cell>
          <cell r="L406" t="str">
            <v>MAZDA J72A</v>
          </cell>
          <cell r="M406" t="str">
            <v>CPA MAZDA CX-5</v>
          </cell>
          <cell r="N406" t="str">
            <v>CUTTING AC90-MZD-07</v>
          </cell>
          <cell r="O406" t="str">
            <v>CUTTING WIRE</v>
          </cell>
          <cell r="P406" t="str">
            <v>B</v>
          </cell>
          <cell r="Q406" t="str">
            <v>DL</v>
          </cell>
          <cell r="R406" t="str">
            <v>PERMANENT</v>
          </cell>
          <cell r="S406" t="str">
            <v>PRM</v>
          </cell>
          <cell r="T406" t="str">
            <v>OPT</v>
          </cell>
          <cell r="U406" t="str">
            <v>-</v>
          </cell>
          <cell r="V406" t="str">
            <v>P</v>
          </cell>
          <cell r="W406">
            <v>38</v>
          </cell>
        </row>
        <row r="407">
          <cell r="A407">
            <v>5767</v>
          </cell>
          <cell r="B407" t="str">
            <v>005767</v>
          </cell>
          <cell r="C407" t="str">
            <v>ERNAWATI</v>
          </cell>
          <cell r="D407" t="str">
            <v>SAMI</v>
          </cell>
          <cell r="E407" t="str">
            <v>OPT-135</v>
          </cell>
          <cell r="F407">
            <v>39114</v>
          </cell>
          <cell r="G407" t="str">
            <v>-</v>
          </cell>
          <cell r="H407" t="str">
            <v>-</v>
          </cell>
          <cell r="I407" t="str">
            <v>QA</v>
          </cell>
          <cell r="J407" t="str">
            <v>NON LINE</v>
          </cell>
          <cell r="K407" t="str">
            <v>ALL</v>
          </cell>
          <cell r="L407" t="str">
            <v>ALL</v>
          </cell>
          <cell r="M407" t="str">
            <v>OTHERS (BUFFER)</v>
          </cell>
          <cell r="N407" t="str">
            <v>SUPPORT PREPARATION</v>
          </cell>
          <cell r="O407" t="str">
            <v>GL</v>
          </cell>
          <cell r="P407" t="str">
            <v>A (NS)</v>
          </cell>
          <cell r="Q407" t="str">
            <v>PI</v>
          </cell>
          <cell r="R407" t="str">
            <v>PERMANENT</v>
          </cell>
          <cell r="S407" t="str">
            <v>PRM</v>
          </cell>
          <cell r="T407" t="str">
            <v>GL</v>
          </cell>
          <cell r="U407" t="str">
            <v>-</v>
          </cell>
          <cell r="V407" t="str">
            <v>P</v>
          </cell>
          <cell r="W407">
            <v>39</v>
          </cell>
        </row>
        <row r="408">
          <cell r="A408">
            <v>11990</v>
          </cell>
          <cell r="B408" t="str">
            <v>011990</v>
          </cell>
          <cell r="C408" t="str">
            <v>FAILUL HIDAYAH</v>
          </cell>
          <cell r="D408" t="str">
            <v>SAMI</v>
          </cell>
          <cell r="E408" t="str">
            <v>OPT-312</v>
          </cell>
          <cell r="F408">
            <v>40777</v>
          </cell>
          <cell r="G408" t="str">
            <v>-</v>
          </cell>
          <cell r="H408" t="str">
            <v>-</v>
          </cell>
          <cell r="I408" t="str">
            <v>PRD</v>
          </cell>
          <cell r="J408" t="str">
            <v>PRE ASSY</v>
          </cell>
          <cell r="K408" t="str">
            <v>TOYOTA HV</v>
          </cell>
          <cell r="L408" t="str">
            <v>HV TOYOTA</v>
          </cell>
          <cell r="M408" t="str">
            <v>CPA TOYOTA 10 PL</v>
          </cell>
          <cell r="N408" t="str">
            <v>UST-T-04, 05</v>
          </cell>
          <cell r="O408" t="str">
            <v>WFAP 2.1</v>
          </cell>
          <cell r="P408" t="str">
            <v>A</v>
          </cell>
          <cell r="Q408" t="str">
            <v>DL</v>
          </cell>
          <cell r="R408" t="str">
            <v>PERMANENT</v>
          </cell>
          <cell r="S408" t="str">
            <v>PRM</v>
          </cell>
          <cell r="T408" t="str">
            <v>OPT</v>
          </cell>
          <cell r="U408" t="str">
            <v>-</v>
          </cell>
          <cell r="V408" t="str">
            <v>P</v>
          </cell>
          <cell r="W408">
            <v>32</v>
          </cell>
        </row>
        <row r="409">
          <cell r="A409">
            <v>5772</v>
          </cell>
          <cell r="B409" t="str">
            <v>005772</v>
          </cell>
          <cell r="C409" t="str">
            <v>HANY RAHAYU</v>
          </cell>
          <cell r="D409" t="str">
            <v>SAMI</v>
          </cell>
          <cell r="E409" t="str">
            <v>OPT-135</v>
          </cell>
          <cell r="F409">
            <v>39114</v>
          </cell>
          <cell r="G409" t="str">
            <v>-</v>
          </cell>
          <cell r="H409" t="str">
            <v>-</v>
          </cell>
          <cell r="I409" t="str">
            <v>PRD</v>
          </cell>
          <cell r="J409" t="str">
            <v>FINAL ASSY</v>
          </cell>
          <cell r="K409" t="str">
            <v>HONDA FREED</v>
          </cell>
          <cell r="L409" t="str">
            <v>HONDA FREED W/H FLOOR</v>
          </cell>
          <cell r="M409" t="str">
            <v>CV 4</v>
          </cell>
          <cell r="N409" t="str">
            <v>CHECKER A/B</v>
          </cell>
          <cell r="O409" t="str">
            <v>ELECTRICAL INSPECTION</v>
          </cell>
          <cell r="P409" t="str">
            <v>B</v>
          </cell>
          <cell r="Q409" t="str">
            <v>DL</v>
          </cell>
          <cell r="R409" t="str">
            <v>PERMANENT</v>
          </cell>
          <cell r="S409" t="str">
            <v>PRM</v>
          </cell>
          <cell r="T409" t="str">
            <v>OPT</v>
          </cell>
          <cell r="U409" t="str">
            <v>-</v>
          </cell>
          <cell r="V409" t="str">
            <v>P</v>
          </cell>
          <cell r="W409">
            <v>40</v>
          </cell>
        </row>
        <row r="410">
          <cell r="A410">
            <v>12641</v>
          </cell>
          <cell r="B410" t="str">
            <v>012641</v>
          </cell>
          <cell r="C410" t="str">
            <v>DWI ARIYANTI</v>
          </cell>
          <cell r="D410" t="str">
            <v>SAMI</v>
          </cell>
          <cell r="E410" t="str">
            <v>OPT-320</v>
          </cell>
          <cell r="F410">
            <v>40819</v>
          </cell>
          <cell r="G410" t="str">
            <v>-</v>
          </cell>
          <cell r="H410" t="str">
            <v>-</v>
          </cell>
          <cell r="I410" t="str">
            <v>PRD</v>
          </cell>
          <cell r="J410" t="str">
            <v>PRE ASSY</v>
          </cell>
          <cell r="K410" t="str">
            <v>TOYOTA HV</v>
          </cell>
          <cell r="L410" t="str">
            <v>HV TOYOTA</v>
          </cell>
          <cell r="M410" t="str">
            <v>CPA TOYOTA 10 PL</v>
          </cell>
          <cell r="N410" t="str">
            <v>INSP CUTTING</v>
          </cell>
          <cell r="O410" t="str">
            <v>P/A INSPECTOR</v>
          </cell>
          <cell r="P410" t="str">
            <v>A</v>
          </cell>
          <cell r="Q410" t="str">
            <v>PI</v>
          </cell>
          <cell r="R410" t="str">
            <v>PERMANENT</v>
          </cell>
          <cell r="S410" t="str">
            <v>PRM</v>
          </cell>
          <cell r="T410" t="str">
            <v>OPT</v>
          </cell>
          <cell r="U410" t="str">
            <v>-</v>
          </cell>
          <cell r="V410" t="str">
            <v>P</v>
          </cell>
          <cell r="W410">
            <v>29</v>
          </cell>
        </row>
        <row r="411">
          <cell r="A411">
            <v>5780</v>
          </cell>
          <cell r="B411" t="str">
            <v>005780</v>
          </cell>
          <cell r="C411" t="str">
            <v>KRISWANTI</v>
          </cell>
          <cell r="D411" t="str">
            <v>SAMI</v>
          </cell>
          <cell r="E411" t="str">
            <v>OPT-135</v>
          </cell>
          <cell r="F411">
            <v>39114</v>
          </cell>
          <cell r="G411" t="str">
            <v>-</v>
          </cell>
          <cell r="H411" t="str">
            <v>-</v>
          </cell>
          <cell r="I411" t="str">
            <v>PRD</v>
          </cell>
          <cell r="J411" t="str">
            <v>PRE ASSY</v>
          </cell>
          <cell r="K411" t="str">
            <v>SUZUKI WAGON R/HUSTLER</v>
          </cell>
          <cell r="L411" t="str">
            <v>SUZUKI YW0/Y0C/YEV</v>
          </cell>
          <cell r="M411" t="str">
            <v>CPA SUZUKI</v>
          </cell>
          <cell r="N411" t="str">
            <v>INSP CUTTING</v>
          </cell>
          <cell r="O411" t="str">
            <v>P/A INSPECTOR</v>
          </cell>
          <cell r="P411" t="str">
            <v>B</v>
          </cell>
          <cell r="Q411" t="str">
            <v>PI</v>
          </cell>
          <cell r="R411" t="str">
            <v>PERMANENT</v>
          </cell>
          <cell r="S411" t="str">
            <v>PRM</v>
          </cell>
          <cell r="T411" t="str">
            <v>OPT</v>
          </cell>
          <cell r="U411" t="str">
            <v>-</v>
          </cell>
          <cell r="V411" t="str">
            <v>P</v>
          </cell>
          <cell r="W411">
            <v>39</v>
          </cell>
        </row>
        <row r="412">
          <cell r="A412">
            <v>5783</v>
          </cell>
          <cell r="B412" t="str">
            <v>005783</v>
          </cell>
          <cell r="C412" t="str">
            <v>MARIYATUN</v>
          </cell>
          <cell r="D412" t="str">
            <v>SAMI</v>
          </cell>
          <cell r="E412" t="str">
            <v>OPT-135</v>
          </cell>
          <cell r="F412">
            <v>39114</v>
          </cell>
          <cell r="G412" t="str">
            <v>-</v>
          </cell>
          <cell r="H412" t="str">
            <v>-</v>
          </cell>
          <cell r="I412" t="str">
            <v>PRD</v>
          </cell>
          <cell r="J412" t="str">
            <v>FINAL ASSY</v>
          </cell>
          <cell r="K412" t="str">
            <v>MAZDA ATENZA</v>
          </cell>
          <cell r="L412" t="str">
            <v>MAZDA J72A</v>
          </cell>
          <cell r="M412" t="str">
            <v>CV M03</v>
          </cell>
          <cell r="N412" t="str">
            <v>S/T 3</v>
          </cell>
          <cell r="O412" t="str">
            <v>ASSEMBLY</v>
          </cell>
          <cell r="P412" t="str">
            <v>B</v>
          </cell>
          <cell r="Q412" t="str">
            <v>DL</v>
          </cell>
          <cell r="R412" t="str">
            <v>PERMANENT</v>
          </cell>
          <cell r="S412" t="str">
            <v>PRM</v>
          </cell>
          <cell r="T412" t="str">
            <v>OPT</v>
          </cell>
          <cell r="U412" t="str">
            <v>-</v>
          </cell>
          <cell r="V412" t="str">
            <v>P</v>
          </cell>
          <cell r="W412">
            <v>38</v>
          </cell>
        </row>
        <row r="413">
          <cell r="A413">
            <v>21905</v>
          </cell>
          <cell r="B413" t="str">
            <v>021905</v>
          </cell>
          <cell r="C413" t="str">
            <v>SITI NUR KHOLIJAH</v>
          </cell>
          <cell r="D413" t="str">
            <v>SAMI</v>
          </cell>
          <cell r="E413" t="str">
            <v>OPT-542</v>
          </cell>
          <cell r="F413">
            <v>43103</v>
          </cell>
          <cell r="G413" t="str">
            <v>-</v>
          </cell>
          <cell r="H413" t="str">
            <v>-</v>
          </cell>
          <cell r="I413" t="str">
            <v>PRD</v>
          </cell>
          <cell r="J413" t="str">
            <v>PRE ASSY</v>
          </cell>
          <cell r="K413" t="str">
            <v>TOYOTA HV</v>
          </cell>
          <cell r="L413" t="str">
            <v>HV TOYOTA</v>
          </cell>
          <cell r="M413" t="str">
            <v>CPA TOYOTA 10 PL</v>
          </cell>
          <cell r="N413" t="str">
            <v>GCA-T-01</v>
          </cell>
          <cell r="O413" t="str">
            <v>WFAP 2.2</v>
          </cell>
          <cell r="P413" t="str">
            <v>A</v>
          </cell>
          <cell r="Q413" t="str">
            <v>DL</v>
          </cell>
          <cell r="R413" t="str">
            <v>PERMANENT</v>
          </cell>
          <cell r="S413" t="str">
            <v>PRM</v>
          </cell>
          <cell r="T413" t="str">
            <v>OPT</v>
          </cell>
          <cell r="U413" t="str">
            <v>-</v>
          </cell>
          <cell r="V413" t="str">
            <v>P</v>
          </cell>
          <cell r="W413">
            <v>25</v>
          </cell>
        </row>
        <row r="414">
          <cell r="A414">
            <v>5789</v>
          </cell>
          <cell r="B414" t="str">
            <v>005789</v>
          </cell>
          <cell r="C414" t="str">
            <v>NOVITA</v>
          </cell>
          <cell r="D414" t="str">
            <v>SAMI</v>
          </cell>
          <cell r="E414" t="str">
            <v>OPT-135</v>
          </cell>
          <cell r="F414">
            <v>39114</v>
          </cell>
          <cell r="G414" t="str">
            <v>-</v>
          </cell>
          <cell r="H414" t="str">
            <v>-</v>
          </cell>
          <cell r="I414" t="str">
            <v>QA</v>
          </cell>
          <cell r="J414" t="str">
            <v>NON LINE</v>
          </cell>
          <cell r="K414" t="str">
            <v>ALL</v>
          </cell>
          <cell r="L414" t="str">
            <v>ALL</v>
          </cell>
          <cell r="M414" t="str">
            <v>RCV - CANDI</v>
          </cell>
          <cell r="N414" t="str">
            <v>SAMPLING &amp; CHECK 100%</v>
          </cell>
          <cell r="O414" t="str">
            <v>RCV</v>
          </cell>
          <cell r="P414" t="str">
            <v>A</v>
          </cell>
          <cell r="Q414" t="str">
            <v>PS</v>
          </cell>
          <cell r="R414" t="str">
            <v>PERMANENT</v>
          </cell>
          <cell r="S414" t="str">
            <v>PRM</v>
          </cell>
          <cell r="T414" t="str">
            <v>OPT</v>
          </cell>
          <cell r="U414" t="str">
            <v>-</v>
          </cell>
          <cell r="V414" t="str">
            <v>P</v>
          </cell>
          <cell r="W414">
            <v>39</v>
          </cell>
        </row>
        <row r="415">
          <cell r="A415" t="str">
            <v>B00643</v>
          </cell>
          <cell r="B415" t="str">
            <v>B00643</v>
          </cell>
          <cell r="C415" t="str">
            <v>SOLIKAH</v>
          </cell>
          <cell r="D415" t="str">
            <v>SAMI</v>
          </cell>
          <cell r="E415" t="str">
            <v>BBF-010</v>
          </cell>
          <cell r="F415">
            <v>40889</v>
          </cell>
          <cell r="G415" t="str">
            <v>-</v>
          </cell>
          <cell r="H415" t="str">
            <v>-</v>
          </cell>
          <cell r="I415" t="str">
            <v>PRD</v>
          </cell>
          <cell r="J415" t="str">
            <v>PRE ASSY</v>
          </cell>
          <cell r="K415" t="str">
            <v>TOYOTA HV</v>
          </cell>
          <cell r="L415" t="str">
            <v>HV TOYOTA</v>
          </cell>
          <cell r="M415" t="str">
            <v>CPA TOYOTA 10 PL</v>
          </cell>
          <cell r="N415" t="str">
            <v>INSP CUTTING</v>
          </cell>
          <cell r="O415" t="str">
            <v>P/A INSPECTOR</v>
          </cell>
          <cell r="P415" t="str">
            <v>A</v>
          </cell>
          <cell r="Q415" t="str">
            <v>PI</v>
          </cell>
          <cell r="R415" t="str">
            <v>PERMANENT</v>
          </cell>
          <cell r="S415" t="str">
            <v>PRM</v>
          </cell>
          <cell r="T415" t="str">
            <v>OPT</v>
          </cell>
          <cell r="U415" t="str">
            <v>-</v>
          </cell>
          <cell r="V415" t="str">
            <v>P</v>
          </cell>
          <cell r="W415">
            <v>31</v>
          </cell>
        </row>
        <row r="416">
          <cell r="A416">
            <v>5794</v>
          </cell>
          <cell r="B416" t="str">
            <v>005794</v>
          </cell>
          <cell r="C416" t="str">
            <v>NURUL KHOIRIYAH</v>
          </cell>
          <cell r="D416" t="str">
            <v>SAMI</v>
          </cell>
          <cell r="E416" t="str">
            <v>OPT-135</v>
          </cell>
          <cell r="F416">
            <v>39114</v>
          </cell>
          <cell r="G416" t="str">
            <v>-</v>
          </cell>
          <cell r="H416" t="str">
            <v>-</v>
          </cell>
          <cell r="I416" t="str">
            <v>QA</v>
          </cell>
          <cell r="J416" t="str">
            <v>FINAL ASSY</v>
          </cell>
          <cell r="K416" t="str">
            <v>MAZDA ATENZA</v>
          </cell>
          <cell r="L416" t="str">
            <v>MAZDA J72A</v>
          </cell>
          <cell r="M416" t="str">
            <v>CV M03</v>
          </cell>
          <cell r="N416" t="str">
            <v>GL INSPECTION</v>
          </cell>
          <cell r="O416" t="str">
            <v>GL</v>
          </cell>
          <cell r="P416" t="str">
            <v>A</v>
          </cell>
          <cell r="Q416" t="str">
            <v>PI</v>
          </cell>
          <cell r="R416" t="str">
            <v>PERMANENT</v>
          </cell>
          <cell r="S416" t="str">
            <v>PRM</v>
          </cell>
          <cell r="T416" t="str">
            <v>GL</v>
          </cell>
          <cell r="U416" t="str">
            <v>-</v>
          </cell>
          <cell r="V416" t="str">
            <v>P</v>
          </cell>
          <cell r="W416">
            <v>40</v>
          </cell>
        </row>
        <row r="417">
          <cell r="A417">
            <v>315</v>
          </cell>
          <cell r="B417" t="str">
            <v>000315</v>
          </cell>
          <cell r="C417" t="str">
            <v>MURNIASIH</v>
          </cell>
          <cell r="D417" t="str">
            <v>SAMI</v>
          </cell>
          <cell r="E417" t="str">
            <v>OPT-9</v>
          </cell>
          <cell r="F417">
            <v>37725</v>
          </cell>
          <cell r="G417" t="str">
            <v>-</v>
          </cell>
          <cell r="H417" t="str">
            <v>-</v>
          </cell>
          <cell r="I417" t="str">
            <v>PRD</v>
          </cell>
          <cell r="J417" t="str">
            <v>PRE ASSY</v>
          </cell>
          <cell r="K417" t="str">
            <v>TOYOTA</v>
          </cell>
          <cell r="L417" t="str">
            <v>HV TOYOTA LV</v>
          </cell>
          <cell r="M417" t="str">
            <v>CPA TOYOTA LV</v>
          </cell>
          <cell r="N417" t="str">
            <v>OJT INSP CUTTING</v>
          </cell>
          <cell r="O417" t="str">
            <v>OTHERS</v>
          </cell>
          <cell r="P417" t="str">
            <v>A</v>
          </cell>
          <cell r="Q417" t="str">
            <v>PI</v>
          </cell>
          <cell r="R417" t="str">
            <v>PERMANENT</v>
          </cell>
          <cell r="S417" t="str">
            <v>PRM</v>
          </cell>
          <cell r="T417" t="str">
            <v>OPT</v>
          </cell>
          <cell r="U417" t="str">
            <v>-</v>
          </cell>
          <cell r="V417" t="str">
            <v>P</v>
          </cell>
          <cell r="W417">
            <v>42</v>
          </cell>
        </row>
        <row r="418">
          <cell r="A418">
            <v>5797</v>
          </cell>
          <cell r="B418" t="str">
            <v>005797</v>
          </cell>
          <cell r="C418" t="str">
            <v>PURWANTI</v>
          </cell>
          <cell r="D418" t="str">
            <v>SAMI</v>
          </cell>
          <cell r="E418" t="str">
            <v>OPT-135</v>
          </cell>
          <cell r="F418">
            <v>39114</v>
          </cell>
          <cell r="G418" t="str">
            <v>-</v>
          </cell>
          <cell r="H418" t="str">
            <v>-</v>
          </cell>
          <cell r="I418" t="str">
            <v>PRD</v>
          </cell>
          <cell r="J418" t="str">
            <v>PRE ASSY</v>
          </cell>
          <cell r="K418" t="str">
            <v>TOYOTA HV</v>
          </cell>
          <cell r="L418" t="str">
            <v>HV TOYOTA</v>
          </cell>
          <cell r="M418" t="str">
            <v>CPA TOYOTA 10 PL</v>
          </cell>
          <cell r="N418" t="str">
            <v>CUTTING AC90-T-07</v>
          </cell>
          <cell r="O418" t="str">
            <v>CUTTING WIRE</v>
          </cell>
          <cell r="P418" t="str">
            <v>B</v>
          </cell>
          <cell r="Q418" t="str">
            <v>DL</v>
          </cell>
          <cell r="R418" t="str">
            <v>PERMANENT</v>
          </cell>
          <cell r="S418" t="str">
            <v>PRM</v>
          </cell>
          <cell r="T418" t="str">
            <v>OPT</v>
          </cell>
          <cell r="U418" t="str">
            <v>-</v>
          </cell>
          <cell r="V418" t="str">
            <v>P</v>
          </cell>
          <cell r="W418">
            <v>38</v>
          </cell>
        </row>
        <row r="419">
          <cell r="A419">
            <v>5799</v>
          </cell>
          <cell r="B419" t="str">
            <v>005799</v>
          </cell>
          <cell r="C419" t="str">
            <v>RETNOWATI NAWANGSIH</v>
          </cell>
          <cell r="D419" t="str">
            <v>SAMI</v>
          </cell>
          <cell r="E419" t="str">
            <v>OPT-135</v>
          </cell>
          <cell r="F419">
            <v>39114</v>
          </cell>
          <cell r="G419" t="str">
            <v>-</v>
          </cell>
          <cell r="H419" t="str">
            <v>-</v>
          </cell>
          <cell r="I419" t="str">
            <v>PP</v>
          </cell>
          <cell r="J419" t="str">
            <v>PP-1</v>
          </cell>
          <cell r="K419" t="str">
            <v>ALL</v>
          </cell>
          <cell r="L419" t="str">
            <v>ALL</v>
          </cell>
          <cell r="M419" t="str">
            <v>PP-1</v>
          </cell>
          <cell r="N419" t="str">
            <v>ANALISYS</v>
          </cell>
          <cell r="O419" t="str">
            <v>PROCESS ENG</v>
          </cell>
          <cell r="P419" t="str">
            <v>A (NS)</v>
          </cell>
          <cell r="Q419" t="str">
            <v>PS</v>
          </cell>
          <cell r="R419" t="str">
            <v>PERMANENT</v>
          </cell>
          <cell r="S419" t="str">
            <v>PRM</v>
          </cell>
          <cell r="T419" t="str">
            <v>OPT</v>
          </cell>
          <cell r="U419" t="str">
            <v>-</v>
          </cell>
          <cell r="V419" t="str">
            <v>P</v>
          </cell>
          <cell r="W419">
            <v>39</v>
          </cell>
        </row>
        <row r="420">
          <cell r="A420">
            <v>498</v>
          </cell>
          <cell r="B420" t="str">
            <v>000498</v>
          </cell>
          <cell r="C420" t="str">
            <v>YULI EKAWATI</v>
          </cell>
          <cell r="D420" t="str">
            <v>SAMI</v>
          </cell>
          <cell r="E420" t="str">
            <v>OPT-13</v>
          </cell>
          <cell r="F420">
            <v>37760</v>
          </cell>
          <cell r="G420" t="str">
            <v>-</v>
          </cell>
          <cell r="H420" t="str">
            <v>-</v>
          </cell>
          <cell r="I420" t="str">
            <v>PRD</v>
          </cell>
          <cell r="J420" t="str">
            <v>PRE ASSY</v>
          </cell>
          <cell r="K420" t="str">
            <v>TOYOTA</v>
          </cell>
          <cell r="L420" t="str">
            <v>HV TOYOTA LV</v>
          </cell>
          <cell r="M420" t="str">
            <v>CPA TOYOTA LV</v>
          </cell>
          <cell r="N420" t="str">
            <v>OJT BONDER</v>
          </cell>
          <cell r="O420" t="str">
            <v>OTHERS</v>
          </cell>
          <cell r="P420" t="str">
            <v>A</v>
          </cell>
          <cell r="Q420" t="str">
            <v>PI</v>
          </cell>
          <cell r="R420" t="str">
            <v>PERMANENT</v>
          </cell>
          <cell r="S420" t="str">
            <v>PRM</v>
          </cell>
          <cell r="T420" t="str">
            <v>OPT</v>
          </cell>
          <cell r="U420" t="str">
            <v>-</v>
          </cell>
          <cell r="V420" t="str">
            <v>P</v>
          </cell>
          <cell r="W420">
            <v>42</v>
          </cell>
        </row>
        <row r="421">
          <cell r="A421">
            <v>5802</v>
          </cell>
          <cell r="B421" t="str">
            <v>005802</v>
          </cell>
          <cell r="C421" t="str">
            <v>RINA WAHYU WIJAYANTI</v>
          </cell>
          <cell r="D421" t="str">
            <v>SAMI</v>
          </cell>
          <cell r="E421" t="str">
            <v>OPT-135</v>
          </cell>
          <cell r="F421">
            <v>39114</v>
          </cell>
          <cell r="G421" t="str">
            <v>-</v>
          </cell>
          <cell r="H421" t="str">
            <v>-</v>
          </cell>
          <cell r="I421" t="str">
            <v>PRD</v>
          </cell>
          <cell r="J421" t="str">
            <v>FINAL ASSY</v>
          </cell>
          <cell r="K421" t="str">
            <v>HONDA NES</v>
          </cell>
          <cell r="L421" t="str">
            <v>HONDA NES HEV PET ENGINE</v>
          </cell>
          <cell r="M421" t="str">
            <v>CV H04</v>
          </cell>
          <cell r="N421" t="str">
            <v>S/A 2</v>
          </cell>
          <cell r="O421" t="str">
            <v>SUB ASSY</v>
          </cell>
          <cell r="P421" t="str">
            <v>B</v>
          </cell>
          <cell r="Q421" t="str">
            <v>DL</v>
          </cell>
          <cell r="R421" t="str">
            <v>PERMANENT</v>
          </cell>
          <cell r="S421" t="str">
            <v>PRM</v>
          </cell>
          <cell r="T421" t="str">
            <v>OPT</v>
          </cell>
          <cell r="U421" t="str">
            <v>-</v>
          </cell>
          <cell r="V421" t="str">
            <v>P</v>
          </cell>
          <cell r="W421">
            <v>39</v>
          </cell>
        </row>
        <row r="422">
          <cell r="A422">
            <v>5803</v>
          </cell>
          <cell r="B422" t="str">
            <v>005803</v>
          </cell>
          <cell r="C422" t="str">
            <v>RINI ROHKAYATI</v>
          </cell>
          <cell r="D422" t="str">
            <v>SAMI</v>
          </cell>
          <cell r="E422" t="str">
            <v>OPT-135</v>
          </cell>
          <cell r="F422">
            <v>39114</v>
          </cell>
          <cell r="G422" t="str">
            <v>-</v>
          </cell>
          <cell r="H422" t="str">
            <v>-</v>
          </cell>
          <cell r="I422" t="str">
            <v>PRD</v>
          </cell>
          <cell r="J422" t="str">
            <v>PRE ASSY</v>
          </cell>
          <cell r="K422" t="str">
            <v>MAZDA 3</v>
          </cell>
          <cell r="L422" t="str">
            <v>MAZDA REAR</v>
          </cell>
          <cell r="M422" t="str">
            <v>CPA MAZDA J03</v>
          </cell>
          <cell r="N422" t="str">
            <v>RELIEF 2</v>
          </cell>
          <cell r="O422" t="str">
            <v>RELIEF</v>
          </cell>
          <cell r="P422" t="str">
            <v>B</v>
          </cell>
          <cell r="Q422" t="str">
            <v>PI</v>
          </cell>
          <cell r="R422" t="str">
            <v>PERMANENT</v>
          </cell>
          <cell r="S422" t="str">
            <v>PRM</v>
          </cell>
          <cell r="T422" t="str">
            <v>OPT</v>
          </cell>
          <cell r="U422" t="str">
            <v>-</v>
          </cell>
          <cell r="V422" t="str">
            <v>P</v>
          </cell>
          <cell r="W422">
            <v>38</v>
          </cell>
        </row>
        <row r="423">
          <cell r="A423">
            <v>1144</v>
          </cell>
          <cell r="B423" t="str">
            <v>001144</v>
          </cell>
          <cell r="C423" t="str">
            <v>FITRIA</v>
          </cell>
          <cell r="D423" t="str">
            <v>SAMI</v>
          </cell>
          <cell r="E423" t="str">
            <v>OPT-28</v>
          </cell>
          <cell r="F423">
            <v>37900</v>
          </cell>
          <cell r="G423" t="str">
            <v>-</v>
          </cell>
          <cell r="H423" t="str">
            <v>-</v>
          </cell>
          <cell r="I423" t="str">
            <v>PRD</v>
          </cell>
          <cell r="J423" t="str">
            <v>PRE ASSY</v>
          </cell>
          <cell r="K423" t="str">
            <v>TOYOTA</v>
          </cell>
          <cell r="L423" t="str">
            <v>HV TOYOTA LV</v>
          </cell>
          <cell r="M423" t="str">
            <v>CPA TOYOTA LV</v>
          </cell>
          <cell r="N423" t="str">
            <v>OJT INSP PRE ASSY</v>
          </cell>
          <cell r="O423" t="str">
            <v>OTHERS</v>
          </cell>
          <cell r="P423" t="str">
            <v>A</v>
          </cell>
          <cell r="Q423" t="str">
            <v>PI</v>
          </cell>
          <cell r="R423" t="str">
            <v>PERMANENT</v>
          </cell>
          <cell r="S423" t="str">
            <v>PRM</v>
          </cell>
          <cell r="T423" t="str">
            <v>OPT</v>
          </cell>
          <cell r="U423" t="str">
            <v>-</v>
          </cell>
          <cell r="V423" t="str">
            <v>P</v>
          </cell>
          <cell r="W423">
            <v>40</v>
          </cell>
        </row>
        <row r="424">
          <cell r="A424">
            <v>5786</v>
          </cell>
          <cell r="B424" t="str">
            <v>005786</v>
          </cell>
          <cell r="C424" t="str">
            <v>MINTARSIH</v>
          </cell>
          <cell r="D424" t="str">
            <v>SAMI</v>
          </cell>
          <cell r="E424" t="str">
            <v>OPT-135</v>
          </cell>
          <cell r="F424">
            <v>39114</v>
          </cell>
          <cell r="G424" t="str">
            <v>-</v>
          </cell>
          <cell r="H424" t="str">
            <v>-</v>
          </cell>
          <cell r="I424" t="str">
            <v>PRD</v>
          </cell>
          <cell r="J424" t="str">
            <v>PRE ASSY</v>
          </cell>
          <cell r="K424" t="str">
            <v>TOYOTA</v>
          </cell>
          <cell r="L424" t="str">
            <v>HV TOYOTA LV</v>
          </cell>
          <cell r="M424" t="str">
            <v>CPA TOYOTA LV</v>
          </cell>
          <cell r="N424" t="str">
            <v>OJT INSP CUTTING</v>
          </cell>
          <cell r="O424" t="str">
            <v>OTHERS</v>
          </cell>
          <cell r="P424" t="str">
            <v>A</v>
          </cell>
          <cell r="Q424" t="str">
            <v>PI</v>
          </cell>
          <cell r="R424" t="str">
            <v>PERMANENT</v>
          </cell>
          <cell r="S424" t="str">
            <v>PRM</v>
          </cell>
          <cell r="T424" t="str">
            <v>OPT</v>
          </cell>
          <cell r="U424" t="str">
            <v>-</v>
          </cell>
          <cell r="V424" t="str">
            <v>P</v>
          </cell>
          <cell r="W424">
            <v>40</v>
          </cell>
        </row>
        <row r="425">
          <cell r="A425">
            <v>5819</v>
          </cell>
          <cell r="B425" t="str">
            <v>005819</v>
          </cell>
          <cell r="C425" t="str">
            <v>SRI WAHYUNI</v>
          </cell>
          <cell r="D425" t="str">
            <v>SAMI</v>
          </cell>
          <cell r="E425" t="str">
            <v>OPT-135</v>
          </cell>
          <cell r="F425">
            <v>39114</v>
          </cell>
          <cell r="G425" t="str">
            <v>-</v>
          </cell>
          <cell r="H425" t="str">
            <v>-</v>
          </cell>
          <cell r="I425" t="str">
            <v>PRD</v>
          </cell>
          <cell r="J425" t="str">
            <v>PRE ASSY</v>
          </cell>
          <cell r="K425" t="str">
            <v>HONDA FIT</v>
          </cell>
          <cell r="L425" t="str">
            <v>HONDA FIT</v>
          </cell>
          <cell r="M425" t="str">
            <v>CPA HONDA FIT HEV/PET</v>
          </cell>
          <cell r="N425" t="str">
            <v>BFT 2</v>
          </cell>
          <cell r="O425" t="str">
            <v>WFAP 2.2</v>
          </cell>
          <cell r="P425" t="str">
            <v>B</v>
          </cell>
          <cell r="Q425" t="str">
            <v>DL</v>
          </cell>
          <cell r="R425" t="str">
            <v>PERMANENT</v>
          </cell>
          <cell r="S425" t="str">
            <v>PRM</v>
          </cell>
          <cell r="T425" t="str">
            <v>OPT</v>
          </cell>
          <cell r="U425" t="str">
            <v>-</v>
          </cell>
          <cell r="V425" t="str">
            <v>P</v>
          </cell>
          <cell r="W425">
            <v>38</v>
          </cell>
        </row>
        <row r="426">
          <cell r="A426">
            <v>8683</v>
          </cell>
          <cell r="B426" t="str">
            <v>008683</v>
          </cell>
          <cell r="C426" t="str">
            <v>FITRI FATIKAH</v>
          </cell>
          <cell r="D426" t="str">
            <v>SAMI</v>
          </cell>
          <cell r="E426" t="str">
            <v>OPT-190</v>
          </cell>
          <cell r="F426">
            <v>39888</v>
          </cell>
          <cell r="G426" t="str">
            <v>-</v>
          </cell>
          <cell r="H426" t="str">
            <v>-</v>
          </cell>
          <cell r="I426" t="str">
            <v>PRD</v>
          </cell>
          <cell r="J426" t="str">
            <v>PRE ASSY</v>
          </cell>
          <cell r="K426" t="str">
            <v>TOYOTA</v>
          </cell>
          <cell r="L426" t="str">
            <v>HV TOYOTA LV</v>
          </cell>
          <cell r="M426" t="str">
            <v>CPA TOYOTA LV</v>
          </cell>
          <cell r="N426" t="str">
            <v>OJT CUTTING AC90-STA-05</v>
          </cell>
          <cell r="O426" t="str">
            <v>OTHERS</v>
          </cell>
          <cell r="P426" t="str">
            <v>A</v>
          </cell>
          <cell r="Q426" t="str">
            <v>PI</v>
          </cell>
          <cell r="R426" t="str">
            <v>PERMANENT</v>
          </cell>
          <cell r="S426" t="str">
            <v>PRM</v>
          </cell>
          <cell r="T426" t="str">
            <v>OPT</v>
          </cell>
          <cell r="U426" t="str">
            <v>-</v>
          </cell>
          <cell r="V426" t="str">
            <v>P</v>
          </cell>
          <cell r="W426">
            <v>34</v>
          </cell>
        </row>
        <row r="427">
          <cell r="A427">
            <v>5825</v>
          </cell>
          <cell r="B427" t="str">
            <v>005825</v>
          </cell>
          <cell r="C427" t="str">
            <v>SUSANTO</v>
          </cell>
          <cell r="D427" t="str">
            <v>SAMI</v>
          </cell>
          <cell r="E427" t="str">
            <v>OPT-135</v>
          </cell>
          <cell r="F427">
            <v>39114</v>
          </cell>
          <cell r="G427" t="str">
            <v>-</v>
          </cell>
          <cell r="H427" t="str">
            <v>-</v>
          </cell>
          <cell r="I427" t="str">
            <v>QA</v>
          </cell>
          <cell r="J427" t="str">
            <v>NON LINE</v>
          </cell>
          <cell r="K427" t="str">
            <v>ALL</v>
          </cell>
          <cell r="L427" t="str">
            <v>AQUA SIENTA</v>
          </cell>
          <cell r="M427" t="str">
            <v>QA LL</v>
          </cell>
          <cell r="N427" t="str">
            <v>QA LINE LEADER</v>
          </cell>
          <cell r="O427" t="str">
            <v>FPI LL</v>
          </cell>
          <cell r="P427" t="str">
            <v>A (NS)</v>
          </cell>
          <cell r="Q427" t="str">
            <v>PI</v>
          </cell>
          <cell r="R427" t="str">
            <v>PERMANENT</v>
          </cell>
          <cell r="S427" t="str">
            <v>PRM</v>
          </cell>
          <cell r="T427" t="str">
            <v>LL</v>
          </cell>
          <cell r="U427" t="str">
            <v>-</v>
          </cell>
          <cell r="V427" t="str">
            <v>L</v>
          </cell>
          <cell r="W427">
            <v>39</v>
          </cell>
        </row>
        <row r="428">
          <cell r="A428">
            <v>5828</v>
          </cell>
          <cell r="B428" t="str">
            <v>005828</v>
          </cell>
          <cell r="C428" t="str">
            <v>SUWARNO</v>
          </cell>
          <cell r="D428" t="str">
            <v>SAMI</v>
          </cell>
          <cell r="E428" t="str">
            <v>OPT-135</v>
          </cell>
          <cell r="F428">
            <v>39114</v>
          </cell>
          <cell r="G428" t="str">
            <v>-</v>
          </cell>
          <cell r="H428" t="str">
            <v>-</v>
          </cell>
          <cell r="I428" t="str">
            <v>QA</v>
          </cell>
          <cell r="J428" t="str">
            <v>NON LINE</v>
          </cell>
          <cell r="K428" t="str">
            <v>ALL</v>
          </cell>
          <cell r="L428" t="str">
            <v>ALL</v>
          </cell>
          <cell r="M428" t="str">
            <v>RCV - CANDI</v>
          </cell>
          <cell r="N428" t="str">
            <v>GL RECEIVING</v>
          </cell>
          <cell r="O428" t="str">
            <v>RCV</v>
          </cell>
          <cell r="P428" t="str">
            <v>A (NS)</v>
          </cell>
          <cell r="Q428" t="str">
            <v>PS</v>
          </cell>
          <cell r="R428" t="str">
            <v>PERMANENT</v>
          </cell>
          <cell r="S428" t="str">
            <v>PRM</v>
          </cell>
          <cell r="T428" t="str">
            <v>GL</v>
          </cell>
          <cell r="U428" t="str">
            <v>-</v>
          </cell>
          <cell r="V428" t="str">
            <v>L</v>
          </cell>
          <cell r="W428">
            <v>41</v>
          </cell>
        </row>
        <row r="429">
          <cell r="A429">
            <v>9450</v>
          </cell>
          <cell r="B429" t="str">
            <v>009450</v>
          </cell>
          <cell r="C429" t="str">
            <v>MEI DWI ASTUTI</v>
          </cell>
          <cell r="D429" t="str">
            <v>SAMI</v>
          </cell>
          <cell r="E429" t="str">
            <v>OPT-216</v>
          </cell>
          <cell r="F429">
            <v>40148</v>
          </cell>
          <cell r="G429" t="str">
            <v>-</v>
          </cell>
          <cell r="H429" t="str">
            <v>-</v>
          </cell>
          <cell r="I429" t="str">
            <v>PRD</v>
          </cell>
          <cell r="J429" t="str">
            <v>PRE ASSY</v>
          </cell>
          <cell r="K429" t="str">
            <v>TOYOTA</v>
          </cell>
          <cell r="L429" t="str">
            <v>HV TOYOTA LV</v>
          </cell>
          <cell r="M429" t="str">
            <v>CPA TOYOTA LV</v>
          </cell>
          <cell r="N429" t="str">
            <v>PRD LINE CHO</v>
          </cell>
          <cell r="O429" t="str">
            <v>FPI LL</v>
          </cell>
          <cell r="P429" t="str">
            <v>A</v>
          </cell>
          <cell r="Q429" t="str">
            <v>PI</v>
          </cell>
          <cell r="R429" t="str">
            <v>PERMANENT</v>
          </cell>
          <cell r="S429" t="str">
            <v>PRM</v>
          </cell>
          <cell r="T429" t="str">
            <v>LC</v>
          </cell>
          <cell r="U429" t="str">
            <v>-</v>
          </cell>
          <cell r="V429" t="str">
            <v>P</v>
          </cell>
          <cell r="W429">
            <v>33</v>
          </cell>
        </row>
        <row r="430">
          <cell r="A430">
            <v>9574</v>
          </cell>
          <cell r="B430" t="str">
            <v>009574</v>
          </cell>
          <cell r="C430" t="str">
            <v>ACHMAD HANAFI</v>
          </cell>
          <cell r="D430" t="str">
            <v>SAMI</v>
          </cell>
          <cell r="E430" t="str">
            <v>OPT-218</v>
          </cell>
          <cell r="F430">
            <v>40179</v>
          </cell>
          <cell r="G430" t="str">
            <v>-</v>
          </cell>
          <cell r="H430" t="str">
            <v>-</v>
          </cell>
          <cell r="I430" t="str">
            <v>PRD</v>
          </cell>
          <cell r="J430" t="str">
            <v>PRE ASSY</v>
          </cell>
          <cell r="K430" t="str">
            <v>TOYOTA</v>
          </cell>
          <cell r="L430" t="str">
            <v>HV TOYOTA LV</v>
          </cell>
          <cell r="M430" t="str">
            <v>CPA TOYOTA LV</v>
          </cell>
          <cell r="N430" t="str">
            <v>SUB LINE CHO</v>
          </cell>
          <cell r="O430" t="str">
            <v>GL</v>
          </cell>
          <cell r="P430" t="str">
            <v>A</v>
          </cell>
          <cell r="Q430" t="str">
            <v>PI</v>
          </cell>
          <cell r="R430" t="str">
            <v>PERMANENT</v>
          </cell>
          <cell r="S430" t="str">
            <v>PRM</v>
          </cell>
          <cell r="T430" t="str">
            <v>SLC</v>
          </cell>
          <cell r="U430" t="str">
            <v>-</v>
          </cell>
          <cell r="V430" t="str">
            <v>L</v>
          </cell>
          <cell r="W430">
            <v>35</v>
          </cell>
        </row>
        <row r="431">
          <cell r="A431">
            <v>10512</v>
          </cell>
          <cell r="B431" t="str">
            <v>010512</v>
          </cell>
          <cell r="C431" t="str">
            <v>MUASSAMAH</v>
          </cell>
          <cell r="D431" t="str">
            <v>SAMI</v>
          </cell>
          <cell r="E431" t="str">
            <v>OPT-273</v>
          </cell>
          <cell r="F431">
            <v>40535</v>
          </cell>
          <cell r="G431" t="str">
            <v>-</v>
          </cell>
          <cell r="H431" t="str">
            <v>-</v>
          </cell>
          <cell r="I431" t="str">
            <v>PRD</v>
          </cell>
          <cell r="J431" t="str">
            <v>PRE ASSY</v>
          </cell>
          <cell r="K431" t="str">
            <v>TOYOTA</v>
          </cell>
          <cell r="L431" t="str">
            <v>HV TOYOTA LV</v>
          </cell>
          <cell r="M431" t="str">
            <v>CPA TOYOTA LV</v>
          </cell>
          <cell r="N431" t="str">
            <v>OJT CUTTING AC90-STA-06</v>
          </cell>
          <cell r="O431" t="str">
            <v>OTHERS</v>
          </cell>
          <cell r="P431" t="str">
            <v>A</v>
          </cell>
          <cell r="Q431" t="str">
            <v>PI</v>
          </cell>
          <cell r="R431" t="str">
            <v>PERMANENT</v>
          </cell>
          <cell r="S431" t="str">
            <v>PRM</v>
          </cell>
          <cell r="T431" t="str">
            <v>OPT</v>
          </cell>
          <cell r="U431" t="str">
            <v>-</v>
          </cell>
          <cell r="V431" t="str">
            <v>P</v>
          </cell>
          <cell r="W431">
            <v>32</v>
          </cell>
        </row>
        <row r="432">
          <cell r="A432">
            <v>5882</v>
          </cell>
          <cell r="B432" t="str">
            <v>005882</v>
          </cell>
          <cell r="C432" t="str">
            <v>ANIK MARYANI</v>
          </cell>
          <cell r="D432" t="str">
            <v>SAMI</v>
          </cell>
          <cell r="E432" t="str">
            <v>OPT-137</v>
          </cell>
          <cell r="F432">
            <v>39129</v>
          </cell>
          <cell r="G432" t="str">
            <v>-</v>
          </cell>
          <cell r="H432" t="str">
            <v>-</v>
          </cell>
          <cell r="I432" t="str">
            <v>PRD</v>
          </cell>
          <cell r="J432" t="str">
            <v>FINAL ASSY</v>
          </cell>
          <cell r="K432" t="str">
            <v>TOYOTA</v>
          </cell>
          <cell r="L432" t="str">
            <v>AQUA SIENTA</v>
          </cell>
          <cell r="M432" t="str">
            <v>CV T02</v>
          </cell>
          <cell r="N432" t="str">
            <v>OJT VISUAL 2.2</v>
          </cell>
          <cell r="O432" t="str">
            <v>OTHERS</v>
          </cell>
          <cell r="P432" t="str">
            <v>B</v>
          </cell>
          <cell r="Q432" t="str">
            <v>PI</v>
          </cell>
          <cell r="R432" t="str">
            <v>PERMANENT</v>
          </cell>
          <cell r="S432" t="str">
            <v>PRM</v>
          </cell>
          <cell r="T432" t="str">
            <v>OPT</v>
          </cell>
          <cell r="U432" t="str">
            <v>-</v>
          </cell>
          <cell r="V432" t="str">
            <v>P</v>
          </cell>
          <cell r="W432">
            <v>38</v>
          </cell>
        </row>
        <row r="433">
          <cell r="A433">
            <v>10870</v>
          </cell>
          <cell r="B433" t="str">
            <v>010870</v>
          </cell>
          <cell r="C433" t="str">
            <v>WATI NURJANAH</v>
          </cell>
          <cell r="D433" t="str">
            <v>SAMI</v>
          </cell>
          <cell r="E433" t="str">
            <v>OPT-283</v>
          </cell>
          <cell r="F433">
            <v>40572</v>
          </cell>
          <cell r="G433" t="str">
            <v>-</v>
          </cell>
          <cell r="H433" t="str">
            <v>-</v>
          </cell>
          <cell r="I433" t="str">
            <v>PRD</v>
          </cell>
          <cell r="J433" t="str">
            <v>PRE ASSY</v>
          </cell>
          <cell r="K433" t="str">
            <v>TOYOTA</v>
          </cell>
          <cell r="L433" t="str">
            <v>HV TOYOTA LV</v>
          </cell>
          <cell r="M433" t="str">
            <v>CPA TOYOTA LV</v>
          </cell>
          <cell r="N433" t="str">
            <v>OJT INSP CUTTING</v>
          </cell>
          <cell r="O433" t="str">
            <v>OTHERS</v>
          </cell>
          <cell r="P433" t="str">
            <v>A</v>
          </cell>
          <cell r="Q433" t="str">
            <v>PI</v>
          </cell>
          <cell r="R433" t="str">
            <v>PERMANENT</v>
          </cell>
          <cell r="S433" t="str">
            <v>PRM</v>
          </cell>
          <cell r="T433" t="str">
            <v>OPT</v>
          </cell>
          <cell r="U433" t="str">
            <v>-</v>
          </cell>
          <cell r="V433" t="str">
            <v>P</v>
          </cell>
          <cell r="W433">
            <v>32</v>
          </cell>
        </row>
        <row r="434">
          <cell r="A434">
            <v>11243</v>
          </cell>
          <cell r="B434" t="str">
            <v>011243</v>
          </cell>
          <cell r="C434" t="str">
            <v>ANIK EKA HARYANTI</v>
          </cell>
          <cell r="D434" t="str">
            <v>SAMI</v>
          </cell>
          <cell r="E434" t="str">
            <v>OPT-294</v>
          </cell>
          <cell r="F434">
            <v>40617</v>
          </cell>
          <cell r="G434" t="str">
            <v>-</v>
          </cell>
          <cell r="H434" t="str">
            <v>-</v>
          </cell>
          <cell r="I434" t="str">
            <v>PRD</v>
          </cell>
          <cell r="J434" t="str">
            <v>PRE ASSY</v>
          </cell>
          <cell r="K434" t="str">
            <v>TOYOTA</v>
          </cell>
          <cell r="L434" t="str">
            <v>HV TOYOTA LV</v>
          </cell>
          <cell r="M434" t="str">
            <v>CPA TOYOTA LV</v>
          </cell>
          <cell r="N434" t="str">
            <v>OJT CUTTING AC90-STA-02</v>
          </cell>
          <cell r="O434" t="str">
            <v>OTHERS</v>
          </cell>
          <cell r="P434" t="str">
            <v>A</v>
          </cell>
          <cell r="Q434" t="str">
            <v>PI</v>
          </cell>
          <cell r="R434" t="str">
            <v>PERMANENT</v>
          </cell>
          <cell r="S434" t="str">
            <v>PRM</v>
          </cell>
          <cell r="T434" t="str">
            <v>OPT</v>
          </cell>
          <cell r="U434" t="str">
            <v>-</v>
          </cell>
          <cell r="V434" t="str">
            <v>P</v>
          </cell>
          <cell r="W434">
            <v>32</v>
          </cell>
        </row>
        <row r="435">
          <cell r="A435">
            <v>11372</v>
          </cell>
          <cell r="B435" t="str">
            <v>011372</v>
          </cell>
          <cell r="C435" t="str">
            <v>MASTIK</v>
          </cell>
          <cell r="D435" t="str">
            <v>SAMI</v>
          </cell>
          <cell r="E435" t="str">
            <v>OPT-304</v>
          </cell>
          <cell r="F435">
            <v>40696</v>
          </cell>
          <cell r="G435" t="str">
            <v>-</v>
          </cell>
          <cell r="H435" t="str">
            <v>-</v>
          </cell>
          <cell r="I435" t="str">
            <v>PRD</v>
          </cell>
          <cell r="J435" t="str">
            <v>PRE ASSY</v>
          </cell>
          <cell r="K435" t="str">
            <v>TOYOTA</v>
          </cell>
          <cell r="L435" t="str">
            <v>HV TOYOTA LV</v>
          </cell>
          <cell r="M435" t="str">
            <v>CPA TOYOTA LV</v>
          </cell>
          <cell r="N435" t="str">
            <v>OJT CUTTING AC90-STA-04</v>
          </cell>
          <cell r="O435" t="str">
            <v>OTHERS</v>
          </cell>
          <cell r="P435" t="str">
            <v>A</v>
          </cell>
          <cell r="Q435" t="str">
            <v>PI</v>
          </cell>
          <cell r="R435" t="str">
            <v>PERMANENT</v>
          </cell>
          <cell r="S435" t="str">
            <v>PRM</v>
          </cell>
          <cell r="T435" t="str">
            <v>OPT</v>
          </cell>
          <cell r="U435" t="str">
            <v>-</v>
          </cell>
          <cell r="V435" t="str">
            <v>P</v>
          </cell>
          <cell r="W435">
            <v>32</v>
          </cell>
        </row>
        <row r="436">
          <cell r="A436">
            <v>12463</v>
          </cell>
          <cell r="B436" t="str">
            <v>012463</v>
          </cell>
          <cell r="C436" t="str">
            <v>FITRI NURHIDAYAH</v>
          </cell>
          <cell r="D436" t="str">
            <v>SAMI</v>
          </cell>
          <cell r="E436" t="str">
            <v>OPT-318</v>
          </cell>
          <cell r="F436">
            <v>40812</v>
          </cell>
          <cell r="G436" t="str">
            <v>-</v>
          </cell>
          <cell r="H436" t="str">
            <v>-</v>
          </cell>
          <cell r="I436" t="str">
            <v>PRD</v>
          </cell>
          <cell r="J436" t="str">
            <v>PRE ASSY</v>
          </cell>
          <cell r="K436" t="str">
            <v>TOYOTA</v>
          </cell>
          <cell r="L436" t="str">
            <v>HV TOYOTA LV</v>
          </cell>
          <cell r="M436" t="str">
            <v>CPA TOYOTA LV</v>
          </cell>
          <cell r="N436" t="str">
            <v>OJT CUTTING AC90-STA-03</v>
          </cell>
          <cell r="O436" t="str">
            <v>OTHERS</v>
          </cell>
          <cell r="P436" t="str">
            <v>A</v>
          </cell>
          <cell r="Q436" t="str">
            <v>PI</v>
          </cell>
          <cell r="R436" t="str">
            <v>PERMANENT</v>
          </cell>
          <cell r="S436" t="str">
            <v>PRM</v>
          </cell>
          <cell r="T436" t="str">
            <v>OPT</v>
          </cell>
          <cell r="U436" t="str">
            <v>-</v>
          </cell>
          <cell r="V436" t="str">
            <v>P</v>
          </cell>
          <cell r="W436">
            <v>35</v>
          </cell>
        </row>
        <row r="437">
          <cell r="A437">
            <v>5905</v>
          </cell>
          <cell r="B437" t="str">
            <v>005905</v>
          </cell>
          <cell r="C437" t="str">
            <v>HERU SETIAWAN</v>
          </cell>
          <cell r="D437" t="str">
            <v>SAMI</v>
          </cell>
          <cell r="E437" t="str">
            <v>OPT-137</v>
          </cell>
          <cell r="F437">
            <v>39129</v>
          </cell>
          <cell r="G437" t="str">
            <v>-</v>
          </cell>
          <cell r="H437" t="str">
            <v>-</v>
          </cell>
          <cell r="I437" t="str">
            <v>LOG</v>
          </cell>
          <cell r="J437" t="str">
            <v>WHS</v>
          </cell>
          <cell r="K437" t="str">
            <v>ALL</v>
          </cell>
          <cell r="L437" t="str">
            <v>ALL</v>
          </cell>
          <cell r="M437" t="str">
            <v>WHS</v>
          </cell>
          <cell r="N437" t="str">
            <v>Parts warehouse (receiving, handling in warehouse &amp; wire setting to reel)</v>
          </cell>
          <cell r="O437" t="str">
            <v>WHS IN</v>
          </cell>
          <cell r="P437" t="str">
            <v>A</v>
          </cell>
          <cell r="Q437" t="str">
            <v>PS</v>
          </cell>
          <cell r="R437" t="str">
            <v>PERMANENT</v>
          </cell>
          <cell r="S437" t="str">
            <v>PRM</v>
          </cell>
          <cell r="T437" t="str">
            <v>OPT</v>
          </cell>
          <cell r="U437" t="str">
            <v>-</v>
          </cell>
          <cell r="V437" t="str">
            <v>L</v>
          </cell>
          <cell r="W437">
            <v>40</v>
          </cell>
        </row>
        <row r="438">
          <cell r="A438">
            <v>5906</v>
          </cell>
          <cell r="B438" t="str">
            <v>005906</v>
          </cell>
          <cell r="C438" t="str">
            <v>IKA SARI</v>
          </cell>
          <cell r="D438" t="str">
            <v>SAMI</v>
          </cell>
          <cell r="E438" t="str">
            <v>OPT-137</v>
          </cell>
          <cell r="F438">
            <v>39129</v>
          </cell>
          <cell r="G438" t="str">
            <v>-</v>
          </cell>
          <cell r="H438" t="str">
            <v>-</v>
          </cell>
          <cell r="I438" t="str">
            <v>QA</v>
          </cell>
          <cell r="J438" t="str">
            <v>PRE ASSY</v>
          </cell>
          <cell r="K438" t="str">
            <v>HONDA EXPORT</v>
          </cell>
          <cell r="L438" t="str">
            <v>HONDA EXPORT</v>
          </cell>
          <cell r="M438" t="str">
            <v>CPA HONDA EXPORT</v>
          </cell>
          <cell r="N438" t="str">
            <v>CROSS SECTION</v>
          </cell>
          <cell r="O438" t="str">
            <v>CROSS SECT.</v>
          </cell>
          <cell r="P438" t="str">
            <v>B</v>
          </cell>
          <cell r="Q438" t="str">
            <v>PS</v>
          </cell>
          <cell r="R438" t="str">
            <v>PERMANENT</v>
          </cell>
          <cell r="S438" t="str">
            <v>PRM</v>
          </cell>
          <cell r="T438" t="str">
            <v>OPT</v>
          </cell>
          <cell r="U438" t="str">
            <v>-</v>
          </cell>
          <cell r="V438" t="str">
            <v>P</v>
          </cell>
          <cell r="W438">
            <v>39</v>
          </cell>
        </row>
        <row r="439">
          <cell r="A439">
            <v>5912</v>
          </cell>
          <cell r="B439" t="str">
            <v>005912</v>
          </cell>
          <cell r="C439" t="str">
            <v>KAMINI</v>
          </cell>
          <cell r="D439" t="str">
            <v>SAMI</v>
          </cell>
          <cell r="E439" t="str">
            <v>OPT-137</v>
          </cell>
          <cell r="F439">
            <v>39129</v>
          </cell>
          <cell r="G439" t="str">
            <v>-</v>
          </cell>
          <cell r="H439" t="str">
            <v>-</v>
          </cell>
          <cell r="I439" t="str">
            <v>PRD</v>
          </cell>
          <cell r="J439" t="str">
            <v>PRE ASSY</v>
          </cell>
          <cell r="K439" t="str">
            <v>TOYOTA HV</v>
          </cell>
          <cell r="L439" t="str">
            <v>HV TOYOTA</v>
          </cell>
          <cell r="M439" t="str">
            <v>CPA TOYOTA 10 PL</v>
          </cell>
          <cell r="N439" t="str">
            <v>SUB LINE CHO</v>
          </cell>
          <cell r="O439" t="str">
            <v>GL</v>
          </cell>
          <cell r="P439" t="str">
            <v>B</v>
          </cell>
          <cell r="Q439" t="str">
            <v>PI</v>
          </cell>
          <cell r="R439" t="str">
            <v>PERMANENT</v>
          </cell>
          <cell r="S439" t="str">
            <v>PRM</v>
          </cell>
          <cell r="T439" t="str">
            <v>SLC</v>
          </cell>
          <cell r="U439" t="str">
            <v>-</v>
          </cell>
          <cell r="V439" t="str">
            <v>P</v>
          </cell>
          <cell r="W439">
            <v>40</v>
          </cell>
        </row>
        <row r="440">
          <cell r="A440">
            <v>5915</v>
          </cell>
          <cell r="B440" t="str">
            <v>005915</v>
          </cell>
          <cell r="C440" t="str">
            <v>LISTIANA</v>
          </cell>
          <cell r="D440" t="str">
            <v>SAMI</v>
          </cell>
          <cell r="E440" t="str">
            <v>OPT-137</v>
          </cell>
          <cell r="F440">
            <v>39129</v>
          </cell>
          <cell r="G440" t="str">
            <v>-</v>
          </cell>
          <cell r="H440" t="str">
            <v>-</v>
          </cell>
          <cell r="I440" t="str">
            <v>QA</v>
          </cell>
          <cell r="J440" t="str">
            <v>FINAL ASSY</v>
          </cell>
          <cell r="K440" t="str">
            <v>HONDA FREED</v>
          </cell>
          <cell r="L440" t="str">
            <v>HONDA FREED W/H FLOOR</v>
          </cell>
          <cell r="M440" t="str">
            <v>CV 4</v>
          </cell>
          <cell r="N440" t="str">
            <v>GL REWORK</v>
          </cell>
          <cell r="O440" t="str">
            <v>REWORK</v>
          </cell>
          <cell r="P440" t="str">
            <v>B</v>
          </cell>
          <cell r="Q440" t="str">
            <v>PI</v>
          </cell>
          <cell r="R440" t="str">
            <v>PERMANENT</v>
          </cell>
          <cell r="S440" t="str">
            <v>PRM</v>
          </cell>
          <cell r="T440" t="str">
            <v>GL</v>
          </cell>
          <cell r="U440" t="str">
            <v>-</v>
          </cell>
          <cell r="V440" t="str">
            <v>P</v>
          </cell>
          <cell r="W440">
            <v>39</v>
          </cell>
        </row>
        <row r="441">
          <cell r="A441">
            <v>5923</v>
          </cell>
          <cell r="B441" t="str">
            <v>005923</v>
          </cell>
          <cell r="C441" t="str">
            <v>NUGRAHA</v>
          </cell>
          <cell r="D441" t="str">
            <v>SAMI</v>
          </cell>
          <cell r="E441" t="str">
            <v>OPT-137</v>
          </cell>
          <cell r="F441">
            <v>39129</v>
          </cell>
          <cell r="G441" t="str">
            <v>-</v>
          </cell>
          <cell r="H441" t="str">
            <v>-</v>
          </cell>
          <cell r="I441" t="str">
            <v>PRD</v>
          </cell>
          <cell r="J441" t="str">
            <v>PRE ASSY</v>
          </cell>
          <cell r="K441" t="str">
            <v>HONDA FIT</v>
          </cell>
          <cell r="L441" t="str">
            <v>HONDA FIT</v>
          </cell>
          <cell r="M441" t="str">
            <v>CPA HONDA FIT HEV/PET</v>
          </cell>
          <cell r="N441" t="str">
            <v>CUTTING AC90-HDA-04, 08</v>
          </cell>
          <cell r="O441" t="str">
            <v>CUTTING WIRE</v>
          </cell>
          <cell r="P441" t="str">
            <v>B</v>
          </cell>
          <cell r="Q441" t="str">
            <v>DL</v>
          </cell>
          <cell r="R441" t="str">
            <v>PERMANENT</v>
          </cell>
          <cell r="S441" t="str">
            <v>PRM</v>
          </cell>
          <cell r="T441" t="str">
            <v>OPT</v>
          </cell>
          <cell r="U441" t="str">
            <v>-</v>
          </cell>
          <cell r="V441" t="str">
            <v>L</v>
          </cell>
          <cell r="W441">
            <v>41</v>
          </cell>
        </row>
        <row r="442">
          <cell r="A442">
            <v>443</v>
          </cell>
          <cell r="B442" t="str">
            <v>000443</v>
          </cell>
          <cell r="C442" t="str">
            <v>MISWATI</v>
          </cell>
          <cell r="D442" t="str">
            <v>SAMI</v>
          </cell>
          <cell r="E442" t="str">
            <v>OPT-12</v>
          </cell>
          <cell r="F442">
            <v>37746</v>
          </cell>
          <cell r="G442" t="str">
            <v>-</v>
          </cell>
          <cell r="H442" t="str">
            <v>-</v>
          </cell>
          <cell r="I442" t="str">
            <v>PRD</v>
          </cell>
          <cell r="J442" t="str">
            <v>NON LINE</v>
          </cell>
          <cell r="K442" t="str">
            <v>ALL</v>
          </cell>
          <cell r="L442" t="str">
            <v>ALL</v>
          </cell>
          <cell r="M442" t="str">
            <v>CUTTING PROJECT</v>
          </cell>
          <cell r="N442" t="str">
            <v>OUTPUT CUTTING</v>
          </cell>
          <cell r="O442" t="str">
            <v>GL</v>
          </cell>
          <cell r="P442" t="str">
            <v>A (NS)</v>
          </cell>
          <cell r="Q442" t="str">
            <v>PI</v>
          </cell>
          <cell r="R442" t="str">
            <v>PERMANENT</v>
          </cell>
          <cell r="S442" t="str">
            <v>PRM</v>
          </cell>
          <cell r="T442" t="str">
            <v>GL</v>
          </cell>
          <cell r="U442" t="str">
            <v>-</v>
          </cell>
          <cell r="V442" t="str">
            <v>P</v>
          </cell>
          <cell r="W442">
            <v>42</v>
          </cell>
        </row>
        <row r="443">
          <cell r="A443">
            <v>641</v>
          </cell>
          <cell r="B443" t="str">
            <v>000641</v>
          </cell>
          <cell r="C443" t="str">
            <v>RIRIN HARINI</v>
          </cell>
          <cell r="D443" t="str">
            <v>SAMI</v>
          </cell>
          <cell r="E443" t="str">
            <v>OPT-16</v>
          </cell>
          <cell r="F443">
            <v>37781</v>
          </cell>
          <cell r="G443" t="str">
            <v>-</v>
          </cell>
          <cell r="H443" t="str">
            <v>-</v>
          </cell>
          <cell r="I443" t="str">
            <v>PRD</v>
          </cell>
          <cell r="J443" t="str">
            <v>NON LINE</v>
          </cell>
          <cell r="K443" t="str">
            <v>ALL</v>
          </cell>
          <cell r="L443" t="str">
            <v>ALL</v>
          </cell>
          <cell r="M443" t="str">
            <v>CUTTING PROJECT</v>
          </cell>
          <cell r="N443" t="str">
            <v>PRD LINE LEADER</v>
          </cell>
          <cell r="O443" t="str">
            <v>FPI LL</v>
          </cell>
          <cell r="P443" t="str">
            <v>A (NS)</v>
          </cell>
          <cell r="Q443" t="str">
            <v>PI</v>
          </cell>
          <cell r="R443" t="str">
            <v>PERMANENT</v>
          </cell>
          <cell r="S443" t="str">
            <v>PRM</v>
          </cell>
          <cell r="T443" t="str">
            <v>LL</v>
          </cell>
          <cell r="U443" t="str">
            <v>-</v>
          </cell>
          <cell r="V443" t="str">
            <v>P</v>
          </cell>
          <cell r="W443">
            <v>43</v>
          </cell>
        </row>
        <row r="444">
          <cell r="A444">
            <v>4851</v>
          </cell>
          <cell r="B444" t="str">
            <v>004851</v>
          </cell>
          <cell r="C444" t="str">
            <v>ROHMAT</v>
          </cell>
          <cell r="D444" t="str">
            <v>SAMI</v>
          </cell>
          <cell r="E444" t="str">
            <v>OPT-120</v>
          </cell>
          <cell r="F444">
            <v>38930</v>
          </cell>
          <cell r="G444" t="str">
            <v>-</v>
          </cell>
          <cell r="H444" t="str">
            <v>-</v>
          </cell>
          <cell r="I444" t="str">
            <v>PRD</v>
          </cell>
          <cell r="J444" t="str">
            <v>NON LINE</v>
          </cell>
          <cell r="K444" t="str">
            <v>ALL</v>
          </cell>
          <cell r="L444" t="str">
            <v>ALL</v>
          </cell>
          <cell r="M444" t="str">
            <v>CUTTING PROJECT</v>
          </cell>
          <cell r="N444" t="str">
            <v>WIRE LOSS &amp; NW</v>
          </cell>
          <cell r="O444" t="str">
            <v>OTHERS</v>
          </cell>
          <cell r="P444" t="str">
            <v>A (NS)</v>
          </cell>
          <cell r="Q444" t="str">
            <v>PI</v>
          </cell>
          <cell r="R444" t="str">
            <v>PERMANENT</v>
          </cell>
          <cell r="S444" t="str">
            <v>PRM</v>
          </cell>
          <cell r="T444" t="str">
            <v>TKN</v>
          </cell>
          <cell r="U444" t="str">
            <v>-</v>
          </cell>
          <cell r="V444" t="str">
            <v>L</v>
          </cell>
          <cell r="W444">
            <v>40</v>
          </cell>
        </row>
        <row r="445">
          <cell r="A445">
            <v>5484</v>
          </cell>
          <cell r="B445" t="str">
            <v>005484</v>
          </cell>
          <cell r="C445" t="str">
            <v>SUMARTONO</v>
          </cell>
          <cell r="D445" t="str">
            <v>SAMI</v>
          </cell>
          <cell r="E445" t="str">
            <v>TKN-31</v>
          </cell>
          <cell r="F445">
            <v>38991</v>
          </cell>
          <cell r="G445" t="str">
            <v>-</v>
          </cell>
          <cell r="H445" t="str">
            <v>-</v>
          </cell>
          <cell r="I445" t="str">
            <v>PRD</v>
          </cell>
          <cell r="J445" t="str">
            <v>NON LINE</v>
          </cell>
          <cell r="K445" t="str">
            <v>ALL</v>
          </cell>
          <cell r="L445" t="str">
            <v>ALL</v>
          </cell>
          <cell r="M445" t="str">
            <v>CUTTING PROJECT</v>
          </cell>
          <cell r="N445" t="str">
            <v>OUTPUT CUTTING</v>
          </cell>
          <cell r="O445" t="str">
            <v>OTHERS</v>
          </cell>
          <cell r="P445" t="str">
            <v>A (NS)</v>
          </cell>
          <cell r="Q445" t="str">
            <v>PI</v>
          </cell>
          <cell r="R445" t="str">
            <v>PERMANENT</v>
          </cell>
          <cell r="S445" t="str">
            <v>PRM</v>
          </cell>
          <cell r="T445" t="str">
            <v>TKN</v>
          </cell>
          <cell r="U445" t="str">
            <v>-</v>
          </cell>
          <cell r="V445" t="str">
            <v>L</v>
          </cell>
          <cell r="W445">
            <v>41</v>
          </cell>
        </row>
        <row r="446">
          <cell r="A446">
            <v>5738</v>
          </cell>
          <cell r="B446" t="str">
            <v>005738</v>
          </cell>
          <cell r="C446" t="str">
            <v>SUMIYATI</v>
          </cell>
          <cell r="D446" t="str">
            <v>SAMI</v>
          </cell>
          <cell r="E446" t="str">
            <v>OPT-134</v>
          </cell>
          <cell r="F446">
            <v>39098</v>
          </cell>
          <cell r="G446" t="str">
            <v>-</v>
          </cell>
          <cell r="H446" t="str">
            <v>-</v>
          </cell>
          <cell r="I446" t="str">
            <v>PRD</v>
          </cell>
          <cell r="J446" t="str">
            <v>NON LINE</v>
          </cell>
          <cell r="K446" t="str">
            <v>ALL</v>
          </cell>
          <cell r="L446" t="str">
            <v>ALL</v>
          </cell>
          <cell r="M446" t="str">
            <v>CUTTING PROJECT</v>
          </cell>
          <cell r="N446" t="str">
            <v>WIRE LOSS &amp; NW</v>
          </cell>
          <cell r="O446" t="str">
            <v>GL</v>
          </cell>
          <cell r="P446" t="str">
            <v>A (NS)</v>
          </cell>
          <cell r="Q446" t="str">
            <v>PI</v>
          </cell>
          <cell r="R446" t="str">
            <v>PERMANENT</v>
          </cell>
          <cell r="S446" t="str">
            <v>PRM</v>
          </cell>
          <cell r="T446" t="str">
            <v>GL</v>
          </cell>
          <cell r="U446" t="str">
            <v>-</v>
          </cell>
          <cell r="V446" t="str">
            <v>P</v>
          </cell>
          <cell r="W446">
            <v>39</v>
          </cell>
        </row>
        <row r="447">
          <cell r="A447">
            <v>340</v>
          </cell>
          <cell r="B447" t="str">
            <v>000340</v>
          </cell>
          <cell r="C447" t="str">
            <v>NUR WAHYUNI</v>
          </cell>
          <cell r="D447" t="str">
            <v>SAMI</v>
          </cell>
          <cell r="E447" t="str">
            <v>OPT-9</v>
          </cell>
          <cell r="F447">
            <v>37725</v>
          </cell>
          <cell r="G447" t="str">
            <v>-</v>
          </cell>
          <cell r="H447" t="str">
            <v>-</v>
          </cell>
          <cell r="I447" t="str">
            <v>PRD</v>
          </cell>
          <cell r="J447" t="str">
            <v>PRE ASSY</v>
          </cell>
          <cell r="K447" t="str">
            <v>CUTTING TUBE</v>
          </cell>
          <cell r="L447" t="str">
            <v>CUTTING TUBE</v>
          </cell>
          <cell r="M447" t="str">
            <v>CUTTING TUBE</v>
          </cell>
          <cell r="N447" t="str">
            <v>SUB LINE CHO</v>
          </cell>
          <cell r="O447" t="str">
            <v>GL</v>
          </cell>
          <cell r="P447" t="str">
            <v>A</v>
          </cell>
          <cell r="Q447" t="str">
            <v>PI</v>
          </cell>
          <cell r="R447" t="str">
            <v>PERMANENT</v>
          </cell>
          <cell r="S447" t="str">
            <v>PRM</v>
          </cell>
          <cell r="T447" t="str">
            <v>SLC</v>
          </cell>
          <cell r="U447" t="str">
            <v>-</v>
          </cell>
          <cell r="V447" t="str">
            <v>P</v>
          </cell>
          <cell r="W447">
            <v>42</v>
          </cell>
        </row>
        <row r="448">
          <cell r="A448">
            <v>562</v>
          </cell>
          <cell r="B448" t="str">
            <v>000562</v>
          </cell>
          <cell r="C448" t="str">
            <v>NUR HIDAYAH</v>
          </cell>
          <cell r="D448" t="str">
            <v>SAMI</v>
          </cell>
          <cell r="E448" t="str">
            <v>OPT-15</v>
          </cell>
          <cell r="F448">
            <v>37774</v>
          </cell>
          <cell r="G448" t="str">
            <v>-</v>
          </cell>
          <cell r="H448" t="str">
            <v>-</v>
          </cell>
          <cell r="I448" t="str">
            <v>PRD</v>
          </cell>
          <cell r="J448" t="str">
            <v>PRE ASSY</v>
          </cell>
          <cell r="K448" t="str">
            <v>CUTTING TUBE</v>
          </cell>
          <cell r="L448" t="str">
            <v>CUTTING TUBE</v>
          </cell>
          <cell r="M448" t="str">
            <v>CUTTING TUBE</v>
          </cell>
          <cell r="N448" t="str">
            <v>INSP CUTTING</v>
          </cell>
          <cell r="O448" t="str">
            <v>P/A INSPECTOR</v>
          </cell>
          <cell r="P448" t="str">
            <v>A</v>
          </cell>
          <cell r="Q448" t="str">
            <v>PI</v>
          </cell>
          <cell r="R448" t="str">
            <v>PERMANENT</v>
          </cell>
          <cell r="S448" t="str">
            <v>PRM</v>
          </cell>
          <cell r="T448" t="str">
            <v>OPT</v>
          </cell>
          <cell r="U448" t="str">
            <v>-</v>
          </cell>
          <cell r="V448" t="str">
            <v>P</v>
          </cell>
          <cell r="W448">
            <v>40</v>
          </cell>
        </row>
        <row r="449">
          <cell r="A449">
            <v>5957</v>
          </cell>
          <cell r="B449" t="str">
            <v>005957</v>
          </cell>
          <cell r="C449" t="str">
            <v>TRI MULYANI</v>
          </cell>
          <cell r="D449" t="str">
            <v>SAMI</v>
          </cell>
          <cell r="E449" t="str">
            <v>OPT-137</v>
          </cell>
          <cell r="F449">
            <v>39129</v>
          </cell>
          <cell r="G449" t="str">
            <v>-</v>
          </cell>
          <cell r="H449" t="str">
            <v>-</v>
          </cell>
          <cell r="I449" t="str">
            <v>PRD</v>
          </cell>
          <cell r="J449" t="str">
            <v>FINAL ASSY</v>
          </cell>
          <cell r="K449" t="str">
            <v>HONDA NES</v>
          </cell>
          <cell r="L449" t="str">
            <v>HONDA NES HEV PET ENGINE</v>
          </cell>
          <cell r="M449" t="str">
            <v>CV H03</v>
          </cell>
          <cell r="N449" t="str">
            <v>CHECKER 2</v>
          </cell>
          <cell r="O449" t="str">
            <v>ELECTRICAL INSPECTION</v>
          </cell>
          <cell r="P449" t="str">
            <v>B</v>
          </cell>
          <cell r="Q449" t="str">
            <v>DL</v>
          </cell>
          <cell r="R449" t="str">
            <v>PERMANENT</v>
          </cell>
          <cell r="S449" t="str">
            <v>PRM</v>
          </cell>
          <cell r="T449" t="str">
            <v>OPT</v>
          </cell>
          <cell r="U449" t="str">
            <v>-</v>
          </cell>
          <cell r="V449" t="str">
            <v>P</v>
          </cell>
          <cell r="W449">
            <v>39</v>
          </cell>
        </row>
        <row r="450">
          <cell r="A450">
            <v>5961</v>
          </cell>
          <cell r="B450" t="str">
            <v>005961</v>
          </cell>
          <cell r="C450" t="str">
            <v>WAHYU EKAWATI</v>
          </cell>
          <cell r="D450" t="str">
            <v>SAMI</v>
          </cell>
          <cell r="E450" t="str">
            <v>OPT-137</v>
          </cell>
          <cell r="F450">
            <v>39129</v>
          </cell>
          <cell r="G450" t="str">
            <v>-</v>
          </cell>
          <cell r="H450" t="str">
            <v>-</v>
          </cell>
          <cell r="I450" t="str">
            <v>PRD</v>
          </cell>
          <cell r="J450" t="str">
            <v>FINAL ASSY</v>
          </cell>
          <cell r="K450" t="str">
            <v>HONDA NES</v>
          </cell>
          <cell r="L450" t="str">
            <v>HONDA NES HEV PET ENGINE</v>
          </cell>
          <cell r="M450" t="str">
            <v>CV H03</v>
          </cell>
          <cell r="N450" t="str">
            <v>LQC</v>
          </cell>
          <cell r="O450" t="str">
            <v>RELIEF</v>
          </cell>
          <cell r="P450" t="str">
            <v>B</v>
          </cell>
          <cell r="Q450" t="str">
            <v>PI</v>
          </cell>
          <cell r="R450" t="str">
            <v>PERMANENT</v>
          </cell>
          <cell r="S450" t="str">
            <v>PRM</v>
          </cell>
          <cell r="T450" t="str">
            <v>OPT</v>
          </cell>
          <cell r="U450" t="str">
            <v>-</v>
          </cell>
          <cell r="V450" t="str">
            <v>P</v>
          </cell>
          <cell r="W450">
            <v>38</v>
          </cell>
        </row>
        <row r="451">
          <cell r="A451">
            <v>9646</v>
          </cell>
          <cell r="B451" t="str">
            <v>009646</v>
          </cell>
          <cell r="C451" t="str">
            <v>WAHYUDI</v>
          </cell>
          <cell r="D451" t="str">
            <v>SAMI</v>
          </cell>
          <cell r="E451" t="str">
            <v>OPT-218</v>
          </cell>
          <cell r="F451">
            <v>40179</v>
          </cell>
          <cell r="G451" t="str">
            <v>-</v>
          </cell>
          <cell r="H451" t="str">
            <v>-</v>
          </cell>
          <cell r="I451" t="str">
            <v>PRD</v>
          </cell>
          <cell r="J451" t="str">
            <v>PRE ASSY</v>
          </cell>
          <cell r="K451" t="str">
            <v>CUTTING TUBE</v>
          </cell>
          <cell r="L451" t="str">
            <v>CUTTING TUBE</v>
          </cell>
          <cell r="M451" t="str">
            <v>CUTTING TUBE</v>
          </cell>
          <cell r="N451" t="str">
            <v>KDA-07</v>
          </cell>
          <cell r="O451" t="str">
            <v>CUTTING TUBE</v>
          </cell>
          <cell r="P451" t="str">
            <v>A</v>
          </cell>
          <cell r="Q451" t="str">
            <v>DL</v>
          </cell>
          <cell r="R451" t="str">
            <v>PERMANENT</v>
          </cell>
          <cell r="S451" t="str">
            <v>PRM</v>
          </cell>
          <cell r="T451" t="str">
            <v>OPT</v>
          </cell>
          <cell r="U451" t="str">
            <v>-</v>
          </cell>
          <cell r="V451" t="str">
            <v>L</v>
          </cell>
          <cell r="W451">
            <v>36</v>
          </cell>
        </row>
        <row r="452">
          <cell r="A452">
            <v>307</v>
          </cell>
          <cell r="B452" t="str">
            <v>000307</v>
          </cell>
          <cell r="C452" t="str">
            <v>SRI LISTIANI</v>
          </cell>
          <cell r="D452" t="str">
            <v>SAMI</v>
          </cell>
          <cell r="E452" t="str">
            <v>OPT-9</v>
          </cell>
          <cell r="F452">
            <v>37725</v>
          </cell>
          <cell r="G452" t="str">
            <v>-</v>
          </cell>
          <cell r="H452" t="str">
            <v>-</v>
          </cell>
          <cell r="I452" t="str">
            <v>PRD</v>
          </cell>
          <cell r="J452" t="str">
            <v>FINAL ASSY</v>
          </cell>
          <cell r="K452" t="str">
            <v>HONDA SOLENOID</v>
          </cell>
          <cell r="L452" t="str">
            <v>HONDA SOLENOID</v>
          </cell>
          <cell r="M452" t="str">
            <v>CV 24</v>
          </cell>
          <cell r="N452" t="str">
            <v>LINE C VISUAL</v>
          </cell>
          <cell r="O452" t="str">
            <v>VISUAL INSPECTION</v>
          </cell>
          <cell r="P452" t="str">
            <v>A</v>
          </cell>
          <cell r="Q452" t="str">
            <v>DL</v>
          </cell>
          <cell r="R452" t="str">
            <v>PERMANENT</v>
          </cell>
          <cell r="S452" t="str">
            <v>PRM</v>
          </cell>
          <cell r="T452" t="str">
            <v>OPT</v>
          </cell>
          <cell r="U452" t="str">
            <v>-</v>
          </cell>
          <cell r="V452" t="str">
            <v>P</v>
          </cell>
          <cell r="W452">
            <v>40</v>
          </cell>
        </row>
        <row r="453">
          <cell r="A453">
            <v>480</v>
          </cell>
          <cell r="B453" t="str">
            <v>000480</v>
          </cell>
          <cell r="C453" t="str">
            <v>IIN YUNANI</v>
          </cell>
          <cell r="D453" t="str">
            <v>SAMI</v>
          </cell>
          <cell r="E453" t="str">
            <v>OPT-13</v>
          </cell>
          <cell r="F453">
            <v>37760</v>
          </cell>
          <cell r="G453" t="str">
            <v>-</v>
          </cell>
          <cell r="H453" t="str">
            <v>-</v>
          </cell>
          <cell r="I453" t="str">
            <v>PRD</v>
          </cell>
          <cell r="J453" t="str">
            <v>FINAL ASSY</v>
          </cell>
          <cell r="K453" t="str">
            <v>HONDA SOLENOID</v>
          </cell>
          <cell r="L453" t="str">
            <v>HONDA SOLENOID</v>
          </cell>
          <cell r="M453" t="str">
            <v>CV 24</v>
          </cell>
          <cell r="N453" t="str">
            <v>PRD LINE CHO</v>
          </cell>
          <cell r="O453" t="str">
            <v>FPI LL</v>
          </cell>
          <cell r="P453" t="str">
            <v>A</v>
          </cell>
          <cell r="Q453" t="str">
            <v>PI</v>
          </cell>
          <cell r="R453" t="str">
            <v>PERMANENT</v>
          </cell>
          <cell r="S453" t="str">
            <v>PRM</v>
          </cell>
          <cell r="T453" t="str">
            <v>LC</v>
          </cell>
          <cell r="U453" t="str">
            <v>-</v>
          </cell>
          <cell r="V453" t="str">
            <v>P</v>
          </cell>
          <cell r="W453">
            <v>40</v>
          </cell>
        </row>
        <row r="454">
          <cell r="A454">
            <v>5967</v>
          </cell>
          <cell r="B454" t="str">
            <v>005967</v>
          </cell>
          <cell r="C454" t="str">
            <v>DADANG ARDIANSYAH</v>
          </cell>
          <cell r="D454" t="str">
            <v>SAMI</v>
          </cell>
          <cell r="E454" t="str">
            <v>TKN-35</v>
          </cell>
          <cell r="F454">
            <v>39129</v>
          </cell>
          <cell r="G454" t="str">
            <v>-</v>
          </cell>
          <cell r="H454" t="str">
            <v>-</v>
          </cell>
          <cell r="I454" t="str">
            <v>PE</v>
          </cell>
          <cell r="J454" t="str">
            <v>MTC</v>
          </cell>
          <cell r="K454" t="str">
            <v>ALL</v>
          </cell>
          <cell r="L454" t="str">
            <v>ALL</v>
          </cell>
          <cell r="M454" t="str">
            <v>BREAKDOWN</v>
          </cell>
          <cell r="N454" t="str">
            <v>BREAKDOWN</v>
          </cell>
          <cell r="O454" t="str">
            <v>MTC</v>
          </cell>
          <cell r="P454" t="str">
            <v>B</v>
          </cell>
          <cell r="Q454" t="str">
            <v>PI</v>
          </cell>
          <cell r="R454" t="str">
            <v>PERMANENT</v>
          </cell>
          <cell r="S454" t="str">
            <v>PRM</v>
          </cell>
          <cell r="T454" t="str">
            <v>GL</v>
          </cell>
          <cell r="U454" t="str">
            <v>-</v>
          </cell>
          <cell r="V454" t="str">
            <v>L</v>
          </cell>
          <cell r="W454">
            <v>38</v>
          </cell>
        </row>
        <row r="455">
          <cell r="A455">
            <v>5972</v>
          </cell>
          <cell r="B455" t="str">
            <v>005972</v>
          </cell>
          <cell r="C455" t="str">
            <v>WAHYU DIONO</v>
          </cell>
          <cell r="D455" t="str">
            <v>SAMI</v>
          </cell>
          <cell r="E455" t="str">
            <v>TKN-35</v>
          </cell>
          <cell r="F455">
            <v>39129</v>
          </cell>
          <cell r="G455" t="str">
            <v>-</v>
          </cell>
          <cell r="H455" t="str">
            <v>-</v>
          </cell>
          <cell r="I455" t="str">
            <v>PE</v>
          </cell>
          <cell r="J455" t="str">
            <v>MTC</v>
          </cell>
          <cell r="K455" t="str">
            <v>ALL</v>
          </cell>
          <cell r="L455" t="str">
            <v>ALL</v>
          </cell>
          <cell r="M455" t="str">
            <v>BREAKDOWN</v>
          </cell>
          <cell r="N455" t="str">
            <v>BREAKDOWN</v>
          </cell>
          <cell r="O455" t="str">
            <v>MTC</v>
          </cell>
          <cell r="P455" t="str">
            <v>B</v>
          </cell>
          <cell r="Q455" t="str">
            <v>PI</v>
          </cell>
          <cell r="R455" t="str">
            <v>PERMANENT</v>
          </cell>
          <cell r="S455" t="str">
            <v>PRM</v>
          </cell>
          <cell r="T455" t="str">
            <v>TKN</v>
          </cell>
          <cell r="U455" t="str">
            <v>-</v>
          </cell>
          <cell r="V455" t="str">
            <v>L</v>
          </cell>
          <cell r="W455">
            <v>39</v>
          </cell>
        </row>
        <row r="456">
          <cell r="A456">
            <v>5974</v>
          </cell>
          <cell r="B456" t="str">
            <v>005974</v>
          </cell>
          <cell r="C456" t="str">
            <v>LINA HANAFIYAH</v>
          </cell>
          <cell r="D456" t="str">
            <v>SAMI</v>
          </cell>
          <cell r="E456" t="str">
            <v>ADM-31</v>
          </cell>
          <cell r="F456">
            <v>39129</v>
          </cell>
          <cell r="G456" t="str">
            <v>-</v>
          </cell>
          <cell r="H456" t="str">
            <v>-</v>
          </cell>
          <cell r="I456" t="str">
            <v>LOG</v>
          </cell>
          <cell r="J456" t="str">
            <v>PPIC</v>
          </cell>
          <cell r="K456" t="str">
            <v>ALL</v>
          </cell>
          <cell r="L456" t="str">
            <v>ALL</v>
          </cell>
          <cell r="M456" t="str">
            <v>PPIC</v>
          </cell>
          <cell r="N456" t="str">
            <v>ADM ANALISYS</v>
          </cell>
          <cell r="O456" t="str">
            <v>IC</v>
          </cell>
          <cell r="P456" t="str">
            <v>A (NS)</v>
          </cell>
          <cell r="Q456" t="str">
            <v>PS</v>
          </cell>
          <cell r="R456" t="str">
            <v>PERMANENT</v>
          </cell>
          <cell r="S456" t="str">
            <v>PRM</v>
          </cell>
          <cell r="T456" t="str">
            <v>ADM</v>
          </cell>
          <cell r="U456" t="str">
            <v>-</v>
          </cell>
          <cell r="V456" t="str">
            <v>P</v>
          </cell>
          <cell r="W456">
            <v>40</v>
          </cell>
        </row>
        <row r="457">
          <cell r="A457">
            <v>6029</v>
          </cell>
          <cell r="B457" t="str">
            <v>006029</v>
          </cell>
          <cell r="C457" t="str">
            <v>AGUS VRIYANTO</v>
          </cell>
          <cell r="D457" t="str">
            <v>SAMI</v>
          </cell>
          <cell r="E457" t="str">
            <v>OPT-139</v>
          </cell>
          <cell r="F457">
            <v>39142</v>
          </cell>
          <cell r="G457" t="str">
            <v>-</v>
          </cell>
          <cell r="H457" t="str">
            <v>-</v>
          </cell>
          <cell r="I457" t="str">
            <v>LOG</v>
          </cell>
          <cell r="J457" t="str">
            <v>WHS</v>
          </cell>
          <cell r="K457" t="str">
            <v>ALL</v>
          </cell>
          <cell r="L457" t="str">
            <v>ALL</v>
          </cell>
          <cell r="M457" t="str">
            <v>WHS</v>
          </cell>
          <cell r="N457" t="str">
            <v>GL WHS</v>
          </cell>
          <cell r="O457" t="str">
            <v>WHS SUPPLY</v>
          </cell>
          <cell r="P457" t="str">
            <v>A</v>
          </cell>
          <cell r="Q457" t="str">
            <v>PS</v>
          </cell>
          <cell r="R457" t="str">
            <v>PERMANENT</v>
          </cell>
          <cell r="S457" t="str">
            <v>PRM</v>
          </cell>
          <cell r="T457" t="str">
            <v>GL</v>
          </cell>
          <cell r="U457" t="str">
            <v>-</v>
          </cell>
          <cell r="V457" t="str">
            <v>L</v>
          </cell>
          <cell r="W457">
            <v>40</v>
          </cell>
        </row>
        <row r="458">
          <cell r="A458">
            <v>1271</v>
          </cell>
          <cell r="B458" t="str">
            <v>001271</v>
          </cell>
          <cell r="C458" t="str">
            <v>YUNITA</v>
          </cell>
          <cell r="D458" t="str">
            <v>SAMI</v>
          </cell>
          <cell r="E458" t="str">
            <v>OPT-31</v>
          </cell>
          <cell r="F458">
            <v>37921</v>
          </cell>
          <cell r="G458" t="str">
            <v>-</v>
          </cell>
          <cell r="H458" t="str">
            <v>-</v>
          </cell>
          <cell r="I458" t="str">
            <v>PRD</v>
          </cell>
          <cell r="J458" t="str">
            <v>FINAL ASSY</v>
          </cell>
          <cell r="K458" t="str">
            <v>HONDA SOLENOID</v>
          </cell>
          <cell r="L458" t="str">
            <v>HONDA SOLENOID</v>
          </cell>
          <cell r="M458" t="str">
            <v>CV 24</v>
          </cell>
          <cell r="N458" t="str">
            <v>SUB LINE CHO</v>
          </cell>
          <cell r="O458" t="str">
            <v>GL</v>
          </cell>
          <cell r="P458" t="str">
            <v>A</v>
          </cell>
          <cell r="Q458" t="str">
            <v>PI</v>
          </cell>
          <cell r="R458" t="str">
            <v>PERMANENT</v>
          </cell>
          <cell r="S458" t="str">
            <v>PRM</v>
          </cell>
          <cell r="T458" t="str">
            <v>SLC</v>
          </cell>
          <cell r="U458" t="str">
            <v>-</v>
          </cell>
          <cell r="V458" t="str">
            <v>P</v>
          </cell>
          <cell r="W458">
            <v>40</v>
          </cell>
        </row>
        <row r="459">
          <cell r="A459">
            <v>6032</v>
          </cell>
          <cell r="B459" t="str">
            <v>006032</v>
          </cell>
          <cell r="C459" t="str">
            <v>ANDUNG SETYO</v>
          </cell>
          <cell r="D459" t="str">
            <v>SAMI</v>
          </cell>
          <cell r="E459" t="str">
            <v>OPT-139</v>
          </cell>
          <cell r="F459">
            <v>39142</v>
          </cell>
          <cell r="G459" t="str">
            <v>-</v>
          </cell>
          <cell r="H459" t="str">
            <v>-</v>
          </cell>
          <cell r="I459" t="str">
            <v>LOG</v>
          </cell>
          <cell r="J459" t="str">
            <v>EXIM</v>
          </cell>
          <cell r="K459" t="str">
            <v>ALL</v>
          </cell>
          <cell r="L459" t="str">
            <v>ALL</v>
          </cell>
          <cell r="M459" t="str">
            <v>EXIM - CANDI</v>
          </cell>
          <cell r="N459" t="str">
            <v>OPT IMPORT</v>
          </cell>
          <cell r="O459" t="str">
            <v>EXIM</v>
          </cell>
          <cell r="P459" t="str">
            <v>B</v>
          </cell>
          <cell r="Q459" t="str">
            <v>PS</v>
          </cell>
          <cell r="R459" t="str">
            <v>PERMANENT</v>
          </cell>
          <cell r="S459" t="str">
            <v>PRM</v>
          </cell>
          <cell r="T459" t="str">
            <v>OPT</v>
          </cell>
          <cell r="U459" t="str">
            <v>-</v>
          </cell>
          <cell r="V459" t="str">
            <v>L</v>
          </cell>
          <cell r="W459">
            <v>40</v>
          </cell>
        </row>
        <row r="460">
          <cell r="A460">
            <v>6033</v>
          </cell>
          <cell r="B460" t="str">
            <v>006033</v>
          </cell>
          <cell r="C460" t="str">
            <v>ANGGA TIYAS ARYANTO</v>
          </cell>
          <cell r="D460" t="str">
            <v>SAMI</v>
          </cell>
          <cell r="E460" t="str">
            <v>OPT-139</v>
          </cell>
          <cell r="F460">
            <v>39142</v>
          </cell>
          <cell r="G460" t="str">
            <v>-</v>
          </cell>
          <cell r="H460" t="str">
            <v>-</v>
          </cell>
          <cell r="I460" t="str">
            <v>PP</v>
          </cell>
          <cell r="J460" t="str">
            <v>PD 1</v>
          </cell>
          <cell r="K460" t="str">
            <v>ALL</v>
          </cell>
          <cell r="L460" t="str">
            <v>ALL</v>
          </cell>
          <cell r="M460" t="str">
            <v>PD 1</v>
          </cell>
          <cell r="N460" t="str">
            <v>EDITOR (GENBA)</v>
          </cell>
          <cell r="O460" t="str">
            <v>DE</v>
          </cell>
          <cell r="P460" t="str">
            <v>A (NS)</v>
          </cell>
          <cell r="Q460" t="str">
            <v>PS</v>
          </cell>
          <cell r="R460" t="str">
            <v>PERMANENT</v>
          </cell>
          <cell r="S460" t="str">
            <v>PRM</v>
          </cell>
          <cell r="T460" t="str">
            <v>ADM</v>
          </cell>
          <cell r="U460" t="str">
            <v>-</v>
          </cell>
          <cell r="V460" t="str">
            <v>P</v>
          </cell>
          <cell r="W460">
            <v>39</v>
          </cell>
        </row>
        <row r="461">
          <cell r="A461">
            <v>6036</v>
          </cell>
          <cell r="B461" t="str">
            <v>006036</v>
          </cell>
          <cell r="C461" t="str">
            <v>ASIH SETIYA WATI</v>
          </cell>
          <cell r="D461" t="str">
            <v>SAMI</v>
          </cell>
          <cell r="E461" t="str">
            <v>OPT-139</v>
          </cell>
          <cell r="F461">
            <v>39142</v>
          </cell>
          <cell r="G461" t="str">
            <v>-</v>
          </cell>
          <cell r="H461" t="str">
            <v>-</v>
          </cell>
          <cell r="I461" t="str">
            <v>PRD</v>
          </cell>
          <cell r="J461" t="str">
            <v>FINAL ASSY</v>
          </cell>
          <cell r="K461" t="str">
            <v>TOYOTA</v>
          </cell>
          <cell r="L461" t="str">
            <v>AQUA SIENTA</v>
          </cell>
          <cell r="M461" t="str">
            <v>CV T01</v>
          </cell>
          <cell r="N461" t="str">
            <v>OJT S/A 6.2</v>
          </cell>
          <cell r="O461" t="str">
            <v>OTHERS</v>
          </cell>
          <cell r="P461" t="str">
            <v>B</v>
          </cell>
          <cell r="Q461" t="str">
            <v>PI</v>
          </cell>
          <cell r="R461" t="str">
            <v>PERMANENT</v>
          </cell>
          <cell r="S461" t="str">
            <v>PRM</v>
          </cell>
          <cell r="T461" t="str">
            <v>OPT</v>
          </cell>
          <cell r="U461" t="str">
            <v>-</v>
          </cell>
          <cell r="V461" t="str">
            <v>P</v>
          </cell>
          <cell r="W461">
            <v>38</v>
          </cell>
        </row>
        <row r="462">
          <cell r="A462">
            <v>6038</v>
          </cell>
          <cell r="B462" t="str">
            <v>006038</v>
          </cell>
          <cell r="C462" t="str">
            <v>BUDI PRIYANTO</v>
          </cell>
          <cell r="D462" t="str">
            <v>SAMI</v>
          </cell>
          <cell r="E462" t="str">
            <v>OPT-139</v>
          </cell>
          <cell r="F462">
            <v>39142</v>
          </cell>
          <cell r="G462" t="str">
            <v>-</v>
          </cell>
          <cell r="H462" t="str">
            <v>-</v>
          </cell>
          <cell r="I462" t="str">
            <v>PGA</v>
          </cell>
          <cell r="J462" t="str">
            <v>GA</v>
          </cell>
          <cell r="K462" t="str">
            <v>ALL</v>
          </cell>
          <cell r="L462" t="str">
            <v>ALL</v>
          </cell>
          <cell r="M462" t="str">
            <v>GA</v>
          </cell>
          <cell r="N462" t="str">
            <v>STAFF GA</v>
          </cell>
          <cell r="O462" t="str">
            <v>GA</v>
          </cell>
          <cell r="P462" t="str">
            <v>A (NS)</v>
          </cell>
          <cell r="Q462" t="str">
            <v>ADM</v>
          </cell>
          <cell r="R462" t="str">
            <v>PERMANENT</v>
          </cell>
          <cell r="S462" t="str">
            <v>PRM</v>
          </cell>
          <cell r="T462" t="str">
            <v>LL</v>
          </cell>
          <cell r="U462" t="str">
            <v>-</v>
          </cell>
          <cell r="V462" t="str">
            <v>L</v>
          </cell>
          <cell r="W462">
            <v>40</v>
          </cell>
        </row>
        <row r="463">
          <cell r="A463">
            <v>6047</v>
          </cell>
          <cell r="B463" t="str">
            <v>006047</v>
          </cell>
          <cell r="C463" t="str">
            <v>DWI RETNOWATI</v>
          </cell>
          <cell r="D463" t="str">
            <v>SAMI</v>
          </cell>
          <cell r="E463" t="str">
            <v>OPT-139</v>
          </cell>
          <cell r="F463">
            <v>39142</v>
          </cell>
          <cell r="G463" t="str">
            <v>-</v>
          </cell>
          <cell r="H463" t="str">
            <v>-</v>
          </cell>
          <cell r="I463" t="str">
            <v>QA</v>
          </cell>
          <cell r="J463" t="str">
            <v>FINAL ASSY</v>
          </cell>
          <cell r="K463" t="str">
            <v>HONDA NES</v>
          </cell>
          <cell r="L463" t="str">
            <v>HONDA NES HEV PET ENGINE</v>
          </cell>
          <cell r="M463" t="str">
            <v>CV H03</v>
          </cell>
          <cell r="N463" t="str">
            <v>GL REWORK</v>
          </cell>
          <cell r="O463" t="str">
            <v>REWORK</v>
          </cell>
          <cell r="P463" t="str">
            <v>A</v>
          </cell>
          <cell r="Q463" t="str">
            <v>PI</v>
          </cell>
          <cell r="R463" t="str">
            <v>PERMANENT</v>
          </cell>
          <cell r="S463" t="str">
            <v>PRM</v>
          </cell>
          <cell r="T463" t="str">
            <v>GL</v>
          </cell>
          <cell r="U463" t="str">
            <v>-</v>
          </cell>
          <cell r="V463" t="str">
            <v>P</v>
          </cell>
          <cell r="W463">
            <v>38</v>
          </cell>
        </row>
        <row r="464">
          <cell r="A464">
            <v>6054</v>
          </cell>
          <cell r="B464" t="str">
            <v>006054</v>
          </cell>
          <cell r="C464" t="str">
            <v>FACHRURODZI</v>
          </cell>
          <cell r="D464" t="str">
            <v>SAMI</v>
          </cell>
          <cell r="E464" t="str">
            <v>OPT-139</v>
          </cell>
          <cell r="F464">
            <v>39142</v>
          </cell>
          <cell r="G464" t="str">
            <v>-</v>
          </cell>
          <cell r="H464" t="str">
            <v>-</v>
          </cell>
          <cell r="I464" t="str">
            <v>LOG</v>
          </cell>
          <cell r="J464" t="str">
            <v>WHS</v>
          </cell>
          <cell r="K464" t="str">
            <v>ALL</v>
          </cell>
          <cell r="L464" t="str">
            <v>ALL</v>
          </cell>
          <cell r="M464" t="str">
            <v>WHS</v>
          </cell>
          <cell r="N464" t="str">
            <v>GL WHS</v>
          </cell>
          <cell r="O464" t="str">
            <v>WHS SUPPLY</v>
          </cell>
          <cell r="P464" t="str">
            <v>B</v>
          </cell>
          <cell r="Q464" t="str">
            <v>PS</v>
          </cell>
          <cell r="R464" t="str">
            <v>PERMANENT</v>
          </cell>
          <cell r="S464" t="str">
            <v>PRM</v>
          </cell>
          <cell r="T464" t="str">
            <v>GL</v>
          </cell>
          <cell r="U464" t="str">
            <v>-</v>
          </cell>
          <cell r="V464" t="str">
            <v>L</v>
          </cell>
          <cell r="W464">
            <v>38</v>
          </cell>
        </row>
        <row r="465">
          <cell r="A465">
            <v>6056</v>
          </cell>
          <cell r="B465" t="str">
            <v>006056</v>
          </cell>
          <cell r="C465" t="str">
            <v>ISATUN</v>
          </cell>
          <cell r="D465" t="str">
            <v>SAMI</v>
          </cell>
          <cell r="E465" t="str">
            <v>OPT-139</v>
          </cell>
          <cell r="F465">
            <v>39142</v>
          </cell>
          <cell r="G465" t="str">
            <v>-</v>
          </cell>
          <cell r="H465" t="str">
            <v>-</v>
          </cell>
          <cell r="I465" t="str">
            <v>OTHERS</v>
          </cell>
          <cell r="J465" t="str">
            <v>AT HOME</v>
          </cell>
          <cell r="K465" t="str">
            <v>ALL</v>
          </cell>
          <cell r="L465" t="str">
            <v>ALL</v>
          </cell>
          <cell r="M465" t="str">
            <v>AT HOME</v>
          </cell>
          <cell r="N465" t="str">
            <v>CUTI KELAHIRAN</v>
          </cell>
          <cell r="O465" t="str">
            <v>OTHERS IDL</v>
          </cell>
          <cell r="P465" t="str">
            <v>-</v>
          </cell>
          <cell r="Q465" t="str">
            <v>ADM</v>
          </cell>
          <cell r="R465" t="str">
            <v>PERMANENT</v>
          </cell>
          <cell r="S465" t="str">
            <v>PRM</v>
          </cell>
          <cell r="T465" t="str">
            <v>GL</v>
          </cell>
          <cell r="U465" t="str">
            <v>-</v>
          </cell>
          <cell r="V465" t="str">
            <v>P</v>
          </cell>
          <cell r="W465">
            <v>38</v>
          </cell>
        </row>
        <row r="466">
          <cell r="A466">
            <v>6058</v>
          </cell>
          <cell r="B466" t="str">
            <v>006058</v>
          </cell>
          <cell r="C466" t="str">
            <v>ISTINI</v>
          </cell>
          <cell r="D466" t="str">
            <v>SAMI</v>
          </cell>
          <cell r="E466" t="str">
            <v>OPT-139</v>
          </cell>
          <cell r="F466">
            <v>39142</v>
          </cell>
          <cell r="G466" t="str">
            <v>-</v>
          </cell>
          <cell r="H466" t="str">
            <v>-</v>
          </cell>
          <cell r="I466" t="str">
            <v>OTHERS</v>
          </cell>
          <cell r="J466" t="str">
            <v>BUFFER MP</v>
          </cell>
          <cell r="K466" t="str">
            <v>ALL</v>
          </cell>
          <cell r="L466" t="str">
            <v>ALL</v>
          </cell>
          <cell r="M466" t="str">
            <v>BUFFER MP SAMI</v>
          </cell>
          <cell r="N466" t="str">
            <v>BUFFER MP</v>
          </cell>
          <cell r="O466" t="str">
            <v>OTHERS IDL</v>
          </cell>
          <cell r="P466" t="str">
            <v>A (NS)</v>
          </cell>
          <cell r="Q466" t="str">
            <v>ADM</v>
          </cell>
          <cell r="R466" t="str">
            <v>PERMANENT</v>
          </cell>
          <cell r="S466" t="str">
            <v>PRM</v>
          </cell>
          <cell r="T466" t="str">
            <v>OPT</v>
          </cell>
          <cell r="U466" t="str">
            <v>-</v>
          </cell>
          <cell r="V466" t="str">
            <v>P</v>
          </cell>
          <cell r="W466">
            <v>38</v>
          </cell>
        </row>
        <row r="467">
          <cell r="A467">
            <v>8766</v>
          </cell>
          <cell r="B467" t="str">
            <v>008766</v>
          </cell>
          <cell r="C467" t="str">
            <v>BEKTI LARASATI</v>
          </cell>
          <cell r="D467" t="str">
            <v>SAMI</v>
          </cell>
          <cell r="E467" t="str">
            <v>OPT-194</v>
          </cell>
          <cell r="F467">
            <v>39931</v>
          </cell>
          <cell r="G467" t="str">
            <v>-</v>
          </cell>
          <cell r="H467" t="str">
            <v>-</v>
          </cell>
          <cell r="I467" t="str">
            <v>PRD</v>
          </cell>
          <cell r="J467" t="str">
            <v>FINAL ASSY</v>
          </cell>
          <cell r="K467" t="str">
            <v>HONDA SOLENOID</v>
          </cell>
          <cell r="L467" t="str">
            <v>HONDA SOLENOID</v>
          </cell>
          <cell r="M467" t="str">
            <v>CV 24</v>
          </cell>
          <cell r="N467" t="str">
            <v>LINE C S/T</v>
          </cell>
          <cell r="O467" t="str">
            <v>ASSEMBLY</v>
          </cell>
          <cell r="P467" t="str">
            <v>A</v>
          </cell>
          <cell r="Q467" t="str">
            <v>DL</v>
          </cell>
          <cell r="R467" t="str">
            <v>PERMANENT</v>
          </cell>
          <cell r="S467" t="str">
            <v>PRM</v>
          </cell>
          <cell r="T467" t="str">
            <v>OPT</v>
          </cell>
          <cell r="U467" t="str">
            <v>-</v>
          </cell>
          <cell r="V467" t="str">
            <v>P</v>
          </cell>
          <cell r="W467">
            <v>36</v>
          </cell>
        </row>
        <row r="468">
          <cell r="A468">
            <v>6064</v>
          </cell>
          <cell r="B468" t="str">
            <v>006064</v>
          </cell>
          <cell r="C468" t="str">
            <v>MOCH. SARIFUDIN</v>
          </cell>
          <cell r="D468" t="str">
            <v>SAMI</v>
          </cell>
          <cell r="E468" t="str">
            <v>OPT-139</v>
          </cell>
          <cell r="F468">
            <v>39142</v>
          </cell>
          <cell r="G468" t="str">
            <v>-</v>
          </cell>
          <cell r="H468" t="str">
            <v>-</v>
          </cell>
          <cell r="I468" t="str">
            <v>PP</v>
          </cell>
          <cell r="J468" t="str">
            <v>PD 1</v>
          </cell>
          <cell r="K468" t="str">
            <v>ALL</v>
          </cell>
          <cell r="L468" t="str">
            <v>ALL</v>
          </cell>
          <cell r="M468" t="str">
            <v>PD 1</v>
          </cell>
          <cell r="N468" t="str">
            <v>LEADER HONDA 1</v>
          </cell>
          <cell r="O468" t="str">
            <v>FPS LL</v>
          </cell>
          <cell r="P468" t="str">
            <v>A (NS)</v>
          </cell>
          <cell r="Q468" t="str">
            <v>PS</v>
          </cell>
          <cell r="R468" t="str">
            <v>PERMANENT</v>
          </cell>
          <cell r="S468" t="str">
            <v>PRM</v>
          </cell>
          <cell r="T468" t="str">
            <v>LL</v>
          </cell>
          <cell r="U468" t="str">
            <v>-</v>
          </cell>
          <cell r="V468" t="str">
            <v>L</v>
          </cell>
          <cell r="W468">
            <v>40</v>
          </cell>
        </row>
        <row r="469">
          <cell r="A469">
            <v>6066</v>
          </cell>
          <cell r="B469" t="str">
            <v>006066</v>
          </cell>
          <cell r="C469" t="str">
            <v>MUH. SYARIFUDIN</v>
          </cell>
          <cell r="D469" t="str">
            <v>SAMI</v>
          </cell>
          <cell r="E469" t="str">
            <v>OPT-139</v>
          </cell>
          <cell r="F469">
            <v>39142</v>
          </cell>
          <cell r="G469" t="str">
            <v>-</v>
          </cell>
          <cell r="H469" t="str">
            <v>-</v>
          </cell>
          <cell r="I469" t="str">
            <v>PP</v>
          </cell>
          <cell r="J469" t="str">
            <v>PD 1</v>
          </cell>
          <cell r="K469" t="str">
            <v>ALL</v>
          </cell>
          <cell r="L469" t="str">
            <v>ALL</v>
          </cell>
          <cell r="M469" t="str">
            <v>PD 1</v>
          </cell>
          <cell r="N469" t="str">
            <v>LEADER MAZDA, SUZUKI, BC, HONDA 2</v>
          </cell>
          <cell r="O469" t="str">
            <v>FPS LL</v>
          </cell>
          <cell r="P469" t="str">
            <v>A (NS)</v>
          </cell>
          <cell r="Q469" t="str">
            <v>PS</v>
          </cell>
          <cell r="R469" t="str">
            <v>PERMANENT</v>
          </cell>
          <cell r="S469" t="str">
            <v>PRM</v>
          </cell>
          <cell r="T469" t="str">
            <v>LL</v>
          </cell>
          <cell r="U469" t="str">
            <v>-</v>
          </cell>
          <cell r="V469" t="str">
            <v>L</v>
          </cell>
          <cell r="W469">
            <v>39</v>
          </cell>
        </row>
        <row r="470">
          <cell r="A470">
            <v>6070</v>
          </cell>
          <cell r="B470" t="str">
            <v>006070</v>
          </cell>
          <cell r="C470" t="str">
            <v>MUSYRIFAH</v>
          </cell>
          <cell r="D470" t="str">
            <v>SAMI</v>
          </cell>
          <cell r="E470" t="str">
            <v>OPT-139</v>
          </cell>
          <cell r="F470">
            <v>39142</v>
          </cell>
          <cell r="G470" t="str">
            <v>-</v>
          </cell>
          <cell r="H470" t="str">
            <v>-</v>
          </cell>
          <cell r="I470" t="str">
            <v>PRD</v>
          </cell>
          <cell r="J470" t="str">
            <v>FINAL ASSY</v>
          </cell>
          <cell r="K470" t="str">
            <v>HONDA NES</v>
          </cell>
          <cell r="L470" t="str">
            <v>HONDA NES HEV PET ENGINE</v>
          </cell>
          <cell r="M470" t="str">
            <v>CV H04</v>
          </cell>
          <cell r="N470" t="str">
            <v>T/P 5.3</v>
          </cell>
          <cell r="O470" t="str">
            <v>ASSEMBLY</v>
          </cell>
          <cell r="P470" t="str">
            <v>B</v>
          </cell>
          <cell r="Q470" t="str">
            <v>DL</v>
          </cell>
          <cell r="R470" t="str">
            <v>PERMANENT</v>
          </cell>
          <cell r="S470" t="str">
            <v>PRM</v>
          </cell>
          <cell r="T470" t="str">
            <v>OPT</v>
          </cell>
          <cell r="U470" t="str">
            <v>-</v>
          </cell>
          <cell r="V470" t="str">
            <v>P</v>
          </cell>
          <cell r="W470">
            <v>39</v>
          </cell>
        </row>
        <row r="471">
          <cell r="A471">
            <v>6072</v>
          </cell>
          <cell r="B471" t="str">
            <v>006072</v>
          </cell>
          <cell r="C471" t="str">
            <v>NUR FATONI</v>
          </cell>
          <cell r="D471" t="str">
            <v>SAMI</v>
          </cell>
          <cell r="E471" t="str">
            <v>OPT-139</v>
          </cell>
          <cell r="F471">
            <v>39142</v>
          </cell>
          <cell r="G471" t="str">
            <v>-</v>
          </cell>
          <cell r="H471" t="str">
            <v>-</v>
          </cell>
          <cell r="I471" t="str">
            <v>LOG</v>
          </cell>
          <cell r="J471" t="str">
            <v>WHS</v>
          </cell>
          <cell r="K471" t="str">
            <v>ALL</v>
          </cell>
          <cell r="L471" t="str">
            <v>ALL</v>
          </cell>
          <cell r="M471" t="str">
            <v>WHS</v>
          </cell>
          <cell r="N471" t="str">
            <v>GL WHS</v>
          </cell>
          <cell r="O471" t="str">
            <v>WHS SUPPLY</v>
          </cell>
          <cell r="P471" t="str">
            <v>A</v>
          </cell>
          <cell r="Q471" t="str">
            <v>PS</v>
          </cell>
          <cell r="R471" t="str">
            <v>PERMANENT</v>
          </cell>
          <cell r="S471" t="str">
            <v>PRM</v>
          </cell>
          <cell r="T471" t="str">
            <v>GL</v>
          </cell>
          <cell r="U471" t="str">
            <v>-</v>
          </cell>
          <cell r="V471" t="str">
            <v>L</v>
          </cell>
          <cell r="W471">
            <v>38</v>
          </cell>
        </row>
        <row r="472">
          <cell r="A472">
            <v>6084</v>
          </cell>
          <cell r="B472" t="str">
            <v>006084</v>
          </cell>
          <cell r="C472" t="str">
            <v>RUBIATUN</v>
          </cell>
          <cell r="D472" t="str">
            <v>SAMI</v>
          </cell>
          <cell r="E472" t="str">
            <v>OPT-139</v>
          </cell>
          <cell r="F472">
            <v>39142</v>
          </cell>
          <cell r="G472" t="str">
            <v>-</v>
          </cell>
          <cell r="H472" t="str">
            <v>-</v>
          </cell>
          <cell r="I472" t="str">
            <v>PRD</v>
          </cell>
          <cell r="J472" t="str">
            <v>FINAL ASSY</v>
          </cell>
          <cell r="K472" t="str">
            <v>HONDA NES</v>
          </cell>
          <cell r="L472" t="str">
            <v>HONDA NES HEV PET ENGINE</v>
          </cell>
          <cell r="M472" t="str">
            <v>CV H04</v>
          </cell>
          <cell r="N472" t="str">
            <v>OFFLINE CLIP 1</v>
          </cell>
          <cell r="O472" t="str">
            <v>ASSEMBLY</v>
          </cell>
          <cell r="P472" t="str">
            <v>B</v>
          </cell>
          <cell r="Q472" t="str">
            <v>DL</v>
          </cell>
          <cell r="R472" t="str">
            <v>PERMANENT</v>
          </cell>
          <cell r="S472" t="str">
            <v>PRM</v>
          </cell>
          <cell r="T472" t="str">
            <v>OPT</v>
          </cell>
          <cell r="U472" t="str">
            <v>-</v>
          </cell>
          <cell r="V472" t="str">
            <v>P</v>
          </cell>
          <cell r="W472">
            <v>39</v>
          </cell>
        </row>
        <row r="473">
          <cell r="A473">
            <v>10201</v>
          </cell>
          <cell r="B473" t="str">
            <v>010201</v>
          </cell>
          <cell r="C473" t="str">
            <v>SILMA MULIANA</v>
          </cell>
          <cell r="D473" t="str">
            <v>SAMI</v>
          </cell>
          <cell r="E473" t="str">
            <v>OPT-253</v>
          </cell>
          <cell r="F473">
            <v>40458</v>
          </cell>
          <cell r="G473" t="str">
            <v>-</v>
          </cell>
          <cell r="H473" t="str">
            <v>-</v>
          </cell>
          <cell r="I473" t="str">
            <v>PRD</v>
          </cell>
          <cell r="J473" t="str">
            <v>FINAL ASSY</v>
          </cell>
          <cell r="K473" t="str">
            <v>HONDA SOLENOID</v>
          </cell>
          <cell r="L473" t="str">
            <v>HONDA SOLENOID</v>
          </cell>
          <cell r="M473" t="str">
            <v>CV 24</v>
          </cell>
          <cell r="N473" t="str">
            <v>LINE B VISUAL</v>
          </cell>
          <cell r="O473" t="str">
            <v>VISUAL INSPECTION</v>
          </cell>
          <cell r="P473" t="str">
            <v>A</v>
          </cell>
          <cell r="Q473" t="str">
            <v>DL</v>
          </cell>
          <cell r="R473" t="str">
            <v>PERMANENT</v>
          </cell>
          <cell r="S473" t="str">
            <v>PRM</v>
          </cell>
          <cell r="T473" t="str">
            <v>OPT</v>
          </cell>
          <cell r="U473" t="str">
            <v>-</v>
          </cell>
          <cell r="V473" t="str">
            <v>P</v>
          </cell>
          <cell r="W473">
            <v>32</v>
          </cell>
        </row>
        <row r="474">
          <cell r="A474">
            <v>10409</v>
          </cell>
          <cell r="B474" t="str">
            <v>010409</v>
          </cell>
          <cell r="C474" t="str">
            <v>NUR HIDAYANTI</v>
          </cell>
          <cell r="D474" t="str">
            <v>SAMI</v>
          </cell>
          <cell r="E474" t="str">
            <v>OPT-268</v>
          </cell>
          <cell r="F474">
            <v>40518</v>
          </cell>
          <cell r="G474" t="str">
            <v>-</v>
          </cell>
          <cell r="H474" t="str">
            <v>-</v>
          </cell>
          <cell r="I474" t="str">
            <v>PRD</v>
          </cell>
          <cell r="J474" t="str">
            <v>FINAL ASSY</v>
          </cell>
          <cell r="K474" t="str">
            <v>HONDA SOLENOID</v>
          </cell>
          <cell r="L474" t="str">
            <v>HONDA SOLENOID</v>
          </cell>
          <cell r="M474" t="str">
            <v>CV 24</v>
          </cell>
          <cell r="N474" t="str">
            <v>LINE A S/T</v>
          </cell>
          <cell r="O474" t="str">
            <v>ASSEMBLY</v>
          </cell>
          <cell r="P474" t="str">
            <v>A</v>
          </cell>
          <cell r="Q474" t="str">
            <v>DL</v>
          </cell>
          <cell r="R474" t="str">
            <v>PERMANENT</v>
          </cell>
          <cell r="S474" t="str">
            <v>PRM</v>
          </cell>
          <cell r="T474" t="str">
            <v>OPT</v>
          </cell>
          <cell r="U474" t="str">
            <v>-</v>
          </cell>
          <cell r="V474" t="str">
            <v>P</v>
          </cell>
          <cell r="W474">
            <v>32</v>
          </cell>
        </row>
        <row r="475">
          <cell r="A475">
            <v>6095</v>
          </cell>
          <cell r="B475" t="str">
            <v>006095</v>
          </cell>
          <cell r="C475" t="str">
            <v>SUNDARI</v>
          </cell>
          <cell r="D475" t="str">
            <v>SAMI</v>
          </cell>
          <cell r="E475" t="str">
            <v>OPT-139</v>
          </cell>
          <cell r="F475">
            <v>39142</v>
          </cell>
          <cell r="G475" t="str">
            <v>-</v>
          </cell>
          <cell r="H475" t="str">
            <v>-</v>
          </cell>
          <cell r="I475" t="str">
            <v>PRD</v>
          </cell>
          <cell r="J475" t="str">
            <v>FINAL ASSY</v>
          </cell>
          <cell r="K475" t="str">
            <v>SUZUKI WAGON R</v>
          </cell>
          <cell r="L475" t="str">
            <v>SUZUKI YW0</v>
          </cell>
          <cell r="M475" t="str">
            <v>CV S01</v>
          </cell>
          <cell r="N475" t="str">
            <v>CHECKER 2</v>
          </cell>
          <cell r="O475" t="str">
            <v>ELECTRICAL INSPECTION</v>
          </cell>
          <cell r="P475" t="str">
            <v>B</v>
          </cell>
          <cell r="Q475" t="str">
            <v>DL</v>
          </cell>
          <cell r="R475" t="str">
            <v>PERMANENT</v>
          </cell>
          <cell r="S475" t="str">
            <v>PRM</v>
          </cell>
          <cell r="T475" t="str">
            <v>OPT</v>
          </cell>
          <cell r="U475" t="str">
            <v>-</v>
          </cell>
          <cell r="V475" t="str">
            <v>P</v>
          </cell>
          <cell r="W475">
            <v>38</v>
          </cell>
        </row>
        <row r="476">
          <cell r="A476">
            <v>6096</v>
          </cell>
          <cell r="B476" t="str">
            <v>006096</v>
          </cell>
          <cell r="C476" t="str">
            <v>SUPRIYONO</v>
          </cell>
          <cell r="D476" t="str">
            <v>SAMI</v>
          </cell>
          <cell r="E476" t="str">
            <v>OPT-139</v>
          </cell>
          <cell r="F476">
            <v>39142</v>
          </cell>
          <cell r="G476" t="str">
            <v>-</v>
          </cell>
          <cell r="H476" t="str">
            <v>-</v>
          </cell>
          <cell r="I476" t="str">
            <v>PGA</v>
          </cell>
          <cell r="J476" t="str">
            <v>GA</v>
          </cell>
          <cell r="K476" t="str">
            <v>ALL</v>
          </cell>
          <cell r="L476" t="str">
            <v>ALL</v>
          </cell>
          <cell r="M476" t="str">
            <v>GA</v>
          </cell>
          <cell r="N476" t="str">
            <v>BUILDING MAINTENANCE</v>
          </cell>
          <cell r="O476" t="str">
            <v>BDM</v>
          </cell>
          <cell r="P476" t="str">
            <v>A (NS)</v>
          </cell>
          <cell r="Q476" t="str">
            <v>ADM</v>
          </cell>
          <cell r="R476" t="str">
            <v>PERMANENT</v>
          </cell>
          <cell r="S476" t="str">
            <v>PRM</v>
          </cell>
          <cell r="T476" t="str">
            <v>GL</v>
          </cell>
          <cell r="U476" t="str">
            <v>-</v>
          </cell>
          <cell r="V476" t="str">
            <v>L</v>
          </cell>
          <cell r="W476">
            <v>40</v>
          </cell>
        </row>
        <row r="477">
          <cell r="A477">
            <v>6097</v>
          </cell>
          <cell r="B477" t="str">
            <v>006097</v>
          </cell>
          <cell r="C477" t="str">
            <v>SUSILOWATI</v>
          </cell>
          <cell r="D477" t="str">
            <v>SAMI</v>
          </cell>
          <cell r="E477" t="str">
            <v>OPT-139</v>
          </cell>
          <cell r="F477">
            <v>39142</v>
          </cell>
          <cell r="G477" t="str">
            <v>-</v>
          </cell>
          <cell r="H477" t="str">
            <v>-</v>
          </cell>
          <cell r="I477" t="str">
            <v>PRD</v>
          </cell>
          <cell r="J477" t="str">
            <v>FINAL ASSY</v>
          </cell>
          <cell r="K477" t="str">
            <v>HONDA FREED</v>
          </cell>
          <cell r="L477" t="str">
            <v>HONDA FREED W/H FLOOR</v>
          </cell>
          <cell r="M477" t="str">
            <v>CV 4</v>
          </cell>
          <cell r="N477" t="str">
            <v>CHECKER 5</v>
          </cell>
          <cell r="O477" t="str">
            <v>ELECTRICAL INSPECTION</v>
          </cell>
          <cell r="P477" t="str">
            <v>B</v>
          </cell>
          <cell r="Q477" t="str">
            <v>DL</v>
          </cell>
          <cell r="R477" t="str">
            <v>PERMANENT</v>
          </cell>
          <cell r="S477" t="str">
            <v>PRM</v>
          </cell>
          <cell r="T477" t="str">
            <v>OPT</v>
          </cell>
          <cell r="U477" t="str">
            <v>-</v>
          </cell>
          <cell r="V477" t="str">
            <v>P</v>
          </cell>
          <cell r="W477">
            <v>40</v>
          </cell>
        </row>
        <row r="478">
          <cell r="A478">
            <v>6099</v>
          </cell>
          <cell r="B478" t="str">
            <v>006099</v>
          </cell>
          <cell r="C478" t="str">
            <v>SUTIYANI</v>
          </cell>
          <cell r="D478" t="str">
            <v>SAMI</v>
          </cell>
          <cell r="E478" t="str">
            <v>OPT-139</v>
          </cell>
          <cell r="F478">
            <v>39142</v>
          </cell>
          <cell r="G478" t="str">
            <v>-</v>
          </cell>
          <cell r="H478" t="str">
            <v>-</v>
          </cell>
          <cell r="I478" t="str">
            <v>LOG</v>
          </cell>
          <cell r="J478" t="str">
            <v>PPIC</v>
          </cell>
          <cell r="K478" t="str">
            <v>ALL</v>
          </cell>
          <cell r="L478" t="str">
            <v>ALL</v>
          </cell>
          <cell r="M478" t="str">
            <v>PPIC</v>
          </cell>
          <cell r="N478" t="str">
            <v>Production Planning Control (PPC) (include Final assy kanban loading)</v>
          </cell>
          <cell r="O478" t="str">
            <v>PPC</v>
          </cell>
          <cell r="P478" t="str">
            <v>A (NS)</v>
          </cell>
          <cell r="Q478" t="str">
            <v>PS</v>
          </cell>
          <cell r="R478" t="str">
            <v>PERMANENT</v>
          </cell>
          <cell r="S478" t="str">
            <v>PRM</v>
          </cell>
          <cell r="T478" t="str">
            <v>OPT</v>
          </cell>
          <cell r="U478" t="str">
            <v>-</v>
          </cell>
          <cell r="V478" t="str">
            <v>P</v>
          </cell>
          <cell r="W478">
            <v>38</v>
          </cell>
        </row>
        <row r="479">
          <cell r="A479">
            <v>6106</v>
          </cell>
          <cell r="B479" t="str">
            <v>006106</v>
          </cell>
          <cell r="C479" t="str">
            <v>WAHYU NINGSIH</v>
          </cell>
          <cell r="D479" t="str">
            <v>SAMI</v>
          </cell>
          <cell r="E479" t="str">
            <v>OPT-139</v>
          </cell>
          <cell r="F479">
            <v>39142</v>
          </cell>
          <cell r="G479" t="str">
            <v>-</v>
          </cell>
          <cell r="H479" t="str">
            <v>-</v>
          </cell>
          <cell r="I479" t="str">
            <v>QA</v>
          </cell>
          <cell r="J479" t="str">
            <v>NON LINE</v>
          </cell>
          <cell r="K479" t="str">
            <v>ALL</v>
          </cell>
          <cell r="L479" t="str">
            <v>ALL</v>
          </cell>
          <cell r="M479" t="str">
            <v>PPAP</v>
          </cell>
          <cell r="N479" t="str">
            <v>HDR - ES TEST</v>
          </cell>
          <cell r="O479" t="str">
            <v>PPAP</v>
          </cell>
          <cell r="P479" t="str">
            <v>A</v>
          </cell>
          <cell r="Q479" t="str">
            <v>PS</v>
          </cell>
          <cell r="R479" t="str">
            <v>PERMANENT</v>
          </cell>
          <cell r="S479" t="str">
            <v>PRM</v>
          </cell>
          <cell r="T479" t="str">
            <v>OPT</v>
          </cell>
          <cell r="U479" t="str">
            <v>-</v>
          </cell>
          <cell r="V479" t="str">
            <v>P</v>
          </cell>
          <cell r="W479">
            <v>38</v>
          </cell>
        </row>
        <row r="480">
          <cell r="A480">
            <v>11707</v>
          </cell>
          <cell r="B480" t="str">
            <v>011707</v>
          </cell>
          <cell r="C480" t="str">
            <v>INDAH CAHYANINGRUM</v>
          </cell>
          <cell r="D480" t="str">
            <v>SAMI</v>
          </cell>
          <cell r="E480" t="str">
            <v>OPT-308</v>
          </cell>
          <cell r="F480">
            <v>40714</v>
          </cell>
          <cell r="G480" t="str">
            <v>-</v>
          </cell>
          <cell r="H480" t="str">
            <v>-</v>
          </cell>
          <cell r="I480" t="str">
            <v>PRD</v>
          </cell>
          <cell r="J480" t="str">
            <v>FINAL ASSY</v>
          </cell>
          <cell r="K480" t="str">
            <v>HONDA SOLENOID</v>
          </cell>
          <cell r="L480" t="str">
            <v>HONDA SOLENOID</v>
          </cell>
          <cell r="M480" t="str">
            <v>CV 24</v>
          </cell>
          <cell r="N480" t="str">
            <v>LINE A VISUAL</v>
          </cell>
          <cell r="O480" t="str">
            <v>VISUAL INSPECTION</v>
          </cell>
          <cell r="P480" t="str">
            <v>A</v>
          </cell>
          <cell r="Q480" t="str">
            <v>DL</v>
          </cell>
          <cell r="R480" t="str">
            <v>PERMANENT</v>
          </cell>
          <cell r="S480" t="str">
            <v>PRM</v>
          </cell>
          <cell r="T480" t="str">
            <v>OPT</v>
          </cell>
          <cell r="U480" t="str">
            <v>-</v>
          </cell>
          <cell r="V480" t="str">
            <v>P</v>
          </cell>
          <cell r="W480">
            <v>31</v>
          </cell>
        </row>
        <row r="481">
          <cell r="A481">
            <v>6110</v>
          </cell>
          <cell r="B481" t="str">
            <v>006110</v>
          </cell>
          <cell r="C481" t="str">
            <v>ARIFIN</v>
          </cell>
          <cell r="D481" t="str">
            <v>SAMI</v>
          </cell>
          <cell r="E481" t="str">
            <v>TKN-37</v>
          </cell>
          <cell r="F481">
            <v>39142</v>
          </cell>
          <cell r="G481" t="str">
            <v>-</v>
          </cell>
          <cell r="H481" t="str">
            <v>-</v>
          </cell>
          <cell r="I481" t="str">
            <v>PGA</v>
          </cell>
          <cell r="J481" t="str">
            <v>GA</v>
          </cell>
          <cell r="K481" t="str">
            <v>ALL</v>
          </cell>
          <cell r="L481" t="str">
            <v>ALL</v>
          </cell>
          <cell r="M481" t="str">
            <v>GA</v>
          </cell>
          <cell r="N481" t="str">
            <v>BUILDING MAINTENANCE</v>
          </cell>
          <cell r="O481" t="str">
            <v>BDM</v>
          </cell>
          <cell r="P481" t="str">
            <v>A (NS)</v>
          </cell>
          <cell r="Q481" t="str">
            <v>ADM</v>
          </cell>
          <cell r="R481" t="str">
            <v>PERMANENT</v>
          </cell>
          <cell r="S481" t="str">
            <v>PRM</v>
          </cell>
          <cell r="T481" t="str">
            <v>PGA</v>
          </cell>
          <cell r="U481" t="str">
            <v>-</v>
          </cell>
          <cell r="V481" t="str">
            <v>L</v>
          </cell>
          <cell r="W481">
            <v>38</v>
          </cell>
        </row>
        <row r="482">
          <cell r="A482">
            <v>6113</v>
          </cell>
          <cell r="B482" t="str">
            <v>006113</v>
          </cell>
          <cell r="C482" t="str">
            <v>GEDE WIJI SANTOSO</v>
          </cell>
          <cell r="D482" t="str">
            <v>SAMI</v>
          </cell>
          <cell r="E482" t="str">
            <v>TKN-37</v>
          </cell>
          <cell r="F482">
            <v>39142</v>
          </cell>
          <cell r="G482" t="str">
            <v>-</v>
          </cell>
          <cell r="H482" t="str">
            <v>-</v>
          </cell>
          <cell r="I482" t="str">
            <v>PE</v>
          </cell>
          <cell r="J482" t="str">
            <v>MTC</v>
          </cell>
          <cell r="K482" t="str">
            <v>ALL</v>
          </cell>
          <cell r="L482" t="str">
            <v>ALL</v>
          </cell>
          <cell r="M482" t="str">
            <v>MESIN LOADING</v>
          </cell>
          <cell r="N482" t="str">
            <v>LEADER MACHINE LOADING</v>
          </cell>
          <cell r="O482" t="str">
            <v>FPS LL</v>
          </cell>
          <cell r="P482" t="str">
            <v>A (NS)</v>
          </cell>
          <cell r="Q482" t="str">
            <v>PS</v>
          </cell>
          <cell r="R482" t="str">
            <v>PERMANENT</v>
          </cell>
          <cell r="S482" t="str">
            <v>PRM</v>
          </cell>
          <cell r="T482" t="str">
            <v>LL</v>
          </cell>
          <cell r="U482" t="str">
            <v>-</v>
          </cell>
          <cell r="V482" t="str">
            <v>L</v>
          </cell>
          <cell r="W482">
            <v>39</v>
          </cell>
        </row>
        <row r="483">
          <cell r="A483">
            <v>6116</v>
          </cell>
          <cell r="B483" t="str">
            <v>006116</v>
          </cell>
          <cell r="C483" t="str">
            <v>PURWANTO</v>
          </cell>
          <cell r="D483" t="str">
            <v>SAMI</v>
          </cell>
          <cell r="E483" t="str">
            <v>TKN-37</v>
          </cell>
          <cell r="F483">
            <v>39142</v>
          </cell>
          <cell r="G483" t="str">
            <v>-</v>
          </cell>
          <cell r="H483" t="str">
            <v>-</v>
          </cell>
          <cell r="I483" t="str">
            <v>PE</v>
          </cell>
          <cell r="J483" t="str">
            <v>J/C BP</v>
          </cell>
          <cell r="K483" t="str">
            <v>ALL</v>
          </cell>
          <cell r="L483" t="str">
            <v>ALL</v>
          </cell>
          <cell r="M483" t="str">
            <v>JCN</v>
          </cell>
          <cell r="N483" t="str">
            <v>LL BREAKDOWN</v>
          </cell>
          <cell r="O483" t="str">
            <v>FPS LL</v>
          </cell>
          <cell r="P483" t="str">
            <v>A</v>
          </cell>
          <cell r="Q483" t="str">
            <v>PS</v>
          </cell>
          <cell r="R483" t="str">
            <v>PERMANENT</v>
          </cell>
          <cell r="S483" t="str">
            <v>PRM</v>
          </cell>
          <cell r="T483" t="str">
            <v>LL</v>
          </cell>
          <cell r="U483" t="str">
            <v>-</v>
          </cell>
          <cell r="V483" t="str">
            <v>L</v>
          </cell>
          <cell r="W483">
            <v>40</v>
          </cell>
        </row>
        <row r="484">
          <cell r="A484">
            <v>6118</v>
          </cell>
          <cell r="B484" t="str">
            <v>006118</v>
          </cell>
          <cell r="C484" t="str">
            <v>MASBIKHIN</v>
          </cell>
          <cell r="D484" t="str">
            <v>SAMI</v>
          </cell>
          <cell r="E484" t="str">
            <v>ADM-32</v>
          </cell>
          <cell r="F484">
            <v>39142</v>
          </cell>
          <cell r="G484" t="str">
            <v>-</v>
          </cell>
          <cell r="H484" t="str">
            <v>-</v>
          </cell>
          <cell r="I484" t="str">
            <v>PE</v>
          </cell>
          <cell r="J484" t="str">
            <v>MTC</v>
          </cell>
          <cell r="K484" t="str">
            <v>ALL</v>
          </cell>
          <cell r="L484" t="str">
            <v>ALL</v>
          </cell>
          <cell r="M484" t="str">
            <v>TPM</v>
          </cell>
          <cell r="N484" t="str">
            <v>LEADER CONTROL PREVENTIV PC</v>
          </cell>
          <cell r="O484" t="str">
            <v>FPS LL</v>
          </cell>
          <cell r="P484" t="str">
            <v>A (NS)</v>
          </cell>
          <cell r="Q484" t="str">
            <v>PS</v>
          </cell>
          <cell r="R484" t="str">
            <v>PERMANENT</v>
          </cell>
          <cell r="S484" t="str">
            <v>PRM</v>
          </cell>
          <cell r="T484" t="str">
            <v>LL</v>
          </cell>
          <cell r="U484" t="str">
            <v>-</v>
          </cell>
          <cell r="V484" t="str">
            <v>L</v>
          </cell>
          <cell r="W484">
            <v>41</v>
          </cell>
        </row>
        <row r="485">
          <cell r="A485">
            <v>6122</v>
          </cell>
          <cell r="B485" t="str">
            <v>006122</v>
          </cell>
          <cell r="C485" t="str">
            <v>AFRILIATI</v>
          </cell>
          <cell r="D485" t="str">
            <v>SAMI</v>
          </cell>
          <cell r="E485" t="str">
            <v>OPT-140</v>
          </cell>
          <cell r="F485">
            <v>39157</v>
          </cell>
          <cell r="G485" t="str">
            <v>-</v>
          </cell>
          <cell r="H485" t="str">
            <v>-</v>
          </cell>
          <cell r="I485" t="str">
            <v>FA</v>
          </cell>
          <cell r="J485" t="str">
            <v>PRICING</v>
          </cell>
          <cell r="K485" t="str">
            <v>ALL</v>
          </cell>
          <cell r="L485" t="str">
            <v>ALL</v>
          </cell>
          <cell r="M485" t="str">
            <v>PRICING</v>
          </cell>
          <cell r="N485" t="str">
            <v>PRICING</v>
          </cell>
          <cell r="O485" t="str">
            <v>FA</v>
          </cell>
          <cell r="P485" t="str">
            <v>A (NS)</v>
          </cell>
          <cell r="Q485" t="str">
            <v>ADM</v>
          </cell>
          <cell r="R485" t="str">
            <v>PERMANENT</v>
          </cell>
          <cell r="S485" t="str">
            <v>PRM</v>
          </cell>
          <cell r="T485" t="str">
            <v>ADM</v>
          </cell>
          <cell r="U485" t="str">
            <v>-</v>
          </cell>
          <cell r="V485" t="str">
            <v>P</v>
          </cell>
          <cell r="W485">
            <v>39</v>
          </cell>
        </row>
        <row r="486">
          <cell r="A486">
            <v>11782</v>
          </cell>
          <cell r="B486" t="str">
            <v>011782</v>
          </cell>
          <cell r="C486" t="str">
            <v>SITI NURHIDAYAH</v>
          </cell>
          <cell r="D486" t="str">
            <v>SAMI</v>
          </cell>
          <cell r="E486" t="str">
            <v>OPT-308</v>
          </cell>
          <cell r="F486">
            <v>40714</v>
          </cell>
          <cell r="G486" t="str">
            <v>-</v>
          </cell>
          <cell r="H486" t="str">
            <v>-</v>
          </cell>
          <cell r="I486" t="str">
            <v>PRD</v>
          </cell>
          <cell r="J486" t="str">
            <v>FINAL ASSY</v>
          </cell>
          <cell r="K486" t="str">
            <v>HONDA SOLENOID</v>
          </cell>
          <cell r="L486" t="str">
            <v>HONDA SOLENOID</v>
          </cell>
          <cell r="M486" t="str">
            <v>CV 24</v>
          </cell>
          <cell r="N486" t="str">
            <v>LQC</v>
          </cell>
          <cell r="O486" t="str">
            <v>RELIEF</v>
          </cell>
          <cell r="P486" t="str">
            <v>A</v>
          </cell>
          <cell r="Q486" t="str">
            <v>PI</v>
          </cell>
          <cell r="R486" t="str">
            <v>PERMANENT</v>
          </cell>
          <cell r="S486" t="str">
            <v>PRM</v>
          </cell>
          <cell r="T486" t="str">
            <v>PJK</v>
          </cell>
          <cell r="U486" t="str">
            <v>-</v>
          </cell>
          <cell r="V486" t="str">
            <v>P</v>
          </cell>
          <cell r="W486">
            <v>32</v>
          </cell>
        </row>
        <row r="487">
          <cell r="A487">
            <v>11834</v>
          </cell>
          <cell r="B487" t="str">
            <v>011834</v>
          </cell>
          <cell r="C487" t="str">
            <v>SANTI ERMAWATI</v>
          </cell>
          <cell r="D487" t="str">
            <v>SAMI</v>
          </cell>
          <cell r="E487" t="str">
            <v>OPT-309</v>
          </cell>
          <cell r="F487">
            <v>40721</v>
          </cell>
          <cell r="G487" t="str">
            <v>-</v>
          </cell>
          <cell r="H487" t="str">
            <v>-</v>
          </cell>
          <cell r="I487" t="str">
            <v>PRD</v>
          </cell>
          <cell r="J487" t="str">
            <v>FINAL ASSY</v>
          </cell>
          <cell r="K487" t="str">
            <v>HONDA SOLENOID</v>
          </cell>
          <cell r="L487" t="str">
            <v>HONDA SOLENOID</v>
          </cell>
          <cell r="M487" t="str">
            <v>CV 24</v>
          </cell>
          <cell r="N487" t="str">
            <v>LINE A S/T</v>
          </cell>
          <cell r="O487" t="str">
            <v>ASSEMBLY</v>
          </cell>
          <cell r="P487" t="str">
            <v>A</v>
          </cell>
          <cell r="Q487" t="str">
            <v>DL</v>
          </cell>
          <cell r="R487" t="str">
            <v>PERMANENT</v>
          </cell>
          <cell r="S487" t="str">
            <v>PRM</v>
          </cell>
          <cell r="T487" t="str">
            <v>OPT</v>
          </cell>
          <cell r="U487" t="str">
            <v>-</v>
          </cell>
          <cell r="V487" t="str">
            <v>P</v>
          </cell>
          <cell r="W487">
            <v>33</v>
          </cell>
        </row>
        <row r="488">
          <cell r="A488">
            <v>6131</v>
          </cell>
          <cell r="B488" t="str">
            <v>006131</v>
          </cell>
          <cell r="C488" t="str">
            <v>DWI INDARYANI</v>
          </cell>
          <cell r="D488" t="str">
            <v>SAMI</v>
          </cell>
          <cell r="E488" t="str">
            <v>OPT-140</v>
          </cell>
          <cell r="F488">
            <v>39157</v>
          </cell>
          <cell r="G488" t="str">
            <v>-</v>
          </cell>
          <cell r="H488" t="str">
            <v>-</v>
          </cell>
          <cell r="I488" t="str">
            <v>QA</v>
          </cell>
          <cell r="J488" t="str">
            <v>FINAL ASSY</v>
          </cell>
          <cell r="K488" t="str">
            <v>HONDA NES</v>
          </cell>
          <cell r="L488" t="str">
            <v>HONDA NES HEV PET ENGINE</v>
          </cell>
          <cell r="M488" t="str">
            <v>CV H04</v>
          </cell>
          <cell r="N488" t="str">
            <v>GL REWORK</v>
          </cell>
          <cell r="O488" t="str">
            <v>REWORK</v>
          </cell>
          <cell r="P488" t="str">
            <v>B</v>
          </cell>
          <cell r="Q488" t="str">
            <v>PI</v>
          </cell>
          <cell r="R488" t="str">
            <v>PERMANENT</v>
          </cell>
          <cell r="S488" t="str">
            <v>PRM</v>
          </cell>
          <cell r="T488" t="str">
            <v>GL</v>
          </cell>
          <cell r="U488" t="str">
            <v>-</v>
          </cell>
          <cell r="V488" t="str">
            <v>P</v>
          </cell>
          <cell r="W488">
            <v>38</v>
          </cell>
        </row>
        <row r="489">
          <cell r="A489">
            <v>11966</v>
          </cell>
          <cell r="B489" t="str">
            <v>011966</v>
          </cell>
          <cell r="C489" t="str">
            <v>TITIK ZULIATI</v>
          </cell>
          <cell r="D489" t="str">
            <v>SAMI</v>
          </cell>
          <cell r="E489" t="str">
            <v>OPT-311</v>
          </cell>
          <cell r="F489">
            <v>40770</v>
          </cell>
          <cell r="G489" t="str">
            <v>-</v>
          </cell>
          <cell r="H489" t="str">
            <v>-</v>
          </cell>
          <cell r="I489" t="str">
            <v>PRD</v>
          </cell>
          <cell r="J489" t="str">
            <v>FINAL ASSY</v>
          </cell>
          <cell r="K489" t="str">
            <v>HONDA SOLENOID</v>
          </cell>
          <cell r="L489" t="str">
            <v>HONDA SOLENOID</v>
          </cell>
          <cell r="M489" t="str">
            <v>CV 24</v>
          </cell>
          <cell r="N489" t="str">
            <v>LINE C S/T</v>
          </cell>
          <cell r="O489" t="str">
            <v>ASSEMBLY</v>
          </cell>
          <cell r="P489" t="str">
            <v>A</v>
          </cell>
          <cell r="Q489" t="str">
            <v>DL</v>
          </cell>
          <cell r="R489" t="str">
            <v>PERMANENT</v>
          </cell>
          <cell r="S489" t="str">
            <v>PRM</v>
          </cell>
          <cell r="T489" t="str">
            <v>OPT</v>
          </cell>
          <cell r="U489" t="str">
            <v>-</v>
          </cell>
          <cell r="V489" t="str">
            <v>P</v>
          </cell>
          <cell r="W489">
            <v>31</v>
          </cell>
        </row>
        <row r="490">
          <cell r="A490">
            <v>378</v>
          </cell>
          <cell r="B490" t="str">
            <v>000378</v>
          </cell>
          <cell r="C490" t="str">
            <v>MARINA</v>
          </cell>
          <cell r="D490" t="str">
            <v>SAMI</v>
          </cell>
          <cell r="E490" t="str">
            <v>OPT-10</v>
          </cell>
          <cell r="F490">
            <v>37732</v>
          </cell>
          <cell r="G490" t="str">
            <v>-</v>
          </cell>
          <cell r="H490" t="str">
            <v>-</v>
          </cell>
          <cell r="I490" t="str">
            <v>PRD</v>
          </cell>
          <cell r="J490" t="str">
            <v>FINAL ASSY</v>
          </cell>
          <cell r="K490" t="str">
            <v>HONDA FREED</v>
          </cell>
          <cell r="L490" t="str">
            <v>HONDA FREED W/H FLOOR</v>
          </cell>
          <cell r="M490" t="str">
            <v>CV 4</v>
          </cell>
          <cell r="N490" t="str">
            <v>SUB LINE CHO</v>
          </cell>
          <cell r="O490" t="str">
            <v>GL</v>
          </cell>
          <cell r="P490" t="str">
            <v>A</v>
          </cell>
          <cell r="Q490" t="str">
            <v>PI</v>
          </cell>
          <cell r="R490" t="str">
            <v>PERMANENT</v>
          </cell>
          <cell r="S490" t="str">
            <v>PRM</v>
          </cell>
          <cell r="T490" t="str">
            <v>SLC</v>
          </cell>
          <cell r="U490" t="str">
            <v>-</v>
          </cell>
          <cell r="V490" t="str">
            <v>P</v>
          </cell>
          <cell r="W490">
            <v>42</v>
          </cell>
        </row>
        <row r="491">
          <cell r="A491">
            <v>6140</v>
          </cell>
          <cell r="B491" t="str">
            <v>006140</v>
          </cell>
          <cell r="C491" t="str">
            <v>HINDUN MEILANI</v>
          </cell>
          <cell r="D491" t="str">
            <v>SAMI</v>
          </cell>
          <cell r="E491" t="str">
            <v>OPT-140</v>
          </cell>
          <cell r="F491">
            <v>39157</v>
          </cell>
          <cell r="G491" t="str">
            <v>-</v>
          </cell>
          <cell r="H491" t="str">
            <v>-</v>
          </cell>
          <cell r="I491" t="str">
            <v>QA</v>
          </cell>
          <cell r="J491" t="str">
            <v>NON LINE</v>
          </cell>
          <cell r="K491" t="str">
            <v>ALL</v>
          </cell>
          <cell r="L491" t="str">
            <v>ALL</v>
          </cell>
          <cell r="M491" t="str">
            <v>RCV - CANDI</v>
          </cell>
          <cell r="N491" t="str">
            <v>SAMPLING &amp; CHECK 100%</v>
          </cell>
          <cell r="O491" t="str">
            <v>RCV</v>
          </cell>
          <cell r="P491" t="str">
            <v>A</v>
          </cell>
          <cell r="Q491" t="str">
            <v>PS</v>
          </cell>
          <cell r="R491" t="str">
            <v>PERMANENT</v>
          </cell>
          <cell r="S491" t="str">
            <v>PRM</v>
          </cell>
          <cell r="T491" t="str">
            <v>OPT</v>
          </cell>
          <cell r="U491" t="str">
            <v>-</v>
          </cell>
          <cell r="V491" t="str">
            <v>P</v>
          </cell>
          <cell r="W491">
            <v>41</v>
          </cell>
        </row>
        <row r="492">
          <cell r="A492">
            <v>6145</v>
          </cell>
          <cell r="B492" t="str">
            <v>006145</v>
          </cell>
          <cell r="C492" t="str">
            <v>NAHDLOH</v>
          </cell>
          <cell r="D492" t="str">
            <v>SAMI</v>
          </cell>
          <cell r="E492" t="str">
            <v>OPT-140</v>
          </cell>
          <cell r="F492">
            <v>39157</v>
          </cell>
          <cell r="G492" t="str">
            <v>-</v>
          </cell>
          <cell r="H492" t="str">
            <v>-</v>
          </cell>
          <cell r="I492" t="str">
            <v>OTHERS</v>
          </cell>
          <cell r="J492" t="str">
            <v>AT HOME</v>
          </cell>
          <cell r="K492" t="str">
            <v>ALL</v>
          </cell>
          <cell r="L492" t="str">
            <v>ALL</v>
          </cell>
          <cell r="M492" t="str">
            <v>AT HOME</v>
          </cell>
          <cell r="N492" t="str">
            <v>CUTI KELAHIRAN</v>
          </cell>
          <cell r="O492" t="str">
            <v>OTHERS IDL</v>
          </cell>
          <cell r="P492" t="str">
            <v>-</v>
          </cell>
          <cell r="Q492" t="str">
            <v>ADM</v>
          </cell>
          <cell r="R492" t="str">
            <v>PERMANENT</v>
          </cell>
          <cell r="S492" t="str">
            <v>PRM</v>
          </cell>
          <cell r="T492" t="str">
            <v>LL</v>
          </cell>
          <cell r="U492" t="str">
            <v>-</v>
          </cell>
          <cell r="V492" t="str">
            <v>P</v>
          </cell>
          <cell r="W492">
            <v>40</v>
          </cell>
        </row>
        <row r="493">
          <cell r="A493">
            <v>6147</v>
          </cell>
          <cell r="B493" t="str">
            <v>006147</v>
          </cell>
          <cell r="C493" t="str">
            <v>NOVIA SARI</v>
          </cell>
          <cell r="D493" t="str">
            <v>SAMI</v>
          </cell>
          <cell r="E493" t="str">
            <v>OPT-140</v>
          </cell>
          <cell r="F493">
            <v>39157</v>
          </cell>
          <cell r="G493" t="str">
            <v>-</v>
          </cell>
          <cell r="H493" t="str">
            <v>-</v>
          </cell>
          <cell r="I493" t="str">
            <v>QA</v>
          </cell>
          <cell r="J493" t="str">
            <v>FINAL ASSY</v>
          </cell>
          <cell r="K493" t="str">
            <v>TOYOTA HV</v>
          </cell>
          <cell r="L493" t="str">
            <v>HV TOYOTA NIKEL</v>
          </cell>
          <cell r="M493" t="str">
            <v>CV HV 07</v>
          </cell>
          <cell r="N493" t="str">
            <v>PJK INSP</v>
          </cell>
          <cell r="O493" t="str">
            <v>RELIEF</v>
          </cell>
          <cell r="P493" t="str">
            <v>B</v>
          </cell>
          <cell r="Q493" t="str">
            <v>PI</v>
          </cell>
          <cell r="R493" t="str">
            <v>PERMANENT</v>
          </cell>
          <cell r="S493" t="str">
            <v>PRM</v>
          </cell>
          <cell r="T493" t="str">
            <v>PJK</v>
          </cell>
          <cell r="U493" t="str">
            <v>-</v>
          </cell>
          <cell r="V493" t="str">
            <v>P</v>
          </cell>
          <cell r="W493">
            <v>39</v>
          </cell>
        </row>
        <row r="494">
          <cell r="A494">
            <v>1200</v>
          </cell>
          <cell r="B494" t="str">
            <v>001200</v>
          </cell>
          <cell r="C494" t="str">
            <v>KARTIKA SARI</v>
          </cell>
          <cell r="D494" t="str">
            <v>SAMI</v>
          </cell>
          <cell r="E494" t="str">
            <v>OPT-29</v>
          </cell>
          <cell r="F494">
            <v>37907</v>
          </cell>
          <cell r="G494" t="str">
            <v>-</v>
          </cell>
          <cell r="H494" t="str">
            <v>-</v>
          </cell>
          <cell r="I494" t="str">
            <v>PRD</v>
          </cell>
          <cell r="J494" t="str">
            <v>FINAL ASSY</v>
          </cell>
          <cell r="K494" t="str">
            <v>HONDA FREED</v>
          </cell>
          <cell r="L494" t="str">
            <v>HONDA FREED W/H FLOOR</v>
          </cell>
          <cell r="M494" t="str">
            <v>CV 4</v>
          </cell>
          <cell r="N494" t="str">
            <v>CHECKER 1</v>
          </cell>
          <cell r="O494" t="str">
            <v>ELECTRICAL INSPECTION</v>
          </cell>
          <cell r="P494" t="str">
            <v>A</v>
          </cell>
          <cell r="Q494" t="str">
            <v>DL</v>
          </cell>
          <cell r="R494" t="str">
            <v>PERMANENT</v>
          </cell>
          <cell r="S494" t="str">
            <v>PRM</v>
          </cell>
          <cell r="T494" t="str">
            <v>OPT</v>
          </cell>
          <cell r="U494" t="str">
            <v>-</v>
          </cell>
          <cell r="V494" t="str">
            <v>P</v>
          </cell>
          <cell r="W494">
            <v>39</v>
          </cell>
        </row>
        <row r="495">
          <cell r="A495">
            <v>5843</v>
          </cell>
          <cell r="B495" t="str">
            <v>005843</v>
          </cell>
          <cell r="C495" t="str">
            <v>YULIANI</v>
          </cell>
          <cell r="D495" t="str">
            <v>SAMI</v>
          </cell>
          <cell r="E495" t="str">
            <v>OPT-135</v>
          </cell>
          <cell r="F495">
            <v>39114</v>
          </cell>
          <cell r="G495" t="str">
            <v>-</v>
          </cell>
          <cell r="H495" t="str">
            <v>-</v>
          </cell>
          <cell r="I495" t="str">
            <v>PRD</v>
          </cell>
          <cell r="J495" t="str">
            <v>FINAL ASSY</v>
          </cell>
          <cell r="K495" t="str">
            <v>HONDA FREED</v>
          </cell>
          <cell r="L495" t="str">
            <v>HONDA FREED W/H FLOOR</v>
          </cell>
          <cell r="M495" t="str">
            <v>CV 4</v>
          </cell>
          <cell r="N495" t="str">
            <v>PRD LINE CHO</v>
          </cell>
          <cell r="O495" t="str">
            <v>FPI LL</v>
          </cell>
          <cell r="P495" t="str">
            <v>A</v>
          </cell>
          <cell r="Q495" t="str">
            <v>PI</v>
          </cell>
          <cell r="R495" t="str">
            <v>PERMANENT</v>
          </cell>
          <cell r="S495" t="str">
            <v>PRM</v>
          </cell>
          <cell r="T495" t="str">
            <v>LC</v>
          </cell>
          <cell r="U495" t="str">
            <v>-</v>
          </cell>
          <cell r="V495" t="str">
            <v>P</v>
          </cell>
          <cell r="W495">
            <v>38</v>
          </cell>
        </row>
        <row r="496">
          <cell r="A496">
            <v>6156</v>
          </cell>
          <cell r="B496" t="str">
            <v>006156</v>
          </cell>
          <cell r="C496" t="str">
            <v>SAINUR HAKIM</v>
          </cell>
          <cell r="D496" t="str">
            <v>SAMI</v>
          </cell>
          <cell r="E496" t="str">
            <v>OPT-140</v>
          </cell>
          <cell r="F496">
            <v>39157</v>
          </cell>
          <cell r="G496" t="str">
            <v>-</v>
          </cell>
          <cell r="H496" t="str">
            <v>-</v>
          </cell>
          <cell r="I496" t="str">
            <v>PRD</v>
          </cell>
          <cell r="J496" t="str">
            <v>PRE ASSY</v>
          </cell>
          <cell r="K496" t="str">
            <v>HONDA NES</v>
          </cell>
          <cell r="L496" t="str">
            <v>HONDA NES</v>
          </cell>
          <cell r="M496" t="str">
            <v>CPA HONDA NES HEV/PET</v>
          </cell>
          <cell r="N496" t="str">
            <v>BFT</v>
          </cell>
          <cell r="O496" t="str">
            <v>WFAP 2.2</v>
          </cell>
          <cell r="P496" t="str">
            <v>B</v>
          </cell>
          <cell r="Q496" t="str">
            <v>DL</v>
          </cell>
          <cell r="R496" t="str">
            <v>PERMANENT</v>
          </cell>
          <cell r="S496" t="str">
            <v>PRM</v>
          </cell>
          <cell r="T496" t="str">
            <v>OPT</v>
          </cell>
          <cell r="U496" t="str">
            <v>-</v>
          </cell>
          <cell r="V496" t="str">
            <v>P</v>
          </cell>
          <cell r="W496">
            <v>39</v>
          </cell>
        </row>
        <row r="497">
          <cell r="A497">
            <v>6163</v>
          </cell>
          <cell r="B497" t="str">
            <v>006163</v>
          </cell>
          <cell r="C497" t="str">
            <v>SRI LESTARI</v>
          </cell>
          <cell r="D497" t="str">
            <v>SAMI</v>
          </cell>
          <cell r="E497" t="str">
            <v>OPT-140</v>
          </cell>
          <cell r="F497">
            <v>39157</v>
          </cell>
          <cell r="G497" t="str">
            <v>-</v>
          </cell>
          <cell r="H497" t="str">
            <v>-</v>
          </cell>
          <cell r="I497" t="str">
            <v>PRD</v>
          </cell>
          <cell r="J497" t="str">
            <v>PRE ASSY</v>
          </cell>
          <cell r="K497" t="str">
            <v>HONDA FIT</v>
          </cell>
          <cell r="L497" t="str">
            <v>HONDA FIT</v>
          </cell>
          <cell r="M497" t="str">
            <v>CPA HONDA FIT HEV/PET</v>
          </cell>
          <cell r="N497" t="str">
            <v>INSP CUTTING</v>
          </cell>
          <cell r="O497" t="str">
            <v>P/A INSPECTOR</v>
          </cell>
          <cell r="P497" t="str">
            <v>B</v>
          </cell>
          <cell r="Q497" t="str">
            <v>PI</v>
          </cell>
          <cell r="R497" t="str">
            <v>PERMANENT</v>
          </cell>
          <cell r="S497" t="str">
            <v>PRM</v>
          </cell>
          <cell r="T497" t="str">
            <v>OPT</v>
          </cell>
          <cell r="U497" t="str">
            <v>-</v>
          </cell>
          <cell r="V497" t="str">
            <v>P</v>
          </cell>
          <cell r="W497">
            <v>41</v>
          </cell>
        </row>
        <row r="498">
          <cell r="A498">
            <v>6165</v>
          </cell>
          <cell r="B498" t="str">
            <v>006165</v>
          </cell>
          <cell r="C498" t="str">
            <v>SRI MULYANI</v>
          </cell>
          <cell r="D498" t="str">
            <v>SAMI</v>
          </cell>
          <cell r="E498" t="str">
            <v>OPT-140</v>
          </cell>
          <cell r="F498">
            <v>39157</v>
          </cell>
          <cell r="G498" t="str">
            <v>-</v>
          </cell>
          <cell r="H498" t="str">
            <v>-</v>
          </cell>
          <cell r="I498" t="str">
            <v>PRD</v>
          </cell>
          <cell r="J498" t="str">
            <v>FINAL ASSY</v>
          </cell>
          <cell r="K498" t="str">
            <v>TOYOTA</v>
          </cell>
          <cell r="L498" t="str">
            <v>AQUA SIENTA</v>
          </cell>
          <cell r="M498" t="str">
            <v>CV T02</v>
          </cell>
          <cell r="N498" t="str">
            <v>OJT VISUAL 1.2</v>
          </cell>
          <cell r="O498" t="str">
            <v>OTHERS</v>
          </cell>
          <cell r="P498" t="str">
            <v>B</v>
          </cell>
          <cell r="Q498" t="str">
            <v>PI</v>
          </cell>
          <cell r="R498" t="str">
            <v>PERMANENT</v>
          </cell>
          <cell r="S498" t="str">
            <v>PRM</v>
          </cell>
          <cell r="T498" t="str">
            <v>OPT</v>
          </cell>
          <cell r="U498" t="str">
            <v>-</v>
          </cell>
          <cell r="V498" t="str">
            <v>P</v>
          </cell>
          <cell r="W498">
            <v>41</v>
          </cell>
        </row>
        <row r="499">
          <cell r="A499">
            <v>6177</v>
          </cell>
          <cell r="B499" t="str">
            <v>006177</v>
          </cell>
          <cell r="C499" t="str">
            <v>BUDI SULISTIYO</v>
          </cell>
          <cell r="D499" t="str">
            <v>SAMI</v>
          </cell>
          <cell r="E499" t="str">
            <v>OPT-141</v>
          </cell>
          <cell r="F499">
            <v>39173</v>
          </cell>
          <cell r="G499" t="str">
            <v>-</v>
          </cell>
          <cell r="H499" t="str">
            <v>-</v>
          </cell>
          <cell r="I499" t="str">
            <v>LOG</v>
          </cell>
          <cell r="J499" t="str">
            <v>L. DOCK</v>
          </cell>
          <cell r="K499" t="str">
            <v>ALL</v>
          </cell>
          <cell r="L499" t="str">
            <v>ALL</v>
          </cell>
          <cell r="M499" t="str">
            <v>L. DOCK</v>
          </cell>
          <cell r="N499" t="str">
            <v>GL</v>
          </cell>
          <cell r="O499" t="str">
            <v>LD</v>
          </cell>
          <cell r="P499" t="str">
            <v>B</v>
          </cell>
          <cell r="Q499" t="str">
            <v>PS</v>
          </cell>
          <cell r="R499" t="str">
            <v>PERMANENT</v>
          </cell>
          <cell r="S499" t="str">
            <v>PRM</v>
          </cell>
          <cell r="T499" t="str">
            <v>GL</v>
          </cell>
          <cell r="U499" t="str">
            <v>-</v>
          </cell>
          <cell r="V499" t="str">
            <v>L</v>
          </cell>
          <cell r="W499">
            <v>39</v>
          </cell>
        </row>
        <row r="500">
          <cell r="A500">
            <v>6180</v>
          </cell>
          <cell r="B500" t="str">
            <v>006180</v>
          </cell>
          <cell r="C500" t="str">
            <v>EKO HARYANTO</v>
          </cell>
          <cell r="D500" t="str">
            <v>SAMI</v>
          </cell>
          <cell r="E500" t="str">
            <v>OPT-141</v>
          </cell>
          <cell r="F500">
            <v>39173</v>
          </cell>
          <cell r="G500" t="str">
            <v>-</v>
          </cell>
          <cell r="H500" t="str">
            <v>-</v>
          </cell>
          <cell r="I500" t="str">
            <v>PRD</v>
          </cell>
          <cell r="J500" t="str">
            <v>PRE ASSY</v>
          </cell>
          <cell r="K500" t="str">
            <v>MAZDA 3</v>
          </cell>
          <cell r="L500" t="str">
            <v>MAZDA REAR</v>
          </cell>
          <cell r="M500" t="str">
            <v>CPA MAZDA J03</v>
          </cell>
          <cell r="N500" t="str">
            <v>CUTTING AC90-J03-09, SCH-J03-01, MC2-J03-03</v>
          </cell>
          <cell r="O500" t="str">
            <v>CUTTING WIRE</v>
          </cell>
          <cell r="P500" t="str">
            <v>B</v>
          </cell>
          <cell r="Q500" t="str">
            <v>DL</v>
          </cell>
          <cell r="R500" t="str">
            <v>PERMANENT</v>
          </cell>
          <cell r="S500" t="str">
            <v>PRM</v>
          </cell>
          <cell r="T500" t="str">
            <v>OPT</v>
          </cell>
          <cell r="U500" t="str">
            <v>-</v>
          </cell>
          <cell r="V500" t="str">
            <v>L</v>
          </cell>
          <cell r="W500">
            <v>40</v>
          </cell>
        </row>
        <row r="501">
          <cell r="A501">
            <v>6181</v>
          </cell>
          <cell r="B501" t="str">
            <v>006181</v>
          </cell>
          <cell r="C501" t="str">
            <v>EKO PUJIANTO</v>
          </cell>
          <cell r="D501" t="str">
            <v>SAMI</v>
          </cell>
          <cell r="E501" t="str">
            <v>OPT-141</v>
          </cell>
          <cell r="F501">
            <v>39173</v>
          </cell>
          <cell r="G501" t="str">
            <v>-</v>
          </cell>
          <cell r="H501" t="str">
            <v>-</v>
          </cell>
          <cell r="I501" t="str">
            <v>PRD</v>
          </cell>
          <cell r="J501" t="str">
            <v>NON LINE</v>
          </cell>
          <cell r="K501" t="str">
            <v>ALL</v>
          </cell>
          <cell r="L501" t="str">
            <v>ALL</v>
          </cell>
          <cell r="M501" t="str">
            <v>PRODUCTION NAME PLATE</v>
          </cell>
          <cell r="N501" t="str">
            <v>KANBAN FA &amp; NAME PLATE</v>
          </cell>
          <cell r="O501" t="str">
            <v>OTHERS</v>
          </cell>
          <cell r="P501" t="str">
            <v>B</v>
          </cell>
          <cell r="Q501" t="str">
            <v>PI</v>
          </cell>
          <cell r="R501" t="str">
            <v>PERMANENT</v>
          </cell>
          <cell r="S501" t="str">
            <v>PRM</v>
          </cell>
          <cell r="T501" t="str">
            <v>OPT</v>
          </cell>
          <cell r="U501" t="str">
            <v>-</v>
          </cell>
          <cell r="V501" t="str">
            <v>L</v>
          </cell>
          <cell r="W501">
            <v>39</v>
          </cell>
        </row>
        <row r="502">
          <cell r="A502">
            <v>6191</v>
          </cell>
          <cell r="B502" t="str">
            <v>006191</v>
          </cell>
          <cell r="C502" t="str">
            <v>SITI ANNISA</v>
          </cell>
          <cell r="D502" t="str">
            <v>SAMI</v>
          </cell>
          <cell r="E502" t="str">
            <v>OPT-141</v>
          </cell>
          <cell r="F502">
            <v>39173</v>
          </cell>
          <cell r="G502" t="str">
            <v>-</v>
          </cell>
          <cell r="H502" t="str">
            <v>-</v>
          </cell>
          <cell r="I502" t="str">
            <v>PRD</v>
          </cell>
          <cell r="J502" t="str">
            <v>FINAL ASSY</v>
          </cell>
          <cell r="K502" t="str">
            <v>TOYOTA</v>
          </cell>
          <cell r="L502" t="str">
            <v>AQUA SIENTA</v>
          </cell>
          <cell r="M502" t="str">
            <v>CV T01</v>
          </cell>
          <cell r="N502" t="str">
            <v>OJT S/A 1.1</v>
          </cell>
          <cell r="O502" t="str">
            <v>OTHERS</v>
          </cell>
          <cell r="P502" t="str">
            <v>B</v>
          </cell>
          <cell r="Q502" t="str">
            <v>PI</v>
          </cell>
          <cell r="R502" t="str">
            <v>PERMANENT</v>
          </cell>
          <cell r="S502" t="str">
            <v>PRM</v>
          </cell>
          <cell r="T502" t="str">
            <v>OPT</v>
          </cell>
          <cell r="U502" t="str">
            <v>-</v>
          </cell>
          <cell r="V502" t="str">
            <v>P</v>
          </cell>
          <cell r="W502">
            <v>38</v>
          </cell>
        </row>
        <row r="503">
          <cell r="A503">
            <v>6193</v>
          </cell>
          <cell r="B503" t="str">
            <v>006193</v>
          </cell>
          <cell r="C503" t="str">
            <v>SUYONO</v>
          </cell>
          <cell r="D503" t="str">
            <v>SAMI</v>
          </cell>
          <cell r="E503" t="str">
            <v>OPT-141</v>
          </cell>
          <cell r="F503">
            <v>39173</v>
          </cell>
          <cell r="G503" t="str">
            <v>-</v>
          </cell>
          <cell r="H503" t="str">
            <v>-</v>
          </cell>
          <cell r="I503" t="str">
            <v>PE</v>
          </cell>
          <cell r="J503" t="str">
            <v>WORKSHOP</v>
          </cell>
          <cell r="K503" t="str">
            <v>ALL</v>
          </cell>
          <cell r="L503" t="str">
            <v>ALL</v>
          </cell>
          <cell r="M503" t="str">
            <v>WORKSHOP</v>
          </cell>
          <cell r="N503" t="str">
            <v>Production Request (PPW)</v>
          </cell>
          <cell r="O503" t="str">
            <v>WKS</v>
          </cell>
          <cell r="P503" t="str">
            <v>A</v>
          </cell>
          <cell r="Q503" t="str">
            <v>PS</v>
          </cell>
          <cell r="R503" t="str">
            <v>PERMANENT</v>
          </cell>
          <cell r="S503" t="str">
            <v>PRM</v>
          </cell>
          <cell r="T503" t="str">
            <v>OPT</v>
          </cell>
          <cell r="U503" t="str">
            <v>-</v>
          </cell>
          <cell r="V503" t="str">
            <v>L</v>
          </cell>
          <cell r="W503">
            <v>41</v>
          </cell>
        </row>
        <row r="504">
          <cell r="A504">
            <v>6196</v>
          </cell>
          <cell r="B504" t="str">
            <v>006196</v>
          </cell>
          <cell r="C504" t="str">
            <v>EKO SUSANTO</v>
          </cell>
          <cell r="D504" t="str">
            <v>SAMI</v>
          </cell>
          <cell r="E504" t="str">
            <v>ADM-33</v>
          </cell>
          <cell r="F504">
            <v>39173</v>
          </cell>
          <cell r="G504" t="str">
            <v>-</v>
          </cell>
          <cell r="H504" t="str">
            <v>-</v>
          </cell>
          <cell r="I504" t="str">
            <v>PGA</v>
          </cell>
          <cell r="J504" t="str">
            <v>GA</v>
          </cell>
          <cell r="K504" t="str">
            <v>ALL</v>
          </cell>
          <cell r="L504" t="str">
            <v>ALL</v>
          </cell>
          <cell r="M504" t="str">
            <v>GA</v>
          </cell>
          <cell r="N504" t="str">
            <v>STAFF GA</v>
          </cell>
          <cell r="O504" t="str">
            <v>GA</v>
          </cell>
          <cell r="P504" t="str">
            <v>A (NS)</v>
          </cell>
          <cell r="Q504" t="str">
            <v>ADM</v>
          </cell>
          <cell r="R504" t="str">
            <v>PERMANENT</v>
          </cell>
          <cell r="S504" t="str">
            <v>PRM</v>
          </cell>
          <cell r="T504" t="str">
            <v>ADM</v>
          </cell>
          <cell r="U504" t="str">
            <v>-</v>
          </cell>
          <cell r="V504" t="str">
            <v>L</v>
          </cell>
          <cell r="W504">
            <v>39</v>
          </cell>
        </row>
        <row r="505">
          <cell r="A505">
            <v>6198</v>
          </cell>
          <cell r="B505" t="str">
            <v>006198</v>
          </cell>
          <cell r="C505" t="str">
            <v>RIYANTI</v>
          </cell>
          <cell r="D505" t="str">
            <v>SAMI</v>
          </cell>
          <cell r="E505" t="str">
            <v>ADM-33</v>
          </cell>
          <cell r="F505">
            <v>39173</v>
          </cell>
          <cell r="G505" t="str">
            <v>-</v>
          </cell>
          <cell r="H505" t="str">
            <v>-</v>
          </cell>
          <cell r="I505" t="str">
            <v>PGA</v>
          </cell>
          <cell r="J505" t="str">
            <v>GA</v>
          </cell>
          <cell r="K505" t="str">
            <v>ALL</v>
          </cell>
          <cell r="L505" t="str">
            <v>ALL</v>
          </cell>
          <cell r="M505" t="str">
            <v>GA</v>
          </cell>
          <cell r="N505" t="str">
            <v>LEADER</v>
          </cell>
          <cell r="O505" t="str">
            <v>IDL LL</v>
          </cell>
          <cell r="P505" t="str">
            <v>A (NS)</v>
          </cell>
          <cell r="Q505" t="str">
            <v>ADM</v>
          </cell>
          <cell r="R505" t="str">
            <v>PERMANENT</v>
          </cell>
          <cell r="S505" t="str">
            <v>PRM</v>
          </cell>
          <cell r="T505" t="str">
            <v>LL</v>
          </cell>
          <cell r="U505" t="str">
            <v>-</v>
          </cell>
          <cell r="V505" t="str">
            <v>P</v>
          </cell>
          <cell r="W505">
            <v>39</v>
          </cell>
        </row>
        <row r="506">
          <cell r="A506">
            <v>6200</v>
          </cell>
          <cell r="B506" t="str">
            <v>006200</v>
          </cell>
          <cell r="C506" t="str">
            <v>SITI SOFIATUN</v>
          </cell>
          <cell r="D506" t="str">
            <v>SAMI</v>
          </cell>
          <cell r="E506" t="str">
            <v>ADM-33</v>
          </cell>
          <cell r="F506">
            <v>39173</v>
          </cell>
          <cell r="G506" t="str">
            <v>-</v>
          </cell>
          <cell r="H506" t="str">
            <v>-</v>
          </cell>
          <cell r="I506" t="str">
            <v>LOG</v>
          </cell>
          <cell r="J506" t="str">
            <v>PPIC</v>
          </cell>
          <cell r="K506" t="str">
            <v>ALL</v>
          </cell>
          <cell r="L506" t="str">
            <v>ALL</v>
          </cell>
          <cell r="M506" t="str">
            <v>PPIC</v>
          </cell>
          <cell r="N506" t="str">
            <v>ADM ORDERING</v>
          </cell>
          <cell r="O506" t="str">
            <v>IC</v>
          </cell>
          <cell r="P506" t="str">
            <v>A (NS)</v>
          </cell>
          <cell r="Q506" t="str">
            <v>PS</v>
          </cell>
          <cell r="R506" t="str">
            <v>PERMANENT</v>
          </cell>
          <cell r="S506" t="str">
            <v>PRM</v>
          </cell>
          <cell r="T506" t="str">
            <v>ADM</v>
          </cell>
          <cell r="U506" t="str">
            <v>-</v>
          </cell>
          <cell r="V506" t="str">
            <v>P</v>
          </cell>
          <cell r="W506">
            <v>40</v>
          </cell>
        </row>
        <row r="507">
          <cell r="A507">
            <v>6201</v>
          </cell>
          <cell r="B507" t="str">
            <v>006201</v>
          </cell>
          <cell r="C507" t="str">
            <v>WIWIK UTAMI</v>
          </cell>
          <cell r="D507" t="str">
            <v>SAMI</v>
          </cell>
          <cell r="E507" t="str">
            <v>ADM-33</v>
          </cell>
          <cell r="F507">
            <v>39173</v>
          </cell>
          <cell r="G507" t="str">
            <v>-</v>
          </cell>
          <cell r="H507" t="str">
            <v>-</v>
          </cell>
          <cell r="I507" t="str">
            <v>LOG</v>
          </cell>
          <cell r="J507" t="str">
            <v>PPIC</v>
          </cell>
          <cell r="K507" t="str">
            <v>ALL</v>
          </cell>
          <cell r="L507" t="str">
            <v>ALL</v>
          </cell>
          <cell r="M507" t="str">
            <v>PPIC</v>
          </cell>
          <cell r="N507" t="str">
            <v>LEADER ANALISYS</v>
          </cell>
          <cell r="O507" t="str">
            <v>FPS LL</v>
          </cell>
          <cell r="P507" t="str">
            <v>A (NS)</v>
          </cell>
          <cell r="Q507" t="str">
            <v>PS</v>
          </cell>
          <cell r="R507" t="str">
            <v>PERMANENT</v>
          </cell>
          <cell r="S507" t="str">
            <v>PRM</v>
          </cell>
          <cell r="T507" t="str">
            <v>LL</v>
          </cell>
          <cell r="U507" t="str">
            <v>-</v>
          </cell>
          <cell r="V507" t="str">
            <v>P</v>
          </cell>
          <cell r="W507">
            <v>41</v>
          </cell>
        </row>
        <row r="508">
          <cell r="A508">
            <v>6088</v>
          </cell>
          <cell r="B508" t="str">
            <v>006088</v>
          </cell>
          <cell r="C508" t="str">
            <v>SHOLEKHAH</v>
          </cell>
          <cell r="D508" t="str">
            <v>SAMI</v>
          </cell>
          <cell r="E508" t="str">
            <v>OPT-139</v>
          </cell>
          <cell r="F508">
            <v>39142</v>
          </cell>
          <cell r="G508" t="str">
            <v>-</v>
          </cell>
          <cell r="H508" t="str">
            <v>-</v>
          </cell>
          <cell r="I508" t="str">
            <v>PRD</v>
          </cell>
          <cell r="J508" t="str">
            <v>FINAL ASSY</v>
          </cell>
          <cell r="K508" t="str">
            <v>HONDA FREED</v>
          </cell>
          <cell r="L508" t="str">
            <v>HONDA FREED W/H FLOOR</v>
          </cell>
          <cell r="M508" t="str">
            <v>CV 4</v>
          </cell>
          <cell r="N508" t="str">
            <v>VISUAL 2.1</v>
          </cell>
          <cell r="O508" t="str">
            <v>VISUAL INSPECTION</v>
          </cell>
          <cell r="P508" t="str">
            <v>A</v>
          </cell>
          <cell r="Q508" t="str">
            <v>DL</v>
          </cell>
          <cell r="R508" t="str">
            <v>PERMANENT</v>
          </cell>
          <cell r="S508" t="str">
            <v>PRM</v>
          </cell>
          <cell r="T508" t="str">
            <v>OPT</v>
          </cell>
          <cell r="U508" t="str">
            <v>-</v>
          </cell>
          <cell r="V508" t="str">
            <v>P</v>
          </cell>
          <cell r="W508">
            <v>39</v>
          </cell>
        </row>
        <row r="509">
          <cell r="A509">
            <v>9863</v>
          </cell>
          <cell r="B509" t="str">
            <v>009863</v>
          </cell>
          <cell r="C509" t="str">
            <v>SITI JAMILATUL ARISAH</v>
          </cell>
          <cell r="D509" t="str">
            <v>SAMI</v>
          </cell>
          <cell r="E509" t="str">
            <v>OPT-240</v>
          </cell>
          <cell r="F509">
            <v>40411</v>
          </cell>
          <cell r="G509" t="str">
            <v>-</v>
          </cell>
          <cell r="H509" t="str">
            <v>-</v>
          </cell>
          <cell r="I509" t="str">
            <v>PRD</v>
          </cell>
          <cell r="J509" t="str">
            <v>FINAL ASSY</v>
          </cell>
          <cell r="K509" t="str">
            <v>HONDA FREED</v>
          </cell>
          <cell r="L509" t="str">
            <v>HONDA FREED W/H FLOOR</v>
          </cell>
          <cell r="M509" t="str">
            <v>CV 4</v>
          </cell>
          <cell r="N509" t="str">
            <v>CHECKER 2</v>
          </cell>
          <cell r="O509" t="str">
            <v>ELECTRICAL INSPECTION</v>
          </cell>
          <cell r="P509" t="str">
            <v>A</v>
          </cell>
          <cell r="Q509" t="str">
            <v>DL</v>
          </cell>
          <cell r="R509" t="str">
            <v>PERMANENT</v>
          </cell>
          <cell r="S509" t="str">
            <v>PRM</v>
          </cell>
          <cell r="T509" t="str">
            <v>OPT</v>
          </cell>
          <cell r="U509" t="str">
            <v>-</v>
          </cell>
          <cell r="V509" t="str">
            <v>P</v>
          </cell>
          <cell r="W509">
            <v>34</v>
          </cell>
        </row>
        <row r="510">
          <cell r="A510">
            <v>10005</v>
          </cell>
          <cell r="B510" t="str">
            <v>010005</v>
          </cell>
          <cell r="C510" t="str">
            <v>DWI WAHYUNINGSIH</v>
          </cell>
          <cell r="D510" t="str">
            <v>SAMI</v>
          </cell>
          <cell r="E510" t="str">
            <v>OPT-247</v>
          </cell>
          <cell r="F510">
            <v>40438</v>
          </cell>
          <cell r="G510" t="str">
            <v>-</v>
          </cell>
          <cell r="H510" t="str">
            <v>-</v>
          </cell>
          <cell r="I510" t="str">
            <v>PRD</v>
          </cell>
          <cell r="J510" t="str">
            <v>FINAL ASSY</v>
          </cell>
          <cell r="K510" t="str">
            <v>HONDA FREED</v>
          </cell>
          <cell r="L510" t="str">
            <v>HONDA FREED W/H FLOOR</v>
          </cell>
          <cell r="M510" t="str">
            <v>CV 4</v>
          </cell>
          <cell r="N510" t="str">
            <v>LQC</v>
          </cell>
          <cell r="O510" t="str">
            <v>RELIEF</v>
          </cell>
          <cell r="P510" t="str">
            <v>A</v>
          </cell>
          <cell r="Q510" t="str">
            <v>PI</v>
          </cell>
          <cell r="R510" t="str">
            <v>PERMANENT</v>
          </cell>
          <cell r="S510" t="str">
            <v>PRM</v>
          </cell>
          <cell r="T510" t="str">
            <v>PJK</v>
          </cell>
          <cell r="U510" t="str">
            <v>-</v>
          </cell>
          <cell r="V510" t="str">
            <v>P</v>
          </cell>
          <cell r="W510">
            <v>35</v>
          </cell>
        </row>
        <row r="511">
          <cell r="A511">
            <v>10082</v>
          </cell>
          <cell r="B511" t="str">
            <v>010082</v>
          </cell>
          <cell r="C511" t="str">
            <v>DURORUL ALIYAH</v>
          </cell>
          <cell r="D511" t="str">
            <v>SAMI</v>
          </cell>
          <cell r="E511" t="str">
            <v>OPT-248</v>
          </cell>
          <cell r="F511">
            <v>40444</v>
          </cell>
          <cell r="G511" t="str">
            <v>-</v>
          </cell>
          <cell r="H511" t="str">
            <v>-</v>
          </cell>
          <cell r="I511" t="str">
            <v>PRD</v>
          </cell>
          <cell r="J511" t="str">
            <v>FINAL ASSY</v>
          </cell>
          <cell r="K511" t="str">
            <v>HONDA FREED</v>
          </cell>
          <cell r="L511" t="str">
            <v>HONDA FREED W/H FLOOR</v>
          </cell>
          <cell r="M511" t="str">
            <v>CV 4</v>
          </cell>
          <cell r="N511" t="str">
            <v>VISUAL 1.1</v>
          </cell>
          <cell r="O511" t="str">
            <v>VISUAL INSPECTION</v>
          </cell>
          <cell r="P511" t="str">
            <v>A</v>
          </cell>
          <cell r="Q511" t="str">
            <v>DL</v>
          </cell>
          <cell r="R511" t="str">
            <v>PERMANENT</v>
          </cell>
          <cell r="S511" t="str">
            <v>PRM</v>
          </cell>
          <cell r="T511" t="str">
            <v>OPT</v>
          </cell>
          <cell r="U511" t="str">
            <v>-</v>
          </cell>
          <cell r="V511" t="str">
            <v>P</v>
          </cell>
          <cell r="W511">
            <v>32</v>
          </cell>
        </row>
        <row r="512">
          <cell r="A512">
            <v>6366</v>
          </cell>
          <cell r="B512" t="str">
            <v>006366</v>
          </cell>
          <cell r="C512" t="str">
            <v>NUR KHOLIS</v>
          </cell>
          <cell r="D512" t="str">
            <v>SAMI</v>
          </cell>
          <cell r="E512" t="str">
            <v>OPT-148</v>
          </cell>
          <cell r="F512">
            <v>39279</v>
          </cell>
          <cell r="G512" t="str">
            <v>-</v>
          </cell>
          <cell r="H512" t="str">
            <v>-</v>
          </cell>
          <cell r="I512" t="str">
            <v>QA</v>
          </cell>
          <cell r="J512" t="str">
            <v>NON LINE</v>
          </cell>
          <cell r="K512" t="str">
            <v>ALL</v>
          </cell>
          <cell r="L512" t="str">
            <v>PREPARATION , PROTO , ALAT UKUR</v>
          </cell>
          <cell r="M512" t="str">
            <v>QA LL</v>
          </cell>
          <cell r="N512" t="str">
            <v>QA LINE LEADER</v>
          </cell>
          <cell r="O512" t="str">
            <v>FPI LL</v>
          </cell>
          <cell r="P512" t="str">
            <v>A (NS)</v>
          </cell>
          <cell r="Q512" t="str">
            <v>PI</v>
          </cell>
          <cell r="R512" t="str">
            <v>PERMANENT</v>
          </cell>
          <cell r="S512" t="str">
            <v>PRM</v>
          </cell>
          <cell r="T512" t="str">
            <v>LL</v>
          </cell>
          <cell r="U512" t="str">
            <v>-</v>
          </cell>
          <cell r="V512" t="str">
            <v>L</v>
          </cell>
          <cell r="W512">
            <v>40</v>
          </cell>
        </row>
        <row r="513">
          <cell r="A513">
            <v>7077</v>
          </cell>
          <cell r="B513" t="str">
            <v>007077</v>
          </cell>
          <cell r="C513" t="str">
            <v>ARIE CAHYADI</v>
          </cell>
          <cell r="D513" t="str">
            <v>SAMI</v>
          </cell>
          <cell r="E513" t="str">
            <v>TKN-39</v>
          </cell>
          <cell r="F513">
            <v>39479</v>
          </cell>
          <cell r="G513" t="str">
            <v>-</v>
          </cell>
          <cell r="H513" t="str">
            <v>-</v>
          </cell>
          <cell r="I513" t="str">
            <v>PE</v>
          </cell>
          <cell r="J513" t="str">
            <v>J/C BP</v>
          </cell>
          <cell r="K513" t="str">
            <v>ALL</v>
          </cell>
          <cell r="L513" t="str">
            <v>ALL</v>
          </cell>
          <cell r="M513" t="str">
            <v>JCN</v>
          </cell>
          <cell r="N513" t="str">
            <v>LL FINAL ASSY PREVENTIVE</v>
          </cell>
          <cell r="O513" t="str">
            <v>FPS LL</v>
          </cell>
          <cell r="P513" t="str">
            <v>A (NS)</v>
          </cell>
          <cell r="Q513" t="str">
            <v>PS</v>
          </cell>
          <cell r="R513" t="str">
            <v>PERMANENT</v>
          </cell>
          <cell r="S513" t="str">
            <v>PRM</v>
          </cell>
          <cell r="T513" t="str">
            <v>LL</v>
          </cell>
          <cell r="U513" t="str">
            <v>-</v>
          </cell>
          <cell r="V513" t="str">
            <v>L</v>
          </cell>
          <cell r="W513">
            <v>40</v>
          </cell>
        </row>
        <row r="514">
          <cell r="A514">
            <v>7078</v>
          </cell>
          <cell r="B514" t="str">
            <v>007078</v>
          </cell>
          <cell r="C514" t="str">
            <v>KAREP AMAD SUBAGIYO</v>
          </cell>
          <cell r="D514" t="str">
            <v>SAMI</v>
          </cell>
          <cell r="E514" t="str">
            <v>TKN-39</v>
          </cell>
          <cell r="F514">
            <v>39479</v>
          </cell>
          <cell r="G514" t="str">
            <v>-</v>
          </cell>
          <cell r="H514" t="str">
            <v>-</v>
          </cell>
          <cell r="I514" t="str">
            <v>PE</v>
          </cell>
          <cell r="J514" t="str">
            <v>J/C BP</v>
          </cell>
          <cell r="K514" t="str">
            <v>ALL</v>
          </cell>
          <cell r="L514" t="str">
            <v>ALL</v>
          </cell>
          <cell r="M514" t="str">
            <v>JBP</v>
          </cell>
          <cell r="N514" t="str">
            <v>JIG BOARD PREPARATION</v>
          </cell>
          <cell r="O514" t="str">
            <v>JBP</v>
          </cell>
          <cell r="P514" t="str">
            <v>A (NS)</v>
          </cell>
          <cell r="Q514" t="str">
            <v>PS</v>
          </cell>
          <cell r="R514" t="str">
            <v>PERMANENT</v>
          </cell>
          <cell r="S514" t="str">
            <v>PRM</v>
          </cell>
          <cell r="T514" t="str">
            <v>TKN</v>
          </cell>
          <cell r="U514" t="str">
            <v>-</v>
          </cell>
          <cell r="V514" t="str">
            <v>L</v>
          </cell>
          <cell r="W514">
            <v>42</v>
          </cell>
        </row>
        <row r="515">
          <cell r="A515">
            <v>7079</v>
          </cell>
          <cell r="B515" t="str">
            <v>007079</v>
          </cell>
          <cell r="C515" t="str">
            <v>PAIMIN</v>
          </cell>
          <cell r="D515" t="str">
            <v>SAMI</v>
          </cell>
          <cell r="E515" t="str">
            <v>TKN-39</v>
          </cell>
          <cell r="F515">
            <v>39479</v>
          </cell>
          <cell r="G515" t="str">
            <v>-</v>
          </cell>
          <cell r="H515" t="str">
            <v>-</v>
          </cell>
          <cell r="I515" t="str">
            <v>PE</v>
          </cell>
          <cell r="J515" t="str">
            <v>J/C BP</v>
          </cell>
          <cell r="K515" t="str">
            <v>ALL</v>
          </cell>
          <cell r="L515" t="str">
            <v>ALL</v>
          </cell>
          <cell r="M515" t="str">
            <v>JCN</v>
          </cell>
          <cell r="N515" t="str">
            <v>BREAKDOWN FA</v>
          </cell>
          <cell r="O515" t="str">
            <v>MTC</v>
          </cell>
          <cell r="P515" t="str">
            <v>A</v>
          </cell>
          <cell r="Q515" t="str">
            <v>PI</v>
          </cell>
          <cell r="R515" t="str">
            <v>PERMANENT</v>
          </cell>
          <cell r="S515" t="str">
            <v>PRM</v>
          </cell>
          <cell r="T515" t="str">
            <v>TKN</v>
          </cell>
          <cell r="U515" t="str">
            <v>-</v>
          </cell>
          <cell r="V515" t="str">
            <v>L</v>
          </cell>
          <cell r="W515">
            <v>40</v>
          </cell>
        </row>
        <row r="516">
          <cell r="A516">
            <v>7091</v>
          </cell>
          <cell r="B516" t="str">
            <v>007091</v>
          </cell>
          <cell r="C516" t="str">
            <v>M.HUSNUL MUBAROK</v>
          </cell>
          <cell r="D516" t="str">
            <v>SAMI</v>
          </cell>
          <cell r="E516" t="str">
            <v>SPV UP</v>
          </cell>
          <cell r="F516">
            <v>39479</v>
          </cell>
          <cell r="G516" t="str">
            <v>-</v>
          </cell>
          <cell r="H516" t="str">
            <v>-</v>
          </cell>
          <cell r="I516" t="str">
            <v>PP</v>
          </cell>
          <cell r="J516" t="str">
            <v>PP-2</v>
          </cell>
          <cell r="K516" t="str">
            <v>ALL</v>
          </cell>
          <cell r="L516" t="str">
            <v>ALL</v>
          </cell>
          <cell r="M516" t="str">
            <v>PP-2</v>
          </cell>
          <cell r="N516" t="str">
            <v>SUPERVISOR</v>
          </cell>
          <cell r="O516" t="str">
            <v>FPS SPV</v>
          </cell>
          <cell r="P516" t="str">
            <v>A (NS)</v>
          </cell>
          <cell r="Q516" t="str">
            <v>PS</v>
          </cell>
          <cell r="R516" t="str">
            <v>PERMANENT</v>
          </cell>
          <cell r="S516" t="str">
            <v>PRM</v>
          </cell>
          <cell r="T516" t="str">
            <v>SPV</v>
          </cell>
          <cell r="U516" t="str">
            <v>-</v>
          </cell>
          <cell r="V516" t="str">
            <v>L</v>
          </cell>
          <cell r="W516">
            <v>40</v>
          </cell>
        </row>
        <row r="517">
          <cell r="A517">
            <v>7094</v>
          </cell>
          <cell r="B517" t="str">
            <v>007094</v>
          </cell>
          <cell r="C517" t="str">
            <v>MUNHAMIR</v>
          </cell>
          <cell r="D517" t="str">
            <v>SAMI</v>
          </cell>
          <cell r="E517" t="str">
            <v>SPV UP</v>
          </cell>
          <cell r="F517">
            <v>39479</v>
          </cell>
          <cell r="G517" t="str">
            <v>-</v>
          </cell>
          <cell r="H517" t="str">
            <v>-</v>
          </cell>
          <cell r="I517" t="str">
            <v>QA</v>
          </cell>
          <cell r="J517" t="str">
            <v>NON LINE</v>
          </cell>
          <cell r="K517" t="str">
            <v>ALL</v>
          </cell>
          <cell r="L517" t="str">
            <v>ALL</v>
          </cell>
          <cell r="M517" t="str">
            <v>SUPERVISOR</v>
          </cell>
          <cell r="N517" t="str">
            <v>ALL HONDA JAPAN , SOLENOID</v>
          </cell>
          <cell r="O517" t="str">
            <v>FPS SPV</v>
          </cell>
          <cell r="P517" t="str">
            <v>A (NS)</v>
          </cell>
          <cell r="Q517" t="str">
            <v>PS</v>
          </cell>
          <cell r="R517" t="str">
            <v>PERMANENT</v>
          </cell>
          <cell r="S517" t="str">
            <v>PRM</v>
          </cell>
          <cell r="T517" t="str">
            <v>SPV</v>
          </cell>
          <cell r="U517" t="str">
            <v>-</v>
          </cell>
          <cell r="V517" t="str">
            <v>L</v>
          </cell>
          <cell r="W517">
            <v>39</v>
          </cell>
        </row>
        <row r="518">
          <cell r="A518">
            <v>7260</v>
          </cell>
          <cell r="B518" t="str">
            <v>007260</v>
          </cell>
          <cell r="C518" t="str">
            <v>SISWOYO</v>
          </cell>
          <cell r="D518" t="str">
            <v>SAMI</v>
          </cell>
          <cell r="E518" t="str">
            <v>TKN-40</v>
          </cell>
          <cell r="F518">
            <v>39539</v>
          </cell>
          <cell r="G518" t="str">
            <v>-</v>
          </cell>
          <cell r="H518" t="str">
            <v>-</v>
          </cell>
          <cell r="I518" t="str">
            <v>PE</v>
          </cell>
          <cell r="J518" t="str">
            <v>MTC</v>
          </cell>
          <cell r="K518" t="str">
            <v>ALL</v>
          </cell>
          <cell r="L518" t="str">
            <v>ALL</v>
          </cell>
          <cell r="M518" t="str">
            <v>BREAKDOWN</v>
          </cell>
          <cell r="N518" t="str">
            <v>BREAKDOWN</v>
          </cell>
          <cell r="O518" t="str">
            <v>MTC</v>
          </cell>
          <cell r="P518" t="str">
            <v>A</v>
          </cell>
          <cell r="Q518" t="str">
            <v>PI</v>
          </cell>
          <cell r="R518" t="str">
            <v>PERMANENT</v>
          </cell>
          <cell r="S518" t="str">
            <v>PRM</v>
          </cell>
          <cell r="T518" t="str">
            <v>TKN</v>
          </cell>
          <cell r="U518" t="str">
            <v>-</v>
          </cell>
          <cell r="V518" t="str">
            <v>L</v>
          </cell>
          <cell r="W518">
            <v>41</v>
          </cell>
        </row>
        <row r="519">
          <cell r="A519">
            <v>7434</v>
          </cell>
          <cell r="B519" t="str">
            <v>007434</v>
          </cell>
          <cell r="C519" t="str">
            <v>ANIK MAWARTI</v>
          </cell>
          <cell r="D519" t="str">
            <v>SAMI</v>
          </cell>
          <cell r="E519" t="str">
            <v>OPT-173</v>
          </cell>
          <cell r="F519">
            <v>39600</v>
          </cell>
          <cell r="G519" t="str">
            <v>-</v>
          </cell>
          <cell r="H519" t="str">
            <v>-</v>
          </cell>
          <cell r="I519" t="str">
            <v>PGA</v>
          </cell>
          <cell r="J519" t="str">
            <v>TRN &amp; MOTO</v>
          </cell>
          <cell r="K519" t="str">
            <v>ALL</v>
          </cell>
          <cell r="L519" t="str">
            <v>ALL</v>
          </cell>
          <cell r="M519" t="str">
            <v>TRN</v>
          </cell>
          <cell r="N519" t="str">
            <v>LICENSE</v>
          </cell>
          <cell r="O519" t="str">
            <v>TRN</v>
          </cell>
          <cell r="P519" t="str">
            <v>A (NS)</v>
          </cell>
          <cell r="Q519" t="str">
            <v>ADM</v>
          </cell>
          <cell r="R519" t="str">
            <v>PERMANENT</v>
          </cell>
          <cell r="S519" t="str">
            <v>PRM</v>
          </cell>
          <cell r="T519" t="str">
            <v>GL</v>
          </cell>
          <cell r="U519" t="str">
            <v>-</v>
          </cell>
          <cell r="V519" t="str">
            <v>P</v>
          </cell>
          <cell r="W519">
            <v>37</v>
          </cell>
        </row>
        <row r="520">
          <cell r="A520">
            <v>7498</v>
          </cell>
          <cell r="B520" t="str">
            <v>007498</v>
          </cell>
          <cell r="C520" t="str">
            <v>NADHIFATUN</v>
          </cell>
          <cell r="D520" t="str">
            <v>SAMI</v>
          </cell>
          <cell r="E520" t="str">
            <v>OPT-173</v>
          </cell>
          <cell r="F520">
            <v>39600</v>
          </cell>
          <cell r="G520" t="str">
            <v>-</v>
          </cell>
          <cell r="H520" t="str">
            <v>-</v>
          </cell>
          <cell r="I520" t="str">
            <v>LOG</v>
          </cell>
          <cell r="J520" t="str">
            <v>EXIM</v>
          </cell>
          <cell r="K520" t="str">
            <v>ALL</v>
          </cell>
          <cell r="L520" t="str">
            <v>ALL</v>
          </cell>
          <cell r="M520" t="str">
            <v>EXIM - CANDI</v>
          </cell>
          <cell r="N520" t="str">
            <v>LEADER EXIM</v>
          </cell>
          <cell r="O520" t="str">
            <v>FPS LL</v>
          </cell>
          <cell r="P520" t="str">
            <v>A (NS)</v>
          </cell>
          <cell r="Q520" t="str">
            <v>PS</v>
          </cell>
          <cell r="R520" t="str">
            <v>PERMANENT</v>
          </cell>
          <cell r="S520" t="str">
            <v>PRM</v>
          </cell>
          <cell r="T520" t="str">
            <v>LL</v>
          </cell>
          <cell r="U520" t="str">
            <v>-</v>
          </cell>
          <cell r="V520" t="str">
            <v>P</v>
          </cell>
          <cell r="W520">
            <v>37</v>
          </cell>
        </row>
        <row r="521">
          <cell r="A521">
            <v>7558</v>
          </cell>
          <cell r="B521" t="str">
            <v>007558</v>
          </cell>
          <cell r="C521" t="str">
            <v>JUHADI</v>
          </cell>
          <cell r="D521" t="str">
            <v>SAMI</v>
          </cell>
          <cell r="E521" t="str">
            <v>TKN-42</v>
          </cell>
          <cell r="F521">
            <v>39600</v>
          </cell>
          <cell r="G521" t="str">
            <v>-</v>
          </cell>
          <cell r="H521" t="str">
            <v>-</v>
          </cell>
          <cell r="I521" t="str">
            <v>PE</v>
          </cell>
          <cell r="J521" t="str">
            <v>MTC</v>
          </cell>
          <cell r="K521" t="str">
            <v>ALL</v>
          </cell>
          <cell r="L521" t="str">
            <v>ALL</v>
          </cell>
          <cell r="M521" t="str">
            <v>BREAKDOWN</v>
          </cell>
          <cell r="N521" t="str">
            <v>BREAKDOWN</v>
          </cell>
          <cell r="O521" t="str">
            <v>MTC</v>
          </cell>
          <cell r="P521" t="str">
            <v>A</v>
          </cell>
          <cell r="Q521" t="str">
            <v>PI</v>
          </cell>
          <cell r="R521" t="str">
            <v>PERMANENT</v>
          </cell>
          <cell r="S521" t="str">
            <v>PRM</v>
          </cell>
          <cell r="T521" t="str">
            <v>TKN</v>
          </cell>
          <cell r="U521" t="str">
            <v>-</v>
          </cell>
          <cell r="V521" t="str">
            <v>L</v>
          </cell>
          <cell r="W521">
            <v>38</v>
          </cell>
        </row>
        <row r="522">
          <cell r="A522">
            <v>7780</v>
          </cell>
          <cell r="B522" t="str">
            <v>007780</v>
          </cell>
          <cell r="C522" t="str">
            <v>MIR'ATUL HIDAYAH</v>
          </cell>
          <cell r="D522" t="str">
            <v>SAMI</v>
          </cell>
          <cell r="E522" t="str">
            <v>ADM-36</v>
          </cell>
          <cell r="F522">
            <v>39630</v>
          </cell>
          <cell r="G522" t="str">
            <v>-</v>
          </cell>
          <cell r="H522" t="str">
            <v>-</v>
          </cell>
          <cell r="I522" t="str">
            <v>FA</v>
          </cell>
          <cell r="J522" t="str">
            <v>FIN</v>
          </cell>
          <cell r="K522" t="str">
            <v>ALL</v>
          </cell>
          <cell r="L522" t="str">
            <v>ALL</v>
          </cell>
          <cell r="M522" t="str">
            <v>FINANCE</v>
          </cell>
          <cell r="N522" t="str">
            <v>LEADER FINANCE</v>
          </cell>
          <cell r="O522" t="str">
            <v>IDL LL</v>
          </cell>
          <cell r="P522" t="str">
            <v>A (NS)</v>
          </cell>
          <cell r="Q522" t="str">
            <v>ADM</v>
          </cell>
          <cell r="R522" t="str">
            <v>PERMANENT</v>
          </cell>
          <cell r="S522" t="str">
            <v>PRM</v>
          </cell>
          <cell r="T522" t="str">
            <v>LL</v>
          </cell>
          <cell r="U522" t="str">
            <v>-</v>
          </cell>
          <cell r="V522" t="str">
            <v>P</v>
          </cell>
          <cell r="W522">
            <v>39</v>
          </cell>
        </row>
        <row r="523">
          <cell r="A523">
            <v>7782</v>
          </cell>
          <cell r="B523" t="str">
            <v>007782</v>
          </cell>
          <cell r="C523" t="str">
            <v>ROZIKIN</v>
          </cell>
          <cell r="D523" t="str">
            <v>SAMI</v>
          </cell>
          <cell r="E523" t="str">
            <v>ADM-36</v>
          </cell>
          <cell r="F523">
            <v>39630</v>
          </cell>
          <cell r="G523" t="str">
            <v>-</v>
          </cell>
          <cell r="H523" t="str">
            <v>-</v>
          </cell>
          <cell r="I523" t="str">
            <v>PE</v>
          </cell>
          <cell r="J523" t="str">
            <v>PrE</v>
          </cell>
          <cell r="K523" t="str">
            <v>ALL</v>
          </cell>
          <cell r="L523" t="str">
            <v>ALL</v>
          </cell>
          <cell r="M523" t="str">
            <v>PrE</v>
          </cell>
          <cell r="N523" t="str">
            <v>LL PrE</v>
          </cell>
          <cell r="O523" t="str">
            <v>FPS LL</v>
          </cell>
          <cell r="P523" t="str">
            <v>A (NS)</v>
          </cell>
          <cell r="Q523" t="str">
            <v>PS</v>
          </cell>
          <cell r="R523" t="str">
            <v>PERMANENT</v>
          </cell>
          <cell r="S523" t="str">
            <v>PRM</v>
          </cell>
          <cell r="T523" t="str">
            <v>LL</v>
          </cell>
          <cell r="U523" t="str">
            <v>-</v>
          </cell>
          <cell r="V523" t="str">
            <v>L</v>
          </cell>
          <cell r="W523">
            <v>39</v>
          </cell>
        </row>
        <row r="524">
          <cell r="A524">
            <v>7788</v>
          </cell>
          <cell r="B524" t="str">
            <v>007788</v>
          </cell>
          <cell r="C524" t="str">
            <v>PURWANTO</v>
          </cell>
          <cell r="D524" t="str">
            <v>SAMI</v>
          </cell>
          <cell r="E524" t="str">
            <v>TKN-43</v>
          </cell>
          <cell r="F524">
            <v>39630</v>
          </cell>
          <cell r="G524" t="str">
            <v>-</v>
          </cell>
          <cell r="H524" t="str">
            <v>-</v>
          </cell>
          <cell r="I524" t="str">
            <v>PE</v>
          </cell>
          <cell r="J524" t="str">
            <v>MTC</v>
          </cell>
          <cell r="K524" t="str">
            <v>ALL</v>
          </cell>
          <cell r="L524" t="str">
            <v>ALL</v>
          </cell>
          <cell r="M524" t="str">
            <v>BREAKDOWN</v>
          </cell>
          <cell r="N524" t="str">
            <v>BREAKDOWN</v>
          </cell>
          <cell r="O524" t="str">
            <v>MTC</v>
          </cell>
          <cell r="P524" t="str">
            <v>B</v>
          </cell>
          <cell r="Q524" t="str">
            <v>PI</v>
          </cell>
          <cell r="R524" t="str">
            <v>PERMANENT</v>
          </cell>
          <cell r="S524" t="str">
            <v>PRM</v>
          </cell>
          <cell r="T524" t="str">
            <v>TKN</v>
          </cell>
          <cell r="U524" t="str">
            <v>-</v>
          </cell>
          <cell r="V524" t="str">
            <v>L</v>
          </cell>
          <cell r="W524">
            <v>39</v>
          </cell>
        </row>
        <row r="525">
          <cell r="A525">
            <v>8038</v>
          </cell>
          <cell r="B525" t="str">
            <v>008038</v>
          </cell>
          <cell r="C525" t="str">
            <v>ABDUL KARIS</v>
          </cell>
          <cell r="D525" t="str">
            <v>SAMI</v>
          </cell>
          <cell r="E525" t="str">
            <v>SPV UP</v>
          </cell>
          <cell r="F525">
            <v>39661</v>
          </cell>
          <cell r="G525" t="str">
            <v>-</v>
          </cell>
          <cell r="H525" t="str">
            <v>-</v>
          </cell>
          <cell r="I525" t="str">
            <v>PGA</v>
          </cell>
          <cell r="J525" t="str">
            <v>IT</v>
          </cell>
          <cell r="K525" t="str">
            <v>ALL</v>
          </cell>
          <cell r="L525" t="str">
            <v>ALL</v>
          </cell>
          <cell r="M525" t="str">
            <v>IT</v>
          </cell>
          <cell r="N525" t="str">
            <v xml:space="preserve"> COORD. SUPERVISOR</v>
          </cell>
          <cell r="O525" t="str">
            <v>IDL SPV</v>
          </cell>
          <cell r="P525" t="str">
            <v>A (NS)</v>
          </cell>
          <cell r="Q525" t="str">
            <v>ADM</v>
          </cell>
          <cell r="R525" t="str">
            <v>PERMANENT</v>
          </cell>
          <cell r="S525" t="str">
            <v>PRM</v>
          </cell>
          <cell r="T525" t="str">
            <v>CSPV</v>
          </cell>
          <cell r="U525" t="str">
            <v>-</v>
          </cell>
          <cell r="V525" t="str">
            <v>L</v>
          </cell>
          <cell r="W525">
            <v>40</v>
          </cell>
        </row>
        <row r="526">
          <cell r="A526">
            <v>8043</v>
          </cell>
          <cell r="B526" t="str">
            <v>008043</v>
          </cell>
          <cell r="C526" t="str">
            <v>SONY WAHYU ERLANTO</v>
          </cell>
          <cell r="D526" t="str">
            <v>SAMI</v>
          </cell>
          <cell r="E526" t="str">
            <v>TKN-44</v>
          </cell>
          <cell r="F526">
            <v>39661</v>
          </cell>
          <cell r="G526" t="str">
            <v>-</v>
          </cell>
          <cell r="H526" t="str">
            <v>-</v>
          </cell>
          <cell r="I526" t="str">
            <v>PE</v>
          </cell>
          <cell r="J526" t="str">
            <v>MTC</v>
          </cell>
          <cell r="K526" t="str">
            <v>ALL</v>
          </cell>
          <cell r="L526" t="str">
            <v>ALL</v>
          </cell>
          <cell r="M526" t="str">
            <v>TPM</v>
          </cell>
          <cell r="N526" t="str">
            <v>PREVENTIVE</v>
          </cell>
          <cell r="O526" t="str">
            <v>PROCESS ENG</v>
          </cell>
          <cell r="P526" t="str">
            <v>A</v>
          </cell>
          <cell r="Q526" t="str">
            <v>PS</v>
          </cell>
          <cell r="R526" t="str">
            <v>PERMANENT</v>
          </cell>
          <cell r="S526" t="str">
            <v>PRM</v>
          </cell>
          <cell r="T526" t="str">
            <v>TKN</v>
          </cell>
          <cell r="U526" t="str">
            <v>-</v>
          </cell>
          <cell r="V526" t="str">
            <v>L</v>
          </cell>
          <cell r="W526">
            <v>37</v>
          </cell>
        </row>
        <row r="527">
          <cell r="A527">
            <v>8381</v>
          </cell>
          <cell r="B527" t="str">
            <v>008381</v>
          </cell>
          <cell r="C527" t="str">
            <v>MAULVI BAHRUL MUHITH</v>
          </cell>
          <cell r="D527" t="str">
            <v>SAMI</v>
          </cell>
          <cell r="E527" t="str">
            <v>SPV UP</v>
          </cell>
          <cell r="F527">
            <v>39680</v>
          </cell>
          <cell r="G527" t="str">
            <v>-</v>
          </cell>
          <cell r="H527" t="str">
            <v>-</v>
          </cell>
          <cell r="I527" t="str">
            <v>FA</v>
          </cell>
          <cell r="J527" t="str">
            <v>FIN</v>
          </cell>
          <cell r="K527" t="str">
            <v>ALL</v>
          </cell>
          <cell r="L527" t="str">
            <v>ALL</v>
          </cell>
          <cell r="M527" t="str">
            <v>FINANCE</v>
          </cell>
          <cell r="N527" t="str">
            <v xml:space="preserve"> COORD. SUPERVISOR</v>
          </cell>
          <cell r="O527" t="str">
            <v>IDL SPV</v>
          </cell>
          <cell r="P527" t="str">
            <v>A (NS)</v>
          </cell>
          <cell r="Q527" t="str">
            <v>ADM</v>
          </cell>
          <cell r="R527" t="str">
            <v>PERMANENT</v>
          </cell>
          <cell r="S527" t="str">
            <v>PRM</v>
          </cell>
          <cell r="T527" t="str">
            <v>CSPV</v>
          </cell>
          <cell r="U527" t="str">
            <v>-</v>
          </cell>
          <cell r="V527" t="str">
            <v>L</v>
          </cell>
          <cell r="W527">
            <v>42</v>
          </cell>
        </row>
        <row r="528">
          <cell r="A528">
            <v>10291</v>
          </cell>
          <cell r="B528" t="str">
            <v>010291</v>
          </cell>
          <cell r="C528" t="str">
            <v>ROHAYATI SAKDANAH</v>
          </cell>
          <cell r="D528" t="str">
            <v>SAMI</v>
          </cell>
          <cell r="E528" t="str">
            <v>OPT-263</v>
          </cell>
          <cell r="F528">
            <v>40504</v>
          </cell>
          <cell r="G528" t="str">
            <v>-</v>
          </cell>
          <cell r="H528" t="str">
            <v>-</v>
          </cell>
          <cell r="I528" t="str">
            <v>PRD</v>
          </cell>
          <cell r="J528" t="str">
            <v>FINAL ASSY</v>
          </cell>
          <cell r="K528" t="str">
            <v>HONDA FREED</v>
          </cell>
          <cell r="L528" t="str">
            <v>HONDA FREED W/H FLOOR</v>
          </cell>
          <cell r="M528" t="str">
            <v>CV 4</v>
          </cell>
          <cell r="N528" t="str">
            <v>CHECKER 3</v>
          </cell>
          <cell r="O528" t="str">
            <v>ELECTRICAL INSPECTION</v>
          </cell>
          <cell r="P528" t="str">
            <v>A</v>
          </cell>
          <cell r="Q528" t="str">
            <v>DL</v>
          </cell>
          <cell r="R528" t="str">
            <v>PERMANENT</v>
          </cell>
          <cell r="S528" t="str">
            <v>PRM</v>
          </cell>
          <cell r="T528" t="str">
            <v>OPT</v>
          </cell>
          <cell r="U528" t="str">
            <v>-</v>
          </cell>
          <cell r="V528" t="str">
            <v>P</v>
          </cell>
          <cell r="W528">
            <v>33</v>
          </cell>
        </row>
        <row r="529">
          <cell r="A529">
            <v>8636</v>
          </cell>
          <cell r="B529" t="str">
            <v>008636</v>
          </cell>
          <cell r="C529" t="str">
            <v>ANY ISNAWATI</v>
          </cell>
          <cell r="D529" t="str">
            <v>SAMI</v>
          </cell>
          <cell r="E529" t="str">
            <v>OPT-189</v>
          </cell>
          <cell r="F529">
            <v>39878</v>
          </cell>
          <cell r="G529" t="str">
            <v>-</v>
          </cell>
          <cell r="H529" t="str">
            <v>-</v>
          </cell>
          <cell r="I529" t="str">
            <v>PRD</v>
          </cell>
          <cell r="J529" t="str">
            <v>FINAL ASSY</v>
          </cell>
          <cell r="K529" t="str">
            <v>HONDA BBP</v>
          </cell>
          <cell r="L529" t="str">
            <v>HV HONDA 30B</v>
          </cell>
          <cell r="M529" t="str">
            <v>CV HV 11B</v>
          </cell>
          <cell r="N529" t="str">
            <v>LQC</v>
          </cell>
          <cell r="O529" t="str">
            <v>RELIEF</v>
          </cell>
          <cell r="P529" t="str">
            <v>B</v>
          </cell>
          <cell r="Q529" t="str">
            <v>PI</v>
          </cell>
          <cell r="R529" t="str">
            <v>PERMANENT</v>
          </cell>
          <cell r="S529" t="str">
            <v>PRM</v>
          </cell>
          <cell r="T529" t="str">
            <v>SLC</v>
          </cell>
          <cell r="U529" t="str">
            <v>-</v>
          </cell>
          <cell r="V529" t="str">
            <v>P</v>
          </cell>
          <cell r="W529">
            <v>36</v>
          </cell>
        </row>
        <row r="530">
          <cell r="A530">
            <v>10568</v>
          </cell>
          <cell r="B530" t="str">
            <v>010568</v>
          </cell>
          <cell r="C530" t="str">
            <v>SRI SULASTRI</v>
          </cell>
          <cell r="D530" t="str">
            <v>SAMI</v>
          </cell>
          <cell r="E530" t="str">
            <v>OPT-275</v>
          </cell>
          <cell r="F530">
            <v>40542</v>
          </cell>
          <cell r="G530" t="str">
            <v>-</v>
          </cell>
          <cell r="H530" t="str">
            <v>-</v>
          </cell>
          <cell r="I530" t="str">
            <v>PRD</v>
          </cell>
          <cell r="J530" t="str">
            <v>FINAL ASSY</v>
          </cell>
          <cell r="K530" t="str">
            <v>HONDA FREED</v>
          </cell>
          <cell r="L530" t="str">
            <v>HONDA FREED W/H FLOOR</v>
          </cell>
          <cell r="M530" t="str">
            <v>CV 4</v>
          </cell>
          <cell r="N530" t="str">
            <v>S/A 2</v>
          </cell>
          <cell r="O530" t="str">
            <v>SUB ASSY</v>
          </cell>
          <cell r="P530" t="str">
            <v>A</v>
          </cell>
          <cell r="Q530" t="str">
            <v>DL</v>
          </cell>
          <cell r="R530" t="str">
            <v>PERMANENT</v>
          </cell>
          <cell r="S530" t="str">
            <v>PRM</v>
          </cell>
          <cell r="T530" t="str">
            <v>OPT</v>
          </cell>
          <cell r="U530" t="str">
            <v>-</v>
          </cell>
          <cell r="V530" t="str">
            <v>P</v>
          </cell>
          <cell r="W530">
            <v>33</v>
          </cell>
        </row>
        <row r="531">
          <cell r="A531">
            <v>8643</v>
          </cell>
          <cell r="B531" t="str">
            <v>008643</v>
          </cell>
          <cell r="C531" t="str">
            <v>IDA SOPIANA</v>
          </cell>
          <cell r="D531" t="str">
            <v>SAMI</v>
          </cell>
          <cell r="E531" t="str">
            <v>OPT-189</v>
          </cell>
          <cell r="F531">
            <v>39878</v>
          </cell>
          <cell r="G531" t="str">
            <v>-</v>
          </cell>
          <cell r="H531" t="str">
            <v>-</v>
          </cell>
          <cell r="I531" t="str">
            <v>PRD</v>
          </cell>
          <cell r="J531" t="str">
            <v>FINAL ASSY</v>
          </cell>
          <cell r="K531" t="str">
            <v>HONDA FREED</v>
          </cell>
          <cell r="L531" t="str">
            <v>HONDA FREED W/H FLOOR</v>
          </cell>
          <cell r="M531" t="str">
            <v>CV 4</v>
          </cell>
          <cell r="N531" t="str">
            <v>LQC</v>
          </cell>
          <cell r="O531" t="str">
            <v>RELIEF</v>
          </cell>
          <cell r="P531" t="str">
            <v>B</v>
          </cell>
          <cell r="Q531" t="str">
            <v>PI</v>
          </cell>
          <cell r="R531" t="str">
            <v>PERMANENT</v>
          </cell>
          <cell r="S531" t="str">
            <v>PRM</v>
          </cell>
          <cell r="T531" t="str">
            <v>PJK</v>
          </cell>
          <cell r="U531" t="str">
            <v>-</v>
          </cell>
          <cell r="V531" t="str">
            <v>P</v>
          </cell>
          <cell r="W531">
            <v>35</v>
          </cell>
        </row>
        <row r="532">
          <cell r="A532">
            <v>11189</v>
          </cell>
          <cell r="B532" t="str">
            <v>011189</v>
          </cell>
          <cell r="C532" t="str">
            <v>SUSI AMBARWATI</v>
          </cell>
          <cell r="D532" t="str">
            <v>SAMI</v>
          </cell>
          <cell r="E532" t="str">
            <v>OPT-292</v>
          </cell>
          <cell r="F532">
            <v>40610</v>
          </cell>
          <cell r="G532" t="str">
            <v>-</v>
          </cell>
          <cell r="H532" t="str">
            <v>-</v>
          </cell>
          <cell r="I532" t="str">
            <v>PRD</v>
          </cell>
          <cell r="J532" t="str">
            <v>FINAL ASSY</v>
          </cell>
          <cell r="K532" t="str">
            <v>HONDA FREED</v>
          </cell>
          <cell r="L532" t="str">
            <v>HONDA FREED W/H FLOOR</v>
          </cell>
          <cell r="M532" t="str">
            <v>CV 4</v>
          </cell>
          <cell r="N532" t="str">
            <v>RELIEF 2</v>
          </cell>
          <cell r="O532" t="str">
            <v>RELIEF</v>
          </cell>
          <cell r="P532" t="str">
            <v>A</v>
          </cell>
          <cell r="Q532" t="str">
            <v>PI</v>
          </cell>
          <cell r="R532" t="str">
            <v>PERMANENT</v>
          </cell>
          <cell r="S532" t="str">
            <v>PRM</v>
          </cell>
          <cell r="T532" t="str">
            <v>OPT</v>
          </cell>
          <cell r="U532" t="str">
            <v>-</v>
          </cell>
          <cell r="V532" t="str">
            <v>P</v>
          </cell>
          <cell r="W532">
            <v>35</v>
          </cell>
        </row>
        <row r="533">
          <cell r="A533">
            <v>8645</v>
          </cell>
          <cell r="B533" t="str">
            <v>008645</v>
          </cell>
          <cell r="C533" t="str">
            <v>KHARISMAWATI</v>
          </cell>
          <cell r="D533" t="str">
            <v>SAMI</v>
          </cell>
          <cell r="E533" t="str">
            <v>OPT-189</v>
          </cell>
          <cell r="F533">
            <v>39878</v>
          </cell>
          <cell r="G533" t="str">
            <v>-</v>
          </cell>
          <cell r="H533" t="str">
            <v>-</v>
          </cell>
          <cell r="I533" t="str">
            <v>PRD</v>
          </cell>
          <cell r="J533" t="str">
            <v>FINAL ASSY</v>
          </cell>
          <cell r="K533" t="str">
            <v>TOYOTA HV</v>
          </cell>
          <cell r="L533" t="str">
            <v>HV TOYOTA 10PL</v>
          </cell>
          <cell r="M533" t="str">
            <v>CV HV 14A</v>
          </cell>
          <cell r="N533" t="str">
            <v>SUB LINE CHO</v>
          </cell>
          <cell r="O533" t="str">
            <v>GL</v>
          </cell>
          <cell r="P533" t="str">
            <v>B</v>
          </cell>
          <cell r="Q533" t="str">
            <v>PI</v>
          </cell>
          <cell r="R533" t="str">
            <v>PERMANENT</v>
          </cell>
          <cell r="S533" t="str">
            <v>PRM</v>
          </cell>
          <cell r="T533" t="str">
            <v>SLC</v>
          </cell>
          <cell r="U533" t="str">
            <v>-</v>
          </cell>
          <cell r="V533" t="str">
            <v>P</v>
          </cell>
          <cell r="W533">
            <v>35</v>
          </cell>
        </row>
        <row r="534">
          <cell r="A534">
            <v>8647</v>
          </cell>
          <cell r="B534" t="str">
            <v>008647</v>
          </cell>
          <cell r="C534" t="str">
            <v>LILIS SULASIH</v>
          </cell>
          <cell r="D534" t="str">
            <v>SAMI</v>
          </cell>
          <cell r="E534" t="str">
            <v>OPT-189</v>
          </cell>
          <cell r="F534">
            <v>39878</v>
          </cell>
          <cell r="G534" t="str">
            <v>-</v>
          </cell>
          <cell r="H534" t="str">
            <v>-</v>
          </cell>
          <cell r="I534" t="str">
            <v>PP</v>
          </cell>
          <cell r="J534" t="str">
            <v>SWCT</v>
          </cell>
          <cell r="K534" t="str">
            <v>ALL</v>
          </cell>
          <cell r="L534" t="str">
            <v>ALL</v>
          </cell>
          <cell r="M534" t="str">
            <v>SWCT</v>
          </cell>
          <cell r="N534" t="str">
            <v>DOKUMEN SWCT</v>
          </cell>
          <cell r="O534" t="str">
            <v>PROCESS ENG</v>
          </cell>
          <cell r="P534" t="str">
            <v>A (NS)</v>
          </cell>
          <cell r="Q534" t="str">
            <v>PS</v>
          </cell>
          <cell r="R534" t="str">
            <v>PERMANENT</v>
          </cell>
          <cell r="S534" t="str">
            <v>PRM</v>
          </cell>
          <cell r="T534" t="str">
            <v>OPT</v>
          </cell>
          <cell r="U534" t="str">
            <v>-</v>
          </cell>
          <cell r="V534" t="str">
            <v>P</v>
          </cell>
          <cell r="W534">
            <v>35</v>
          </cell>
        </row>
        <row r="535">
          <cell r="A535">
            <v>11938</v>
          </cell>
          <cell r="B535" t="str">
            <v>011938</v>
          </cell>
          <cell r="C535" t="str">
            <v>LINDA LESTARI</v>
          </cell>
          <cell r="D535" t="str">
            <v>SAMI</v>
          </cell>
          <cell r="E535" t="str">
            <v>OPT-311</v>
          </cell>
          <cell r="F535">
            <v>40770</v>
          </cell>
          <cell r="G535" t="str">
            <v>-</v>
          </cell>
          <cell r="H535" t="str">
            <v>-</v>
          </cell>
          <cell r="I535" t="str">
            <v>PRD</v>
          </cell>
          <cell r="J535" t="str">
            <v>FINAL ASSY</v>
          </cell>
          <cell r="K535" t="str">
            <v>HONDA FREED</v>
          </cell>
          <cell r="L535" t="str">
            <v>HONDA FREED W/H FLOOR</v>
          </cell>
          <cell r="M535" t="str">
            <v>CV 4</v>
          </cell>
          <cell r="N535" t="str">
            <v>VISUAL 1.3</v>
          </cell>
          <cell r="O535" t="str">
            <v>VISUAL INSPECTION</v>
          </cell>
          <cell r="P535" t="str">
            <v>A</v>
          </cell>
          <cell r="Q535" t="str">
            <v>DL</v>
          </cell>
          <cell r="R535" t="str">
            <v>PERMANENT</v>
          </cell>
          <cell r="S535" t="str">
            <v>PRM</v>
          </cell>
          <cell r="T535" t="str">
            <v>OPT</v>
          </cell>
          <cell r="U535" t="str">
            <v>-</v>
          </cell>
          <cell r="V535" t="str">
            <v>P</v>
          </cell>
          <cell r="W535">
            <v>31</v>
          </cell>
        </row>
        <row r="536">
          <cell r="A536">
            <v>12193</v>
          </cell>
          <cell r="B536" t="str">
            <v>012193</v>
          </cell>
          <cell r="C536" t="str">
            <v>MERLIN SANJAYA</v>
          </cell>
          <cell r="D536" t="str">
            <v>SAMI</v>
          </cell>
          <cell r="E536" t="str">
            <v>OPT-315</v>
          </cell>
          <cell r="F536">
            <v>40802</v>
          </cell>
          <cell r="G536" t="str">
            <v>-</v>
          </cell>
          <cell r="H536" t="str">
            <v>-</v>
          </cell>
          <cell r="I536" t="str">
            <v>PRD</v>
          </cell>
          <cell r="J536" t="str">
            <v>FINAL ASSY</v>
          </cell>
          <cell r="K536" t="str">
            <v>HONDA FREED</v>
          </cell>
          <cell r="L536" t="str">
            <v>HONDA FREED W/H FLOOR</v>
          </cell>
          <cell r="M536" t="str">
            <v>CV 4</v>
          </cell>
          <cell r="N536" t="str">
            <v>CHECKER AB</v>
          </cell>
          <cell r="O536" t="str">
            <v>ELECTRICAL INSPECTION</v>
          </cell>
          <cell r="P536" t="str">
            <v>A</v>
          </cell>
          <cell r="Q536" t="str">
            <v>DL</v>
          </cell>
          <cell r="R536" t="str">
            <v>PERMANENT</v>
          </cell>
          <cell r="S536" t="str">
            <v>PRM</v>
          </cell>
          <cell r="T536" t="str">
            <v>OPT</v>
          </cell>
          <cell r="U536" t="str">
            <v>-</v>
          </cell>
          <cell r="V536" t="str">
            <v>P</v>
          </cell>
          <cell r="W536">
            <v>32</v>
          </cell>
        </row>
        <row r="537">
          <cell r="A537">
            <v>8667</v>
          </cell>
          <cell r="B537" t="str">
            <v>008667</v>
          </cell>
          <cell r="C537" t="str">
            <v>SOFIATUN</v>
          </cell>
          <cell r="D537" t="str">
            <v>SAMI</v>
          </cell>
          <cell r="E537" t="str">
            <v>OPT-189</v>
          </cell>
          <cell r="F537">
            <v>39878</v>
          </cell>
          <cell r="G537" t="str">
            <v>-</v>
          </cell>
          <cell r="H537" t="str">
            <v>-</v>
          </cell>
          <cell r="I537" t="str">
            <v>QA</v>
          </cell>
          <cell r="J537" t="str">
            <v>FINAL ASSY</v>
          </cell>
          <cell r="K537" t="str">
            <v>FREED 25M</v>
          </cell>
          <cell r="L537" t="str">
            <v>R-CABIN</v>
          </cell>
          <cell r="M537" t="str">
            <v>CV H05</v>
          </cell>
          <cell r="N537" t="str">
            <v>OJT DC</v>
          </cell>
          <cell r="O537" t="str">
            <v>OTHERS</v>
          </cell>
          <cell r="P537" t="str">
            <v>A (NS)</v>
          </cell>
          <cell r="Q537" t="str">
            <v>PI</v>
          </cell>
          <cell r="R537" t="str">
            <v>PERMANENT</v>
          </cell>
          <cell r="S537" t="str">
            <v>PRM</v>
          </cell>
          <cell r="T537" t="str">
            <v>OPT</v>
          </cell>
          <cell r="U537" t="str">
            <v>-</v>
          </cell>
          <cell r="V537" t="str">
            <v>P</v>
          </cell>
          <cell r="W537">
            <v>37</v>
          </cell>
        </row>
        <row r="538">
          <cell r="A538">
            <v>8669</v>
          </cell>
          <cell r="B538" t="str">
            <v>008669</v>
          </cell>
          <cell r="C538" t="str">
            <v>TRI APRILIANINGRUM</v>
          </cell>
          <cell r="D538" t="str">
            <v>SAMI</v>
          </cell>
          <cell r="E538" t="str">
            <v>OPT-189</v>
          </cell>
          <cell r="F538">
            <v>39878</v>
          </cell>
          <cell r="G538" t="str">
            <v>-</v>
          </cell>
          <cell r="H538" t="str">
            <v>-</v>
          </cell>
          <cell r="I538" t="str">
            <v>PRD</v>
          </cell>
          <cell r="J538" t="str">
            <v>FINAL ASSY</v>
          </cell>
          <cell r="K538" t="str">
            <v>HONDA FIT</v>
          </cell>
          <cell r="L538" t="str">
            <v>HONDA FIT HEV PET ENGINE</v>
          </cell>
          <cell r="M538" t="str">
            <v>CV H02</v>
          </cell>
          <cell r="N538" t="str">
            <v>CHECKER 1</v>
          </cell>
          <cell r="O538" t="str">
            <v>ELECTRICAL INSPECTION</v>
          </cell>
          <cell r="P538" t="str">
            <v>B</v>
          </cell>
          <cell r="Q538" t="str">
            <v>DL</v>
          </cell>
          <cell r="R538" t="str">
            <v>PERMANENT</v>
          </cell>
          <cell r="S538" t="str">
            <v>PRM</v>
          </cell>
          <cell r="T538" t="str">
            <v>OPT</v>
          </cell>
          <cell r="U538" t="str">
            <v>-</v>
          </cell>
          <cell r="V538" t="str">
            <v>P</v>
          </cell>
          <cell r="W538">
            <v>35</v>
          </cell>
        </row>
        <row r="539">
          <cell r="A539">
            <v>8672</v>
          </cell>
          <cell r="B539" t="str">
            <v>008672</v>
          </cell>
          <cell r="C539" t="str">
            <v>VERA ANGGRAINI</v>
          </cell>
          <cell r="D539" t="str">
            <v>SAMI</v>
          </cell>
          <cell r="E539" t="str">
            <v>OPT-189</v>
          </cell>
          <cell r="F539">
            <v>39878</v>
          </cell>
          <cell r="G539" t="str">
            <v>-</v>
          </cell>
          <cell r="H539" t="str">
            <v>-</v>
          </cell>
          <cell r="I539" t="str">
            <v>OTHERS</v>
          </cell>
          <cell r="J539" t="str">
            <v>AT HOME</v>
          </cell>
          <cell r="K539" t="str">
            <v>ALL</v>
          </cell>
          <cell r="L539" t="str">
            <v>ALL</v>
          </cell>
          <cell r="M539" t="str">
            <v>AT HOME</v>
          </cell>
          <cell r="N539" t="str">
            <v>CUTI CURRETAGE</v>
          </cell>
          <cell r="O539" t="str">
            <v>OTHERS IDL</v>
          </cell>
          <cell r="P539" t="str">
            <v>-</v>
          </cell>
          <cell r="Q539" t="str">
            <v>ADM</v>
          </cell>
          <cell r="R539" t="str">
            <v>PERMANENT</v>
          </cell>
          <cell r="S539" t="str">
            <v>PRM</v>
          </cell>
          <cell r="T539" t="str">
            <v>PJK</v>
          </cell>
          <cell r="U539" t="str">
            <v>-</v>
          </cell>
          <cell r="V539" t="str">
            <v>P</v>
          </cell>
          <cell r="W539">
            <v>35</v>
          </cell>
        </row>
        <row r="540">
          <cell r="A540">
            <v>12209</v>
          </cell>
          <cell r="B540" t="str">
            <v>012209</v>
          </cell>
          <cell r="C540" t="str">
            <v>ROKHIYATI</v>
          </cell>
          <cell r="D540" t="str">
            <v>SAMI</v>
          </cell>
          <cell r="E540" t="str">
            <v>OPT-315</v>
          </cell>
          <cell r="F540">
            <v>40802</v>
          </cell>
          <cell r="G540" t="str">
            <v>-</v>
          </cell>
          <cell r="H540" t="str">
            <v>-</v>
          </cell>
          <cell r="I540" t="str">
            <v>PRD</v>
          </cell>
          <cell r="J540" t="str">
            <v>FINAL ASSY</v>
          </cell>
          <cell r="K540" t="str">
            <v>HONDA FREED</v>
          </cell>
          <cell r="L540" t="str">
            <v>HONDA FREED W/H FLOOR</v>
          </cell>
          <cell r="M540" t="str">
            <v>CV 4</v>
          </cell>
          <cell r="N540" t="str">
            <v>MATERIAL SUPPLY 1</v>
          </cell>
          <cell r="O540" t="str">
            <v>MATERIAL SUPPLY</v>
          </cell>
          <cell r="P540" t="str">
            <v>A</v>
          </cell>
          <cell r="Q540" t="str">
            <v>PI</v>
          </cell>
          <cell r="R540" t="str">
            <v>PERMANENT</v>
          </cell>
          <cell r="S540" t="str">
            <v>PRM</v>
          </cell>
          <cell r="T540" t="str">
            <v>OPT</v>
          </cell>
          <cell r="U540" t="str">
            <v>-</v>
          </cell>
          <cell r="V540" t="str">
            <v>P</v>
          </cell>
          <cell r="W540">
            <v>34</v>
          </cell>
        </row>
        <row r="541">
          <cell r="A541">
            <v>8680</v>
          </cell>
          <cell r="B541" t="str">
            <v>008680</v>
          </cell>
          <cell r="C541" t="str">
            <v>ANA YULIYANA</v>
          </cell>
          <cell r="D541" t="str">
            <v>SAMI</v>
          </cell>
          <cell r="E541" t="str">
            <v>OPT-190</v>
          </cell>
          <cell r="F541">
            <v>39888</v>
          </cell>
          <cell r="G541" t="str">
            <v>-</v>
          </cell>
          <cell r="H541" t="str">
            <v>-</v>
          </cell>
          <cell r="I541" t="str">
            <v>PRD</v>
          </cell>
          <cell r="J541" t="str">
            <v>PRE ASSY</v>
          </cell>
          <cell r="K541" t="str">
            <v>HONDA NES</v>
          </cell>
          <cell r="L541" t="str">
            <v>HONDA NES</v>
          </cell>
          <cell r="M541" t="str">
            <v>CPA HONDA NES HEV/PET</v>
          </cell>
          <cell r="N541" t="str">
            <v>INSP CUTTING</v>
          </cell>
          <cell r="O541" t="str">
            <v>P/A INSPECTOR</v>
          </cell>
          <cell r="P541" t="str">
            <v>B</v>
          </cell>
          <cell r="Q541" t="str">
            <v>PI</v>
          </cell>
          <cell r="R541" t="str">
            <v>PERMANENT</v>
          </cell>
          <cell r="S541" t="str">
            <v>PRM</v>
          </cell>
          <cell r="T541" t="str">
            <v>OPT</v>
          </cell>
          <cell r="U541" t="str">
            <v>-</v>
          </cell>
          <cell r="V541" t="str">
            <v>P</v>
          </cell>
          <cell r="W541">
            <v>35</v>
          </cell>
        </row>
        <row r="542">
          <cell r="A542">
            <v>12609</v>
          </cell>
          <cell r="B542" t="str">
            <v>012609</v>
          </cell>
          <cell r="C542" t="str">
            <v>ERNI YULIANTI</v>
          </cell>
          <cell r="D542" t="str">
            <v>SAMI</v>
          </cell>
          <cell r="E542" t="str">
            <v>OPT-319</v>
          </cell>
          <cell r="F542">
            <v>40816</v>
          </cell>
          <cell r="G542" t="str">
            <v>-</v>
          </cell>
          <cell r="H542" t="str">
            <v>-</v>
          </cell>
          <cell r="I542" t="str">
            <v>PRD</v>
          </cell>
          <cell r="J542" t="str">
            <v>FINAL ASSY</v>
          </cell>
          <cell r="K542" t="str">
            <v>HONDA FREED</v>
          </cell>
          <cell r="L542" t="str">
            <v>HONDA FREED W/H FLOOR</v>
          </cell>
          <cell r="M542" t="str">
            <v>CV 4</v>
          </cell>
          <cell r="N542" t="str">
            <v>VISUAL 1.2</v>
          </cell>
          <cell r="O542" t="str">
            <v>VISUAL INSPECTION</v>
          </cell>
          <cell r="P542" t="str">
            <v>A</v>
          </cell>
          <cell r="Q542" t="str">
            <v>DL</v>
          </cell>
          <cell r="R542" t="str">
            <v>PERMANENT</v>
          </cell>
          <cell r="S542" t="str">
            <v>PRM</v>
          </cell>
          <cell r="T542" t="str">
            <v>OPT</v>
          </cell>
          <cell r="U542" t="str">
            <v>-</v>
          </cell>
          <cell r="V542" t="str">
            <v>P</v>
          </cell>
          <cell r="W542">
            <v>34</v>
          </cell>
        </row>
        <row r="543">
          <cell r="A543">
            <v>17598</v>
          </cell>
          <cell r="B543" t="str">
            <v>017598</v>
          </cell>
          <cell r="C543" t="str">
            <v>USWATUN KHASANAH</v>
          </cell>
          <cell r="D543" t="str">
            <v>SAMI</v>
          </cell>
          <cell r="E543" t="str">
            <v>OPT-444</v>
          </cell>
          <cell r="F543">
            <v>41781</v>
          </cell>
          <cell r="G543" t="str">
            <v>-</v>
          </cell>
          <cell r="H543" t="str">
            <v>-</v>
          </cell>
          <cell r="I543" t="str">
            <v>PRD</v>
          </cell>
          <cell r="J543" t="str">
            <v>FINAL ASSY</v>
          </cell>
          <cell r="K543" t="str">
            <v>HONDA FREED</v>
          </cell>
          <cell r="L543" t="str">
            <v>HONDA FREED W/H FLOOR</v>
          </cell>
          <cell r="M543" t="str">
            <v>CV 4</v>
          </cell>
          <cell r="N543" t="str">
            <v>T/P 6.1</v>
          </cell>
          <cell r="O543" t="str">
            <v>ASSEMBLY</v>
          </cell>
          <cell r="P543" t="str">
            <v>A</v>
          </cell>
          <cell r="Q543" t="str">
            <v>DL</v>
          </cell>
          <cell r="R543" t="str">
            <v>PERMANENT</v>
          </cell>
          <cell r="S543" t="str">
            <v>PRM</v>
          </cell>
          <cell r="T543" t="str">
            <v>OPT</v>
          </cell>
          <cell r="U543" t="str">
            <v>-</v>
          </cell>
          <cell r="V543" t="str">
            <v>P</v>
          </cell>
          <cell r="W543">
            <v>28</v>
          </cell>
        </row>
        <row r="544">
          <cell r="A544">
            <v>19611</v>
          </cell>
          <cell r="B544" t="str">
            <v>019611</v>
          </cell>
          <cell r="C544" t="str">
            <v>AGUSTINA RASDIYANI</v>
          </cell>
          <cell r="D544" t="str">
            <v>SAMI</v>
          </cell>
          <cell r="E544" t="str">
            <v>OPT-490</v>
          </cell>
          <cell r="F544">
            <v>42475</v>
          </cell>
          <cell r="G544" t="str">
            <v>-</v>
          </cell>
          <cell r="H544" t="str">
            <v>-</v>
          </cell>
          <cell r="I544" t="str">
            <v>PRD</v>
          </cell>
          <cell r="J544" t="str">
            <v>FINAL ASSY</v>
          </cell>
          <cell r="K544" t="str">
            <v>HONDA FREED</v>
          </cell>
          <cell r="L544" t="str">
            <v>HONDA FREED W/H FLOOR</v>
          </cell>
          <cell r="M544" t="str">
            <v>CV 4</v>
          </cell>
          <cell r="N544" t="str">
            <v>S/A AB</v>
          </cell>
          <cell r="O544" t="str">
            <v>SUB ASSY</v>
          </cell>
          <cell r="P544" t="str">
            <v>A</v>
          </cell>
          <cell r="Q544" t="str">
            <v>DL</v>
          </cell>
          <cell r="R544" t="str">
            <v>PERMANENT</v>
          </cell>
          <cell r="S544" t="str">
            <v>PRM</v>
          </cell>
          <cell r="T544" t="str">
            <v>OPT</v>
          </cell>
          <cell r="U544" t="str">
            <v>-</v>
          </cell>
          <cell r="V544" t="str">
            <v>P</v>
          </cell>
          <cell r="W544">
            <v>28</v>
          </cell>
        </row>
        <row r="545">
          <cell r="A545">
            <v>21715</v>
          </cell>
          <cell r="B545" t="str">
            <v>021715</v>
          </cell>
          <cell r="C545" t="str">
            <v>ERIKA PUTRI WULANSARI</v>
          </cell>
          <cell r="D545" t="str">
            <v>SAMI</v>
          </cell>
          <cell r="E545" t="str">
            <v>OPT-539</v>
          </cell>
          <cell r="F545">
            <v>43087</v>
          </cell>
          <cell r="G545" t="str">
            <v>-</v>
          </cell>
          <cell r="H545" t="str">
            <v>-</v>
          </cell>
          <cell r="I545" t="str">
            <v>PRD</v>
          </cell>
          <cell r="J545" t="str">
            <v>FINAL ASSY</v>
          </cell>
          <cell r="K545" t="str">
            <v>HONDA FREED</v>
          </cell>
          <cell r="L545" t="str">
            <v>HONDA FREED W/H FLOOR</v>
          </cell>
          <cell r="M545" t="str">
            <v>CV 4</v>
          </cell>
          <cell r="N545" t="str">
            <v>VISUAL 2.2</v>
          </cell>
          <cell r="O545" t="str">
            <v>VISUAL INSPECTION</v>
          </cell>
          <cell r="P545" t="str">
            <v>A</v>
          </cell>
          <cell r="Q545" t="str">
            <v>DL</v>
          </cell>
          <cell r="R545" t="str">
            <v>PERMANENT</v>
          </cell>
          <cell r="S545" t="str">
            <v>PRM</v>
          </cell>
          <cell r="T545" t="str">
            <v>OPT</v>
          </cell>
          <cell r="U545" t="str">
            <v>-</v>
          </cell>
          <cell r="V545" t="str">
            <v>P</v>
          </cell>
          <cell r="W545">
            <v>30</v>
          </cell>
        </row>
        <row r="546">
          <cell r="A546">
            <v>8688</v>
          </cell>
          <cell r="B546" t="str">
            <v>008688</v>
          </cell>
          <cell r="C546" t="str">
            <v>LILIK HARTATIK</v>
          </cell>
          <cell r="D546" t="str">
            <v>SAMI</v>
          </cell>
          <cell r="E546" t="str">
            <v>OPT-190</v>
          </cell>
          <cell r="F546">
            <v>39888</v>
          </cell>
          <cell r="G546" t="str">
            <v>-</v>
          </cell>
          <cell r="H546" t="str">
            <v>-</v>
          </cell>
          <cell r="I546" t="str">
            <v>PRD</v>
          </cell>
          <cell r="J546" t="str">
            <v>FINAL ASSY</v>
          </cell>
          <cell r="K546" t="str">
            <v>TOYOTA</v>
          </cell>
          <cell r="L546" t="str">
            <v>AQUA SIENTA</v>
          </cell>
          <cell r="M546" t="str">
            <v>CV T02</v>
          </cell>
          <cell r="N546" t="str">
            <v>SUB LINE CHO</v>
          </cell>
          <cell r="O546" t="str">
            <v>GL</v>
          </cell>
          <cell r="P546" t="str">
            <v>B</v>
          </cell>
          <cell r="Q546" t="str">
            <v>PI</v>
          </cell>
          <cell r="R546" t="str">
            <v>PERMANENT</v>
          </cell>
          <cell r="S546" t="str">
            <v>PRM</v>
          </cell>
          <cell r="T546" t="str">
            <v>SLC</v>
          </cell>
          <cell r="U546" t="str">
            <v>-</v>
          </cell>
          <cell r="V546" t="str">
            <v>P</v>
          </cell>
          <cell r="W546">
            <v>34</v>
          </cell>
        </row>
        <row r="547">
          <cell r="A547">
            <v>22119</v>
          </cell>
          <cell r="B547" t="str">
            <v>022119</v>
          </cell>
          <cell r="C547" t="str">
            <v>DESI ROMANDHONA</v>
          </cell>
          <cell r="D547" t="str">
            <v>SAMI</v>
          </cell>
          <cell r="E547" t="str">
            <v>OPT-549</v>
          </cell>
          <cell r="F547">
            <v>43153</v>
          </cell>
          <cell r="G547" t="str">
            <v>-</v>
          </cell>
          <cell r="H547" t="str">
            <v>-</v>
          </cell>
          <cell r="I547" t="str">
            <v>PRD</v>
          </cell>
          <cell r="J547" t="str">
            <v>FINAL ASSY</v>
          </cell>
          <cell r="K547" t="str">
            <v>HONDA FREED</v>
          </cell>
          <cell r="L547" t="str">
            <v>HONDA FREED W/H FLOOR</v>
          </cell>
          <cell r="M547" t="str">
            <v>CV 4</v>
          </cell>
          <cell r="N547" t="str">
            <v>LQC</v>
          </cell>
          <cell r="O547" t="str">
            <v>RELIEF</v>
          </cell>
          <cell r="P547" t="str">
            <v>A</v>
          </cell>
          <cell r="Q547" t="str">
            <v>PI</v>
          </cell>
          <cell r="R547" t="str">
            <v>PERMANENT</v>
          </cell>
          <cell r="S547" t="str">
            <v>PRM</v>
          </cell>
          <cell r="T547" t="str">
            <v>PJK</v>
          </cell>
          <cell r="U547" t="str">
            <v>-</v>
          </cell>
          <cell r="V547" t="str">
            <v>P</v>
          </cell>
          <cell r="W547">
            <v>27</v>
          </cell>
        </row>
        <row r="548">
          <cell r="A548">
            <v>8697</v>
          </cell>
          <cell r="B548" t="str">
            <v>008697</v>
          </cell>
          <cell r="C548" t="str">
            <v>SELVIANA DEWI</v>
          </cell>
          <cell r="D548" t="str">
            <v>SAMI</v>
          </cell>
          <cell r="E548" t="str">
            <v>OPT-190</v>
          </cell>
          <cell r="F548">
            <v>39888</v>
          </cell>
          <cell r="G548" t="str">
            <v>-</v>
          </cell>
          <cell r="H548" t="str">
            <v>-</v>
          </cell>
          <cell r="I548" t="str">
            <v>QA</v>
          </cell>
          <cell r="J548" t="str">
            <v>FINAL ASSY</v>
          </cell>
          <cell r="K548" t="str">
            <v>TOYOTA</v>
          </cell>
          <cell r="L548" t="str">
            <v>AQUA SIENTA</v>
          </cell>
          <cell r="M548" t="str">
            <v>CV T01</v>
          </cell>
          <cell r="N548" t="str">
            <v>OJT DC</v>
          </cell>
          <cell r="O548" t="str">
            <v>OTHERS</v>
          </cell>
          <cell r="P548" t="str">
            <v>A</v>
          </cell>
          <cell r="Q548" t="str">
            <v>PI</v>
          </cell>
          <cell r="R548" t="str">
            <v>PERMANENT</v>
          </cell>
          <cell r="S548" t="str">
            <v>PRM</v>
          </cell>
          <cell r="T548" t="str">
            <v>OPT</v>
          </cell>
          <cell r="U548" t="str">
            <v>-</v>
          </cell>
          <cell r="V548" t="str">
            <v>P</v>
          </cell>
          <cell r="W548">
            <v>34</v>
          </cell>
        </row>
        <row r="549">
          <cell r="A549">
            <v>22266</v>
          </cell>
          <cell r="B549" t="str">
            <v>022266</v>
          </cell>
          <cell r="C549" t="str">
            <v>DYAH RAHMAWATI</v>
          </cell>
          <cell r="D549" t="str">
            <v>SAMI</v>
          </cell>
          <cell r="E549" t="str">
            <v>OPT-554</v>
          </cell>
          <cell r="F549">
            <v>43181</v>
          </cell>
          <cell r="G549" t="str">
            <v>-</v>
          </cell>
          <cell r="H549" t="str">
            <v>-</v>
          </cell>
          <cell r="I549" t="str">
            <v>PRD</v>
          </cell>
          <cell r="J549" t="str">
            <v>FINAL ASSY</v>
          </cell>
          <cell r="K549" t="str">
            <v>HONDA FREED</v>
          </cell>
          <cell r="L549" t="str">
            <v>HONDA FREED W/H FLOOR</v>
          </cell>
          <cell r="M549" t="str">
            <v>CV 4</v>
          </cell>
          <cell r="N549" t="str">
            <v>T/P 3.1</v>
          </cell>
          <cell r="O549" t="str">
            <v>ASSEMBLY</v>
          </cell>
          <cell r="P549" t="str">
            <v>A</v>
          </cell>
          <cell r="Q549" t="str">
            <v>DL</v>
          </cell>
          <cell r="R549" t="str">
            <v>PERMANENT</v>
          </cell>
          <cell r="S549" t="str">
            <v>PRM</v>
          </cell>
          <cell r="T549" t="str">
            <v>OPT</v>
          </cell>
          <cell r="U549" t="str">
            <v>-</v>
          </cell>
          <cell r="V549" t="str">
            <v>P</v>
          </cell>
          <cell r="W549">
            <v>25</v>
          </cell>
        </row>
        <row r="550">
          <cell r="A550">
            <v>8703</v>
          </cell>
          <cell r="B550" t="str">
            <v>008703</v>
          </cell>
          <cell r="C550" t="str">
            <v>WIWIN RAHAYU</v>
          </cell>
          <cell r="D550" t="str">
            <v>SAMI</v>
          </cell>
          <cell r="E550" t="str">
            <v>OPT-190</v>
          </cell>
          <cell r="F550">
            <v>39888</v>
          </cell>
          <cell r="G550" t="str">
            <v>-</v>
          </cell>
          <cell r="H550" t="str">
            <v>-</v>
          </cell>
          <cell r="I550" t="str">
            <v>PRD</v>
          </cell>
          <cell r="J550" t="str">
            <v>PRE ASSY</v>
          </cell>
          <cell r="K550" t="str">
            <v>TOYOTA HV</v>
          </cell>
          <cell r="L550" t="str">
            <v>HV TOYOTA</v>
          </cell>
          <cell r="M550" t="str">
            <v>CPA TOYOTA 10 PL</v>
          </cell>
          <cell r="N550" t="str">
            <v>CUTTING AC90-T-08</v>
          </cell>
          <cell r="O550" t="str">
            <v>CUTTING WIRE</v>
          </cell>
          <cell r="P550" t="str">
            <v>B</v>
          </cell>
          <cell r="Q550" t="str">
            <v>DL</v>
          </cell>
          <cell r="R550" t="str">
            <v>PERMANENT</v>
          </cell>
          <cell r="S550" t="str">
            <v>PRM</v>
          </cell>
          <cell r="T550" t="str">
            <v>OPT</v>
          </cell>
          <cell r="U550" t="str">
            <v>-</v>
          </cell>
          <cell r="V550" t="str">
            <v>P</v>
          </cell>
          <cell r="W550">
            <v>34</v>
          </cell>
        </row>
        <row r="551">
          <cell r="A551" t="str">
            <v>B00495</v>
          </cell>
          <cell r="B551" t="str">
            <v>B00495</v>
          </cell>
          <cell r="C551" t="str">
            <v>YOHAN SETIAWAN</v>
          </cell>
          <cell r="D551" t="str">
            <v>SAMI</v>
          </cell>
          <cell r="E551" t="str">
            <v>BBF-007</v>
          </cell>
          <cell r="F551">
            <v>40868</v>
          </cell>
          <cell r="G551" t="str">
            <v>-</v>
          </cell>
          <cell r="H551" t="str">
            <v>-</v>
          </cell>
          <cell r="I551" t="str">
            <v>PRD</v>
          </cell>
          <cell r="J551" t="str">
            <v>FINAL ASSY</v>
          </cell>
          <cell r="K551" t="str">
            <v>HONDA FREED</v>
          </cell>
          <cell r="L551" t="str">
            <v>HONDA FREED W/H FLOOR</v>
          </cell>
          <cell r="M551" t="str">
            <v>CV 4</v>
          </cell>
          <cell r="N551" t="str">
            <v>PROTECTOR 3</v>
          </cell>
          <cell r="O551" t="str">
            <v>ASSEMBLY</v>
          </cell>
          <cell r="P551" t="str">
            <v>A</v>
          </cell>
          <cell r="Q551" t="str">
            <v>DL</v>
          </cell>
          <cell r="R551" t="str">
            <v>PERMANENT</v>
          </cell>
          <cell r="S551" t="str">
            <v>PRM</v>
          </cell>
          <cell r="T551" t="str">
            <v>OPT</v>
          </cell>
          <cell r="U551" t="str">
            <v>-</v>
          </cell>
          <cell r="V551" t="str">
            <v>L</v>
          </cell>
          <cell r="W551">
            <v>32</v>
          </cell>
        </row>
        <row r="552">
          <cell r="A552">
            <v>8727</v>
          </cell>
          <cell r="B552" t="str">
            <v>008727</v>
          </cell>
          <cell r="C552" t="str">
            <v>AMININGSIH</v>
          </cell>
          <cell r="D552" t="str">
            <v>SAMI</v>
          </cell>
          <cell r="E552" t="str">
            <v>OPT-192</v>
          </cell>
          <cell r="F552">
            <v>39904</v>
          </cell>
          <cell r="G552" t="str">
            <v>-</v>
          </cell>
          <cell r="H552" t="str">
            <v>-</v>
          </cell>
          <cell r="I552" t="str">
            <v>PRD</v>
          </cell>
          <cell r="J552" t="str">
            <v>PRE ASSY</v>
          </cell>
          <cell r="K552" t="str">
            <v>SUZUKI WAGON R/HUSTLER</v>
          </cell>
          <cell r="L552" t="str">
            <v>SUZUKI YW0/Y0C/YEV</v>
          </cell>
          <cell r="M552" t="str">
            <v>CPA SUZUKI</v>
          </cell>
          <cell r="N552" t="str">
            <v>CUTTING AC90-SZK-07</v>
          </cell>
          <cell r="O552" t="str">
            <v>CUTTING WIRE</v>
          </cell>
          <cell r="P552" t="str">
            <v>B</v>
          </cell>
          <cell r="Q552" t="str">
            <v>DL</v>
          </cell>
          <cell r="R552" t="str">
            <v>PERMANENT</v>
          </cell>
          <cell r="S552" t="str">
            <v>PRM</v>
          </cell>
          <cell r="T552" t="str">
            <v>OPT</v>
          </cell>
          <cell r="U552" t="str">
            <v>-</v>
          </cell>
          <cell r="V552" t="str">
            <v>P</v>
          </cell>
          <cell r="W552">
            <v>35</v>
          </cell>
        </row>
        <row r="553">
          <cell r="A553" t="str">
            <v>B00910</v>
          </cell>
          <cell r="B553" t="str">
            <v>B00910</v>
          </cell>
          <cell r="C553" t="str">
            <v>DIANA NOVITASARI</v>
          </cell>
          <cell r="D553" t="str">
            <v>SAMI</v>
          </cell>
          <cell r="E553" t="str">
            <v>BBF-020</v>
          </cell>
          <cell r="F553">
            <v>40955</v>
          </cell>
          <cell r="G553" t="str">
            <v>-</v>
          </cell>
          <cell r="H553" t="str">
            <v>-</v>
          </cell>
          <cell r="I553" t="str">
            <v>PRD</v>
          </cell>
          <cell r="J553" t="str">
            <v>FINAL ASSY</v>
          </cell>
          <cell r="K553" t="str">
            <v>HONDA FREED</v>
          </cell>
          <cell r="L553" t="str">
            <v>HONDA FREED W/H FLOOR</v>
          </cell>
          <cell r="M553" t="str">
            <v>CV 4</v>
          </cell>
          <cell r="N553" t="str">
            <v>VISUAL 1.4</v>
          </cell>
          <cell r="O553" t="str">
            <v>VISUAL INSPECTION</v>
          </cell>
          <cell r="P553" t="str">
            <v>A</v>
          </cell>
          <cell r="Q553" t="str">
            <v>DL</v>
          </cell>
          <cell r="R553" t="str">
            <v>PERMANENT</v>
          </cell>
          <cell r="S553" t="str">
            <v>PRM</v>
          </cell>
          <cell r="T553" t="str">
            <v>OPT</v>
          </cell>
          <cell r="U553" t="str">
            <v>-</v>
          </cell>
          <cell r="V553" t="str">
            <v>P</v>
          </cell>
          <cell r="W553">
            <v>32</v>
          </cell>
        </row>
        <row r="554">
          <cell r="A554" t="str">
            <v>B00966</v>
          </cell>
          <cell r="B554" t="str">
            <v>B00966</v>
          </cell>
          <cell r="C554" t="str">
            <v>SANTI TRI HASTUTI</v>
          </cell>
          <cell r="D554" t="str">
            <v>SAMI</v>
          </cell>
          <cell r="E554" t="str">
            <v>BBF-023</v>
          </cell>
          <cell r="F554">
            <v>41015</v>
          </cell>
          <cell r="G554" t="str">
            <v>-</v>
          </cell>
          <cell r="H554" t="str">
            <v>-</v>
          </cell>
          <cell r="I554" t="str">
            <v>PRD</v>
          </cell>
          <cell r="J554" t="str">
            <v>FINAL ASSY</v>
          </cell>
          <cell r="K554" t="str">
            <v>HONDA FREED</v>
          </cell>
          <cell r="L554" t="str">
            <v>HONDA FREED W/H FLOOR</v>
          </cell>
          <cell r="M554" t="str">
            <v>CV 4</v>
          </cell>
          <cell r="N554" t="str">
            <v>VISUAL 2.3</v>
          </cell>
          <cell r="O554" t="str">
            <v>VISUAL INSPECTION</v>
          </cell>
          <cell r="P554" t="str">
            <v>A</v>
          </cell>
          <cell r="Q554" t="str">
            <v>DL</v>
          </cell>
          <cell r="R554" t="str">
            <v>PERMANENT</v>
          </cell>
          <cell r="S554" t="str">
            <v>PRM</v>
          </cell>
          <cell r="T554" t="str">
            <v>OPT</v>
          </cell>
          <cell r="U554" t="str">
            <v>-</v>
          </cell>
          <cell r="V554" t="str">
            <v>P</v>
          </cell>
          <cell r="W554">
            <v>31</v>
          </cell>
        </row>
        <row r="555">
          <cell r="A555">
            <v>370</v>
          </cell>
          <cell r="B555" t="str">
            <v>000370</v>
          </cell>
          <cell r="C555" t="str">
            <v>HENDAH HASTATI</v>
          </cell>
          <cell r="D555" t="str">
            <v>SAMI</v>
          </cell>
          <cell r="E555" t="str">
            <v>OPT-10</v>
          </cell>
          <cell r="F555">
            <v>37732</v>
          </cell>
          <cell r="G555" t="str">
            <v>-</v>
          </cell>
          <cell r="H555" t="str">
            <v>-</v>
          </cell>
          <cell r="I555" t="str">
            <v>PRD</v>
          </cell>
          <cell r="J555" t="str">
            <v>FINAL ASSY</v>
          </cell>
          <cell r="K555" t="str">
            <v>HONDA N-VAN</v>
          </cell>
          <cell r="L555" t="str">
            <v>HONDA ENGINE ROOM L/R CABIN</v>
          </cell>
          <cell r="M555" t="str">
            <v>CV B01</v>
          </cell>
          <cell r="N555" t="str">
            <v>PRD LINE CHO</v>
          </cell>
          <cell r="O555" t="str">
            <v>FPI LL</v>
          </cell>
          <cell r="P555" t="str">
            <v>A</v>
          </cell>
          <cell r="Q555" t="str">
            <v>PI</v>
          </cell>
          <cell r="R555" t="str">
            <v>PERMANENT</v>
          </cell>
          <cell r="S555" t="str">
            <v>PRM</v>
          </cell>
          <cell r="T555" t="str">
            <v>LC</v>
          </cell>
          <cell r="U555" t="str">
            <v>-</v>
          </cell>
          <cell r="V555" t="str">
            <v>P</v>
          </cell>
          <cell r="W555">
            <v>40</v>
          </cell>
        </row>
        <row r="556">
          <cell r="A556">
            <v>8777</v>
          </cell>
          <cell r="B556" t="str">
            <v>008777</v>
          </cell>
          <cell r="C556" t="str">
            <v>MITA RATNANINGSIH</v>
          </cell>
          <cell r="D556" t="str">
            <v>SAMI</v>
          </cell>
          <cell r="E556" t="str">
            <v>OPT-194</v>
          </cell>
          <cell r="F556">
            <v>39931</v>
          </cell>
          <cell r="G556" t="str">
            <v>-</v>
          </cell>
          <cell r="H556" t="str">
            <v>-</v>
          </cell>
          <cell r="I556" t="str">
            <v>QA</v>
          </cell>
          <cell r="J556" t="str">
            <v>NON LINE</v>
          </cell>
          <cell r="K556" t="str">
            <v>ALL</v>
          </cell>
          <cell r="L556" t="str">
            <v>ALL</v>
          </cell>
          <cell r="M556" t="str">
            <v>PPAP</v>
          </cell>
          <cell r="N556" t="str">
            <v>HDR - ES TEST</v>
          </cell>
          <cell r="O556" t="str">
            <v>PPAP</v>
          </cell>
          <cell r="P556" t="str">
            <v>B</v>
          </cell>
          <cell r="Q556" t="str">
            <v>PS</v>
          </cell>
          <cell r="R556" t="str">
            <v>PERMANENT</v>
          </cell>
          <cell r="S556" t="str">
            <v>PRM</v>
          </cell>
          <cell r="T556" t="str">
            <v>OPT</v>
          </cell>
          <cell r="U556" t="str">
            <v>-</v>
          </cell>
          <cell r="V556" t="str">
            <v>P</v>
          </cell>
          <cell r="W556">
            <v>34</v>
          </cell>
        </row>
        <row r="557">
          <cell r="A557">
            <v>5263</v>
          </cell>
          <cell r="B557" t="str">
            <v>005263</v>
          </cell>
          <cell r="C557" t="str">
            <v>LILIK SETYOWATI</v>
          </cell>
          <cell r="D557" t="str">
            <v>SAMI</v>
          </cell>
          <cell r="E557" t="str">
            <v>OPT-125</v>
          </cell>
          <cell r="F557">
            <v>38961</v>
          </cell>
          <cell r="G557" t="str">
            <v>-</v>
          </cell>
          <cell r="H557" t="str">
            <v>-</v>
          </cell>
          <cell r="I557" t="str">
            <v>PRD</v>
          </cell>
          <cell r="J557" t="str">
            <v>FINAL ASSY</v>
          </cell>
          <cell r="K557" t="str">
            <v>HONDA N-VAN</v>
          </cell>
          <cell r="L557" t="str">
            <v>HONDA ENGINE ROOM L/R CABIN</v>
          </cell>
          <cell r="M557" t="str">
            <v>CV B01</v>
          </cell>
          <cell r="N557" t="str">
            <v>SUB LINE CHO</v>
          </cell>
          <cell r="O557" t="str">
            <v>GL</v>
          </cell>
          <cell r="P557" t="str">
            <v>A</v>
          </cell>
          <cell r="Q557" t="str">
            <v>PI</v>
          </cell>
          <cell r="R557" t="str">
            <v>PERMANENT</v>
          </cell>
          <cell r="S557" t="str">
            <v>PRM</v>
          </cell>
          <cell r="T557" t="str">
            <v>SLC</v>
          </cell>
          <cell r="U557" t="str">
            <v>-</v>
          </cell>
          <cell r="V557" t="str">
            <v>P</v>
          </cell>
          <cell r="W557">
            <v>40</v>
          </cell>
        </row>
        <row r="558">
          <cell r="A558">
            <v>6086</v>
          </cell>
          <cell r="B558" t="str">
            <v>006086</v>
          </cell>
          <cell r="C558" t="str">
            <v>SARI NURHAYATI</v>
          </cell>
          <cell r="D558" t="str">
            <v>SAMI</v>
          </cell>
          <cell r="E558" t="str">
            <v>OPT-139</v>
          </cell>
          <cell r="F558">
            <v>39142</v>
          </cell>
          <cell r="G558" t="str">
            <v>-</v>
          </cell>
          <cell r="H558" t="str">
            <v>-</v>
          </cell>
          <cell r="I558" t="str">
            <v>PRD</v>
          </cell>
          <cell r="J558" t="str">
            <v>FINAL ASSY</v>
          </cell>
          <cell r="K558" t="str">
            <v>HONDA N-VAN</v>
          </cell>
          <cell r="L558" t="str">
            <v>HONDA ENGINE ROOM L/R CABIN</v>
          </cell>
          <cell r="M558" t="str">
            <v>CV B01</v>
          </cell>
          <cell r="N558" t="str">
            <v>S/A AB</v>
          </cell>
          <cell r="O558" t="str">
            <v>SUB ASSY</v>
          </cell>
          <cell r="P558" t="str">
            <v>A</v>
          </cell>
          <cell r="Q558" t="str">
            <v>DL</v>
          </cell>
          <cell r="R558" t="str">
            <v>PERMANENT</v>
          </cell>
          <cell r="S558" t="str">
            <v>PRM</v>
          </cell>
          <cell r="T558" t="str">
            <v>OPT</v>
          </cell>
          <cell r="U558" t="str">
            <v>-</v>
          </cell>
          <cell r="V558" t="str">
            <v>P</v>
          </cell>
          <cell r="W558">
            <v>39</v>
          </cell>
        </row>
        <row r="559">
          <cell r="A559">
            <v>8790</v>
          </cell>
          <cell r="B559" t="str">
            <v>008790</v>
          </cell>
          <cell r="C559" t="str">
            <v>RINI ASTUTI</v>
          </cell>
          <cell r="D559" t="str">
            <v>SAMI</v>
          </cell>
          <cell r="E559" t="str">
            <v>OPT-194</v>
          </cell>
          <cell r="F559">
            <v>39931</v>
          </cell>
          <cell r="G559" t="str">
            <v>-</v>
          </cell>
          <cell r="H559" t="str">
            <v>-</v>
          </cell>
          <cell r="I559" t="str">
            <v>PRD</v>
          </cell>
          <cell r="J559" t="str">
            <v>FINAL ASSY</v>
          </cell>
          <cell r="K559" t="str">
            <v>HONDA FIT</v>
          </cell>
          <cell r="L559" t="str">
            <v>HONDA FIT HEV PET ENGINE</v>
          </cell>
          <cell r="M559" t="str">
            <v>CV H02</v>
          </cell>
          <cell r="N559" t="str">
            <v>T/P 8.1</v>
          </cell>
          <cell r="O559" t="str">
            <v>ASSEMBLY</v>
          </cell>
          <cell r="P559" t="str">
            <v>B</v>
          </cell>
          <cell r="Q559" t="str">
            <v>DL</v>
          </cell>
          <cell r="R559" t="str">
            <v>PERMANENT</v>
          </cell>
          <cell r="S559" t="str">
            <v>PRM</v>
          </cell>
          <cell r="T559" t="str">
            <v>OPT</v>
          </cell>
          <cell r="U559" t="str">
            <v>-</v>
          </cell>
          <cell r="V559" t="str">
            <v>P</v>
          </cell>
          <cell r="W559">
            <v>34</v>
          </cell>
        </row>
        <row r="560">
          <cell r="A560">
            <v>8794</v>
          </cell>
          <cell r="B560" t="str">
            <v>008794</v>
          </cell>
          <cell r="C560" t="str">
            <v>SITI MASRIAH</v>
          </cell>
          <cell r="D560" t="str">
            <v>SAMI</v>
          </cell>
          <cell r="E560" t="str">
            <v>OPT-194</v>
          </cell>
          <cell r="F560">
            <v>39931</v>
          </cell>
          <cell r="G560" t="str">
            <v>-</v>
          </cell>
          <cell r="H560" t="str">
            <v>-</v>
          </cell>
          <cell r="I560" t="str">
            <v>OTHERS</v>
          </cell>
          <cell r="J560" t="str">
            <v>AT HOME</v>
          </cell>
          <cell r="K560" t="str">
            <v>ALL</v>
          </cell>
          <cell r="L560" t="str">
            <v>ALL</v>
          </cell>
          <cell r="M560" t="str">
            <v>AT HOME</v>
          </cell>
          <cell r="N560" t="str">
            <v>CUTI DILUAR TANGGUNGAN</v>
          </cell>
          <cell r="O560" t="str">
            <v>OTHERS IDL</v>
          </cell>
          <cell r="P560" t="str">
            <v>-</v>
          </cell>
          <cell r="Q560" t="str">
            <v>ADM</v>
          </cell>
          <cell r="R560" t="str">
            <v>PERMANENT</v>
          </cell>
          <cell r="S560" t="str">
            <v>PRM</v>
          </cell>
          <cell r="T560" t="str">
            <v>LL</v>
          </cell>
          <cell r="U560" t="str">
            <v>-</v>
          </cell>
          <cell r="V560" t="str">
            <v>P</v>
          </cell>
          <cell r="W560">
            <v>35</v>
          </cell>
        </row>
        <row r="561">
          <cell r="A561">
            <v>9902</v>
          </cell>
          <cell r="B561" t="str">
            <v>009902</v>
          </cell>
          <cell r="C561" t="str">
            <v>RATNA AMBARWATI</v>
          </cell>
          <cell r="D561" t="str">
            <v>SAMI</v>
          </cell>
          <cell r="E561" t="str">
            <v>OPT-244</v>
          </cell>
          <cell r="F561">
            <v>40424</v>
          </cell>
          <cell r="G561" t="str">
            <v>-</v>
          </cell>
          <cell r="H561" t="str">
            <v>-</v>
          </cell>
          <cell r="I561" t="str">
            <v>PRD</v>
          </cell>
          <cell r="J561" t="str">
            <v>FINAL ASSY</v>
          </cell>
          <cell r="K561" t="str">
            <v>HONDA N-VAN</v>
          </cell>
          <cell r="L561" t="str">
            <v>HONDA ENGINE ROOM L/R CABIN</v>
          </cell>
          <cell r="M561" t="str">
            <v>CV B01</v>
          </cell>
          <cell r="N561" t="str">
            <v>RELIEF 2</v>
          </cell>
          <cell r="O561" t="str">
            <v>RELIEF</v>
          </cell>
          <cell r="P561" t="str">
            <v>A</v>
          </cell>
          <cell r="Q561" t="str">
            <v>PI</v>
          </cell>
          <cell r="R561" t="str">
            <v>PERMANENT</v>
          </cell>
          <cell r="S561" t="str">
            <v>PRM</v>
          </cell>
          <cell r="T561" t="str">
            <v>OPT</v>
          </cell>
          <cell r="U561" t="str">
            <v>-</v>
          </cell>
          <cell r="V561" t="str">
            <v>P</v>
          </cell>
          <cell r="W561">
            <v>33</v>
          </cell>
        </row>
        <row r="562">
          <cell r="A562">
            <v>10563</v>
          </cell>
          <cell r="B562" t="str">
            <v>010563</v>
          </cell>
          <cell r="C562" t="str">
            <v>SITI NUR JANAH</v>
          </cell>
          <cell r="D562" t="str">
            <v>SAMI</v>
          </cell>
          <cell r="E562" t="str">
            <v>OPT-275</v>
          </cell>
          <cell r="F562">
            <v>40542</v>
          </cell>
          <cell r="G562" t="str">
            <v>-</v>
          </cell>
          <cell r="H562" t="str">
            <v>-</v>
          </cell>
          <cell r="I562" t="str">
            <v>PRD</v>
          </cell>
          <cell r="J562" t="str">
            <v>FINAL ASSY</v>
          </cell>
          <cell r="K562" t="str">
            <v>HONDA N-VAN</v>
          </cell>
          <cell r="L562" t="str">
            <v>HONDA ENGINE ROOM L/R CABIN</v>
          </cell>
          <cell r="M562" t="str">
            <v>CV B01</v>
          </cell>
          <cell r="N562" t="str">
            <v>VISUAL 1.2</v>
          </cell>
          <cell r="O562" t="str">
            <v>VISUAL INSPECTION</v>
          </cell>
          <cell r="P562" t="str">
            <v>A</v>
          </cell>
          <cell r="Q562" t="str">
            <v>DL</v>
          </cell>
          <cell r="R562" t="str">
            <v>PERMANENT</v>
          </cell>
          <cell r="S562" t="str">
            <v>PRM</v>
          </cell>
          <cell r="T562" t="str">
            <v>OPT</v>
          </cell>
          <cell r="U562" t="str">
            <v>-</v>
          </cell>
          <cell r="V562" t="str">
            <v>P</v>
          </cell>
          <cell r="W562">
            <v>32</v>
          </cell>
        </row>
        <row r="563">
          <cell r="A563">
            <v>11531</v>
          </cell>
          <cell r="B563" t="str">
            <v>011531</v>
          </cell>
          <cell r="C563" t="str">
            <v>DANI ASIH</v>
          </cell>
          <cell r="D563" t="str">
            <v>SAMI</v>
          </cell>
          <cell r="E563" t="str">
            <v>OPT-307</v>
          </cell>
          <cell r="F563">
            <v>40707</v>
          </cell>
          <cell r="G563" t="str">
            <v>-</v>
          </cell>
          <cell r="H563" t="str">
            <v>-</v>
          </cell>
          <cell r="I563" t="str">
            <v>PRD</v>
          </cell>
          <cell r="J563" t="str">
            <v>FINAL ASSY</v>
          </cell>
          <cell r="K563" t="str">
            <v>HONDA N-VAN</v>
          </cell>
          <cell r="L563" t="str">
            <v>HONDA ENGINE ROOM L/R CABIN</v>
          </cell>
          <cell r="M563" t="str">
            <v>CV B01</v>
          </cell>
          <cell r="N563" t="str">
            <v>VISUAL 1.1</v>
          </cell>
          <cell r="O563" t="str">
            <v>VISUAL INSPECTION</v>
          </cell>
          <cell r="P563" t="str">
            <v>A</v>
          </cell>
          <cell r="Q563" t="str">
            <v>DL</v>
          </cell>
          <cell r="R563" t="str">
            <v>PERMANENT</v>
          </cell>
          <cell r="S563" t="str">
            <v>PRM</v>
          </cell>
          <cell r="T563" t="str">
            <v>OPT</v>
          </cell>
          <cell r="U563" t="str">
            <v>-</v>
          </cell>
          <cell r="V563" t="str">
            <v>P</v>
          </cell>
          <cell r="W563">
            <v>31</v>
          </cell>
        </row>
        <row r="564">
          <cell r="A564">
            <v>8814</v>
          </cell>
          <cell r="B564" t="str">
            <v>008814</v>
          </cell>
          <cell r="C564" t="str">
            <v>AYU RESMI NOVISARI</v>
          </cell>
          <cell r="D564" t="str">
            <v>SAMI</v>
          </cell>
          <cell r="E564" t="str">
            <v>OPT-195</v>
          </cell>
          <cell r="F564">
            <v>39937</v>
          </cell>
          <cell r="G564" t="str">
            <v>-</v>
          </cell>
          <cell r="H564" t="str">
            <v>-</v>
          </cell>
          <cell r="I564" t="str">
            <v>PRD</v>
          </cell>
          <cell r="J564" t="str">
            <v>PRE ASSY</v>
          </cell>
          <cell r="K564" t="str">
            <v>HONDA EXPORT</v>
          </cell>
          <cell r="L564" t="str">
            <v>HONDA EXPORT</v>
          </cell>
          <cell r="M564" t="str">
            <v>CPA HONDA EXPORT</v>
          </cell>
          <cell r="N564" t="str">
            <v>SUB LINE CHO</v>
          </cell>
          <cell r="O564" t="str">
            <v>GL</v>
          </cell>
          <cell r="P564" t="str">
            <v>B</v>
          </cell>
          <cell r="Q564" t="str">
            <v>PI</v>
          </cell>
          <cell r="R564" t="str">
            <v>PERMANENT</v>
          </cell>
          <cell r="S564" t="str">
            <v>PRM</v>
          </cell>
          <cell r="T564" t="str">
            <v>SLC</v>
          </cell>
          <cell r="U564" t="str">
            <v>-</v>
          </cell>
          <cell r="V564" t="str">
            <v>P</v>
          </cell>
          <cell r="W564">
            <v>34</v>
          </cell>
        </row>
        <row r="565">
          <cell r="A565">
            <v>8815</v>
          </cell>
          <cell r="B565" t="str">
            <v>008815</v>
          </cell>
          <cell r="C565" t="str">
            <v>BODORIYAH</v>
          </cell>
          <cell r="D565" t="str">
            <v>SAMI</v>
          </cell>
          <cell r="E565" t="str">
            <v>OPT-195</v>
          </cell>
          <cell r="F565">
            <v>39937</v>
          </cell>
          <cell r="G565" t="str">
            <v>-</v>
          </cell>
          <cell r="H565" t="str">
            <v>-</v>
          </cell>
          <cell r="I565" t="str">
            <v>QA</v>
          </cell>
          <cell r="J565" t="str">
            <v>FINAL ASSY</v>
          </cell>
          <cell r="K565" t="str">
            <v>TOYOTA</v>
          </cell>
          <cell r="L565" t="str">
            <v>AQUA SIENTA</v>
          </cell>
          <cell r="M565" t="str">
            <v>CV T01</v>
          </cell>
          <cell r="N565" t="str">
            <v>OJT DC</v>
          </cell>
          <cell r="O565" t="str">
            <v>OTHERS</v>
          </cell>
          <cell r="P565" t="str">
            <v>A</v>
          </cell>
          <cell r="Q565" t="str">
            <v>PI</v>
          </cell>
          <cell r="R565" t="str">
            <v>PERMANENT</v>
          </cell>
          <cell r="S565" t="str">
            <v>PRM</v>
          </cell>
          <cell r="T565" t="str">
            <v>OPT</v>
          </cell>
          <cell r="U565" t="str">
            <v>-</v>
          </cell>
          <cell r="V565" t="str">
            <v>P</v>
          </cell>
          <cell r="W565">
            <v>34</v>
          </cell>
        </row>
        <row r="566">
          <cell r="A566">
            <v>8819</v>
          </cell>
          <cell r="B566" t="str">
            <v>008819</v>
          </cell>
          <cell r="C566" t="str">
            <v>DWI ARYANTI</v>
          </cell>
          <cell r="D566" t="str">
            <v>SAMI</v>
          </cell>
          <cell r="E566" t="str">
            <v>OPT-195</v>
          </cell>
          <cell r="F566">
            <v>39937</v>
          </cell>
          <cell r="G566" t="str">
            <v>-</v>
          </cell>
          <cell r="H566" t="str">
            <v>-</v>
          </cell>
          <cell r="I566" t="str">
            <v>PRD</v>
          </cell>
          <cell r="J566" t="str">
            <v>PRE ASSY</v>
          </cell>
          <cell r="K566" t="str">
            <v>HONDA EXPORT</v>
          </cell>
          <cell r="L566" t="str">
            <v>HONDA EXPORT</v>
          </cell>
          <cell r="M566" t="str">
            <v>CPA HONDA EXPORT</v>
          </cell>
          <cell r="N566" t="str">
            <v>INSP PRE ASSY</v>
          </cell>
          <cell r="O566" t="str">
            <v>P/A INSPECTOR</v>
          </cell>
          <cell r="P566" t="str">
            <v>B</v>
          </cell>
          <cell r="Q566" t="str">
            <v>PI</v>
          </cell>
          <cell r="R566" t="str">
            <v>PERMANENT</v>
          </cell>
          <cell r="S566" t="str">
            <v>PRM</v>
          </cell>
          <cell r="T566" t="str">
            <v>OPT</v>
          </cell>
          <cell r="U566" t="str">
            <v>-</v>
          </cell>
          <cell r="V566" t="str">
            <v>P</v>
          </cell>
          <cell r="W566">
            <v>35</v>
          </cell>
        </row>
        <row r="567">
          <cell r="A567">
            <v>12386</v>
          </cell>
          <cell r="B567" t="str">
            <v>012386</v>
          </cell>
          <cell r="C567" t="str">
            <v>NOBELA ISA OSELA</v>
          </cell>
          <cell r="D567" t="str">
            <v>SAMI</v>
          </cell>
          <cell r="E567" t="str">
            <v>OPT-317</v>
          </cell>
          <cell r="F567">
            <v>40809</v>
          </cell>
          <cell r="G567" t="str">
            <v>-</v>
          </cell>
          <cell r="H567" t="str">
            <v>-</v>
          </cell>
          <cell r="I567" t="str">
            <v>PRD</v>
          </cell>
          <cell r="J567" t="str">
            <v>FINAL ASSY</v>
          </cell>
          <cell r="K567" t="str">
            <v>HONDA N-VAN</v>
          </cell>
          <cell r="L567" t="str">
            <v>HONDA ENGINE ROOM L/R CABIN</v>
          </cell>
          <cell r="M567" t="str">
            <v>CV B01</v>
          </cell>
          <cell r="N567" t="str">
            <v>VISUAL 2</v>
          </cell>
          <cell r="O567" t="str">
            <v>VISUAL INSPECTION</v>
          </cell>
          <cell r="P567" t="str">
            <v>A</v>
          </cell>
          <cell r="Q567" t="str">
            <v>DL</v>
          </cell>
          <cell r="R567" t="str">
            <v>PERMANENT</v>
          </cell>
          <cell r="S567" t="str">
            <v>PRM</v>
          </cell>
          <cell r="T567" t="str">
            <v>OPT</v>
          </cell>
          <cell r="U567" t="str">
            <v>-</v>
          </cell>
          <cell r="V567" t="str">
            <v>P</v>
          </cell>
          <cell r="W567">
            <v>31</v>
          </cell>
        </row>
        <row r="568">
          <cell r="A568">
            <v>8824</v>
          </cell>
          <cell r="B568" t="str">
            <v>008824</v>
          </cell>
          <cell r="C568" t="str">
            <v>FARIDAH</v>
          </cell>
          <cell r="D568" t="str">
            <v>SAMI</v>
          </cell>
          <cell r="E568" t="str">
            <v>OPT-195</v>
          </cell>
          <cell r="F568">
            <v>39937</v>
          </cell>
          <cell r="G568" t="str">
            <v>-</v>
          </cell>
          <cell r="H568" t="str">
            <v>-</v>
          </cell>
          <cell r="I568" t="str">
            <v>OTHERS</v>
          </cell>
          <cell r="J568" t="str">
            <v>AT HOME</v>
          </cell>
          <cell r="K568" t="str">
            <v>ALL</v>
          </cell>
          <cell r="L568" t="str">
            <v>ALL</v>
          </cell>
          <cell r="M568" t="str">
            <v>AT HOME</v>
          </cell>
          <cell r="N568" t="str">
            <v>CUTI DI LUAR TANGGUNGAN</v>
          </cell>
          <cell r="O568" t="str">
            <v>OTHERS IDL</v>
          </cell>
          <cell r="P568" t="str">
            <v>-</v>
          </cell>
          <cell r="Q568" t="str">
            <v>ADM</v>
          </cell>
          <cell r="R568" t="str">
            <v>PERMANENT</v>
          </cell>
          <cell r="S568" t="str">
            <v>PRM</v>
          </cell>
          <cell r="T568" t="str">
            <v>OPT</v>
          </cell>
          <cell r="U568" t="str">
            <v>-</v>
          </cell>
          <cell r="V568" t="str">
            <v>P</v>
          </cell>
          <cell r="W568">
            <v>35</v>
          </cell>
        </row>
        <row r="569">
          <cell r="A569">
            <v>13509</v>
          </cell>
          <cell r="B569" t="str">
            <v>013509</v>
          </cell>
          <cell r="C569" t="str">
            <v>RAGIL SURYANI</v>
          </cell>
          <cell r="D569" t="str">
            <v>SAMI</v>
          </cell>
          <cell r="E569" t="str">
            <v>OPT-339</v>
          </cell>
          <cell r="F569">
            <v>40945</v>
          </cell>
          <cell r="G569" t="str">
            <v>-</v>
          </cell>
          <cell r="H569" t="str">
            <v>-</v>
          </cell>
          <cell r="I569" t="str">
            <v>PRD</v>
          </cell>
          <cell r="J569" t="str">
            <v>FINAL ASSY</v>
          </cell>
          <cell r="K569" t="str">
            <v>HONDA N-VAN</v>
          </cell>
          <cell r="L569" t="str">
            <v>HONDA ENGINE ROOM L/R CABIN</v>
          </cell>
          <cell r="M569" t="str">
            <v>CV B01</v>
          </cell>
          <cell r="N569" t="str">
            <v>CHECKER 2</v>
          </cell>
          <cell r="O569" t="str">
            <v>ELECTRICAL INSPECTION</v>
          </cell>
          <cell r="P569" t="str">
            <v>A</v>
          </cell>
          <cell r="Q569" t="str">
            <v>DL</v>
          </cell>
          <cell r="R569" t="str">
            <v>PERMANENT</v>
          </cell>
          <cell r="S569" t="str">
            <v>PRM</v>
          </cell>
          <cell r="T569" t="str">
            <v>OPT</v>
          </cell>
          <cell r="U569" t="str">
            <v>-</v>
          </cell>
          <cell r="V569" t="str">
            <v>P</v>
          </cell>
          <cell r="W569">
            <v>31</v>
          </cell>
        </row>
        <row r="570">
          <cell r="A570">
            <v>14970</v>
          </cell>
          <cell r="B570" t="str">
            <v>014970</v>
          </cell>
          <cell r="C570" t="str">
            <v>NUR AFRIDATUL KONA'AH</v>
          </cell>
          <cell r="D570" t="str">
            <v>SAMI</v>
          </cell>
          <cell r="E570" t="str">
            <v>OPT-379</v>
          </cell>
          <cell r="F570">
            <v>41407</v>
          </cell>
          <cell r="G570" t="str">
            <v>-</v>
          </cell>
          <cell r="H570" t="str">
            <v>-</v>
          </cell>
          <cell r="I570" t="str">
            <v>PRD</v>
          </cell>
          <cell r="J570" t="str">
            <v>FINAL ASSY</v>
          </cell>
          <cell r="K570" t="str">
            <v>HONDA N-VAN</v>
          </cell>
          <cell r="L570" t="str">
            <v>HONDA ENGINE ROOM L/R CABIN</v>
          </cell>
          <cell r="M570" t="str">
            <v>CV B01</v>
          </cell>
          <cell r="N570" t="str">
            <v>S/A 2</v>
          </cell>
          <cell r="O570" t="str">
            <v>SUB ASSY</v>
          </cell>
          <cell r="P570" t="str">
            <v>A</v>
          </cell>
          <cell r="Q570" t="str">
            <v>DL</v>
          </cell>
          <cell r="R570" t="str">
            <v>PERMANENT</v>
          </cell>
          <cell r="S570" t="str">
            <v>PRM</v>
          </cell>
          <cell r="T570" t="str">
            <v>OPT</v>
          </cell>
          <cell r="U570" t="str">
            <v>-</v>
          </cell>
          <cell r="V570" t="str">
            <v>P</v>
          </cell>
          <cell r="W570">
            <v>29</v>
          </cell>
        </row>
        <row r="571">
          <cell r="A571">
            <v>15672</v>
          </cell>
          <cell r="B571" t="str">
            <v>015672</v>
          </cell>
          <cell r="C571" t="str">
            <v>WAHYU NURIYANTO</v>
          </cell>
          <cell r="D571" t="str">
            <v>SAMI</v>
          </cell>
          <cell r="E571" t="str">
            <v>OPT-394</v>
          </cell>
          <cell r="F571">
            <v>41466</v>
          </cell>
          <cell r="G571" t="str">
            <v>-</v>
          </cell>
          <cell r="H571" t="str">
            <v>-</v>
          </cell>
          <cell r="I571" t="str">
            <v>PRD</v>
          </cell>
          <cell r="J571" t="str">
            <v>FINAL ASSY</v>
          </cell>
          <cell r="K571" t="str">
            <v>HONDA N-VAN</v>
          </cell>
          <cell r="L571" t="str">
            <v>HONDA ENGINE ROOM L/R CABIN</v>
          </cell>
          <cell r="M571" t="str">
            <v>CV B01</v>
          </cell>
          <cell r="N571" t="str">
            <v>LQC</v>
          </cell>
          <cell r="O571" t="str">
            <v>RELIEF</v>
          </cell>
          <cell r="P571" t="str">
            <v>A</v>
          </cell>
          <cell r="Q571" t="str">
            <v>PI</v>
          </cell>
          <cell r="R571" t="str">
            <v>PERMANENT</v>
          </cell>
          <cell r="S571" t="str">
            <v>PRM</v>
          </cell>
          <cell r="T571" t="str">
            <v>PJK</v>
          </cell>
          <cell r="U571" t="str">
            <v>-</v>
          </cell>
          <cell r="V571" t="str">
            <v>L</v>
          </cell>
          <cell r="W571">
            <v>30</v>
          </cell>
        </row>
        <row r="572">
          <cell r="A572">
            <v>19696</v>
          </cell>
          <cell r="B572" t="str">
            <v>019696</v>
          </cell>
          <cell r="C572" t="str">
            <v>FAHRI KHUSAENI</v>
          </cell>
          <cell r="D572" t="str">
            <v>SAMI</v>
          </cell>
          <cell r="E572" t="str">
            <v>OPT-491</v>
          </cell>
          <cell r="F572">
            <v>42481</v>
          </cell>
          <cell r="G572" t="str">
            <v>-</v>
          </cell>
          <cell r="H572" t="str">
            <v>-</v>
          </cell>
          <cell r="I572" t="str">
            <v>PRD</v>
          </cell>
          <cell r="J572" t="str">
            <v>FINAL ASSY</v>
          </cell>
          <cell r="K572" t="str">
            <v>HONDA N-VAN</v>
          </cell>
          <cell r="L572" t="str">
            <v>HONDA ENGINE ROOM L/R CABIN</v>
          </cell>
          <cell r="M572" t="str">
            <v>CV B01</v>
          </cell>
          <cell r="N572" t="str">
            <v>PROTECTOR</v>
          </cell>
          <cell r="O572" t="str">
            <v>ASSEMBLY</v>
          </cell>
          <cell r="P572" t="str">
            <v>A</v>
          </cell>
          <cell r="Q572" t="str">
            <v>DL</v>
          </cell>
          <cell r="R572" t="str">
            <v>PERMANENT</v>
          </cell>
          <cell r="S572" t="str">
            <v>PRM</v>
          </cell>
          <cell r="T572" t="str">
            <v>OPT</v>
          </cell>
          <cell r="U572" t="str">
            <v>-</v>
          </cell>
          <cell r="V572" t="str">
            <v>L</v>
          </cell>
          <cell r="W572">
            <v>29</v>
          </cell>
        </row>
        <row r="573">
          <cell r="A573">
            <v>21848</v>
          </cell>
          <cell r="B573" t="str">
            <v>021848</v>
          </cell>
          <cell r="C573" t="str">
            <v>RISDIYANTI</v>
          </cell>
          <cell r="D573" t="str">
            <v>SAMI</v>
          </cell>
          <cell r="E573" t="str">
            <v>OPT-541</v>
          </cell>
          <cell r="F573">
            <v>43098</v>
          </cell>
          <cell r="G573" t="str">
            <v>-</v>
          </cell>
          <cell r="H573" t="str">
            <v>-</v>
          </cell>
          <cell r="I573" t="str">
            <v>PRD</v>
          </cell>
          <cell r="J573" t="str">
            <v>FINAL ASSY</v>
          </cell>
          <cell r="K573" t="str">
            <v>HONDA N-VAN</v>
          </cell>
          <cell r="L573" t="str">
            <v>HONDA ENGINE ROOM L/R CABIN</v>
          </cell>
          <cell r="M573" t="str">
            <v>CV B01</v>
          </cell>
          <cell r="N573" t="str">
            <v>CHECKER 1</v>
          </cell>
          <cell r="O573" t="str">
            <v>ELECTRICAL INSPECTION</v>
          </cell>
          <cell r="P573" t="str">
            <v>A</v>
          </cell>
          <cell r="Q573" t="str">
            <v>DL</v>
          </cell>
          <cell r="R573" t="str">
            <v>PERMANENT</v>
          </cell>
          <cell r="S573" t="str">
            <v>PRM</v>
          </cell>
          <cell r="T573" t="str">
            <v>OPT</v>
          </cell>
          <cell r="U573" t="str">
            <v>-</v>
          </cell>
          <cell r="V573" t="str">
            <v>P</v>
          </cell>
          <cell r="W573">
            <v>25</v>
          </cell>
        </row>
        <row r="574">
          <cell r="A574">
            <v>22856</v>
          </cell>
          <cell r="B574" t="str">
            <v>022856</v>
          </cell>
          <cell r="C574" t="str">
            <v>MUHAMMAD FAHMI FARIZ</v>
          </cell>
          <cell r="D574" t="str">
            <v>SAMI</v>
          </cell>
          <cell r="E574" t="str">
            <v>OPT-567</v>
          </cell>
          <cell r="F574">
            <v>43333</v>
          </cell>
          <cell r="G574" t="str">
            <v>-</v>
          </cell>
          <cell r="H574" t="str">
            <v>-</v>
          </cell>
          <cell r="I574" t="str">
            <v>PRD</v>
          </cell>
          <cell r="J574" t="str">
            <v>FINAL ASSY</v>
          </cell>
          <cell r="K574" t="str">
            <v>HONDA N-VAN</v>
          </cell>
          <cell r="L574" t="str">
            <v>HONDA ENGINE ROOM L/R CABIN</v>
          </cell>
          <cell r="M574" t="str">
            <v>CV B01</v>
          </cell>
          <cell r="N574" t="str">
            <v>SHIAGE 3</v>
          </cell>
          <cell r="O574" t="str">
            <v>ASSEMBLY</v>
          </cell>
          <cell r="P574" t="str">
            <v>A</v>
          </cell>
          <cell r="Q574" t="str">
            <v>DL</v>
          </cell>
          <cell r="R574" t="str">
            <v>PERMANENT</v>
          </cell>
          <cell r="S574" t="str">
            <v>PRM</v>
          </cell>
          <cell r="T574" t="str">
            <v>OPT</v>
          </cell>
          <cell r="U574" t="str">
            <v>-</v>
          </cell>
          <cell r="V574" t="str">
            <v>L</v>
          </cell>
          <cell r="W574">
            <v>25</v>
          </cell>
        </row>
        <row r="575">
          <cell r="A575">
            <v>8864</v>
          </cell>
          <cell r="B575" t="str">
            <v>008864</v>
          </cell>
          <cell r="C575" t="str">
            <v>SITI YULI ANI</v>
          </cell>
          <cell r="D575" t="str">
            <v>SAMI</v>
          </cell>
          <cell r="E575" t="str">
            <v>OPT-195</v>
          </cell>
          <cell r="F575">
            <v>39937</v>
          </cell>
          <cell r="G575" t="str">
            <v>-</v>
          </cell>
          <cell r="H575" t="str">
            <v>-</v>
          </cell>
          <cell r="I575" t="str">
            <v>PRD</v>
          </cell>
          <cell r="J575" t="str">
            <v>PRE ASSY</v>
          </cell>
          <cell r="K575" t="str">
            <v>HONDA EXPORT</v>
          </cell>
          <cell r="L575" t="str">
            <v>HONDA EXPORT</v>
          </cell>
          <cell r="M575" t="str">
            <v>CPA HONDA EXPORT</v>
          </cell>
          <cell r="N575" t="str">
            <v>CUTTING AC90-HDA-01</v>
          </cell>
          <cell r="O575" t="str">
            <v>CUTTING WIRE</v>
          </cell>
          <cell r="P575" t="str">
            <v>B</v>
          </cell>
          <cell r="Q575" t="str">
            <v>DL</v>
          </cell>
          <cell r="R575" t="str">
            <v>PERMANENT</v>
          </cell>
          <cell r="S575" t="str">
            <v>PRM</v>
          </cell>
          <cell r="T575" t="str">
            <v>OPT</v>
          </cell>
          <cell r="U575" t="str">
            <v>-</v>
          </cell>
          <cell r="V575" t="str">
            <v>P</v>
          </cell>
          <cell r="W575">
            <v>37</v>
          </cell>
        </row>
        <row r="576">
          <cell r="A576">
            <v>8874</v>
          </cell>
          <cell r="B576" t="str">
            <v>008874</v>
          </cell>
          <cell r="C576" t="str">
            <v>UMI SOLICHATUN</v>
          </cell>
          <cell r="D576" t="str">
            <v>SAMI</v>
          </cell>
          <cell r="E576" t="str">
            <v>OPT-195</v>
          </cell>
          <cell r="F576">
            <v>39937</v>
          </cell>
          <cell r="G576" t="str">
            <v>-</v>
          </cell>
          <cell r="H576" t="str">
            <v>-</v>
          </cell>
          <cell r="I576" t="str">
            <v>PP</v>
          </cell>
          <cell r="J576" t="str">
            <v>PP-2</v>
          </cell>
          <cell r="K576" t="str">
            <v>ALL</v>
          </cell>
          <cell r="L576" t="str">
            <v>ALL</v>
          </cell>
          <cell r="M576" t="str">
            <v>PP-2</v>
          </cell>
          <cell r="N576" t="str">
            <v>LEADER</v>
          </cell>
          <cell r="O576" t="str">
            <v>FPS LL</v>
          </cell>
          <cell r="P576" t="str">
            <v>A (NS)</v>
          </cell>
          <cell r="Q576" t="str">
            <v>PS</v>
          </cell>
          <cell r="R576" t="str">
            <v>PERMANENT</v>
          </cell>
          <cell r="S576" t="str">
            <v>PRM</v>
          </cell>
          <cell r="T576" t="str">
            <v>LL</v>
          </cell>
          <cell r="U576" t="str">
            <v>-</v>
          </cell>
          <cell r="V576" t="str">
            <v>P</v>
          </cell>
          <cell r="W576">
            <v>35</v>
          </cell>
        </row>
        <row r="577">
          <cell r="A577">
            <v>360</v>
          </cell>
          <cell r="B577" t="str">
            <v>000360</v>
          </cell>
          <cell r="C577" t="str">
            <v>DARYANI</v>
          </cell>
          <cell r="D577" t="str">
            <v>SAMI</v>
          </cell>
          <cell r="E577" t="str">
            <v>OPT-10</v>
          </cell>
          <cell r="F577">
            <v>37732</v>
          </cell>
          <cell r="G577" t="str">
            <v>-</v>
          </cell>
          <cell r="H577" t="str">
            <v>-</v>
          </cell>
          <cell r="I577" t="str">
            <v>PRD</v>
          </cell>
          <cell r="J577" t="str">
            <v>FINAL ASSY</v>
          </cell>
          <cell r="K577" t="str">
            <v>HONDA FIT</v>
          </cell>
          <cell r="L577" t="str">
            <v>HONDA FIT HEV PET ENGINE</v>
          </cell>
          <cell r="M577" t="str">
            <v>CV H02</v>
          </cell>
          <cell r="N577" t="str">
            <v>SUB LINE CHO</v>
          </cell>
          <cell r="O577" t="str">
            <v>GL</v>
          </cell>
          <cell r="P577" t="str">
            <v>A</v>
          </cell>
          <cell r="Q577" t="str">
            <v>PI</v>
          </cell>
          <cell r="R577" t="str">
            <v>PERMANENT</v>
          </cell>
          <cell r="S577" t="str">
            <v>PRM</v>
          </cell>
          <cell r="T577" t="str">
            <v>SLC</v>
          </cell>
          <cell r="U577" t="str">
            <v>-</v>
          </cell>
          <cell r="V577" t="str">
            <v>P</v>
          </cell>
          <cell r="W577">
            <v>42</v>
          </cell>
        </row>
        <row r="578">
          <cell r="A578">
            <v>1032</v>
          </cell>
          <cell r="B578" t="str">
            <v>001032</v>
          </cell>
          <cell r="C578" t="str">
            <v>DARNI</v>
          </cell>
          <cell r="D578" t="str">
            <v>SAMI</v>
          </cell>
          <cell r="E578" t="str">
            <v>OPT-26</v>
          </cell>
          <cell r="F578">
            <v>37879</v>
          </cell>
          <cell r="G578" t="str">
            <v>-</v>
          </cell>
          <cell r="H578" t="str">
            <v>-</v>
          </cell>
          <cell r="I578" t="str">
            <v>PRD</v>
          </cell>
          <cell r="J578" t="str">
            <v>FINAL ASSY</v>
          </cell>
          <cell r="K578" t="str">
            <v>HONDA FIT</v>
          </cell>
          <cell r="L578" t="str">
            <v>HONDA FIT HEV PET ENGINE</v>
          </cell>
          <cell r="M578" t="str">
            <v>CV H02</v>
          </cell>
          <cell r="N578" t="str">
            <v>T/P 7.2</v>
          </cell>
          <cell r="O578" t="str">
            <v>ASSEMBLY</v>
          </cell>
          <cell r="P578" t="str">
            <v>A</v>
          </cell>
          <cell r="Q578" t="str">
            <v>DL</v>
          </cell>
          <cell r="R578" t="str">
            <v>PERMANENT</v>
          </cell>
          <cell r="S578" t="str">
            <v>PRM</v>
          </cell>
          <cell r="T578" t="str">
            <v>OPT</v>
          </cell>
          <cell r="U578" t="str">
            <v>-</v>
          </cell>
          <cell r="V578" t="str">
            <v>P</v>
          </cell>
          <cell r="W578">
            <v>40</v>
          </cell>
        </row>
        <row r="579">
          <cell r="A579">
            <v>5965</v>
          </cell>
          <cell r="B579" t="str">
            <v>005965</v>
          </cell>
          <cell r="C579" t="str">
            <v>YANUR LISA MIKIYANTI</v>
          </cell>
          <cell r="D579" t="str">
            <v>SAMI</v>
          </cell>
          <cell r="E579" t="str">
            <v>OPT-137</v>
          </cell>
          <cell r="F579">
            <v>39129</v>
          </cell>
          <cell r="G579" t="str">
            <v>-</v>
          </cell>
          <cell r="H579" t="str">
            <v>-</v>
          </cell>
          <cell r="I579" t="str">
            <v>PRD</v>
          </cell>
          <cell r="J579" t="str">
            <v>FINAL ASSY</v>
          </cell>
          <cell r="K579" t="str">
            <v>HONDA FIT</v>
          </cell>
          <cell r="L579" t="str">
            <v>HONDA FIT HEV PET ENGINE</v>
          </cell>
          <cell r="M579" t="str">
            <v>CV H02</v>
          </cell>
          <cell r="N579" t="str">
            <v>VISUAL 1.2</v>
          </cell>
          <cell r="O579" t="str">
            <v>VISUAL INSPECTION</v>
          </cell>
          <cell r="P579" t="str">
            <v>A</v>
          </cell>
          <cell r="Q579" t="str">
            <v>DL</v>
          </cell>
          <cell r="R579" t="str">
            <v>PERMANENT</v>
          </cell>
          <cell r="S579" t="str">
            <v>PRM</v>
          </cell>
          <cell r="T579" t="str">
            <v>OPT</v>
          </cell>
          <cell r="U579" t="str">
            <v>-</v>
          </cell>
          <cell r="V579" t="str">
            <v>P</v>
          </cell>
          <cell r="W579">
            <v>38</v>
          </cell>
        </row>
        <row r="580">
          <cell r="A580">
            <v>6125</v>
          </cell>
          <cell r="B580" t="str">
            <v>006125</v>
          </cell>
          <cell r="C580" t="str">
            <v>BIYANTI</v>
          </cell>
          <cell r="D580" t="str">
            <v>SAMI</v>
          </cell>
          <cell r="E580" t="str">
            <v>OPT-140</v>
          </cell>
          <cell r="F580">
            <v>39157</v>
          </cell>
          <cell r="G580" t="str">
            <v>-</v>
          </cell>
          <cell r="H580" t="str">
            <v>-</v>
          </cell>
          <cell r="I580" t="str">
            <v>PRD</v>
          </cell>
          <cell r="J580" t="str">
            <v>FINAL ASSY</v>
          </cell>
          <cell r="K580" t="str">
            <v>HONDA FIT</v>
          </cell>
          <cell r="L580" t="str">
            <v>HONDA FIT HEV PET ENGINE</v>
          </cell>
          <cell r="M580" t="str">
            <v>CV H02</v>
          </cell>
          <cell r="N580" t="str">
            <v>T/P 3.1</v>
          </cell>
          <cell r="O580" t="str">
            <v>ASSEMBLY</v>
          </cell>
          <cell r="P580" t="str">
            <v>A</v>
          </cell>
          <cell r="Q580" t="str">
            <v>DL</v>
          </cell>
          <cell r="R580" t="str">
            <v>PERMANENT</v>
          </cell>
          <cell r="S580" t="str">
            <v>PRM</v>
          </cell>
          <cell r="T580" t="str">
            <v>OPT</v>
          </cell>
          <cell r="U580" t="str">
            <v>-</v>
          </cell>
          <cell r="V580" t="str">
            <v>P</v>
          </cell>
          <cell r="W580">
            <v>39</v>
          </cell>
        </row>
        <row r="581">
          <cell r="A581">
            <v>6359</v>
          </cell>
          <cell r="B581" t="str">
            <v>006359</v>
          </cell>
          <cell r="C581" t="str">
            <v>ARIF ROHIM</v>
          </cell>
          <cell r="D581" t="str">
            <v>SAMI</v>
          </cell>
          <cell r="E581" t="str">
            <v>OPT-148</v>
          </cell>
          <cell r="F581">
            <v>39279</v>
          </cell>
          <cell r="G581" t="str">
            <v>-</v>
          </cell>
          <cell r="H581" t="str">
            <v>-</v>
          </cell>
          <cell r="I581" t="str">
            <v>PRD</v>
          </cell>
          <cell r="J581" t="str">
            <v>FINAL ASSY</v>
          </cell>
          <cell r="K581" t="str">
            <v>HONDA FIT</v>
          </cell>
          <cell r="L581" t="str">
            <v>HONDA FIT HEV PET ENGINE</v>
          </cell>
          <cell r="M581" t="str">
            <v>CV H02</v>
          </cell>
          <cell r="N581" t="str">
            <v>PRD LINE CHO</v>
          </cell>
          <cell r="O581" t="str">
            <v>FPI LL</v>
          </cell>
          <cell r="P581" t="str">
            <v>A</v>
          </cell>
          <cell r="Q581" t="str">
            <v>PI</v>
          </cell>
          <cell r="R581" t="str">
            <v>PERMANENT</v>
          </cell>
          <cell r="S581" t="str">
            <v>PRM</v>
          </cell>
          <cell r="T581" t="str">
            <v>LC</v>
          </cell>
          <cell r="U581" t="str">
            <v>-</v>
          </cell>
          <cell r="V581" t="str">
            <v>L</v>
          </cell>
          <cell r="W581">
            <v>39</v>
          </cell>
        </row>
        <row r="582">
          <cell r="A582">
            <v>8951</v>
          </cell>
          <cell r="B582" t="str">
            <v>008951</v>
          </cell>
          <cell r="C582" t="str">
            <v>RINA SETYOWATI</v>
          </cell>
          <cell r="D582" t="str">
            <v>SAMI</v>
          </cell>
          <cell r="E582" t="str">
            <v>OPT-199</v>
          </cell>
          <cell r="F582">
            <v>39968</v>
          </cell>
          <cell r="G582" t="str">
            <v>-</v>
          </cell>
          <cell r="H582" t="str">
            <v>-</v>
          </cell>
          <cell r="I582" t="str">
            <v>PRD</v>
          </cell>
          <cell r="J582" t="str">
            <v>FINAL ASSY</v>
          </cell>
          <cell r="K582" t="str">
            <v>TOYOTA HV</v>
          </cell>
          <cell r="L582" t="str">
            <v xml:space="preserve">HV TOYOTA AC </v>
          </cell>
          <cell r="M582" t="str">
            <v>CV HV 10B</v>
          </cell>
          <cell r="N582" t="str">
            <v>BFT-1, BFT-2</v>
          </cell>
          <cell r="O582" t="str">
            <v>ASSEMBLY</v>
          </cell>
          <cell r="P582" t="str">
            <v>B</v>
          </cell>
          <cell r="Q582" t="str">
            <v>DL</v>
          </cell>
          <cell r="R582" t="str">
            <v>PERMANENT</v>
          </cell>
          <cell r="S582" t="str">
            <v>PRM</v>
          </cell>
          <cell r="T582" t="str">
            <v>OPT</v>
          </cell>
          <cell r="U582" t="str">
            <v>-</v>
          </cell>
          <cell r="V582" t="str">
            <v>P</v>
          </cell>
          <cell r="W582">
            <v>37</v>
          </cell>
        </row>
        <row r="583">
          <cell r="A583">
            <v>8698</v>
          </cell>
          <cell r="B583" t="str">
            <v>008698</v>
          </cell>
          <cell r="C583" t="str">
            <v>SITI KHOLIFAH</v>
          </cell>
          <cell r="D583" t="str">
            <v>SAMI</v>
          </cell>
          <cell r="E583" t="str">
            <v>OPT-190</v>
          </cell>
          <cell r="F583">
            <v>39888</v>
          </cell>
          <cell r="G583" t="str">
            <v>-</v>
          </cell>
          <cell r="H583" t="str">
            <v>-</v>
          </cell>
          <cell r="I583" t="str">
            <v>PRD</v>
          </cell>
          <cell r="J583" t="str">
            <v>FINAL ASSY</v>
          </cell>
          <cell r="K583" t="str">
            <v>HONDA FIT</v>
          </cell>
          <cell r="L583" t="str">
            <v>HONDA FIT HEV PET ENGINE</v>
          </cell>
          <cell r="M583" t="str">
            <v>CV H02</v>
          </cell>
          <cell r="N583" t="str">
            <v>T/P 8.2</v>
          </cell>
          <cell r="O583" t="str">
            <v>ASSEMBLY</v>
          </cell>
          <cell r="P583" t="str">
            <v>A</v>
          </cell>
          <cell r="Q583" t="str">
            <v>DL</v>
          </cell>
          <cell r="R583" t="str">
            <v>PERMANENT</v>
          </cell>
          <cell r="S583" t="str">
            <v>PRM</v>
          </cell>
          <cell r="T583" t="str">
            <v>OPT</v>
          </cell>
          <cell r="U583" t="str">
            <v>-</v>
          </cell>
          <cell r="V583" t="str">
            <v>P</v>
          </cell>
          <cell r="W583">
            <v>35</v>
          </cell>
        </row>
        <row r="584">
          <cell r="A584">
            <v>8761</v>
          </cell>
          <cell r="B584" t="str">
            <v>008761</v>
          </cell>
          <cell r="C584" t="str">
            <v>WAHYU AGUS TYANINGRUM</v>
          </cell>
          <cell r="D584" t="str">
            <v>SAMI</v>
          </cell>
          <cell r="E584" t="str">
            <v>OPT-193</v>
          </cell>
          <cell r="F584">
            <v>39925</v>
          </cell>
          <cell r="G584" t="str">
            <v>-</v>
          </cell>
          <cell r="H584" t="str">
            <v>-</v>
          </cell>
          <cell r="I584" t="str">
            <v>PRD</v>
          </cell>
          <cell r="J584" t="str">
            <v>FINAL ASSY</v>
          </cell>
          <cell r="K584" t="str">
            <v>HONDA FIT</v>
          </cell>
          <cell r="L584" t="str">
            <v>HONDA FIT HEV PET ENGINE</v>
          </cell>
          <cell r="M584" t="str">
            <v>CV H02</v>
          </cell>
          <cell r="N584" t="str">
            <v>CHECKER 3</v>
          </cell>
          <cell r="O584" t="str">
            <v>ELECTRICAL INSPECTION</v>
          </cell>
          <cell r="P584" t="str">
            <v>A</v>
          </cell>
          <cell r="Q584" t="str">
            <v>DL</v>
          </cell>
          <cell r="R584" t="str">
            <v>PERMANENT</v>
          </cell>
          <cell r="S584" t="str">
            <v>PRM</v>
          </cell>
          <cell r="T584" t="str">
            <v>OPT</v>
          </cell>
          <cell r="U584" t="str">
            <v>-</v>
          </cell>
          <cell r="V584" t="str">
            <v>P</v>
          </cell>
          <cell r="W584">
            <v>34</v>
          </cell>
        </row>
        <row r="585">
          <cell r="A585">
            <v>8988</v>
          </cell>
          <cell r="B585" t="str">
            <v>008988</v>
          </cell>
          <cell r="C585" t="str">
            <v>ALFI MAYASARI</v>
          </cell>
          <cell r="D585" t="str">
            <v>SAMI</v>
          </cell>
          <cell r="E585" t="str">
            <v>OPT-201</v>
          </cell>
          <cell r="F585">
            <v>39975</v>
          </cell>
          <cell r="G585" t="str">
            <v>-</v>
          </cell>
          <cell r="H585" t="str">
            <v>-</v>
          </cell>
          <cell r="I585" t="str">
            <v>PRD</v>
          </cell>
          <cell r="J585" t="str">
            <v>PRE ASSY</v>
          </cell>
          <cell r="K585" t="str">
            <v>HONDA BBP</v>
          </cell>
          <cell r="L585" t="str">
            <v>HV HONDA 5JLA BBP</v>
          </cell>
          <cell r="M585" t="str">
            <v>CPA HONDA HV</v>
          </cell>
          <cell r="N585" t="str">
            <v>CUTTING AC81-H-01</v>
          </cell>
          <cell r="O585" t="str">
            <v>CUTTING WIRE</v>
          </cell>
          <cell r="P585" t="str">
            <v>B</v>
          </cell>
          <cell r="Q585" t="str">
            <v>DL</v>
          </cell>
          <cell r="R585" t="str">
            <v>PERMANENT</v>
          </cell>
          <cell r="S585" t="str">
            <v>PRM</v>
          </cell>
          <cell r="T585" t="str">
            <v>OPT</v>
          </cell>
          <cell r="U585" t="str">
            <v>-</v>
          </cell>
          <cell r="V585" t="str">
            <v>P</v>
          </cell>
          <cell r="W585">
            <v>36</v>
          </cell>
        </row>
        <row r="586">
          <cell r="A586">
            <v>9527</v>
          </cell>
          <cell r="B586" t="str">
            <v>009527</v>
          </cell>
          <cell r="C586" t="str">
            <v>NURHAYATI</v>
          </cell>
          <cell r="D586" t="str">
            <v>SAMI</v>
          </cell>
          <cell r="E586" t="str">
            <v>OPT-216</v>
          </cell>
          <cell r="F586">
            <v>40148</v>
          </cell>
          <cell r="G586" t="str">
            <v>-</v>
          </cell>
          <cell r="H586" t="str">
            <v>-</v>
          </cell>
          <cell r="I586" t="str">
            <v>PRD</v>
          </cell>
          <cell r="J586" t="str">
            <v>FINAL ASSY</v>
          </cell>
          <cell r="K586" t="str">
            <v>HONDA FIT</v>
          </cell>
          <cell r="L586" t="str">
            <v>HONDA FIT HEV PET ENGINE</v>
          </cell>
          <cell r="M586" t="str">
            <v>CV H02</v>
          </cell>
          <cell r="N586" t="str">
            <v>CHECKER 2</v>
          </cell>
          <cell r="O586" t="str">
            <v>ELECTRICAL INSPECTION</v>
          </cell>
          <cell r="P586" t="str">
            <v>A</v>
          </cell>
          <cell r="Q586" t="str">
            <v>DL</v>
          </cell>
          <cell r="R586" t="str">
            <v>PERMANENT</v>
          </cell>
          <cell r="S586" t="str">
            <v>PRM</v>
          </cell>
          <cell r="T586" t="str">
            <v>OPT</v>
          </cell>
          <cell r="U586" t="str">
            <v>-</v>
          </cell>
          <cell r="V586" t="str">
            <v>P</v>
          </cell>
          <cell r="W586">
            <v>36</v>
          </cell>
        </row>
        <row r="587">
          <cell r="A587">
            <v>9618</v>
          </cell>
          <cell r="B587" t="str">
            <v>009618</v>
          </cell>
          <cell r="C587" t="str">
            <v>NUR AWALIYAH</v>
          </cell>
          <cell r="D587" t="str">
            <v>SAMI</v>
          </cell>
          <cell r="E587" t="str">
            <v>OPT-218</v>
          </cell>
          <cell r="F587">
            <v>40179</v>
          </cell>
          <cell r="G587" t="str">
            <v>-</v>
          </cell>
          <cell r="H587" t="str">
            <v>-</v>
          </cell>
          <cell r="I587" t="str">
            <v>PRD</v>
          </cell>
          <cell r="J587" t="str">
            <v>FINAL ASSY</v>
          </cell>
          <cell r="K587" t="str">
            <v>HONDA FIT</v>
          </cell>
          <cell r="L587" t="str">
            <v>HONDA FIT HEV PET ENGINE</v>
          </cell>
          <cell r="M587" t="str">
            <v>CV H02</v>
          </cell>
          <cell r="N587" t="str">
            <v>S/A AB</v>
          </cell>
          <cell r="O587" t="str">
            <v>SUB ASSY</v>
          </cell>
          <cell r="P587" t="str">
            <v>A</v>
          </cell>
          <cell r="Q587" t="str">
            <v>DL</v>
          </cell>
          <cell r="R587" t="str">
            <v>PERMANENT</v>
          </cell>
          <cell r="S587" t="str">
            <v>PRM</v>
          </cell>
          <cell r="T587" t="str">
            <v>OPT</v>
          </cell>
          <cell r="U587" t="str">
            <v>-</v>
          </cell>
          <cell r="V587" t="str">
            <v>P</v>
          </cell>
          <cell r="W587">
            <v>35</v>
          </cell>
        </row>
        <row r="588">
          <cell r="A588">
            <v>10007</v>
          </cell>
          <cell r="B588" t="str">
            <v>010007</v>
          </cell>
          <cell r="C588" t="str">
            <v>EKO WIDYANINGSIH</v>
          </cell>
          <cell r="D588" t="str">
            <v>SAMI</v>
          </cell>
          <cell r="E588" t="str">
            <v>OPT-247</v>
          </cell>
          <cell r="F588">
            <v>40438</v>
          </cell>
          <cell r="G588" t="str">
            <v>-</v>
          </cell>
          <cell r="H588" t="str">
            <v>-</v>
          </cell>
          <cell r="I588" t="str">
            <v>PRD</v>
          </cell>
          <cell r="J588" t="str">
            <v>FINAL ASSY</v>
          </cell>
          <cell r="K588" t="str">
            <v>HONDA FIT</v>
          </cell>
          <cell r="L588" t="str">
            <v>HONDA FIT HEV PET ENGINE</v>
          </cell>
          <cell r="M588" t="str">
            <v>CV H02</v>
          </cell>
          <cell r="N588" t="str">
            <v>SUB LINE CHO</v>
          </cell>
          <cell r="O588" t="str">
            <v>GL</v>
          </cell>
          <cell r="P588" t="str">
            <v>A</v>
          </cell>
          <cell r="Q588" t="str">
            <v>PI</v>
          </cell>
          <cell r="R588" t="str">
            <v>PERMANENT</v>
          </cell>
          <cell r="S588" t="str">
            <v>PRM</v>
          </cell>
          <cell r="T588" t="str">
            <v>SLC</v>
          </cell>
          <cell r="U588" t="str">
            <v>-</v>
          </cell>
          <cell r="V588" t="str">
            <v>P</v>
          </cell>
          <cell r="W588">
            <v>32</v>
          </cell>
        </row>
        <row r="589">
          <cell r="A589">
            <v>9005</v>
          </cell>
          <cell r="B589" t="str">
            <v>009005</v>
          </cell>
          <cell r="C589" t="str">
            <v>IKVI KHOERA ULIT T.</v>
          </cell>
          <cell r="D589" t="str">
            <v>SAMI</v>
          </cell>
          <cell r="E589" t="str">
            <v>OPT-201</v>
          </cell>
          <cell r="F589">
            <v>39975</v>
          </cell>
          <cell r="G589" t="str">
            <v>-</v>
          </cell>
          <cell r="H589" t="str">
            <v>-</v>
          </cell>
          <cell r="I589" t="str">
            <v>PRD</v>
          </cell>
          <cell r="J589" t="str">
            <v>FINAL ASSY</v>
          </cell>
          <cell r="K589" t="str">
            <v>TOYOTA HV</v>
          </cell>
          <cell r="L589" t="str">
            <v>HV TOYOTA NIKEL</v>
          </cell>
          <cell r="M589" t="str">
            <v>CV HV 07</v>
          </cell>
          <cell r="N589" t="str">
            <v>MAEKOTEI 1</v>
          </cell>
          <cell r="O589" t="str">
            <v>WFAP 2.2</v>
          </cell>
          <cell r="P589" t="str">
            <v>B</v>
          </cell>
          <cell r="Q589" t="str">
            <v>DL</v>
          </cell>
          <cell r="R589" t="str">
            <v>PERMANENT</v>
          </cell>
          <cell r="S589" t="str">
            <v>PRM</v>
          </cell>
          <cell r="T589" t="str">
            <v>OPT</v>
          </cell>
          <cell r="U589" t="str">
            <v>-</v>
          </cell>
          <cell r="V589" t="str">
            <v>P</v>
          </cell>
          <cell r="W589">
            <v>36</v>
          </cell>
        </row>
        <row r="590">
          <cell r="A590">
            <v>10084</v>
          </cell>
          <cell r="B590" t="str">
            <v>010084</v>
          </cell>
          <cell r="C590" t="str">
            <v>ELZA FREDIANTAMA NURTIAS</v>
          </cell>
          <cell r="D590" t="str">
            <v>SAMI</v>
          </cell>
          <cell r="E590" t="str">
            <v>OPT-248</v>
          </cell>
          <cell r="F590">
            <v>40444</v>
          </cell>
          <cell r="G590" t="str">
            <v>-</v>
          </cell>
          <cell r="H590" t="str">
            <v>-</v>
          </cell>
          <cell r="I590" t="str">
            <v>PRD</v>
          </cell>
          <cell r="J590" t="str">
            <v>FINAL ASSY</v>
          </cell>
          <cell r="K590" t="str">
            <v>HONDA FIT</v>
          </cell>
          <cell r="L590" t="str">
            <v>HONDA FIT HEV PET ENGINE</v>
          </cell>
          <cell r="M590" t="str">
            <v>CV H02</v>
          </cell>
          <cell r="N590" t="str">
            <v>S/A 5</v>
          </cell>
          <cell r="O590" t="str">
            <v>SUB ASSY</v>
          </cell>
          <cell r="P590" t="str">
            <v>A</v>
          </cell>
          <cell r="Q590" t="str">
            <v>DL</v>
          </cell>
          <cell r="R590" t="str">
            <v>PERMANENT</v>
          </cell>
          <cell r="S590" t="str">
            <v>PRM</v>
          </cell>
          <cell r="T590" t="str">
            <v>OPT</v>
          </cell>
          <cell r="U590" t="str">
            <v>-</v>
          </cell>
          <cell r="V590" t="str">
            <v>P</v>
          </cell>
          <cell r="W590">
            <v>32</v>
          </cell>
        </row>
        <row r="591">
          <cell r="A591">
            <v>9014</v>
          </cell>
          <cell r="B591" t="str">
            <v>009014</v>
          </cell>
          <cell r="C591" t="str">
            <v>NIA HARYANTI</v>
          </cell>
          <cell r="D591" t="str">
            <v>SAMI</v>
          </cell>
          <cell r="E591" t="str">
            <v>OPT-201</v>
          </cell>
          <cell r="F591">
            <v>39975</v>
          </cell>
          <cell r="G591" t="str">
            <v>-</v>
          </cell>
          <cell r="H591" t="str">
            <v>-</v>
          </cell>
          <cell r="I591" t="str">
            <v>PRD</v>
          </cell>
          <cell r="J591" t="str">
            <v>PRE ASSY</v>
          </cell>
          <cell r="K591" t="str">
            <v>HONDA EXPORT</v>
          </cell>
          <cell r="L591" t="str">
            <v>HONDA EXPORT</v>
          </cell>
          <cell r="M591" t="str">
            <v>CPA HONDA EXPORT</v>
          </cell>
          <cell r="N591" t="str">
            <v>CUTTING AC90-HDA-07</v>
          </cell>
          <cell r="O591" t="str">
            <v>CUTTING WIRE</v>
          </cell>
          <cell r="P591" t="str">
            <v>B</v>
          </cell>
          <cell r="Q591" t="str">
            <v>DL</v>
          </cell>
          <cell r="R591" t="str">
            <v>PERMANENT</v>
          </cell>
          <cell r="S591" t="str">
            <v>PRM</v>
          </cell>
          <cell r="T591" t="str">
            <v>OPT</v>
          </cell>
          <cell r="U591" t="str">
            <v>-</v>
          </cell>
          <cell r="V591" t="str">
            <v>P</v>
          </cell>
          <cell r="W591">
            <v>36</v>
          </cell>
        </row>
        <row r="592">
          <cell r="A592">
            <v>9020</v>
          </cell>
          <cell r="B592" t="str">
            <v>009020</v>
          </cell>
          <cell r="C592" t="str">
            <v>REVI WIDYAWATI</v>
          </cell>
          <cell r="D592" t="str">
            <v>SAMI</v>
          </cell>
          <cell r="E592" t="str">
            <v>OPT-201</v>
          </cell>
          <cell r="F592">
            <v>39975</v>
          </cell>
          <cell r="G592" t="str">
            <v>-</v>
          </cell>
          <cell r="H592" t="str">
            <v>-</v>
          </cell>
          <cell r="I592" t="str">
            <v>PRD</v>
          </cell>
          <cell r="J592" t="str">
            <v>FINAL ASSY</v>
          </cell>
          <cell r="K592" t="str">
            <v>TOYOTA HV</v>
          </cell>
          <cell r="L592" t="str">
            <v>HV TOYOTA UNDERFLOOR</v>
          </cell>
          <cell r="M592" t="str">
            <v>CV HV 09</v>
          </cell>
          <cell r="N592" t="str">
            <v>HD 150, WEBO</v>
          </cell>
          <cell r="O592" t="str">
            <v>WFAP 2.2</v>
          </cell>
          <cell r="P592" t="str">
            <v>B</v>
          </cell>
          <cell r="Q592" t="str">
            <v>DL</v>
          </cell>
          <cell r="R592" t="str">
            <v>PERMANENT</v>
          </cell>
          <cell r="S592" t="str">
            <v>PRM</v>
          </cell>
          <cell r="T592" t="str">
            <v>OPT</v>
          </cell>
          <cell r="U592" t="str">
            <v>-</v>
          </cell>
          <cell r="V592" t="str">
            <v>P</v>
          </cell>
          <cell r="W592">
            <v>37</v>
          </cell>
        </row>
        <row r="593">
          <cell r="A593">
            <v>9027</v>
          </cell>
          <cell r="B593" t="str">
            <v>009027</v>
          </cell>
          <cell r="C593" t="str">
            <v>TATIK APRIYANTI</v>
          </cell>
          <cell r="D593" t="str">
            <v>SAMI</v>
          </cell>
          <cell r="E593" t="str">
            <v>OPT-201</v>
          </cell>
          <cell r="F593">
            <v>39975</v>
          </cell>
          <cell r="G593" t="str">
            <v>-</v>
          </cell>
          <cell r="H593" t="str">
            <v>-</v>
          </cell>
          <cell r="I593" t="str">
            <v>PRD</v>
          </cell>
          <cell r="J593" t="str">
            <v>FINAL ASSY</v>
          </cell>
          <cell r="K593" t="str">
            <v>MAZDA 3</v>
          </cell>
          <cell r="L593" t="str">
            <v>MAZDA REAR</v>
          </cell>
          <cell r="M593" t="str">
            <v>CV M01</v>
          </cell>
          <cell r="N593" t="str">
            <v>SUB LINE CHO</v>
          </cell>
          <cell r="O593" t="str">
            <v>GL</v>
          </cell>
          <cell r="P593" t="str">
            <v>B</v>
          </cell>
          <cell r="Q593" t="str">
            <v>PI</v>
          </cell>
          <cell r="R593" t="str">
            <v>PERMANENT</v>
          </cell>
          <cell r="S593" t="str">
            <v>PRM</v>
          </cell>
          <cell r="T593" t="str">
            <v>SLC</v>
          </cell>
          <cell r="U593" t="str">
            <v>-</v>
          </cell>
          <cell r="V593" t="str">
            <v>P</v>
          </cell>
          <cell r="W593">
            <v>37</v>
          </cell>
        </row>
        <row r="594">
          <cell r="A594">
            <v>10167</v>
          </cell>
          <cell r="B594" t="str">
            <v>010167</v>
          </cell>
          <cell r="C594" t="str">
            <v>ASTARI DWIYANTI</v>
          </cell>
          <cell r="D594" t="str">
            <v>SAMI</v>
          </cell>
          <cell r="E594" t="str">
            <v>OPT-253</v>
          </cell>
          <cell r="F594">
            <v>40458</v>
          </cell>
          <cell r="G594" t="str">
            <v>-</v>
          </cell>
          <cell r="H594" t="str">
            <v>-</v>
          </cell>
          <cell r="I594" t="str">
            <v>PRD</v>
          </cell>
          <cell r="J594" t="str">
            <v>FINAL ASSY</v>
          </cell>
          <cell r="K594" t="str">
            <v>HONDA FIT</v>
          </cell>
          <cell r="L594" t="str">
            <v>HONDA FIT HEV PET ENGINE</v>
          </cell>
          <cell r="M594" t="str">
            <v>CV H02</v>
          </cell>
          <cell r="N594" t="str">
            <v>CHECKER 1</v>
          </cell>
          <cell r="O594" t="str">
            <v>ELECTRICAL INSPECTION</v>
          </cell>
          <cell r="P594" t="str">
            <v>A</v>
          </cell>
          <cell r="Q594" t="str">
            <v>DL</v>
          </cell>
          <cell r="R594" t="str">
            <v>PERMANENT</v>
          </cell>
          <cell r="S594" t="str">
            <v>PRM</v>
          </cell>
          <cell r="T594" t="str">
            <v>OPT</v>
          </cell>
          <cell r="U594" t="str">
            <v>-</v>
          </cell>
          <cell r="V594" t="str">
            <v>P</v>
          </cell>
          <cell r="W594">
            <v>32</v>
          </cell>
        </row>
        <row r="595">
          <cell r="A595">
            <v>10178</v>
          </cell>
          <cell r="B595" t="str">
            <v>010178</v>
          </cell>
          <cell r="C595" t="str">
            <v>FITRI AWALIYAH</v>
          </cell>
          <cell r="D595" t="str">
            <v>SAMI</v>
          </cell>
          <cell r="E595" t="str">
            <v>OPT-253</v>
          </cell>
          <cell r="F595">
            <v>40458</v>
          </cell>
          <cell r="G595" t="str">
            <v>-</v>
          </cell>
          <cell r="H595" t="str">
            <v>-</v>
          </cell>
          <cell r="I595" t="str">
            <v>PRD</v>
          </cell>
          <cell r="J595" t="str">
            <v>FINAL ASSY</v>
          </cell>
          <cell r="K595" t="str">
            <v>HONDA FIT</v>
          </cell>
          <cell r="L595" t="str">
            <v>HONDA FIT HEV PET ENGINE</v>
          </cell>
          <cell r="M595" t="str">
            <v>CV H02</v>
          </cell>
          <cell r="N595" t="str">
            <v>S/A 9</v>
          </cell>
          <cell r="O595" t="str">
            <v>SUB ASSY</v>
          </cell>
          <cell r="P595" t="str">
            <v>A</v>
          </cell>
          <cell r="Q595" t="str">
            <v>DL</v>
          </cell>
          <cell r="R595" t="str">
            <v>PERMANENT</v>
          </cell>
          <cell r="S595" t="str">
            <v>PRM</v>
          </cell>
          <cell r="T595" t="str">
            <v>OPT</v>
          </cell>
          <cell r="U595" t="str">
            <v>-</v>
          </cell>
          <cell r="V595" t="str">
            <v>P</v>
          </cell>
          <cell r="W595">
            <v>33</v>
          </cell>
        </row>
        <row r="596">
          <cell r="A596">
            <v>9034</v>
          </cell>
          <cell r="B596" t="str">
            <v>009034</v>
          </cell>
          <cell r="C596" t="str">
            <v>YUNITA</v>
          </cell>
          <cell r="D596" t="str">
            <v>SAMI</v>
          </cell>
          <cell r="E596" t="str">
            <v>OPT-201</v>
          </cell>
          <cell r="F596">
            <v>39975</v>
          </cell>
          <cell r="G596" t="str">
            <v>-</v>
          </cell>
          <cell r="H596" t="str">
            <v>-</v>
          </cell>
          <cell r="I596" t="str">
            <v>PRD</v>
          </cell>
          <cell r="J596" t="str">
            <v>FINAL ASSY</v>
          </cell>
          <cell r="K596" t="str">
            <v>TOYOTA</v>
          </cell>
          <cell r="L596" t="str">
            <v>AQUA SIENTA</v>
          </cell>
          <cell r="M596" t="str">
            <v>CV T01</v>
          </cell>
          <cell r="N596" t="str">
            <v>OJT VISUAL 1.2</v>
          </cell>
          <cell r="O596" t="str">
            <v>OTHERS</v>
          </cell>
          <cell r="P596" t="str">
            <v>B</v>
          </cell>
          <cell r="Q596" t="str">
            <v>PI</v>
          </cell>
          <cell r="R596" t="str">
            <v>PERMANENT</v>
          </cell>
          <cell r="S596" t="str">
            <v>PRM</v>
          </cell>
          <cell r="T596" t="str">
            <v>OPT</v>
          </cell>
          <cell r="U596" t="str">
            <v>-</v>
          </cell>
          <cell r="V596" t="str">
            <v>P</v>
          </cell>
          <cell r="W596">
            <v>37</v>
          </cell>
        </row>
        <row r="597">
          <cell r="A597">
            <v>9038</v>
          </cell>
          <cell r="B597" t="str">
            <v>009038</v>
          </cell>
          <cell r="C597" t="str">
            <v>ARI SETIAWATI</v>
          </cell>
          <cell r="D597" t="str">
            <v>SAMI</v>
          </cell>
          <cell r="E597" t="str">
            <v>OPT-202</v>
          </cell>
          <cell r="F597">
            <v>39979</v>
          </cell>
          <cell r="G597" t="str">
            <v>-</v>
          </cell>
          <cell r="H597" t="str">
            <v>-</v>
          </cell>
          <cell r="I597" t="str">
            <v>QA</v>
          </cell>
          <cell r="J597" t="str">
            <v>FINAL ASSY</v>
          </cell>
          <cell r="K597" t="str">
            <v>HONDA FIT</v>
          </cell>
          <cell r="L597" t="str">
            <v>HONDA FIT HEV PET ENGINE</v>
          </cell>
          <cell r="M597" t="str">
            <v>CV H02</v>
          </cell>
          <cell r="N597" t="str">
            <v>PJK INSP</v>
          </cell>
          <cell r="O597" t="str">
            <v>RELIEF</v>
          </cell>
          <cell r="P597" t="str">
            <v>A</v>
          </cell>
          <cell r="Q597" t="str">
            <v>PI</v>
          </cell>
          <cell r="R597" t="str">
            <v>PERMANENT</v>
          </cell>
          <cell r="S597" t="str">
            <v>PRM</v>
          </cell>
          <cell r="T597" t="str">
            <v>PJK</v>
          </cell>
          <cell r="U597" t="str">
            <v>-</v>
          </cell>
          <cell r="V597" t="str">
            <v>P</v>
          </cell>
          <cell r="W597">
            <v>37</v>
          </cell>
        </row>
        <row r="598">
          <cell r="A598">
            <v>9049</v>
          </cell>
          <cell r="B598" t="str">
            <v>009049</v>
          </cell>
          <cell r="C598" t="str">
            <v>SAFRIDA AISYA M.</v>
          </cell>
          <cell r="D598" t="str">
            <v>SAMI</v>
          </cell>
          <cell r="E598" t="str">
            <v>OPT-202</v>
          </cell>
          <cell r="F598">
            <v>39979</v>
          </cell>
          <cell r="G598" t="str">
            <v>-</v>
          </cell>
          <cell r="H598" t="str">
            <v>-</v>
          </cell>
          <cell r="I598" t="str">
            <v>PRD</v>
          </cell>
          <cell r="J598" t="str">
            <v>FINAL ASSY</v>
          </cell>
          <cell r="K598" t="str">
            <v>TOYOTA HV</v>
          </cell>
          <cell r="L598" t="str">
            <v>HV TOYOTA 858W 874W BBM</v>
          </cell>
          <cell r="M598" t="str">
            <v>CV HV 15</v>
          </cell>
          <cell r="N598" t="str">
            <v>ASM S2, S/A</v>
          </cell>
          <cell r="O598" t="str">
            <v>ASSEMBLY</v>
          </cell>
          <cell r="P598" t="str">
            <v>B</v>
          </cell>
          <cell r="Q598" t="str">
            <v>DL</v>
          </cell>
          <cell r="R598" t="str">
            <v>PERMANENT</v>
          </cell>
          <cell r="S598" t="str">
            <v>PRM</v>
          </cell>
          <cell r="T598" t="str">
            <v>OPT</v>
          </cell>
          <cell r="U598" t="str">
            <v>-</v>
          </cell>
          <cell r="V598" t="str">
            <v>P</v>
          </cell>
          <cell r="W598">
            <v>37</v>
          </cell>
        </row>
        <row r="599">
          <cell r="A599">
            <v>9050</v>
          </cell>
          <cell r="B599" t="str">
            <v>009050</v>
          </cell>
          <cell r="C599" t="str">
            <v>SITI QOTIJAH</v>
          </cell>
          <cell r="D599" t="str">
            <v>SAMI</v>
          </cell>
          <cell r="E599" t="str">
            <v>OPT-202</v>
          </cell>
          <cell r="F599">
            <v>39979</v>
          </cell>
          <cell r="G599" t="str">
            <v>-</v>
          </cell>
          <cell r="H599" t="str">
            <v>-</v>
          </cell>
          <cell r="I599" t="str">
            <v>PRD</v>
          </cell>
          <cell r="J599" t="str">
            <v>PRE ASSY</v>
          </cell>
          <cell r="K599" t="str">
            <v>CUTTING TUBE</v>
          </cell>
          <cell r="L599" t="str">
            <v>CUTTING TUBE</v>
          </cell>
          <cell r="M599" t="str">
            <v>CUTTING TUBE</v>
          </cell>
          <cell r="N599" t="str">
            <v>SUB LINE CHO</v>
          </cell>
          <cell r="O599" t="str">
            <v>GL</v>
          </cell>
          <cell r="P599" t="str">
            <v>B</v>
          </cell>
          <cell r="Q599" t="str">
            <v>PI</v>
          </cell>
          <cell r="R599" t="str">
            <v>PERMANENT</v>
          </cell>
          <cell r="S599" t="str">
            <v>PRM</v>
          </cell>
          <cell r="T599" t="str">
            <v>SLC</v>
          </cell>
          <cell r="U599" t="str">
            <v>-</v>
          </cell>
          <cell r="V599" t="str">
            <v>P</v>
          </cell>
          <cell r="W599">
            <v>36</v>
          </cell>
        </row>
        <row r="600">
          <cell r="A600">
            <v>10244</v>
          </cell>
          <cell r="B600" t="str">
            <v>010244</v>
          </cell>
          <cell r="C600" t="str">
            <v>FINA PRATIWI</v>
          </cell>
          <cell r="D600" t="str">
            <v>SAMI</v>
          </cell>
          <cell r="E600" t="str">
            <v>OPT-261</v>
          </cell>
          <cell r="F600">
            <v>40497</v>
          </cell>
          <cell r="G600" t="str">
            <v>-</v>
          </cell>
          <cell r="H600" t="str">
            <v>-</v>
          </cell>
          <cell r="I600" t="str">
            <v>PRD</v>
          </cell>
          <cell r="J600" t="str">
            <v>FINAL ASSY</v>
          </cell>
          <cell r="K600" t="str">
            <v>HONDA FIT</v>
          </cell>
          <cell r="L600" t="str">
            <v>HONDA FIT HEV PET ENGINE</v>
          </cell>
          <cell r="M600" t="str">
            <v>CV H02</v>
          </cell>
          <cell r="N600" t="str">
            <v>VISUAL 2.2</v>
          </cell>
          <cell r="O600" t="str">
            <v>VISUAL INSPECTION</v>
          </cell>
          <cell r="P600" t="str">
            <v>A</v>
          </cell>
          <cell r="Q600" t="str">
            <v>DL</v>
          </cell>
          <cell r="R600" t="str">
            <v>PERMANENT</v>
          </cell>
          <cell r="S600" t="str">
            <v>PRM</v>
          </cell>
          <cell r="T600" t="str">
            <v>OPT</v>
          </cell>
          <cell r="U600" t="str">
            <v>-</v>
          </cell>
          <cell r="V600" t="str">
            <v>P</v>
          </cell>
          <cell r="W600">
            <v>36</v>
          </cell>
        </row>
        <row r="601">
          <cell r="A601">
            <v>10517</v>
          </cell>
          <cell r="B601" t="str">
            <v>010517</v>
          </cell>
          <cell r="C601" t="str">
            <v>NURUL FATONAH</v>
          </cell>
          <cell r="D601" t="str">
            <v>SAMI</v>
          </cell>
          <cell r="E601" t="str">
            <v>OPT-273</v>
          </cell>
          <cell r="F601">
            <v>40535</v>
          </cell>
          <cell r="G601" t="str">
            <v>-</v>
          </cell>
          <cell r="H601" t="str">
            <v>-</v>
          </cell>
          <cell r="I601" t="str">
            <v>PRD</v>
          </cell>
          <cell r="J601" t="str">
            <v>FINAL ASSY</v>
          </cell>
          <cell r="K601" t="str">
            <v>HONDA FIT</v>
          </cell>
          <cell r="L601" t="str">
            <v>HONDA FIT HEV PET ENGINE</v>
          </cell>
          <cell r="M601" t="str">
            <v>CV H02</v>
          </cell>
          <cell r="N601" t="str">
            <v>VISUAL 2.3</v>
          </cell>
          <cell r="O601" t="str">
            <v>VISUAL INSPECTION</v>
          </cell>
          <cell r="P601" t="str">
            <v>A</v>
          </cell>
          <cell r="Q601" t="str">
            <v>DL</v>
          </cell>
          <cell r="R601" t="str">
            <v>PERMANENT</v>
          </cell>
          <cell r="S601" t="str">
            <v>PRM</v>
          </cell>
          <cell r="T601" t="str">
            <v>OPT</v>
          </cell>
          <cell r="U601" t="str">
            <v>-</v>
          </cell>
          <cell r="V601" t="str">
            <v>P</v>
          </cell>
          <cell r="W601">
            <v>33</v>
          </cell>
        </row>
        <row r="602">
          <cell r="A602">
            <v>10558</v>
          </cell>
          <cell r="B602" t="str">
            <v>010558</v>
          </cell>
          <cell r="C602" t="str">
            <v>RETNO LISTIYONINGRUM</v>
          </cell>
          <cell r="D602" t="str">
            <v>SAMI</v>
          </cell>
          <cell r="E602" t="str">
            <v>OPT-275</v>
          </cell>
          <cell r="F602">
            <v>40542</v>
          </cell>
          <cell r="G602" t="str">
            <v>-</v>
          </cell>
          <cell r="H602" t="str">
            <v>-</v>
          </cell>
          <cell r="I602" t="str">
            <v>PRD</v>
          </cell>
          <cell r="J602" t="str">
            <v>FINAL ASSY</v>
          </cell>
          <cell r="K602" t="str">
            <v>HONDA FIT</v>
          </cell>
          <cell r="L602" t="str">
            <v>HONDA FIT HEV PET ENGINE</v>
          </cell>
          <cell r="M602" t="str">
            <v>CV H02</v>
          </cell>
          <cell r="N602" t="str">
            <v>S/A 10</v>
          </cell>
          <cell r="O602" t="str">
            <v>SUB ASSY</v>
          </cell>
          <cell r="P602" t="str">
            <v>A</v>
          </cell>
          <cell r="Q602" t="str">
            <v>DL</v>
          </cell>
          <cell r="R602" t="str">
            <v>PERMANENT</v>
          </cell>
          <cell r="S602" t="str">
            <v>PRM</v>
          </cell>
          <cell r="T602" t="str">
            <v>OPT</v>
          </cell>
          <cell r="U602" t="str">
            <v>-</v>
          </cell>
          <cell r="V602" t="str">
            <v>P</v>
          </cell>
          <cell r="W602">
            <v>32</v>
          </cell>
        </row>
        <row r="603">
          <cell r="A603">
            <v>10617</v>
          </cell>
          <cell r="B603" t="str">
            <v>010617</v>
          </cell>
          <cell r="C603" t="str">
            <v>VANI SETYANINGRUM</v>
          </cell>
          <cell r="D603" t="str">
            <v>SAMI</v>
          </cell>
          <cell r="E603" t="str">
            <v>OPT-276</v>
          </cell>
          <cell r="F603">
            <v>40544</v>
          </cell>
          <cell r="G603" t="str">
            <v>-</v>
          </cell>
          <cell r="H603" t="str">
            <v>-</v>
          </cell>
          <cell r="I603" t="str">
            <v>PRD</v>
          </cell>
          <cell r="J603" t="str">
            <v>FINAL ASSY</v>
          </cell>
          <cell r="K603" t="str">
            <v>HONDA FIT</v>
          </cell>
          <cell r="L603" t="str">
            <v>HONDA FIT HEV PET ENGINE</v>
          </cell>
          <cell r="M603" t="str">
            <v>CV H02</v>
          </cell>
          <cell r="N603" t="str">
            <v>RELIEF 2</v>
          </cell>
          <cell r="O603" t="str">
            <v>RELIEF</v>
          </cell>
          <cell r="P603" t="str">
            <v>A</v>
          </cell>
          <cell r="Q603" t="str">
            <v>PI</v>
          </cell>
          <cell r="R603" t="str">
            <v>PERMANENT</v>
          </cell>
          <cell r="S603" t="str">
            <v>PRM</v>
          </cell>
          <cell r="T603" t="str">
            <v>OPT</v>
          </cell>
          <cell r="U603" t="str">
            <v>-</v>
          </cell>
          <cell r="V603" t="str">
            <v>P</v>
          </cell>
          <cell r="W603">
            <v>34</v>
          </cell>
        </row>
        <row r="604">
          <cell r="A604">
            <v>9095</v>
          </cell>
          <cell r="B604" t="str">
            <v>009095</v>
          </cell>
          <cell r="C604" t="str">
            <v>EKA FITRIANI</v>
          </cell>
          <cell r="D604" t="str">
            <v>SAMI</v>
          </cell>
          <cell r="E604" t="str">
            <v>OPT-204</v>
          </cell>
          <cell r="F604">
            <v>39995</v>
          </cell>
          <cell r="G604" t="str">
            <v>-</v>
          </cell>
          <cell r="H604" t="str">
            <v>-</v>
          </cell>
          <cell r="I604" t="str">
            <v>LOG</v>
          </cell>
          <cell r="J604" t="str">
            <v>WHS</v>
          </cell>
          <cell r="K604" t="str">
            <v>ALL</v>
          </cell>
          <cell r="L604" t="str">
            <v>ALL</v>
          </cell>
          <cell r="M604" t="str">
            <v>WHS</v>
          </cell>
          <cell r="N604" t="str">
            <v>Parts supply (piking &amp; material handling) from material werahouse</v>
          </cell>
          <cell r="O604" t="str">
            <v>WHS SUPPLY</v>
          </cell>
          <cell r="P604" t="str">
            <v>B</v>
          </cell>
          <cell r="Q604" t="str">
            <v>PS</v>
          </cell>
          <cell r="R604" t="str">
            <v>PERMANENT</v>
          </cell>
          <cell r="S604" t="str">
            <v>PRM</v>
          </cell>
          <cell r="T604" t="str">
            <v>OPT</v>
          </cell>
          <cell r="U604" t="str">
            <v>-</v>
          </cell>
          <cell r="V604" t="str">
            <v>P</v>
          </cell>
          <cell r="W604">
            <v>39</v>
          </cell>
        </row>
        <row r="605">
          <cell r="A605">
            <v>10969</v>
          </cell>
          <cell r="B605" t="str">
            <v>010969</v>
          </cell>
          <cell r="C605" t="str">
            <v>YUVITA ICA WARDHANY</v>
          </cell>
          <cell r="D605" t="str">
            <v>SAMI</v>
          </cell>
          <cell r="E605" t="str">
            <v>OPT-285</v>
          </cell>
          <cell r="F605">
            <v>40578</v>
          </cell>
          <cell r="G605" t="str">
            <v>-</v>
          </cell>
          <cell r="H605" t="str">
            <v>-</v>
          </cell>
          <cell r="I605" t="str">
            <v>PRD</v>
          </cell>
          <cell r="J605" t="str">
            <v>FINAL ASSY</v>
          </cell>
          <cell r="K605" t="str">
            <v>HONDA FIT</v>
          </cell>
          <cell r="L605" t="str">
            <v>HONDA FIT HEV PET ENGINE</v>
          </cell>
          <cell r="M605" t="str">
            <v>CV H02</v>
          </cell>
          <cell r="N605" t="str">
            <v>S/A 14</v>
          </cell>
          <cell r="O605" t="str">
            <v>SUB ASSY</v>
          </cell>
          <cell r="P605" t="str">
            <v>A</v>
          </cell>
          <cell r="Q605" t="str">
            <v>DL</v>
          </cell>
          <cell r="R605" t="str">
            <v>PERMANENT</v>
          </cell>
          <cell r="S605" t="str">
            <v>PRM</v>
          </cell>
          <cell r="T605" t="str">
            <v>OPT</v>
          </cell>
          <cell r="U605" t="str">
            <v>-</v>
          </cell>
          <cell r="V605" t="str">
            <v>P</v>
          </cell>
          <cell r="W605">
            <v>32</v>
          </cell>
        </row>
        <row r="606">
          <cell r="A606">
            <v>9132</v>
          </cell>
          <cell r="B606" t="str">
            <v>009132</v>
          </cell>
          <cell r="C606" t="str">
            <v>DEWI APRILIYANI</v>
          </cell>
          <cell r="D606" t="str">
            <v>SAMI</v>
          </cell>
          <cell r="E606" t="str">
            <v>OPT-205</v>
          </cell>
          <cell r="F606">
            <v>40000</v>
          </cell>
          <cell r="G606" t="str">
            <v>-</v>
          </cell>
          <cell r="H606" t="str">
            <v>-</v>
          </cell>
          <cell r="I606" t="str">
            <v>OTHERS</v>
          </cell>
          <cell r="J606" t="str">
            <v>AT HOME</v>
          </cell>
          <cell r="K606" t="str">
            <v>ALL</v>
          </cell>
          <cell r="L606" t="str">
            <v>ALL</v>
          </cell>
          <cell r="M606" t="str">
            <v>AT HOME</v>
          </cell>
          <cell r="N606" t="str">
            <v>CUTI DI LUAR TANGGUNGAN</v>
          </cell>
          <cell r="O606" t="str">
            <v>OTHERS IDL</v>
          </cell>
          <cell r="P606" t="str">
            <v>-</v>
          </cell>
          <cell r="Q606" t="str">
            <v>ADM</v>
          </cell>
          <cell r="R606" t="str">
            <v>PERMANENT</v>
          </cell>
          <cell r="S606" t="str">
            <v>PRM</v>
          </cell>
          <cell r="T606" t="str">
            <v>OPT</v>
          </cell>
          <cell r="U606" t="str">
            <v>-</v>
          </cell>
          <cell r="V606" t="str">
            <v>P</v>
          </cell>
          <cell r="W606">
            <v>36</v>
          </cell>
        </row>
        <row r="607">
          <cell r="A607">
            <v>11167</v>
          </cell>
          <cell r="B607" t="str">
            <v>011167</v>
          </cell>
          <cell r="C607" t="str">
            <v>DEWI SURYANI</v>
          </cell>
          <cell r="D607" t="str">
            <v>SAMI</v>
          </cell>
          <cell r="E607" t="str">
            <v>OPT-292</v>
          </cell>
          <cell r="F607">
            <v>40610</v>
          </cell>
          <cell r="G607" t="str">
            <v>-</v>
          </cell>
          <cell r="H607" t="str">
            <v>-</v>
          </cell>
          <cell r="I607" t="str">
            <v>PRD</v>
          </cell>
          <cell r="J607" t="str">
            <v>FINAL ASSY</v>
          </cell>
          <cell r="K607" t="str">
            <v>HONDA FIT</v>
          </cell>
          <cell r="L607" t="str">
            <v>HONDA FIT HEV PET ENGINE</v>
          </cell>
          <cell r="M607" t="str">
            <v>CV H02</v>
          </cell>
          <cell r="N607" t="str">
            <v>VISUAL 1.1</v>
          </cell>
          <cell r="O607" t="str">
            <v>VISUAL INSPECTION</v>
          </cell>
          <cell r="P607" t="str">
            <v>A</v>
          </cell>
          <cell r="Q607" t="str">
            <v>DL</v>
          </cell>
          <cell r="R607" t="str">
            <v>PERMANENT</v>
          </cell>
          <cell r="S607" t="str">
            <v>PRM</v>
          </cell>
          <cell r="T607" t="str">
            <v>OPT</v>
          </cell>
          <cell r="U607" t="str">
            <v>-</v>
          </cell>
          <cell r="V607" t="str">
            <v>P</v>
          </cell>
          <cell r="W607">
            <v>35</v>
          </cell>
        </row>
        <row r="608">
          <cell r="A608">
            <v>11369</v>
          </cell>
          <cell r="B608" t="str">
            <v>011369</v>
          </cell>
          <cell r="C608" t="str">
            <v>ANGGUN RETNO WATI</v>
          </cell>
          <cell r="D608" t="str">
            <v>SAMI</v>
          </cell>
          <cell r="E608" t="str">
            <v>OPT-304</v>
          </cell>
          <cell r="F608">
            <v>40696</v>
          </cell>
          <cell r="G608" t="str">
            <v>-</v>
          </cell>
          <cell r="H608" t="str">
            <v>-</v>
          </cell>
          <cell r="I608" t="str">
            <v>PRD</v>
          </cell>
          <cell r="J608" t="str">
            <v>FINAL ASSY</v>
          </cell>
          <cell r="K608" t="str">
            <v>HONDA FIT</v>
          </cell>
          <cell r="L608" t="str">
            <v>HONDA FIT HEV PET ENGINE</v>
          </cell>
          <cell r="M608" t="str">
            <v>CV H02</v>
          </cell>
          <cell r="N608" t="str">
            <v>S/A 12</v>
          </cell>
          <cell r="O608" t="str">
            <v>SUB ASSY</v>
          </cell>
          <cell r="P608" t="str">
            <v>A</v>
          </cell>
          <cell r="Q608" t="str">
            <v>DL</v>
          </cell>
          <cell r="R608" t="str">
            <v>PERMANENT</v>
          </cell>
          <cell r="S608" t="str">
            <v>PRM</v>
          </cell>
          <cell r="T608" t="str">
            <v>OPT</v>
          </cell>
          <cell r="U608" t="str">
            <v>-</v>
          </cell>
          <cell r="V608" t="str">
            <v>P</v>
          </cell>
          <cell r="W608">
            <v>34</v>
          </cell>
        </row>
        <row r="609">
          <cell r="A609">
            <v>9159</v>
          </cell>
          <cell r="B609" t="str">
            <v>009159</v>
          </cell>
          <cell r="C609" t="str">
            <v>RATIH APRILIA</v>
          </cell>
          <cell r="D609" t="str">
            <v>SAMI</v>
          </cell>
          <cell r="E609" t="str">
            <v>OPT-205</v>
          </cell>
          <cell r="F609">
            <v>40000</v>
          </cell>
          <cell r="G609" t="str">
            <v>-</v>
          </cell>
          <cell r="H609" t="str">
            <v>-</v>
          </cell>
          <cell r="I609" t="str">
            <v>OTHERS</v>
          </cell>
          <cell r="J609" t="str">
            <v>AT HOME</v>
          </cell>
          <cell r="K609" t="str">
            <v>ALL</v>
          </cell>
          <cell r="L609" t="str">
            <v>ALL</v>
          </cell>
          <cell r="M609" t="str">
            <v>AT HOME</v>
          </cell>
          <cell r="N609" t="str">
            <v>CUTI KELAHIRAN</v>
          </cell>
          <cell r="O609" t="str">
            <v>OTHERS IDL</v>
          </cell>
          <cell r="P609" t="str">
            <v>-</v>
          </cell>
          <cell r="Q609" t="str">
            <v>ADM</v>
          </cell>
          <cell r="R609" t="str">
            <v>PERMANENT</v>
          </cell>
          <cell r="S609" t="str">
            <v>PRM</v>
          </cell>
          <cell r="T609" t="str">
            <v>GL</v>
          </cell>
          <cell r="U609" t="str">
            <v>-</v>
          </cell>
          <cell r="V609" t="str">
            <v>P</v>
          </cell>
          <cell r="W609">
            <v>37</v>
          </cell>
        </row>
        <row r="610">
          <cell r="A610">
            <v>9160</v>
          </cell>
          <cell r="B610" t="str">
            <v>009160</v>
          </cell>
          <cell r="C610" t="str">
            <v>RATNA ROSANTI</v>
          </cell>
          <cell r="D610" t="str">
            <v>SAMI</v>
          </cell>
          <cell r="E610" t="str">
            <v>OPT-205</v>
          </cell>
          <cell r="F610">
            <v>40000</v>
          </cell>
          <cell r="G610" t="str">
            <v>-</v>
          </cell>
          <cell r="H610" t="str">
            <v>-</v>
          </cell>
          <cell r="I610" t="str">
            <v>QA</v>
          </cell>
          <cell r="J610" t="str">
            <v>FINAL ASSY</v>
          </cell>
          <cell r="K610" t="str">
            <v>TOYOTA HV</v>
          </cell>
          <cell r="L610" t="str">
            <v>TOYOTA HV 10PL</v>
          </cell>
          <cell r="M610" t="str">
            <v>CV HV 14A</v>
          </cell>
          <cell r="N610" t="str">
            <v>GL REWORK</v>
          </cell>
          <cell r="O610" t="str">
            <v>REWORK</v>
          </cell>
          <cell r="P610" t="str">
            <v>A</v>
          </cell>
          <cell r="Q610" t="str">
            <v>PI</v>
          </cell>
          <cell r="R610" t="str">
            <v>PERMANENT</v>
          </cell>
          <cell r="S610" t="str">
            <v>PRM</v>
          </cell>
          <cell r="T610" t="str">
            <v>GL</v>
          </cell>
          <cell r="U610" t="str">
            <v>-</v>
          </cell>
          <cell r="V610" t="str">
            <v>P</v>
          </cell>
          <cell r="W610">
            <v>34</v>
          </cell>
        </row>
        <row r="611">
          <cell r="A611">
            <v>11521</v>
          </cell>
          <cell r="B611" t="str">
            <v>011521</v>
          </cell>
          <cell r="C611" t="str">
            <v>ANIS WULAN NINGSIH</v>
          </cell>
          <cell r="D611" t="str">
            <v>SAMI</v>
          </cell>
          <cell r="E611" t="str">
            <v>OPT-307</v>
          </cell>
          <cell r="F611">
            <v>40707</v>
          </cell>
          <cell r="G611" t="str">
            <v>-</v>
          </cell>
          <cell r="H611" t="str">
            <v>-</v>
          </cell>
          <cell r="I611" t="str">
            <v>PRD</v>
          </cell>
          <cell r="J611" t="str">
            <v>FINAL ASSY</v>
          </cell>
          <cell r="K611" t="str">
            <v>HONDA FIT</v>
          </cell>
          <cell r="L611" t="str">
            <v>HONDA FIT HEV PET ENGINE</v>
          </cell>
          <cell r="M611" t="str">
            <v>CV H02</v>
          </cell>
          <cell r="N611" t="str">
            <v>T/P 9</v>
          </cell>
          <cell r="O611" t="str">
            <v>ASSEMBLY</v>
          </cell>
          <cell r="P611" t="str">
            <v>A</v>
          </cell>
          <cell r="Q611" t="str">
            <v>DL</v>
          </cell>
          <cell r="R611" t="str">
            <v>PERMANENT</v>
          </cell>
          <cell r="S611" t="str">
            <v>PRM</v>
          </cell>
          <cell r="T611" t="str">
            <v>OPT</v>
          </cell>
          <cell r="U611" t="str">
            <v>-</v>
          </cell>
          <cell r="V611" t="str">
            <v>P</v>
          </cell>
          <cell r="W611">
            <v>31</v>
          </cell>
        </row>
        <row r="612">
          <cell r="A612">
            <v>9183</v>
          </cell>
          <cell r="B612" t="str">
            <v>009183</v>
          </cell>
          <cell r="C612" t="str">
            <v>DESTIYA WERDI HASTARI</v>
          </cell>
          <cell r="D612" t="str">
            <v>SAMI</v>
          </cell>
          <cell r="E612" t="str">
            <v>OPT-216</v>
          </cell>
          <cell r="F612">
            <v>40008</v>
          </cell>
          <cell r="G612" t="str">
            <v>-</v>
          </cell>
          <cell r="H612" t="str">
            <v>-</v>
          </cell>
          <cell r="I612" t="str">
            <v>QA</v>
          </cell>
          <cell r="J612" t="str">
            <v>NON LINE</v>
          </cell>
          <cell r="K612" t="str">
            <v>ALL</v>
          </cell>
          <cell r="L612" t="str">
            <v>ALL</v>
          </cell>
          <cell r="M612" t="str">
            <v>RCV - CANDI</v>
          </cell>
          <cell r="N612" t="str">
            <v>SAMPLING &amp; CHECK 100%</v>
          </cell>
          <cell r="O612" t="str">
            <v>RCV</v>
          </cell>
          <cell r="P612" t="str">
            <v>B</v>
          </cell>
          <cell r="Q612" t="str">
            <v>PS</v>
          </cell>
          <cell r="R612" t="str">
            <v>PERMANENT</v>
          </cell>
          <cell r="S612" t="str">
            <v>PRM</v>
          </cell>
          <cell r="T612" t="str">
            <v>OPT</v>
          </cell>
          <cell r="U612" t="str">
            <v>-</v>
          </cell>
          <cell r="V612" t="str">
            <v>P</v>
          </cell>
          <cell r="W612">
            <v>34</v>
          </cell>
        </row>
        <row r="613">
          <cell r="A613">
            <v>9184</v>
          </cell>
          <cell r="B613" t="str">
            <v>009184</v>
          </cell>
          <cell r="C613" t="str">
            <v>DESTY TRI NURHAYATI</v>
          </cell>
          <cell r="D613" t="str">
            <v>SAMI</v>
          </cell>
          <cell r="E613" t="str">
            <v>OPT-216</v>
          </cell>
          <cell r="F613">
            <v>40008</v>
          </cell>
          <cell r="G613" t="str">
            <v>-</v>
          </cell>
          <cell r="H613" t="str">
            <v>-</v>
          </cell>
          <cell r="I613" t="str">
            <v>PRD</v>
          </cell>
          <cell r="J613" t="str">
            <v>FINAL ASSY</v>
          </cell>
          <cell r="K613" t="str">
            <v>HONDA FIT</v>
          </cell>
          <cell r="L613" t="str">
            <v>HONDA FIT HEV PET ENGINE</v>
          </cell>
          <cell r="M613" t="str">
            <v>CV H02</v>
          </cell>
          <cell r="N613" t="str">
            <v>CHECKER 4</v>
          </cell>
          <cell r="O613" t="str">
            <v>ELECTRICAL INSPECTION</v>
          </cell>
          <cell r="P613" t="str">
            <v>B</v>
          </cell>
          <cell r="Q613" t="str">
            <v>DL</v>
          </cell>
          <cell r="R613" t="str">
            <v>PERMANENT</v>
          </cell>
          <cell r="S613" t="str">
            <v>PRM</v>
          </cell>
          <cell r="T613" t="str">
            <v>OPT</v>
          </cell>
          <cell r="U613" t="str">
            <v>-</v>
          </cell>
          <cell r="V613" t="str">
            <v>P</v>
          </cell>
          <cell r="W613">
            <v>34</v>
          </cell>
        </row>
        <row r="614">
          <cell r="A614">
            <v>9191</v>
          </cell>
          <cell r="B614" t="str">
            <v>009191</v>
          </cell>
          <cell r="C614" t="str">
            <v>FAJAR PANCA SULISTIYANI</v>
          </cell>
          <cell r="D614" t="str">
            <v>SAMI</v>
          </cell>
          <cell r="E614" t="str">
            <v>OPT-216</v>
          </cell>
          <cell r="F614">
            <v>40008</v>
          </cell>
          <cell r="G614" t="str">
            <v>-</v>
          </cell>
          <cell r="H614" t="str">
            <v>-</v>
          </cell>
          <cell r="I614" t="str">
            <v>LOG</v>
          </cell>
          <cell r="J614" t="str">
            <v>PPIC</v>
          </cell>
          <cell r="K614" t="str">
            <v>ALL</v>
          </cell>
          <cell r="L614" t="str">
            <v>ALL</v>
          </cell>
          <cell r="M614" t="str">
            <v>PPIC</v>
          </cell>
          <cell r="N614" t="str">
            <v>LEADER ORDERING</v>
          </cell>
          <cell r="O614" t="str">
            <v>FPS LL</v>
          </cell>
          <cell r="P614" t="str">
            <v>A (NS)</v>
          </cell>
          <cell r="Q614" t="str">
            <v>PS</v>
          </cell>
          <cell r="R614" t="str">
            <v>PERMANENT</v>
          </cell>
          <cell r="S614" t="str">
            <v>PRM</v>
          </cell>
          <cell r="T614" t="str">
            <v>LL</v>
          </cell>
          <cell r="U614" t="str">
            <v>-</v>
          </cell>
          <cell r="V614" t="str">
            <v>P</v>
          </cell>
          <cell r="W614">
            <v>36</v>
          </cell>
        </row>
        <row r="615">
          <cell r="A615">
            <v>11567</v>
          </cell>
          <cell r="B615" t="str">
            <v>011567</v>
          </cell>
          <cell r="C615" t="str">
            <v>LATHOIFUL LATHIFAH</v>
          </cell>
          <cell r="D615" t="str">
            <v>SAMI</v>
          </cell>
          <cell r="E615" t="str">
            <v>OPT-307</v>
          </cell>
          <cell r="F615">
            <v>40707</v>
          </cell>
          <cell r="G615" t="str">
            <v>-</v>
          </cell>
          <cell r="H615" t="str">
            <v>-</v>
          </cell>
          <cell r="I615" t="str">
            <v>PRD</v>
          </cell>
          <cell r="J615" t="str">
            <v>FINAL ASSY</v>
          </cell>
          <cell r="K615" t="str">
            <v>HONDA FIT</v>
          </cell>
          <cell r="L615" t="str">
            <v>HONDA FIT HEV PET ENGINE</v>
          </cell>
          <cell r="M615" t="str">
            <v>CV H02</v>
          </cell>
          <cell r="N615" t="str">
            <v>LQC</v>
          </cell>
          <cell r="O615" t="str">
            <v>RELIEF</v>
          </cell>
          <cell r="P615" t="str">
            <v>A</v>
          </cell>
          <cell r="Q615" t="str">
            <v>PI</v>
          </cell>
          <cell r="R615" t="str">
            <v>PERMANENT</v>
          </cell>
          <cell r="S615" t="str">
            <v>PRM</v>
          </cell>
          <cell r="T615" t="str">
            <v>PJK</v>
          </cell>
          <cell r="U615" t="str">
            <v>-</v>
          </cell>
          <cell r="V615" t="str">
            <v>P</v>
          </cell>
          <cell r="W615">
            <v>32</v>
          </cell>
        </row>
        <row r="616">
          <cell r="A616">
            <v>11574</v>
          </cell>
          <cell r="B616" t="str">
            <v>011574</v>
          </cell>
          <cell r="C616" t="str">
            <v>MALINDA</v>
          </cell>
          <cell r="D616" t="str">
            <v>SAMI</v>
          </cell>
          <cell r="E616" t="str">
            <v>OPT-307</v>
          </cell>
          <cell r="F616">
            <v>40707</v>
          </cell>
          <cell r="G616" t="str">
            <v>-</v>
          </cell>
          <cell r="H616" t="str">
            <v>-</v>
          </cell>
          <cell r="I616" t="str">
            <v>PRD</v>
          </cell>
          <cell r="J616" t="str">
            <v>FINAL ASSY</v>
          </cell>
          <cell r="K616" t="str">
            <v>HONDA FIT</v>
          </cell>
          <cell r="L616" t="str">
            <v>HONDA FIT HEV PET ENGINE</v>
          </cell>
          <cell r="M616" t="str">
            <v>CV H02</v>
          </cell>
          <cell r="N616" t="str">
            <v>VISUAL 1.3</v>
          </cell>
          <cell r="O616" t="str">
            <v>VISUAL INSPECTION</v>
          </cell>
          <cell r="P616" t="str">
            <v>A</v>
          </cell>
          <cell r="Q616" t="str">
            <v>DL</v>
          </cell>
          <cell r="R616" t="str">
            <v>PERMANENT</v>
          </cell>
          <cell r="S616" t="str">
            <v>PRM</v>
          </cell>
          <cell r="T616" t="str">
            <v>OPT</v>
          </cell>
          <cell r="U616" t="str">
            <v>-</v>
          </cell>
          <cell r="V616" t="str">
            <v>P</v>
          </cell>
          <cell r="W616">
            <v>31</v>
          </cell>
        </row>
        <row r="617">
          <cell r="A617">
            <v>9230</v>
          </cell>
          <cell r="B617" t="str">
            <v>009230</v>
          </cell>
          <cell r="C617" t="str">
            <v>SUTIYAH</v>
          </cell>
          <cell r="D617" t="str">
            <v>SAMI</v>
          </cell>
          <cell r="E617" t="str">
            <v>OPT-216</v>
          </cell>
          <cell r="F617">
            <v>40008</v>
          </cell>
          <cell r="G617" t="str">
            <v>-</v>
          </cell>
          <cell r="H617" t="str">
            <v>-</v>
          </cell>
          <cell r="I617" t="str">
            <v>QA</v>
          </cell>
          <cell r="J617" t="str">
            <v>FINAL ASSY</v>
          </cell>
          <cell r="K617" t="str">
            <v>TOYOTA HV</v>
          </cell>
          <cell r="L617" t="str">
            <v>TOYOTA HV 10PL</v>
          </cell>
          <cell r="M617" t="str">
            <v>CV HV 14B</v>
          </cell>
          <cell r="N617" t="str">
            <v>GL INSPECTION</v>
          </cell>
          <cell r="O617" t="str">
            <v>GL</v>
          </cell>
          <cell r="P617" t="str">
            <v>A</v>
          </cell>
          <cell r="Q617" t="str">
            <v>PI</v>
          </cell>
          <cell r="R617" t="str">
            <v>PERMANENT</v>
          </cell>
          <cell r="S617" t="str">
            <v>PRM</v>
          </cell>
          <cell r="T617" t="str">
            <v>GL</v>
          </cell>
          <cell r="U617" t="str">
            <v>-</v>
          </cell>
          <cell r="V617" t="str">
            <v>P</v>
          </cell>
          <cell r="W617">
            <v>34</v>
          </cell>
        </row>
        <row r="618">
          <cell r="A618">
            <v>9237</v>
          </cell>
          <cell r="B618" t="str">
            <v>009237</v>
          </cell>
          <cell r="C618" t="str">
            <v>WINDAH MARIYAH BAKTIANA</v>
          </cell>
          <cell r="D618" t="str">
            <v>SAMI</v>
          </cell>
          <cell r="E618" t="str">
            <v>OPT-216</v>
          </cell>
          <cell r="F618">
            <v>40008</v>
          </cell>
          <cell r="G618" t="str">
            <v>-</v>
          </cell>
          <cell r="H618" t="str">
            <v>-</v>
          </cell>
          <cell r="I618" t="str">
            <v>PRD</v>
          </cell>
          <cell r="J618" t="str">
            <v>FINAL ASSY</v>
          </cell>
          <cell r="K618" t="str">
            <v>HONDA FIT</v>
          </cell>
          <cell r="L618" t="str">
            <v>HONDA FIT HEV PET ENGINE</v>
          </cell>
          <cell r="M618" t="str">
            <v>CV H02</v>
          </cell>
          <cell r="N618" t="str">
            <v>S/A 3</v>
          </cell>
          <cell r="O618" t="str">
            <v>SUB ASSY</v>
          </cell>
          <cell r="P618" t="str">
            <v>B</v>
          </cell>
          <cell r="Q618" t="str">
            <v>DL</v>
          </cell>
          <cell r="R618" t="str">
            <v>PERMANENT</v>
          </cell>
          <cell r="S618" t="str">
            <v>PRM</v>
          </cell>
          <cell r="T618" t="str">
            <v>OPT</v>
          </cell>
          <cell r="U618" t="str">
            <v>-</v>
          </cell>
          <cell r="V618" t="str">
            <v>P</v>
          </cell>
          <cell r="W618">
            <v>35</v>
          </cell>
        </row>
        <row r="619">
          <cell r="A619">
            <v>11657</v>
          </cell>
          <cell r="B619" t="str">
            <v>011657</v>
          </cell>
          <cell r="C619" t="str">
            <v>ANITA KAROLINA</v>
          </cell>
          <cell r="D619" t="str">
            <v>SAMI</v>
          </cell>
          <cell r="E619" t="str">
            <v>OPT-308</v>
          </cell>
          <cell r="F619">
            <v>40714</v>
          </cell>
          <cell r="G619" t="str">
            <v>-</v>
          </cell>
          <cell r="H619" t="str">
            <v>-</v>
          </cell>
          <cell r="I619" t="str">
            <v>PRD</v>
          </cell>
          <cell r="J619" t="str">
            <v>FINAL ASSY</v>
          </cell>
          <cell r="K619" t="str">
            <v>HONDA FIT</v>
          </cell>
          <cell r="L619" t="str">
            <v>HONDA FIT HEV PET ENGINE</v>
          </cell>
          <cell r="M619" t="str">
            <v>CV H02</v>
          </cell>
          <cell r="N619" t="str">
            <v>VISUAL 2.1</v>
          </cell>
          <cell r="O619" t="str">
            <v>VISUAL INSPECTION</v>
          </cell>
          <cell r="P619" t="str">
            <v>A</v>
          </cell>
          <cell r="Q619" t="str">
            <v>DL</v>
          </cell>
          <cell r="R619" t="str">
            <v>PERMANENT</v>
          </cell>
          <cell r="S619" t="str">
            <v>PRM</v>
          </cell>
          <cell r="T619" t="str">
            <v>OPT</v>
          </cell>
          <cell r="U619" t="str">
            <v>-</v>
          </cell>
          <cell r="V619" t="str">
            <v>P</v>
          </cell>
          <cell r="W619">
            <v>32</v>
          </cell>
        </row>
        <row r="620">
          <cell r="A620">
            <v>11661</v>
          </cell>
          <cell r="B620" t="str">
            <v>011661</v>
          </cell>
          <cell r="C620" t="str">
            <v>ARIYA AFIYANTI</v>
          </cell>
          <cell r="D620" t="str">
            <v>SAMI</v>
          </cell>
          <cell r="E620" t="str">
            <v>OPT-308</v>
          </cell>
          <cell r="F620">
            <v>40714</v>
          </cell>
          <cell r="G620" t="str">
            <v>-</v>
          </cell>
          <cell r="H620" t="str">
            <v>-</v>
          </cell>
          <cell r="I620" t="str">
            <v>PRD</v>
          </cell>
          <cell r="J620" t="str">
            <v>FINAL ASSY</v>
          </cell>
          <cell r="K620" t="str">
            <v>HONDA FIT</v>
          </cell>
          <cell r="L620" t="str">
            <v>HONDA FIT HEV PET ENGINE</v>
          </cell>
          <cell r="M620" t="str">
            <v>CV H02</v>
          </cell>
          <cell r="N620" t="str">
            <v>CHECKER 4</v>
          </cell>
          <cell r="O620" t="str">
            <v>ELECTRICAL INSPECTION</v>
          </cell>
          <cell r="P620" t="str">
            <v>A</v>
          </cell>
          <cell r="Q620" t="str">
            <v>DL</v>
          </cell>
          <cell r="R620" t="str">
            <v>PERMANENT</v>
          </cell>
          <cell r="S620" t="str">
            <v>PRM</v>
          </cell>
          <cell r="T620" t="str">
            <v>OPT</v>
          </cell>
          <cell r="U620" t="str">
            <v>-</v>
          </cell>
          <cell r="V620" t="str">
            <v>P</v>
          </cell>
          <cell r="W620">
            <v>32</v>
          </cell>
        </row>
        <row r="621">
          <cell r="A621">
            <v>9263</v>
          </cell>
          <cell r="B621" t="str">
            <v>009263</v>
          </cell>
          <cell r="C621" t="str">
            <v>DINA PUSPASARI</v>
          </cell>
          <cell r="D621" t="str">
            <v>SAMI</v>
          </cell>
          <cell r="E621" t="str">
            <v>OPT-216</v>
          </cell>
          <cell r="F621">
            <v>40148</v>
          </cell>
          <cell r="G621" t="str">
            <v>-</v>
          </cell>
          <cell r="H621" t="str">
            <v>-</v>
          </cell>
          <cell r="I621" t="str">
            <v>PRD</v>
          </cell>
          <cell r="J621" t="str">
            <v>FINAL ASSY</v>
          </cell>
          <cell r="K621" t="str">
            <v>TOYOTA</v>
          </cell>
          <cell r="L621" t="str">
            <v>AQUA SIENTA</v>
          </cell>
          <cell r="M621" t="str">
            <v>CV T01</v>
          </cell>
          <cell r="N621" t="str">
            <v>OJT CHECKER 1</v>
          </cell>
          <cell r="O621" t="str">
            <v>OTHERS</v>
          </cell>
          <cell r="P621" t="str">
            <v>B</v>
          </cell>
          <cell r="Q621" t="str">
            <v>PI</v>
          </cell>
          <cell r="R621" t="str">
            <v>PERMANENT</v>
          </cell>
          <cell r="S621" t="str">
            <v>PRM</v>
          </cell>
          <cell r="T621" t="str">
            <v>OPT</v>
          </cell>
          <cell r="U621" t="str">
            <v>-</v>
          </cell>
          <cell r="V621" t="str">
            <v>P</v>
          </cell>
          <cell r="W621">
            <v>35</v>
          </cell>
        </row>
        <row r="622">
          <cell r="A622">
            <v>9267</v>
          </cell>
          <cell r="B622" t="str">
            <v>009267</v>
          </cell>
          <cell r="C622" t="str">
            <v>DWI SUSIATI</v>
          </cell>
          <cell r="D622" t="str">
            <v>SAMI</v>
          </cell>
          <cell r="E622" t="str">
            <v>OPT-216</v>
          </cell>
          <cell r="F622">
            <v>40148</v>
          </cell>
          <cell r="G622" t="str">
            <v>-</v>
          </cell>
          <cell r="H622" t="str">
            <v>-</v>
          </cell>
          <cell r="I622" t="str">
            <v>PRD</v>
          </cell>
          <cell r="J622" t="str">
            <v>FINAL ASSY</v>
          </cell>
          <cell r="K622" t="str">
            <v>TOYOTA</v>
          </cell>
          <cell r="L622" t="str">
            <v>AQUA SIENTA</v>
          </cell>
          <cell r="M622" t="str">
            <v>CV T01</v>
          </cell>
          <cell r="N622" t="str">
            <v>OJT VISUAL 2.2</v>
          </cell>
          <cell r="O622" t="str">
            <v>OTHERS</v>
          </cell>
          <cell r="P622" t="str">
            <v>B</v>
          </cell>
          <cell r="Q622" t="str">
            <v>PI</v>
          </cell>
          <cell r="R622" t="str">
            <v>PERMANENT</v>
          </cell>
          <cell r="S622" t="str">
            <v>PRM</v>
          </cell>
          <cell r="T622" t="str">
            <v>OPT</v>
          </cell>
          <cell r="U622" t="str">
            <v>-</v>
          </cell>
          <cell r="V622" t="str">
            <v>P</v>
          </cell>
          <cell r="W622">
            <v>36</v>
          </cell>
        </row>
        <row r="623">
          <cell r="A623">
            <v>9275</v>
          </cell>
          <cell r="B623" t="str">
            <v>009275</v>
          </cell>
          <cell r="C623" t="str">
            <v>ERNI ERIYANTI</v>
          </cell>
          <cell r="D623" t="str">
            <v>SAMI</v>
          </cell>
          <cell r="E623" t="str">
            <v>OPT-216</v>
          </cell>
          <cell r="F623">
            <v>40148</v>
          </cell>
          <cell r="G623" t="str">
            <v>-</v>
          </cell>
          <cell r="H623" t="str">
            <v>-</v>
          </cell>
          <cell r="I623" t="str">
            <v>PP</v>
          </cell>
          <cell r="J623" t="str">
            <v>PP-1</v>
          </cell>
          <cell r="K623" t="str">
            <v>ALL</v>
          </cell>
          <cell r="L623" t="str">
            <v>ALL</v>
          </cell>
          <cell r="M623" t="str">
            <v>PP-1</v>
          </cell>
          <cell r="N623" t="str">
            <v>LEADER</v>
          </cell>
          <cell r="O623" t="str">
            <v>FPS LL</v>
          </cell>
          <cell r="P623" t="str">
            <v>A (NS)</v>
          </cell>
          <cell r="Q623" t="str">
            <v>PS</v>
          </cell>
          <cell r="R623" t="str">
            <v>PERMANENT</v>
          </cell>
          <cell r="S623" t="str">
            <v>PRM</v>
          </cell>
          <cell r="T623" t="str">
            <v>LL</v>
          </cell>
          <cell r="U623" t="str">
            <v>-</v>
          </cell>
          <cell r="V623" t="str">
            <v>P</v>
          </cell>
          <cell r="W623">
            <v>37</v>
          </cell>
        </row>
        <row r="624">
          <cell r="A624">
            <v>9305</v>
          </cell>
          <cell r="B624" t="str">
            <v>009305</v>
          </cell>
          <cell r="C624" t="str">
            <v>NOAH NUR KHASANAH</v>
          </cell>
          <cell r="D624" t="str">
            <v>SAMI</v>
          </cell>
          <cell r="E624" t="str">
            <v>OPT-216</v>
          </cell>
          <cell r="F624">
            <v>40148</v>
          </cell>
          <cell r="G624" t="str">
            <v>-</v>
          </cell>
          <cell r="H624" t="str">
            <v>-</v>
          </cell>
          <cell r="I624" t="str">
            <v>PRD</v>
          </cell>
          <cell r="J624" t="str">
            <v>PRE ASSY</v>
          </cell>
          <cell r="K624" t="str">
            <v>HONDA EXPORT</v>
          </cell>
          <cell r="L624" t="str">
            <v>HONDA EXPORT</v>
          </cell>
          <cell r="M624" t="str">
            <v>CPA HONDA EXPORT</v>
          </cell>
          <cell r="N624" t="str">
            <v>CUTTING AC90-HDA-11</v>
          </cell>
          <cell r="O624" t="str">
            <v>CUTTING WIRE</v>
          </cell>
          <cell r="P624" t="str">
            <v>B</v>
          </cell>
          <cell r="Q624" t="str">
            <v>DL</v>
          </cell>
          <cell r="R624" t="str">
            <v>PERMANENT</v>
          </cell>
          <cell r="S624" t="str">
            <v>PRM</v>
          </cell>
          <cell r="T624" t="str">
            <v>OPT</v>
          </cell>
          <cell r="U624" t="str">
            <v>-</v>
          </cell>
          <cell r="V624" t="str">
            <v>P</v>
          </cell>
          <cell r="W624">
            <v>34</v>
          </cell>
        </row>
        <row r="625">
          <cell r="A625">
            <v>9310</v>
          </cell>
          <cell r="B625" t="str">
            <v>009310</v>
          </cell>
          <cell r="C625" t="str">
            <v>NUR FITRIANI</v>
          </cell>
          <cell r="D625" t="str">
            <v>SAMI</v>
          </cell>
          <cell r="E625" t="str">
            <v>OPT-216</v>
          </cell>
          <cell r="F625">
            <v>40148</v>
          </cell>
          <cell r="G625" t="str">
            <v>-</v>
          </cell>
          <cell r="H625" t="str">
            <v>-</v>
          </cell>
          <cell r="I625" t="str">
            <v>PP</v>
          </cell>
          <cell r="J625" t="str">
            <v>PP-3</v>
          </cell>
          <cell r="K625" t="str">
            <v>ALL</v>
          </cell>
          <cell r="L625" t="str">
            <v>ALL</v>
          </cell>
          <cell r="M625" t="str">
            <v>PP-3</v>
          </cell>
          <cell r="N625" t="str">
            <v>GROUP LEADER</v>
          </cell>
          <cell r="O625" t="str">
            <v>PROCESS ENG</v>
          </cell>
          <cell r="P625" t="str">
            <v>A (NS)</v>
          </cell>
          <cell r="Q625" t="str">
            <v>PS</v>
          </cell>
          <cell r="R625" t="str">
            <v>PERMANENT</v>
          </cell>
          <cell r="S625" t="str">
            <v>PRM</v>
          </cell>
          <cell r="T625" t="str">
            <v>GL</v>
          </cell>
          <cell r="U625" t="str">
            <v>-</v>
          </cell>
          <cell r="V625" t="str">
            <v>P</v>
          </cell>
          <cell r="W625">
            <v>34</v>
          </cell>
        </row>
        <row r="626">
          <cell r="A626">
            <v>9312</v>
          </cell>
          <cell r="B626" t="str">
            <v>009312</v>
          </cell>
          <cell r="C626" t="str">
            <v>PUJI ASTUTI</v>
          </cell>
          <cell r="D626" t="str">
            <v>SAMI</v>
          </cell>
          <cell r="E626" t="str">
            <v>OPT-216</v>
          </cell>
          <cell r="F626">
            <v>40148</v>
          </cell>
          <cell r="G626" t="str">
            <v>-</v>
          </cell>
          <cell r="H626" t="str">
            <v>-</v>
          </cell>
          <cell r="I626" t="str">
            <v>PE</v>
          </cell>
          <cell r="J626" t="str">
            <v>MTC</v>
          </cell>
          <cell r="K626" t="str">
            <v>ALL</v>
          </cell>
          <cell r="L626" t="str">
            <v>ALL</v>
          </cell>
          <cell r="M626" t="str">
            <v>TPM</v>
          </cell>
          <cell r="N626" t="str">
            <v>ADMINISTRASI &amp; ANALISIS CONTROL DOWNTIME, CONTROL ASET</v>
          </cell>
          <cell r="O626" t="str">
            <v>DATA &amp; ORDERING</v>
          </cell>
          <cell r="P626" t="str">
            <v>A (NS)</v>
          </cell>
          <cell r="Q626" t="str">
            <v>PS</v>
          </cell>
          <cell r="R626" t="str">
            <v>PERMANENT</v>
          </cell>
          <cell r="S626" t="str">
            <v>PRM</v>
          </cell>
          <cell r="T626" t="str">
            <v>ADM</v>
          </cell>
          <cell r="U626" t="str">
            <v>-</v>
          </cell>
          <cell r="V626" t="str">
            <v>P</v>
          </cell>
          <cell r="W626">
            <v>33</v>
          </cell>
        </row>
        <row r="627">
          <cell r="A627">
            <v>12404</v>
          </cell>
          <cell r="B627" t="str">
            <v>012404</v>
          </cell>
          <cell r="C627" t="str">
            <v>WAHYU DWI IRNAWATI</v>
          </cell>
          <cell r="D627" t="str">
            <v>SAMI</v>
          </cell>
          <cell r="E627" t="str">
            <v>OPT-317</v>
          </cell>
          <cell r="F627">
            <v>40809</v>
          </cell>
          <cell r="G627" t="str">
            <v>-</v>
          </cell>
          <cell r="H627" t="str">
            <v>-</v>
          </cell>
          <cell r="I627" t="str">
            <v>PRD</v>
          </cell>
          <cell r="J627" t="str">
            <v>FINAL ASSY</v>
          </cell>
          <cell r="K627" t="str">
            <v>HONDA FIT</v>
          </cell>
          <cell r="L627" t="str">
            <v>HONDA FIT HEV PET ENGINE</v>
          </cell>
          <cell r="M627" t="str">
            <v>CV H02</v>
          </cell>
          <cell r="N627" t="str">
            <v>INSERTION GROUP</v>
          </cell>
          <cell r="O627" t="str">
            <v>SUB ASSY</v>
          </cell>
          <cell r="P627" t="str">
            <v>A (NS)</v>
          </cell>
          <cell r="Q627" t="str">
            <v>DL</v>
          </cell>
          <cell r="R627" t="str">
            <v>PERMANENT</v>
          </cell>
          <cell r="S627" t="str">
            <v>PRM</v>
          </cell>
          <cell r="T627" t="str">
            <v>OPT</v>
          </cell>
          <cell r="U627" t="str">
            <v>-</v>
          </cell>
          <cell r="V627" t="str">
            <v>P</v>
          </cell>
          <cell r="W627">
            <v>34</v>
          </cell>
        </row>
        <row r="628">
          <cell r="A628">
            <v>13158</v>
          </cell>
          <cell r="B628" t="str">
            <v>013158</v>
          </cell>
          <cell r="C628" t="str">
            <v>NUR AENI</v>
          </cell>
          <cell r="D628" t="str">
            <v>SAMI</v>
          </cell>
          <cell r="E628" t="str">
            <v>OPT-332</v>
          </cell>
          <cell r="F628">
            <v>40896</v>
          </cell>
          <cell r="G628" t="str">
            <v>-</v>
          </cell>
          <cell r="H628" t="str">
            <v>-</v>
          </cell>
          <cell r="I628" t="str">
            <v>PRD</v>
          </cell>
          <cell r="J628" t="str">
            <v>FINAL ASSY</v>
          </cell>
          <cell r="K628" t="str">
            <v>HONDA FIT</v>
          </cell>
          <cell r="L628" t="str">
            <v>HONDA FIT HEV PET ENGINE</v>
          </cell>
          <cell r="M628" t="str">
            <v>CV H02</v>
          </cell>
          <cell r="N628" t="str">
            <v>T/P 8.1</v>
          </cell>
          <cell r="O628" t="str">
            <v>ASSEMBLY</v>
          </cell>
          <cell r="P628" t="str">
            <v>A</v>
          </cell>
          <cell r="Q628" t="str">
            <v>DL</v>
          </cell>
          <cell r="R628" t="str">
            <v>PERMANENT</v>
          </cell>
          <cell r="S628" t="str">
            <v>PRM</v>
          </cell>
          <cell r="T628" t="str">
            <v>OPT</v>
          </cell>
          <cell r="U628" t="str">
            <v>-</v>
          </cell>
          <cell r="V628" t="str">
            <v>P</v>
          </cell>
          <cell r="W628">
            <v>33</v>
          </cell>
        </row>
        <row r="629">
          <cell r="A629">
            <v>19158</v>
          </cell>
          <cell r="B629" t="str">
            <v>019158</v>
          </cell>
          <cell r="C629" t="str">
            <v>PRIHATIN</v>
          </cell>
          <cell r="D629" t="str">
            <v>SAMI</v>
          </cell>
          <cell r="E629" t="str">
            <v>OPT-475</v>
          </cell>
          <cell r="F629">
            <v>42254</v>
          </cell>
          <cell r="G629" t="str">
            <v>-</v>
          </cell>
          <cell r="H629" t="str">
            <v>-</v>
          </cell>
          <cell r="I629" t="str">
            <v>PRD</v>
          </cell>
          <cell r="J629" t="str">
            <v>FINAL ASSY</v>
          </cell>
          <cell r="K629" t="str">
            <v>HONDA FIT</v>
          </cell>
          <cell r="L629" t="str">
            <v>HONDA FIT HEV PET ENGINE</v>
          </cell>
          <cell r="M629" t="str">
            <v>CV H02</v>
          </cell>
          <cell r="N629" t="str">
            <v>S/T 4.2</v>
          </cell>
          <cell r="O629" t="str">
            <v>ASSEMBLY</v>
          </cell>
          <cell r="P629" t="str">
            <v>A</v>
          </cell>
          <cell r="Q629" t="str">
            <v>DL</v>
          </cell>
          <cell r="R629" t="str">
            <v>PERMANENT</v>
          </cell>
          <cell r="S629" t="str">
            <v>PRM</v>
          </cell>
          <cell r="T629" t="str">
            <v>OPT</v>
          </cell>
          <cell r="U629" t="str">
            <v>-</v>
          </cell>
          <cell r="V629" t="str">
            <v>P</v>
          </cell>
          <cell r="W629">
            <v>28</v>
          </cell>
        </row>
        <row r="630">
          <cell r="A630">
            <v>9363</v>
          </cell>
          <cell r="B630" t="str">
            <v>009363</v>
          </cell>
          <cell r="C630" t="str">
            <v>YULIA WULAN SARI</v>
          </cell>
          <cell r="D630" t="str">
            <v>SAMI</v>
          </cell>
          <cell r="E630" t="str">
            <v>OPT-216</v>
          </cell>
          <cell r="F630">
            <v>40148</v>
          </cell>
          <cell r="G630" t="str">
            <v>-</v>
          </cell>
          <cell r="H630" t="str">
            <v>-</v>
          </cell>
          <cell r="I630" t="str">
            <v>PP</v>
          </cell>
          <cell r="J630" t="str">
            <v>PD 2</v>
          </cell>
          <cell r="K630" t="str">
            <v>ALL</v>
          </cell>
          <cell r="L630" t="str">
            <v>ALL</v>
          </cell>
          <cell r="M630" t="str">
            <v>PD 2</v>
          </cell>
          <cell r="N630" t="str">
            <v>EDITOR (DOCUMENT &amp; GENBA)</v>
          </cell>
          <cell r="O630" t="str">
            <v>DE</v>
          </cell>
          <cell r="P630" t="str">
            <v>A (NS)</v>
          </cell>
          <cell r="Q630" t="str">
            <v>PS</v>
          </cell>
          <cell r="R630" t="str">
            <v>PERMANENT</v>
          </cell>
          <cell r="S630" t="str">
            <v>PRM</v>
          </cell>
          <cell r="T630" t="str">
            <v>OPT</v>
          </cell>
          <cell r="U630" t="str">
            <v>-</v>
          </cell>
          <cell r="V630" t="str">
            <v>P</v>
          </cell>
          <cell r="W630">
            <v>33</v>
          </cell>
        </row>
        <row r="631">
          <cell r="A631">
            <v>19796</v>
          </cell>
          <cell r="B631" t="str">
            <v>019796</v>
          </cell>
          <cell r="C631" t="str">
            <v>MUHAMMAD AHLUN NAHZAR</v>
          </cell>
          <cell r="D631" t="str">
            <v>SAMI</v>
          </cell>
          <cell r="E631" t="str">
            <v>OPT-492</v>
          </cell>
          <cell r="F631">
            <v>42499</v>
          </cell>
          <cell r="G631" t="str">
            <v>-</v>
          </cell>
          <cell r="H631" t="str">
            <v>-</v>
          </cell>
          <cell r="I631" t="str">
            <v>PRD</v>
          </cell>
          <cell r="J631" t="str">
            <v>FINAL ASSY</v>
          </cell>
          <cell r="K631" t="str">
            <v>HONDA FIT</v>
          </cell>
          <cell r="L631" t="str">
            <v>HONDA FIT HEV PET ENGINE</v>
          </cell>
          <cell r="M631" t="str">
            <v>CV H02</v>
          </cell>
          <cell r="N631" t="str">
            <v>LQC</v>
          </cell>
          <cell r="O631" t="str">
            <v>RELIEF</v>
          </cell>
          <cell r="P631" t="str">
            <v>A</v>
          </cell>
          <cell r="Q631" t="str">
            <v>PI</v>
          </cell>
          <cell r="R631" t="str">
            <v>PERMANENT</v>
          </cell>
          <cell r="S631" t="str">
            <v>PRM</v>
          </cell>
          <cell r="T631" t="str">
            <v>PJK</v>
          </cell>
          <cell r="U631" t="str">
            <v>-</v>
          </cell>
          <cell r="V631" t="str">
            <v>L</v>
          </cell>
          <cell r="W631">
            <v>27</v>
          </cell>
        </row>
        <row r="632">
          <cell r="A632">
            <v>9427</v>
          </cell>
          <cell r="B632" t="str">
            <v>009427</v>
          </cell>
          <cell r="C632" t="str">
            <v>DEWI SUNDARI</v>
          </cell>
          <cell r="D632" t="str">
            <v>SAMI</v>
          </cell>
          <cell r="E632" t="str">
            <v>OPT-216</v>
          </cell>
          <cell r="F632">
            <v>40148</v>
          </cell>
          <cell r="G632" t="str">
            <v>-</v>
          </cell>
          <cell r="H632" t="str">
            <v>-</v>
          </cell>
          <cell r="I632" t="str">
            <v>QA</v>
          </cell>
          <cell r="J632" t="str">
            <v>FINAL ASSY</v>
          </cell>
          <cell r="K632" t="str">
            <v>MAZDA ATENZA</v>
          </cell>
          <cell r="L632" t="str">
            <v>MAZDA J72A</v>
          </cell>
          <cell r="M632" t="str">
            <v>CV M03</v>
          </cell>
          <cell r="N632" t="str">
            <v>PJK INSP</v>
          </cell>
          <cell r="O632" t="str">
            <v>RELIEF</v>
          </cell>
          <cell r="P632" t="str">
            <v>B</v>
          </cell>
          <cell r="Q632" t="str">
            <v>PI</v>
          </cell>
          <cell r="R632" t="str">
            <v>PERMANENT</v>
          </cell>
          <cell r="S632" t="str">
            <v>PRM</v>
          </cell>
          <cell r="T632" t="str">
            <v>PJK</v>
          </cell>
          <cell r="U632" t="str">
            <v>-</v>
          </cell>
          <cell r="V632" t="str">
            <v>P</v>
          </cell>
          <cell r="W632">
            <v>37</v>
          </cell>
        </row>
        <row r="633">
          <cell r="A633">
            <v>20456</v>
          </cell>
          <cell r="B633" t="str">
            <v>020456</v>
          </cell>
          <cell r="C633" t="str">
            <v>ENI KHOIRIYAH</v>
          </cell>
          <cell r="D633" t="str">
            <v>SAMI</v>
          </cell>
          <cell r="E633" t="str">
            <v>OPT-504</v>
          </cell>
          <cell r="F633">
            <v>42634</v>
          </cell>
          <cell r="G633" t="str">
            <v>-</v>
          </cell>
          <cell r="H633" t="str">
            <v>-</v>
          </cell>
          <cell r="I633" t="str">
            <v>PRD</v>
          </cell>
          <cell r="J633" t="str">
            <v>FINAL ASSY</v>
          </cell>
          <cell r="K633" t="str">
            <v>HONDA FIT</v>
          </cell>
          <cell r="L633" t="str">
            <v>HONDA FIT HEV PET ENGINE</v>
          </cell>
          <cell r="M633" t="str">
            <v>CV H02</v>
          </cell>
          <cell r="N633" t="str">
            <v>T/P 5.1</v>
          </cell>
          <cell r="O633" t="str">
            <v>ASSEMBLY</v>
          </cell>
          <cell r="P633" t="str">
            <v>A</v>
          </cell>
          <cell r="Q633" t="str">
            <v>DL</v>
          </cell>
          <cell r="R633" t="str">
            <v>PERMANENT</v>
          </cell>
          <cell r="S633" t="str">
            <v>PRM</v>
          </cell>
          <cell r="T633" t="str">
            <v>OPT</v>
          </cell>
          <cell r="U633" t="str">
            <v>-</v>
          </cell>
          <cell r="V633" t="str">
            <v>P</v>
          </cell>
          <cell r="W633">
            <v>26</v>
          </cell>
        </row>
        <row r="634">
          <cell r="A634">
            <v>9434</v>
          </cell>
          <cell r="B634" t="str">
            <v>009434</v>
          </cell>
          <cell r="C634" t="str">
            <v>ESTHI SEPTIARINI</v>
          </cell>
          <cell r="D634" t="str">
            <v>SAMI</v>
          </cell>
          <cell r="E634" t="str">
            <v>OPT-216</v>
          </cell>
          <cell r="F634">
            <v>40148</v>
          </cell>
          <cell r="G634" t="str">
            <v>-</v>
          </cell>
          <cell r="H634" t="str">
            <v>-</v>
          </cell>
          <cell r="I634" t="str">
            <v>PRD</v>
          </cell>
          <cell r="J634" t="str">
            <v>PRE ASSY</v>
          </cell>
          <cell r="K634" t="str">
            <v>TOYOTA</v>
          </cell>
          <cell r="L634" t="str">
            <v>HV TOYOTA LV</v>
          </cell>
          <cell r="M634" t="str">
            <v>CPA TOYOTA LV</v>
          </cell>
          <cell r="N634" t="str">
            <v>OJT INSP 2</v>
          </cell>
          <cell r="O634" t="str">
            <v>OTHERS</v>
          </cell>
          <cell r="P634" t="str">
            <v>B</v>
          </cell>
          <cell r="Q634" t="str">
            <v>PI</v>
          </cell>
          <cell r="R634" t="str">
            <v>PERMANENT</v>
          </cell>
          <cell r="S634" t="str">
            <v>PRM</v>
          </cell>
          <cell r="T634" t="str">
            <v>OPT</v>
          </cell>
          <cell r="U634" t="str">
            <v>-</v>
          </cell>
          <cell r="V634" t="str">
            <v>P</v>
          </cell>
          <cell r="W634">
            <v>34</v>
          </cell>
        </row>
        <row r="635">
          <cell r="A635">
            <v>22966</v>
          </cell>
          <cell r="B635" t="str">
            <v>022966</v>
          </cell>
          <cell r="C635" t="str">
            <v>NURUL AINI</v>
          </cell>
          <cell r="D635" t="str">
            <v>SAMI</v>
          </cell>
          <cell r="E635" t="str">
            <v>OPT-568</v>
          </cell>
          <cell r="F635">
            <v>43343</v>
          </cell>
          <cell r="G635" t="str">
            <v>-</v>
          </cell>
          <cell r="H635" t="str">
            <v>-</v>
          </cell>
          <cell r="I635" t="str">
            <v>PRD</v>
          </cell>
          <cell r="J635" t="str">
            <v>FINAL ASSY</v>
          </cell>
          <cell r="K635" t="str">
            <v>HONDA FIT</v>
          </cell>
          <cell r="L635" t="str">
            <v>HONDA FIT HEV PET ENGINE</v>
          </cell>
          <cell r="M635" t="str">
            <v>CV H02</v>
          </cell>
          <cell r="N635" t="str">
            <v>SHIAGE 2.4</v>
          </cell>
          <cell r="O635" t="str">
            <v>ASSEMBLY</v>
          </cell>
          <cell r="P635" t="str">
            <v>A</v>
          </cell>
          <cell r="Q635" t="str">
            <v>DL</v>
          </cell>
          <cell r="R635" t="str">
            <v>PERMANENT</v>
          </cell>
          <cell r="S635" t="str">
            <v>PRM</v>
          </cell>
          <cell r="T635" t="str">
            <v>OPT</v>
          </cell>
          <cell r="U635" t="str">
            <v>-</v>
          </cell>
          <cell r="V635" t="str">
            <v>P</v>
          </cell>
          <cell r="W635">
            <v>25</v>
          </cell>
        </row>
        <row r="636">
          <cell r="A636">
            <v>9443</v>
          </cell>
          <cell r="B636" t="str">
            <v>009443</v>
          </cell>
          <cell r="C636" t="str">
            <v>INDAH SULISTIANI</v>
          </cell>
          <cell r="D636" t="str">
            <v>SAMI</v>
          </cell>
          <cell r="E636" t="str">
            <v>OPT-216</v>
          </cell>
          <cell r="F636">
            <v>40148</v>
          </cell>
          <cell r="G636" t="str">
            <v>-</v>
          </cell>
          <cell r="H636" t="str">
            <v>-</v>
          </cell>
          <cell r="I636" t="str">
            <v>PRD</v>
          </cell>
          <cell r="J636" t="str">
            <v>FINAL ASSY</v>
          </cell>
          <cell r="K636" t="str">
            <v>HONDA FIT</v>
          </cell>
          <cell r="L636" t="str">
            <v>HONDA FIT HEV PET ENGINE</v>
          </cell>
          <cell r="M636" t="str">
            <v>CV H02</v>
          </cell>
          <cell r="N636" t="str">
            <v>T/P 6.3</v>
          </cell>
          <cell r="O636" t="str">
            <v>ASSEMBLY</v>
          </cell>
          <cell r="P636" t="str">
            <v>B</v>
          </cell>
          <cell r="Q636" t="str">
            <v>DL</v>
          </cell>
          <cell r="R636" t="str">
            <v>PERMANENT</v>
          </cell>
          <cell r="S636" t="str">
            <v>PRM</v>
          </cell>
          <cell r="T636" t="str">
            <v>OPT</v>
          </cell>
          <cell r="U636" t="str">
            <v>-</v>
          </cell>
          <cell r="V636" t="str">
            <v>P</v>
          </cell>
          <cell r="W636">
            <v>34</v>
          </cell>
        </row>
        <row r="637">
          <cell r="A637" t="str">
            <v>B00101</v>
          </cell>
          <cell r="B637" t="str">
            <v>B00101</v>
          </cell>
          <cell r="C637" t="str">
            <v>YUNI UTAMI</v>
          </cell>
          <cell r="D637" t="str">
            <v>SAMI</v>
          </cell>
          <cell r="E637" t="str">
            <v>BBF-001</v>
          </cell>
          <cell r="F637">
            <v>40826</v>
          </cell>
          <cell r="G637" t="str">
            <v>-</v>
          </cell>
          <cell r="H637" t="str">
            <v>-</v>
          </cell>
          <cell r="I637" t="str">
            <v>PRD</v>
          </cell>
          <cell r="J637" t="str">
            <v>FINAL ASSY</v>
          </cell>
          <cell r="K637" t="str">
            <v>HONDA FIT</v>
          </cell>
          <cell r="L637" t="str">
            <v>HONDA FIT HEV PET ENGINE</v>
          </cell>
          <cell r="M637" t="str">
            <v>CV H02</v>
          </cell>
          <cell r="N637" t="str">
            <v>OJT IG</v>
          </cell>
          <cell r="O637" t="str">
            <v>OTHERS</v>
          </cell>
          <cell r="P637" t="str">
            <v>A (NS)</v>
          </cell>
          <cell r="Q637" t="str">
            <v>PI</v>
          </cell>
          <cell r="R637" t="str">
            <v>PERMANENT</v>
          </cell>
          <cell r="S637" t="str">
            <v>PRM</v>
          </cell>
          <cell r="T637" t="str">
            <v>OPT</v>
          </cell>
          <cell r="U637" t="str">
            <v>-</v>
          </cell>
          <cell r="V637" t="str">
            <v>P</v>
          </cell>
          <cell r="W637">
            <v>33</v>
          </cell>
        </row>
        <row r="638">
          <cell r="A638" t="str">
            <v>B00436</v>
          </cell>
          <cell r="B638" t="str">
            <v>B00436</v>
          </cell>
          <cell r="C638" t="str">
            <v>EKO HARTANTO</v>
          </cell>
          <cell r="D638" t="str">
            <v>SAMI</v>
          </cell>
          <cell r="E638" t="str">
            <v>BBF-007</v>
          </cell>
          <cell r="F638">
            <v>40868</v>
          </cell>
          <cell r="G638" t="str">
            <v>-</v>
          </cell>
          <cell r="H638" t="str">
            <v>-</v>
          </cell>
          <cell r="I638" t="str">
            <v>PRD</v>
          </cell>
          <cell r="J638" t="str">
            <v>FINAL ASSY</v>
          </cell>
          <cell r="K638" t="str">
            <v>HONDA FIT</v>
          </cell>
          <cell r="L638" t="str">
            <v>HONDA FIT HEV PET ENGINE</v>
          </cell>
          <cell r="M638" t="str">
            <v>CV H02</v>
          </cell>
          <cell r="N638" t="str">
            <v>CAMERA FUSE + TPO</v>
          </cell>
          <cell r="O638" t="str">
            <v>VISUAL INSPECTION</v>
          </cell>
          <cell r="P638" t="str">
            <v>A</v>
          </cell>
          <cell r="Q638" t="str">
            <v>DL</v>
          </cell>
          <cell r="R638" t="str">
            <v>PERMANENT</v>
          </cell>
          <cell r="S638" t="str">
            <v>PRM</v>
          </cell>
          <cell r="T638" t="str">
            <v>OPT</v>
          </cell>
          <cell r="U638" t="str">
            <v>-</v>
          </cell>
          <cell r="V638" t="str">
            <v>L</v>
          </cell>
          <cell r="W638">
            <v>33</v>
          </cell>
        </row>
        <row r="639">
          <cell r="A639" t="str">
            <v>B00964</v>
          </cell>
          <cell r="B639" t="str">
            <v>B00964</v>
          </cell>
          <cell r="C639" t="str">
            <v>ROFIQO SA'ADAH</v>
          </cell>
          <cell r="D639" t="str">
            <v>SAMI</v>
          </cell>
          <cell r="E639" t="str">
            <v>BBF-023</v>
          </cell>
          <cell r="F639">
            <v>41015</v>
          </cell>
          <cell r="G639" t="str">
            <v>-</v>
          </cell>
          <cell r="H639" t="str">
            <v>-</v>
          </cell>
          <cell r="I639" t="str">
            <v>PRD</v>
          </cell>
          <cell r="J639" t="str">
            <v>FINAL ASSY</v>
          </cell>
          <cell r="K639" t="str">
            <v>HONDA FIT</v>
          </cell>
          <cell r="L639" t="str">
            <v>HONDA FIT HEV PET ENGINE</v>
          </cell>
          <cell r="M639" t="str">
            <v>CV H02</v>
          </cell>
          <cell r="N639" t="str">
            <v>T/P 6.3</v>
          </cell>
          <cell r="O639" t="str">
            <v>ASSEMBLY</v>
          </cell>
          <cell r="P639" t="str">
            <v>A</v>
          </cell>
          <cell r="Q639" t="str">
            <v>DL</v>
          </cell>
          <cell r="R639" t="str">
            <v>PERMANENT</v>
          </cell>
          <cell r="S639" t="str">
            <v>PRM</v>
          </cell>
          <cell r="T639" t="str">
            <v>OPT</v>
          </cell>
          <cell r="U639" t="str">
            <v>-</v>
          </cell>
          <cell r="V639" t="str">
            <v>P</v>
          </cell>
          <cell r="W639">
            <v>33</v>
          </cell>
        </row>
        <row r="640">
          <cell r="A640">
            <v>9458</v>
          </cell>
          <cell r="B640" t="str">
            <v>009458</v>
          </cell>
          <cell r="C640" t="str">
            <v>NOVIA PRIHATININGSIH</v>
          </cell>
          <cell r="D640" t="str">
            <v>SAMI</v>
          </cell>
          <cell r="E640" t="str">
            <v>OPT-216</v>
          </cell>
          <cell r="F640">
            <v>40148</v>
          </cell>
          <cell r="G640" t="str">
            <v>-</v>
          </cell>
          <cell r="H640" t="str">
            <v>-</v>
          </cell>
          <cell r="I640" t="str">
            <v>PRD</v>
          </cell>
          <cell r="J640" t="str">
            <v>FINAL ASSY</v>
          </cell>
          <cell r="K640" t="str">
            <v>HONDA FREED</v>
          </cell>
          <cell r="L640" t="str">
            <v>HONDA FREED W/H FLOOR</v>
          </cell>
          <cell r="M640" t="str">
            <v>CV 4</v>
          </cell>
          <cell r="N640" t="str">
            <v>PRD LINE CHO</v>
          </cell>
          <cell r="O640" t="str">
            <v>FPI LL</v>
          </cell>
          <cell r="P640" t="str">
            <v>B</v>
          </cell>
          <cell r="Q640" t="str">
            <v>PI</v>
          </cell>
          <cell r="R640" t="str">
            <v>PERMANENT</v>
          </cell>
          <cell r="S640" t="str">
            <v>PRM</v>
          </cell>
          <cell r="T640" t="str">
            <v>LC</v>
          </cell>
          <cell r="U640" t="str">
            <v>-</v>
          </cell>
          <cell r="V640" t="str">
            <v>P</v>
          </cell>
          <cell r="W640">
            <v>34</v>
          </cell>
        </row>
        <row r="641">
          <cell r="A641">
            <v>9462</v>
          </cell>
          <cell r="B641" t="str">
            <v>009462</v>
          </cell>
          <cell r="C641" t="str">
            <v>NUR ANGGRAINI</v>
          </cell>
          <cell r="D641" t="str">
            <v>SAMI</v>
          </cell>
          <cell r="E641" t="str">
            <v>OPT-216</v>
          </cell>
          <cell r="F641">
            <v>40148</v>
          </cell>
          <cell r="G641" t="str">
            <v>-</v>
          </cell>
          <cell r="H641" t="str">
            <v>-</v>
          </cell>
          <cell r="I641" t="str">
            <v>PRD</v>
          </cell>
          <cell r="J641" t="str">
            <v>PRE ASSY</v>
          </cell>
          <cell r="K641" t="str">
            <v>HONDA NES</v>
          </cell>
          <cell r="L641" t="str">
            <v>HONDA NES</v>
          </cell>
          <cell r="M641" t="str">
            <v>CPA HONDA NES HEV/PET</v>
          </cell>
          <cell r="N641" t="str">
            <v>CUTTING AC81-3MO-01</v>
          </cell>
          <cell r="O641" t="str">
            <v>CUTTING WIRE</v>
          </cell>
          <cell r="P641" t="str">
            <v>B</v>
          </cell>
          <cell r="Q641" t="str">
            <v>DL</v>
          </cell>
          <cell r="R641" t="str">
            <v>PERMANENT</v>
          </cell>
          <cell r="S641" t="str">
            <v>PRM</v>
          </cell>
          <cell r="T641" t="str">
            <v>OPT</v>
          </cell>
          <cell r="U641" t="str">
            <v>-</v>
          </cell>
          <cell r="V641" t="str">
            <v>P</v>
          </cell>
          <cell r="W641">
            <v>33</v>
          </cell>
        </row>
        <row r="642">
          <cell r="A642" t="str">
            <v>B01148</v>
          </cell>
          <cell r="B642" t="str">
            <v>B01148</v>
          </cell>
          <cell r="C642" t="str">
            <v>LIANA INDRI ASTUTI</v>
          </cell>
          <cell r="D642" t="str">
            <v>SAMI</v>
          </cell>
          <cell r="E642" t="str">
            <v>BBF-030</v>
          </cell>
          <cell r="F642">
            <v>41165</v>
          </cell>
          <cell r="G642" t="str">
            <v>-</v>
          </cell>
          <cell r="H642" t="str">
            <v>-</v>
          </cell>
          <cell r="I642" t="str">
            <v>PRD</v>
          </cell>
          <cell r="J642" t="str">
            <v>FINAL ASSY</v>
          </cell>
          <cell r="K642" t="str">
            <v>HONDA FIT</v>
          </cell>
          <cell r="L642" t="str">
            <v>HONDA FIT HEV PET ENGINE</v>
          </cell>
          <cell r="M642" t="str">
            <v>CV H02</v>
          </cell>
          <cell r="N642" t="str">
            <v>T/P 2.3</v>
          </cell>
          <cell r="O642" t="str">
            <v>ASSEMBLY</v>
          </cell>
          <cell r="P642" t="str">
            <v>A</v>
          </cell>
          <cell r="Q642" t="str">
            <v>DL</v>
          </cell>
          <cell r="R642" t="str">
            <v>PERMANENT</v>
          </cell>
          <cell r="S642" t="str">
            <v>PRM</v>
          </cell>
          <cell r="T642" t="str">
            <v>OPT</v>
          </cell>
          <cell r="U642" t="str">
            <v>-</v>
          </cell>
          <cell r="V642" t="str">
            <v>P</v>
          </cell>
          <cell r="W642">
            <v>30</v>
          </cell>
        </row>
        <row r="643">
          <cell r="A643">
            <v>9473</v>
          </cell>
          <cell r="B643" t="str">
            <v>009473</v>
          </cell>
          <cell r="C643" t="str">
            <v>RISKA SATRIANI</v>
          </cell>
          <cell r="D643" t="str">
            <v>SAMI</v>
          </cell>
          <cell r="E643" t="str">
            <v>OPT-216</v>
          </cell>
          <cell r="F643">
            <v>40148</v>
          </cell>
          <cell r="G643" t="str">
            <v>-</v>
          </cell>
          <cell r="H643" t="str">
            <v>-</v>
          </cell>
          <cell r="I643" t="str">
            <v>QA</v>
          </cell>
          <cell r="J643" t="str">
            <v>FINAL ASSY</v>
          </cell>
          <cell r="K643" t="str">
            <v>TOYOTA HV</v>
          </cell>
          <cell r="L643" t="str">
            <v>TOYOTA HV 10PL</v>
          </cell>
          <cell r="M643" t="str">
            <v>CV HV 14A</v>
          </cell>
          <cell r="N643" t="str">
            <v>SCANNER</v>
          </cell>
          <cell r="O643" t="str">
            <v>QA APPROVE</v>
          </cell>
          <cell r="P643" t="str">
            <v>A</v>
          </cell>
          <cell r="Q643" t="str">
            <v>PI</v>
          </cell>
          <cell r="R643" t="str">
            <v>PERMANENT</v>
          </cell>
          <cell r="S643" t="str">
            <v>PRM</v>
          </cell>
          <cell r="T643" t="str">
            <v>OPT</v>
          </cell>
          <cell r="U643" t="str">
            <v>-</v>
          </cell>
          <cell r="V643" t="str">
            <v>P</v>
          </cell>
          <cell r="W643">
            <v>34</v>
          </cell>
        </row>
        <row r="644">
          <cell r="A644" t="str">
            <v>B02823</v>
          </cell>
          <cell r="B644" t="str">
            <v>B02823</v>
          </cell>
          <cell r="C644" t="str">
            <v>AHMAD GHOZALI ZULKARNAEN</v>
          </cell>
          <cell r="D644" t="str">
            <v>SAMI</v>
          </cell>
          <cell r="E644" t="str">
            <v>BBF-133</v>
          </cell>
          <cell r="F644">
            <v>42226</v>
          </cell>
          <cell r="G644" t="str">
            <v>-</v>
          </cell>
          <cell r="H644" t="str">
            <v>-</v>
          </cell>
          <cell r="I644" t="str">
            <v>PRD</v>
          </cell>
          <cell r="J644" t="str">
            <v>FINAL ASSY</v>
          </cell>
          <cell r="K644" t="str">
            <v>HONDA FIT</v>
          </cell>
          <cell r="L644" t="str">
            <v>HONDA FIT HEV PET ENGINE</v>
          </cell>
          <cell r="M644" t="str">
            <v>CV H02</v>
          </cell>
          <cell r="N644" t="str">
            <v>SHIAGE 2.2</v>
          </cell>
          <cell r="O644" t="str">
            <v>ASSEMBLY</v>
          </cell>
          <cell r="P644" t="str">
            <v>A</v>
          </cell>
          <cell r="Q644" t="str">
            <v>DL</v>
          </cell>
          <cell r="R644" t="str">
            <v>PERMANENT</v>
          </cell>
          <cell r="S644" t="str">
            <v>PRM</v>
          </cell>
          <cell r="T644" t="str">
            <v>OPT</v>
          </cell>
          <cell r="U644" t="str">
            <v>-</v>
          </cell>
          <cell r="V644" t="str">
            <v>L</v>
          </cell>
          <cell r="W644">
            <v>27</v>
          </cell>
        </row>
        <row r="645">
          <cell r="A645">
            <v>9481</v>
          </cell>
          <cell r="B645" t="str">
            <v>009481</v>
          </cell>
          <cell r="C645" t="str">
            <v>SUWASTI</v>
          </cell>
          <cell r="D645" t="str">
            <v>SAMI</v>
          </cell>
          <cell r="E645" t="str">
            <v>OPT-216</v>
          </cell>
          <cell r="F645">
            <v>40148</v>
          </cell>
          <cell r="G645" t="str">
            <v>-</v>
          </cell>
          <cell r="H645" t="str">
            <v>-</v>
          </cell>
          <cell r="I645" t="str">
            <v>PRD</v>
          </cell>
          <cell r="J645" t="str">
            <v>FINAL ASSY</v>
          </cell>
          <cell r="K645" t="str">
            <v>TOYOTA HV</v>
          </cell>
          <cell r="L645" t="str">
            <v xml:space="preserve">HV TOYOTA AC </v>
          </cell>
          <cell r="M645" t="str">
            <v>CV HV 10B</v>
          </cell>
          <cell r="N645" t="str">
            <v>OJT MAEKOTEI</v>
          </cell>
          <cell r="O645" t="str">
            <v>OTHERS</v>
          </cell>
          <cell r="P645" t="str">
            <v>B</v>
          </cell>
          <cell r="Q645" t="str">
            <v>PI</v>
          </cell>
          <cell r="R645" t="str">
            <v>PERMANENT</v>
          </cell>
          <cell r="S645" t="str">
            <v>PRM</v>
          </cell>
          <cell r="T645" t="str">
            <v>OPT</v>
          </cell>
          <cell r="U645" t="str">
            <v>-</v>
          </cell>
          <cell r="V645" t="str">
            <v>P</v>
          </cell>
          <cell r="W645">
            <v>34</v>
          </cell>
        </row>
        <row r="646">
          <cell r="A646">
            <v>9486</v>
          </cell>
          <cell r="B646" t="str">
            <v>009486</v>
          </cell>
          <cell r="C646" t="str">
            <v>WINDARWATI ZURIYANTI</v>
          </cell>
          <cell r="D646" t="str">
            <v>SAMI</v>
          </cell>
          <cell r="E646" t="str">
            <v>OPT-216</v>
          </cell>
          <cell r="F646">
            <v>40148</v>
          </cell>
          <cell r="G646" t="str">
            <v>-</v>
          </cell>
          <cell r="H646" t="str">
            <v>-</v>
          </cell>
          <cell r="I646" t="str">
            <v>QA</v>
          </cell>
          <cell r="J646" t="str">
            <v>FINAL ASSY</v>
          </cell>
          <cell r="K646" t="str">
            <v>TOYOTA</v>
          </cell>
          <cell r="L646" t="str">
            <v>AQUA SIENTA</v>
          </cell>
          <cell r="M646" t="str">
            <v>CV T02</v>
          </cell>
          <cell r="N646" t="str">
            <v>OJT DC</v>
          </cell>
          <cell r="O646" t="str">
            <v>OTHERS</v>
          </cell>
          <cell r="P646" t="str">
            <v>B</v>
          </cell>
          <cell r="Q646" t="str">
            <v>PI</v>
          </cell>
          <cell r="R646" t="str">
            <v>PERMANENT</v>
          </cell>
          <cell r="S646" t="str">
            <v>PRM</v>
          </cell>
          <cell r="T646" t="str">
            <v>OPT</v>
          </cell>
          <cell r="U646" t="str">
            <v>-</v>
          </cell>
          <cell r="V646" t="str">
            <v>P</v>
          </cell>
          <cell r="W646">
            <v>34</v>
          </cell>
        </row>
        <row r="647">
          <cell r="A647">
            <v>9487</v>
          </cell>
          <cell r="B647" t="str">
            <v>009487</v>
          </cell>
          <cell r="C647" t="str">
            <v>YUNI LESTARI</v>
          </cell>
          <cell r="D647" t="str">
            <v>SAMI</v>
          </cell>
          <cell r="E647" t="str">
            <v>OPT-216</v>
          </cell>
          <cell r="F647">
            <v>40148</v>
          </cell>
          <cell r="G647" t="str">
            <v>-</v>
          </cell>
          <cell r="H647" t="str">
            <v>-</v>
          </cell>
          <cell r="I647" t="str">
            <v>PRD</v>
          </cell>
          <cell r="J647" t="str">
            <v>FINAL ASSY</v>
          </cell>
          <cell r="K647" t="str">
            <v>TOYOTA</v>
          </cell>
          <cell r="L647" t="str">
            <v>AQUA SIENTA</v>
          </cell>
          <cell r="M647" t="str">
            <v>CV T01</v>
          </cell>
          <cell r="N647" t="str">
            <v>PRD LINE CHO</v>
          </cell>
          <cell r="O647" t="str">
            <v>FPI LL</v>
          </cell>
          <cell r="P647" t="str">
            <v>B</v>
          </cell>
          <cell r="Q647" t="str">
            <v>PI</v>
          </cell>
          <cell r="R647" t="str">
            <v>PERMANENT</v>
          </cell>
          <cell r="S647" t="str">
            <v>PRM</v>
          </cell>
          <cell r="T647" t="str">
            <v>LC</v>
          </cell>
          <cell r="U647" t="str">
            <v>-</v>
          </cell>
          <cell r="V647" t="str">
            <v>P</v>
          </cell>
          <cell r="W647">
            <v>34</v>
          </cell>
        </row>
        <row r="648">
          <cell r="A648">
            <v>9488</v>
          </cell>
          <cell r="B648" t="str">
            <v>009488</v>
          </cell>
          <cell r="C648" t="str">
            <v>AKHMAD YAZIDUL HUDA</v>
          </cell>
          <cell r="D648" t="str">
            <v>SAMI</v>
          </cell>
          <cell r="E648" t="str">
            <v>OPT-216</v>
          </cell>
          <cell r="F648">
            <v>40148</v>
          </cell>
          <cell r="G648" t="str">
            <v>-</v>
          </cell>
          <cell r="H648" t="str">
            <v>-</v>
          </cell>
          <cell r="I648" t="str">
            <v>QA</v>
          </cell>
          <cell r="J648" t="str">
            <v>NON LINE</v>
          </cell>
          <cell r="K648" t="str">
            <v>ALL</v>
          </cell>
          <cell r="L648" t="str">
            <v>ALL</v>
          </cell>
          <cell r="M648" t="str">
            <v>CALLIBRATION OF TOOL</v>
          </cell>
          <cell r="N648" t="str">
            <v>ADMINISTRATION</v>
          </cell>
          <cell r="O648" t="str">
            <v>QS</v>
          </cell>
          <cell r="P648" t="str">
            <v>B</v>
          </cell>
          <cell r="Q648" t="str">
            <v>PS</v>
          </cell>
          <cell r="R648" t="str">
            <v>PERMANENT</v>
          </cell>
          <cell r="S648" t="str">
            <v>PRM</v>
          </cell>
          <cell r="T648" t="str">
            <v>OPT</v>
          </cell>
          <cell r="U648" t="str">
            <v>-</v>
          </cell>
          <cell r="V648" t="str">
            <v>L</v>
          </cell>
          <cell r="W648">
            <v>34</v>
          </cell>
        </row>
        <row r="649">
          <cell r="A649">
            <v>9512</v>
          </cell>
          <cell r="B649" t="str">
            <v>009512</v>
          </cell>
          <cell r="C649" t="str">
            <v>ISNA FITRIYATUR ROHMANIYAH</v>
          </cell>
          <cell r="D649" t="str">
            <v>SAMI</v>
          </cell>
          <cell r="E649" t="str">
            <v>OPT-216</v>
          </cell>
          <cell r="F649">
            <v>40148</v>
          </cell>
          <cell r="G649" t="str">
            <v>-</v>
          </cell>
          <cell r="H649" t="str">
            <v>-</v>
          </cell>
          <cell r="I649" t="str">
            <v>OTHERS</v>
          </cell>
          <cell r="J649" t="str">
            <v>AT HOME</v>
          </cell>
          <cell r="K649" t="str">
            <v>ALL</v>
          </cell>
          <cell r="L649" t="str">
            <v>ALL</v>
          </cell>
          <cell r="M649" t="str">
            <v>AT HOME</v>
          </cell>
          <cell r="N649" t="str">
            <v>CUTI DI LUAR TANGGUNGAN</v>
          </cell>
          <cell r="O649" t="str">
            <v>OTHERS IDL</v>
          </cell>
          <cell r="P649" t="str">
            <v>-</v>
          </cell>
          <cell r="Q649" t="str">
            <v>ADM</v>
          </cell>
          <cell r="R649" t="str">
            <v>PERMANENT</v>
          </cell>
          <cell r="S649" t="str">
            <v>PRM</v>
          </cell>
          <cell r="T649" t="str">
            <v>GL</v>
          </cell>
          <cell r="U649" t="str">
            <v>-</v>
          </cell>
          <cell r="V649" t="str">
            <v>P</v>
          </cell>
          <cell r="W649">
            <v>33</v>
          </cell>
        </row>
        <row r="650">
          <cell r="A650">
            <v>9519</v>
          </cell>
          <cell r="B650" t="str">
            <v>009519</v>
          </cell>
          <cell r="C650" t="str">
            <v>MIRNA NINGSIH</v>
          </cell>
          <cell r="D650" t="str">
            <v>SAMI</v>
          </cell>
          <cell r="E650" t="str">
            <v>OPT-216</v>
          </cell>
          <cell r="F650">
            <v>40148</v>
          </cell>
          <cell r="G650" t="str">
            <v>-</v>
          </cell>
          <cell r="H650" t="str">
            <v>-</v>
          </cell>
          <cell r="I650" t="str">
            <v>PRD</v>
          </cell>
          <cell r="J650" t="str">
            <v>FINAL ASSY</v>
          </cell>
          <cell r="K650" t="str">
            <v>TOYOTA HV</v>
          </cell>
          <cell r="L650" t="str">
            <v xml:space="preserve">HV TOYOTA AC </v>
          </cell>
          <cell r="M650" t="str">
            <v>CV HV 10A</v>
          </cell>
          <cell r="N650" t="str">
            <v>PRD LINE CHO</v>
          </cell>
          <cell r="O650" t="str">
            <v>FPI LL</v>
          </cell>
          <cell r="P650" t="str">
            <v>B</v>
          </cell>
          <cell r="Q650" t="str">
            <v>PI</v>
          </cell>
          <cell r="R650" t="str">
            <v>PERMANENT</v>
          </cell>
          <cell r="S650" t="str">
            <v>PRM</v>
          </cell>
          <cell r="T650" t="str">
            <v>LC</v>
          </cell>
          <cell r="U650" t="str">
            <v>-</v>
          </cell>
          <cell r="V650" t="str">
            <v>P</v>
          </cell>
          <cell r="W650">
            <v>33</v>
          </cell>
        </row>
        <row r="651">
          <cell r="A651">
            <v>9521</v>
          </cell>
          <cell r="B651" t="str">
            <v>009521</v>
          </cell>
          <cell r="C651" t="str">
            <v>NITA PURNAMA SARI</v>
          </cell>
          <cell r="D651" t="str">
            <v>SAMI</v>
          </cell>
          <cell r="E651" t="str">
            <v>OPT-216</v>
          </cell>
          <cell r="F651">
            <v>40148</v>
          </cell>
          <cell r="G651" t="str">
            <v>-</v>
          </cell>
          <cell r="H651" t="str">
            <v>-</v>
          </cell>
          <cell r="I651" t="str">
            <v>PRD</v>
          </cell>
          <cell r="J651" t="str">
            <v>PRE ASSY</v>
          </cell>
          <cell r="K651" t="str">
            <v>HONDA FIT</v>
          </cell>
          <cell r="L651" t="str">
            <v>HONDA FIT</v>
          </cell>
          <cell r="M651" t="str">
            <v>CPA HONDA FIT HEV/PET</v>
          </cell>
          <cell r="N651" t="str">
            <v>INSP CUTTING</v>
          </cell>
          <cell r="O651" t="str">
            <v>P/A INSPECTOR</v>
          </cell>
          <cell r="P651" t="str">
            <v>B</v>
          </cell>
          <cell r="Q651" t="str">
            <v>PI</v>
          </cell>
          <cell r="R651" t="str">
            <v>PERMANENT</v>
          </cell>
          <cell r="S651" t="str">
            <v>PRM</v>
          </cell>
          <cell r="T651" t="str">
            <v>OPT</v>
          </cell>
          <cell r="U651" t="str">
            <v>-</v>
          </cell>
          <cell r="V651" t="str">
            <v>P</v>
          </cell>
          <cell r="W651">
            <v>33</v>
          </cell>
        </row>
        <row r="652">
          <cell r="A652">
            <v>9523</v>
          </cell>
          <cell r="B652" t="str">
            <v>009523</v>
          </cell>
          <cell r="C652" t="str">
            <v>NUGRAHENI LARASTIWI</v>
          </cell>
          <cell r="D652" t="str">
            <v>SAMI</v>
          </cell>
          <cell r="E652" t="str">
            <v>OPT-216</v>
          </cell>
          <cell r="F652">
            <v>40148</v>
          </cell>
          <cell r="G652" t="str">
            <v>-</v>
          </cell>
          <cell r="H652" t="str">
            <v>-</v>
          </cell>
          <cell r="I652" t="str">
            <v>PRD</v>
          </cell>
          <cell r="J652" t="str">
            <v>FINAL ASSY</v>
          </cell>
          <cell r="K652" t="str">
            <v>MAZDA 3</v>
          </cell>
          <cell r="L652" t="str">
            <v>MAZDA REAR</v>
          </cell>
          <cell r="M652" t="str">
            <v>CV M01</v>
          </cell>
          <cell r="N652" t="str">
            <v>VISUAL 1.3</v>
          </cell>
          <cell r="O652" t="str">
            <v>VISUAL INSPECTION</v>
          </cell>
          <cell r="P652" t="str">
            <v>B</v>
          </cell>
          <cell r="Q652" t="str">
            <v>DL</v>
          </cell>
          <cell r="R652" t="str">
            <v>PERMANENT</v>
          </cell>
          <cell r="S652" t="str">
            <v>PRM</v>
          </cell>
          <cell r="T652" t="str">
            <v>OPT</v>
          </cell>
          <cell r="U652" t="str">
            <v>-</v>
          </cell>
          <cell r="V652" t="str">
            <v>P</v>
          </cell>
          <cell r="W652">
            <v>35</v>
          </cell>
        </row>
        <row r="653">
          <cell r="A653">
            <v>884</v>
          </cell>
          <cell r="B653" t="str">
            <v>000884</v>
          </cell>
          <cell r="C653" t="str">
            <v>SITI SUWARNI</v>
          </cell>
          <cell r="D653" t="str">
            <v>SAMI</v>
          </cell>
          <cell r="E653" t="str">
            <v>OPT-23</v>
          </cell>
          <cell r="F653">
            <v>37858</v>
          </cell>
          <cell r="G653" t="str">
            <v>-</v>
          </cell>
          <cell r="H653" t="str">
            <v>-</v>
          </cell>
          <cell r="I653" t="str">
            <v>PRD</v>
          </cell>
          <cell r="J653" t="str">
            <v>FINAL ASSY</v>
          </cell>
          <cell r="K653" t="str">
            <v>HONDA NES</v>
          </cell>
          <cell r="L653" t="str">
            <v>HONDA NES HEV PET ENGINE</v>
          </cell>
          <cell r="M653" t="str">
            <v>CV H03</v>
          </cell>
          <cell r="N653" t="str">
            <v>LQC</v>
          </cell>
          <cell r="O653" t="str">
            <v>RELIEF</v>
          </cell>
          <cell r="P653" t="str">
            <v>A</v>
          </cell>
          <cell r="Q653" t="str">
            <v>PI</v>
          </cell>
          <cell r="R653" t="str">
            <v>PERMANENT</v>
          </cell>
          <cell r="S653" t="str">
            <v>PRM</v>
          </cell>
          <cell r="T653" t="str">
            <v>PJK</v>
          </cell>
          <cell r="U653" t="str">
            <v>-</v>
          </cell>
          <cell r="V653" t="str">
            <v>P</v>
          </cell>
          <cell r="W653">
            <v>39</v>
          </cell>
        </row>
        <row r="654">
          <cell r="A654">
            <v>1138</v>
          </cell>
          <cell r="B654" t="str">
            <v>001138</v>
          </cell>
          <cell r="C654" t="str">
            <v>SITI NUR AINI</v>
          </cell>
          <cell r="D654" t="str">
            <v>SAMI</v>
          </cell>
          <cell r="E654" t="str">
            <v>OPT-28</v>
          </cell>
          <cell r="F654">
            <v>37900</v>
          </cell>
          <cell r="G654" t="str">
            <v>-</v>
          </cell>
          <cell r="H654" t="str">
            <v>-</v>
          </cell>
          <cell r="I654" t="str">
            <v>PRD</v>
          </cell>
          <cell r="J654" t="str">
            <v>FINAL ASSY</v>
          </cell>
          <cell r="K654" t="str">
            <v>HONDA NES</v>
          </cell>
          <cell r="L654" t="str">
            <v>HONDA NES HEV PET ENGINE</v>
          </cell>
          <cell r="M654" t="str">
            <v>CV H03</v>
          </cell>
          <cell r="N654" t="str">
            <v>T/P 6.1</v>
          </cell>
          <cell r="O654" t="str">
            <v>ASSEMBLY</v>
          </cell>
          <cell r="P654" t="str">
            <v>A</v>
          </cell>
          <cell r="Q654" t="str">
            <v>DL</v>
          </cell>
          <cell r="R654" t="str">
            <v>PERMANENT</v>
          </cell>
          <cell r="S654" t="str">
            <v>PRM</v>
          </cell>
          <cell r="T654" t="str">
            <v>OPT</v>
          </cell>
          <cell r="U654" t="str">
            <v>-</v>
          </cell>
          <cell r="V654" t="str">
            <v>P</v>
          </cell>
          <cell r="W654">
            <v>39</v>
          </cell>
        </row>
        <row r="655">
          <cell r="A655">
            <v>9560</v>
          </cell>
          <cell r="B655" t="str">
            <v>009560</v>
          </cell>
          <cell r="C655" t="str">
            <v>NUR KHADHIROH</v>
          </cell>
          <cell r="D655" t="str">
            <v>SAMI</v>
          </cell>
          <cell r="E655" t="str">
            <v>OPT-217</v>
          </cell>
          <cell r="F655">
            <v>40179</v>
          </cell>
          <cell r="G655" t="str">
            <v>-</v>
          </cell>
          <cell r="H655" t="str">
            <v>-</v>
          </cell>
          <cell r="I655" t="str">
            <v>PRD</v>
          </cell>
          <cell r="J655" t="str">
            <v>PRE ASSY</v>
          </cell>
          <cell r="K655" t="str">
            <v>TOYOTA HV</v>
          </cell>
          <cell r="L655" t="str">
            <v>HV TOYOTA</v>
          </cell>
          <cell r="M655" t="str">
            <v>CPA TOYOTA 10 PL</v>
          </cell>
          <cell r="N655" t="str">
            <v>CUTTING AC90-T-04</v>
          </cell>
          <cell r="O655" t="str">
            <v>CUTTING WIRE</v>
          </cell>
          <cell r="P655" t="str">
            <v>B</v>
          </cell>
          <cell r="Q655" t="str">
            <v>DL</v>
          </cell>
          <cell r="R655" t="str">
            <v>PERMANENT</v>
          </cell>
          <cell r="S655" t="str">
            <v>PRM</v>
          </cell>
          <cell r="T655" t="str">
            <v>OPT</v>
          </cell>
          <cell r="U655" t="str">
            <v>-</v>
          </cell>
          <cell r="V655" t="str">
            <v>P</v>
          </cell>
          <cell r="W655">
            <v>38</v>
          </cell>
        </row>
        <row r="656">
          <cell r="A656">
            <v>9563</v>
          </cell>
          <cell r="B656" t="str">
            <v>009563</v>
          </cell>
          <cell r="C656" t="str">
            <v>ANIK ANA NURJANAH</v>
          </cell>
          <cell r="D656" t="str">
            <v>SAMI</v>
          </cell>
          <cell r="E656" t="str">
            <v>OPT-217</v>
          </cell>
          <cell r="F656">
            <v>40179</v>
          </cell>
          <cell r="G656" t="str">
            <v>-</v>
          </cell>
          <cell r="H656" t="str">
            <v>-</v>
          </cell>
          <cell r="I656" t="str">
            <v>PRD</v>
          </cell>
          <cell r="J656" t="str">
            <v>FINAL ASSY</v>
          </cell>
          <cell r="K656" t="str">
            <v>TOYOTA HV</v>
          </cell>
          <cell r="L656" t="str">
            <v>HV TOYOTA NIKEL</v>
          </cell>
          <cell r="M656" t="str">
            <v>CV HV 07</v>
          </cell>
          <cell r="N656" t="str">
            <v>PRD LINE CHO</v>
          </cell>
          <cell r="O656" t="str">
            <v>FPI LL</v>
          </cell>
          <cell r="P656" t="str">
            <v>B</v>
          </cell>
          <cell r="Q656" t="str">
            <v>PI</v>
          </cell>
          <cell r="R656" t="str">
            <v>PERMANENT</v>
          </cell>
          <cell r="S656" t="str">
            <v>PRM</v>
          </cell>
          <cell r="T656" t="str">
            <v>LC</v>
          </cell>
          <cell r="U656" t="str">
            <v>-</v>
          </cell>
          <cell r="V656" t="str">
            <v>P</v>
          </cell>
          <cell r="W656">
            <v>34</v>
          </cell>
        </row>
        <row r="657">
          <cell r="A657">
            <v>1268</v>
          </cell>
          <cell r="B657" t="str">
            <v>001268</v>
          </cell>
          <cell r="C657" t="str">
            <v>WITRI SUMIYATI</v>
          </cell>
          <cell r="D657" t="str">
            <v>SAMI</v>
          </cell>
          <cell r="E657" t="str">
            <v>OPT-31</v>
          </cell>
          <cell r="F657">
            <v>37921</v>
          </cell>
          <cell r="G657" t="str">
            <v>-</v>
          </cell>
          <cell r="H657" t="str">
            <v>-</v>
          </cell>
          <cell r="I657" t="str">
            <v>PRD</v>
          </cell>
          <cell r="J657" t="str">
            <v>FINAL ASSY</v>
          </cell>
          <cell r="K657" t="str">
            <v>HONDA NES</v>
          </cell>
          <cell r="L657" t="str">
            <v>HONDA NES HEV PET ENGINE</v>
          </cell>
          <cell r="M657" t="str">
            <v>CV H03</v>
          </cell>
          <cell r="N657" t="str">
            <v>SUB LINE CHO</v>
          </cell>
          <cell r="O657" t="str">
            <v>GL</v>
          </cell>
          <cell r="P657" t="str">
            <v>A</v>
          </cell>
          <cell r="Q657" t="str">
            <v>PI</v>
          </cell>
          <cell r="R657" t="str">
            <v>PERMANENT</v>
          </cell>
          <cell r="S657" t="str">
            <v>PRM</v>
          </cell>
          <cell r="T657" t="str">
            <v>SLC</v>
          </cell>
          <cell r="U657" t="str">
            <v>-</v>
          </cell>
          <cell r="V657" t="str">
            <v>P</v>
          </cell>
          <cell r="W657">
            <v>39</v>
          </cell>
        </row>
        <row r="658">
          <cell r="A658">
            <v>5495</v>
          </cell>
          <cell r="B658" t="str">
            <v>005495</v>
          </cell>
          <cell r="C658" t="str">
            <v>ENDRA AFRIYANI</v>
          </cell>
          <cell r="D658" t="str">
            <v>SAMI</v>
          </cell>
          <cell r="E658" t="str">
            <v>OPT-129</v>
          </cell>
          <cell r="F658">
            <v>39022</v>
          </cell>
          <cell r="G658" t="str">
            <v>-</v>
          </cell>
          <cell r="H658" t="str">
            <v>-</v>
          </cell>
          <cell r="I658" t="str">
            <v>PRD</v>
          </cell>
          <cell r="J658" t="str">
            <v>FINAL ASSY</v>
          </cell>
          <cell r="K658" t="str">
            <v>HONDA NES</v>
          </cell>
          <cell r="L658" t="str">
            <v>HONDA NES HEV PET ENGINE</v>
          </cell>
          <cell r="M658" t="str">
            <v>CV H03</v>
          </cell>
          <cell r="N658" t="str">
            <v>T/P 3.2</v>
          </cell>
          <cell r="O658" t="str">
            <v>ASSEMBLY</v>
          </cell>
          <cell r="P658" t="str">
            <v>A</v>
          </cell>
          <cell r="Q658" t="str">
            <v>DL</v>
          </cell>
          <cell r="R658" t="str">
            <v>PERMANENT</v>
          </cell>
          <cell r="S658" t="str">
            <v>PRM</v>
          </cell>
          <cell r="T658" t="str">
            <v>OPT</v>
          </cell>
          <cell r="U658" t="str">
            <v>-</v>
          </cell>
          <cell r="V658" t="str">
            <v>P</v>
          </cell>
          <cell r="W658">
            <v>40</v>
          </cell>
        </row>
        <row r="659">
          <cell r="A659">
            <v>5932</v>
          </cell>
          <cell r="B659" t="str">
            <v>005932</v>
          </cell>
          <cell r="C659" t="str">
            <v>PONCO HANDAYANI</v>
          </cell>
          <cell r="D659" t="str">
            <v>SAMI</v>
          </cell>
          <cell r="E659" t="str">
            <v>OPT-137</v>
          </cell>
          <cell r="F659">
            <v>39129</v>
          </cell>
          <cell r="G659" t="str">
            <v>-</v>
          </cell>
          <cell r="H659" t="str">
            <v>-</v>
          </cell>
          <cell r="I659" t="str">
            <v>PRD</v>
          </cell>
          <cell r="J659" t="str">
            <v>FINAL ASSY</v>
          </cell>
          <cell r="K659" t="str">
            <v>HONDA NES</v>
          </cell>
          <cell r="L659" t="str">
            <v>HONDA NES HEV PET ENGINE</v>
          </cell>
          <cell r="M659" t="str">
            <v>CV H03</v>
          </cell>
          <cell r="N659" t="str">
            <v>OJT INSERTION GROUP</v>
          </cell>
          <cell r="O659" t="str">
            <v>OTHERS</v>
          </cell>
          <cell r="P659" t="str">
            <v>A (NS)</v>
          </cell>
          <cell r="Q659" t="str">
            <v>PI</v>
          </cell>
          <cell r="R659" t="str">
            <v>PERMANENT</v>
          </cell>
          <cell r="S659" t="str">
            <v>PRM</v>
          </cell>
          <cell r="T659" t="str">
            <v>OPT</v>
          </cell>
          <cell r="U659" t="str">
            <v>-</v>
          </cell>
          <cell r="V659" t="str">
            <v>P</v>
          </cell>
          <cell r="W659">
            <v>38</v>
          </cell>
        </row>
        <row r="660">
          <cell r="A660">
            <v>8635</v>
          </cell>
          <cell r="B660" t="str">
            <v>008635</v>
          </cell>
          <cell r="C660" t="str">
            <v>AMBARWATI</v>
          </cell>
          <cell r="D660" t="str">
            <v>SAMI</v>
          </cell>
          <cell r="E660" t="str">
            <v>OPT-189</v>
          </cell>
          <cell r="F660">
            <v>39878</v>
          </cell>
          <cell r="G660" t="str">
            <v>-</v>
          </cell>
          <cell r="H660" t="str">
            <v>-</v>
          </cell>
          <cell r="I660" t="str">
            <v>PRD</v>
          </cell>
          <cell r="J660" t="str">
            <v>FINAL ASSY</v>
          </cell>
          <cell r="K660" t="str">
            <v>HONDA NES</v>
          </cell>
          <cell r="L660" t="str">
            <v>HONDA NES HEV PET ENGINE</v>
          </cell>
          <cell r="M660" t="str">
            <v>CV H03</v>
          </cell>
          <cell r="N660" t="str">
            <v>T/P 2.2</v>
          </cell>
          <cell r="O660" t="str">
            <v>ASSEMBLY</v>
          </cell>
          <cell r="P660" t="str">
            <v>A</v>
          </cell>
          <cell r="Q660" t="str">
            <v>DL</v>
          </cell>
          <cell r="R660" t="str">
            <v>PERMANENT</v>
          </cell>
          <cell r="S660" t="str">
            <v>PRM</v>
          </cell>
          <cell r="T660" t="str">
            <v>OPT</v>
          </cell>
          <cell r="U660" t="str">
            <v>-</v>
          </cell>
          <cell r="V660" t="str">
            <v>P</v>
          </cell>
          <cell r="W660">
            <v>37</v>
          </cell>
        </row>
        <row r="661">
          <cell r="A661">
            <v>8808</v>
          </cell>
          <cell r="B661" t="str">
            <v>008808</v>
          </cell>
          <cell r="C661" t="str">
            <v>YASTIKA YUAN RIFANA</v>
          </cell>
          <cell r="D661" t="str">
            <v>SAMI</v>
          </cell>
          <cell r="E661" t="str">
            <v>OPT-194</v>
          </cell>
          <cell r="F661">
            <v>39931</v>
          </cell>
          <cell r="G661" t="str">
            <v>-</v>
          </cell>
          <cell r="H661" t="str">
            <v>-</v>
          </cell>
          <cell r="I661" t="str">
            <v>PRD</v>
          </cell>
          <cell r="J661" t="str">
            <v>FINAL ASSY</v>
          </cell>
          <cell r="K661" t="str">
            <v>HONDA NES</v>
          </cell>
          <cell r="L661" t="str">
            <v>HONDA NES HEV PET ENGINE</v>
          </cell>
          <cell r="M661" t="str">
            <v>CV H03</v>
          </cell>
          <cell r="N661" t="str">
            <v>VISUAL 2.2</v>
          </cell>
          <cell r="O661" t="str">
            <v>VISUAL INSPECTION</v>
          </cell>
          <cell r="P661" t="str">
            <v>A</v>
          </cell>
          <cell r="Q661" t="str">
            <v>DL</v>
          </cell>
          <cell r="R661" t="str">
            <v>PERMANENT</v>
          </cell>
          <cell r="S661" t="str">
            <v>PRM</v>
          </cell>
          <cell r="T661" t="str">
            <v>OPT</v>
          </cell>
          <cell r="U661" t="str">
            <v>-</v>
          </cell>
          <cell r="V661" t="str">
            <v>P</v>
          </cell>
          <cell r="W661">
            <v>34</v>
          </cell>
        </row>
        <row r="662">
          <cell r="A662">
            <v>9596</v>
          </cell>
          <cell r="B662" t="str">
            <v>009596</v>
          </cell>
          <cell r="C662" t="str">
            <v>FITRIA PURNAMA SARI</v>
          </cell>
          <cell r="D662" t="str">
            <v>SAMI</v>
          </cell>
          <cell r="E662" t="str">
            <v>OPT-218</v>
          </cell>
          <cell r="F662">
            <v>40179</v>
          </cell>
          <cell r="G662" t="str">
            <v>-</v>
          </cell>
          <cell r="H662" t="str">
            <v>-</v>
          </cell>
          <cell r="I662" t="str">
            <v>OTHERS</v>
          </cell>
          <cell r="J662" t="str">
            <v>AT HOME</v>
          </cell>
          <cell r="K662" t="str">
            <v>ALL</v>
          </cell>
          <cell r="L662" t="str">
            <v>ALL</v>
          </cell>
          <cell r="M662" t="str">
            <v>AT HOME</v>
          </cell>
          <cell r="N662" t="str">
            <v>CUTI DI LUAR TANGGUNGAN</v>
          </cell>
          <cell r="O662" t="str">
            <v>OTHERS IDL</v>
          </cell>
          <cell r="P662" t="str">
            <v>-</v>
          </cell>
          <cell r="Q662" t="str">
            <v>ADM</v>
          </cell>
          <cell r="R662" t="str">
            <v>PERMANENT</v>
          </cell>
          <cell r="S662" t="str">
            <v>PRM</v>
          </cell>
          <cell r="T662" t="str">
            <v>OPT</v>
          </cell>
          <cell r="U662" t="str">
            <v>-</v>
          </cell>
          <cell r="V662" t="str">
            <v>P</v>
          </cell>
          <cell r="W662">
            <v>33</v>
          </cell>
        </row>
        <row r="663">
          <cell r="A663">
            <v>9030</v>
          </cell>
          <cell r="B663" t="str">
            <v>009030</v>
          </cell>
          <cell r="C663" t="str">
            <v>WANTI</v>
          </cell>
          <cell r="D663" t="str">
            <v>SAMI</v>
          </cell>
          <cell r="E663" t="str">
            <v>OPT-201</v>
          </cell>
          <cell r="F663">
            <v>39975</v>
          </cell>
          <cell r="G663" t="str">
            <v>-</v>
          </cell>
          <cell r="H663" t="str">
            <v>-</v>
          </cell>
          <cell r="I663" t="str">
            <v>PRD</v>
          </cell>
          <cell r="J663" t="str">
            <v>FINAL ASSY</v>
          </cell>
          <cell r="K663" t="str">
            <v>HONDA NES</v>
          </cell>
          <cell r="L663" t="str">
            <v>HONDA NES HEV PET ENGINE</v>
          </cell>
          <cell r="M663" t="str">
            <v>CV H03</v>
          </cell>
          <cell r="N663" t="str">
            <v>PRD LINE CHO</v>
          </cell>
          <cell r="O663" t="str">
            <v>FPI LL</v>
          </cell>
          <cell r="P663" t="str">
            <v>A</v>
          </cell>
          <cell r="Q663" t="str">
            <v>PI</v>
          </cell>
          <cell r="R663" t="str">
            <v>PERMANENT</v>
          </cell>
          <cell r="S663" t="str">
            <v>PRM</v>
          </cell>
          <cell r="T663" t="str">
            <v>LC</v>
          </cell>
          <cell r="U663" t="str">
            <v>-</v>
          </cell>
          <cell r="V663" t="str">
            <v>P</v>
          </cell>
          <cell r="W663">
            <v>36</v>
          </cell>
        </row>
        <row r="664">
          <cell r="A664">
            <v>9084</v>
          </cell>
          <cell r="B664" t="str">
            <v>009084</v>
          </cell>
          <cell r="C664" t="str">
            <v>RINA MARYANA</v>
          </cell>
          <cell r="D664" t="str">
            <v>SAMI</v>
          </cell>
          <cell r="E664" t="str">
            <v>OPT-203</v>
          </cell>
          <cell r="F664">
            <v>39993</v>
          </cell>
          <cell r="G664" t="str">
            <v>-</v>
          </cell>
          <cell r="H664" t="str">
            <v>-</v>
          </cell>
          <cell r="I664" t="str">
            <v>PRD</v>
          </cell>
          <cell r="J664" t="str">
            <v>FINAL ASSY</v>
          </cell>
          <cell r="K664" t="str">
            <v>HONDA NES</v>
          </cell>
          <cell r="L664" t="str">
            <v>HONDA NES HEV PET ENGINE</v>
          </cell>
          <cell r="M664" t="str">
            <v>CV H03</v>
          </cell>
          <cell r="N664" t="str">
            <v>OFFLINE CLIP 1</v>
          </cell>
          <cell r="O664" t="str">
            <v>ASSEMBLY</v>
          </cell>
          <cell r="P664" t="str">
            <v>A</v>
          </cell>
          <cell r="Q664" t="str">
            <v>DL</v>
          </cell>
          <cell r="R664" t="str">
            <v>PERMANENT</v>
          </cell>
          <cell r="S664" t="str">
            <v>PRM</v>
          </cell>
          <cell r="T664" t="str">
            <v>OPT</v>
          </cell>
          <cell r="U664" t="str">
            <v>-</v>
          </cell>
          <cell r="V664" t="str">
            <v>P</v>
          </cell>
          <cell r="W664">
            <v>33</v>
          </cell>
        </row>
        <row r="665">
          <cell r="A665">
            <v>9970</v>
          </cell>
          <cell r="B665" t="str">
            <v>009970</v>
          </cell>
          <cell r="C665" t="str">
            <v>SITI NURYATI</v>
          </cell>
          <cell r="D665" t="str">
            <v>SAMI</v>
          </cell>
          <cell r="E665" t="str">
            <v>OPT-246</v>
          </cell>
          <cell r="F665">
            <v>40431</v>
          </cell>
          <cell r="G665" t="str">
            <v>-</v>
          </cell>
          <cell r="H665" t="str">
            <v>-</v>
          </cell>
          <cell r="I665" t="str">
            <v>PRD</v>
          </cell>
          <cell r="J665" t="str">
            <v>FINAL ASSY</v>
          </cell>
          <cell r="K665" t="str">
            <v>HONDA NES</v>
          </cell>
          <cell r="L665" t="str">
            <v>HONDA NES HEV PET ENGINE</v>
          </cell>
          <cell r="M665" t="str">
            <v>CV H03</v>
          </cell>
          <cell r="N665" t="str">
            <v>SUB LINE CHO</v>
          </cell>
          <cell r="O665" t="str">
            <v>GL</v>
          </cell>
          <cell r="P665" t="str">
            <v>A</v>
          </cell>
          <cell r="Q665" t="str">
            <v>PI</v>
          </cell>
          <cell r="R665" t="str">
            <v>PERMANENT</v>
          </cell>
          <cell r="S665" t="str">
            <v>PRM</v>
          </cell>
          <cell r="T665" t="str">
            <v>SLC</v>
          </cell>
          <cell r="U665" t="str">
            <v>-</v>
          </cell>
          <cell r="V665" t="str">
            <v>P</v>
          </cell>
          <cell r="W665">
            <v>32</v>
          </cell>
        </row>
        <row r="666">
          <cell r="A666">
            <v>9624</v>
          </cell>
          <cell r="B666" t="str">
            <v>009624</v>
          </cell>
          <cell r="C666" t="str">
            <v>PRATOMO HADINATA</v>
          </cell>
          <cell r="D666" t="str">
            <v>SAMI</v>
          </cell>
          <cell r="E666" t="str">
            <v>OPT-218</v>
          </cell>
          <cell r="F666">
            <v>40179</v>
          </cell>
          <cell r="G666" t="str">
            <v>-</v>
          </cell>
          <cell r="H666" t="str">
            <v>-</v>
          </cell>
          <cell r="I666" t="str">
            <v>OTHERS</v>
          </cell>
          <cell r="J666" t="str">
            <v>BUFFER MP</v>
          </cell>
          <cell r="K666" t="str">
            <v>ALL</v>
          </cell>
          <cell r="L666" t="str">
            <v>ALL</v>
          </cell>
          <cell r="M666" t="str">
            <v>BUFFER MP SAMI</v>
          </cell>
          <cell r="N666" t="str">
            <v>BUFFER MP</v>
          </cell>
          <cell r="O666" t="str">
            <v>OTHERS IDL</v>
          </cell>
          <cell r="P666" t="str">
            <v>A (NS)</v>
          </cell>
          <cell r="Q666" t="str">
            <v>ADM</v>
          </cell>
          <cell r="R666" t="str">
            <v>PERMANENT</v>
          </cell>
          <cell r="S666" t="str">
            <v>PRM</v>
          </cell>
          <cell r="T666" t="str">
            <v>GL</v>
          </cell>
          <cell r="U666" t="str">
            <v>-</v>
          </cell>
          <cell r="V666" t="str">
            <v>L</v>
          </cell>
          <cell r="W666">
            <v>33</v>
          </cell>
        </row>
        <row r="667">
          <cell r="A667">
            <v>9995</v>
          </cell>
          <cell r="B667" t="str">
            <v>009995</v>
          </cell>
          <cell r="C667" t="str">
            <v>ANITA WIJI WINATA</v>
          </cell>
          <cell r="D667" t="str">
            <v>SAMI</v>
          </cell>
          <cell r="E667" t="str">
            <v>OPT-247</v>
          </cell>
          <cell r="F667">
            <v>40438</v>
          </cell>
          <cell r="G667" t="str">
            <v>-</v>
          </cell>
          <cell r="H667" t="str">
            <v>-</v>
          </cell>
          <cell r="I667" t="str">
            <v>PRD</v>
          </cell>
          <cell r="J667" t="str">
            <v>FINAL ASSY</v>
          </cell>
          <cell r="K667" t="str">
            <v>HONDA NES</v>
          </cell>
          <cell r="L667" t="str">
            <v>HONDA NES HEV PET ENGINE</v>
          </cell>
          <cell r="M667" t="str">
            <v>CV H03</v>
          </cell>
          <cell r="N667" t="str">
            <v>T/P 8</v>
          </cell>
          <cell r="O667" t="str">
            <v>ASSEMBLY</v>
          </cell>
          <cell r="P667" t="str">
            <v>A</v>
          </cell>
          <cell r="Q667" t="str">
            <v>DL</v>
          </cell>
          <cell r="R667" t="str">
            <v>PERMANENT</v>
          </cell>
          <cell r="S667" t="str">
            <v>PRM</v>
          </cell>
          <cell r="T667" t="str">
            <v>OPT</v>
          </cell>
          <cell r="U667" t="str">
            <v>-</v>
          </cell>
          <cell r="V667" t="str">
            <v>P</v>
          </cell>
          <cell r="W667">
            <v>32</v>
          </cell>
        </row>
        <row r="668">
          <cell r="A668">
            <v>9633</v>
          </cell>
          <cell r="B668" t="str">
            <v>009633</v>
          </cell>
          <cell r="C668" t="str">
            <v>SITI NURIYAH</v>
          </cell>
          <cell r="D668" t="str">
            <v>SAMI</v>
          </cell>
          <cell r="E668" t="str">
            <v>OPT-218</v>
          </cell>
          <cell r="F668">
            <v>40179</v>
          </cell>
          <cell r="G668" t="str">
            <v>-</v>
          </cell>
          <cell r="H668" t="str">
            <v>-</v>
          </cell>
          <cell r="I668" t="str">
            <v>QA</v>
          </cell>
          <cell r="J668" t="str">
            <v>FINAL ASSY</v>
          </cell>
          <cell r="K668" t="str">
            <v>HONDA FREED</v>
          </cell>
          <cell r="L668" t="str">
            <v>HONDA FREED W/H FLOOR</v>
          </cell>
          <cell r="M668" t="str">
            <v>CV 4</v>
          </cell>
          <cell r="N668" t="str">
            <v>GL INSPECTION</v>
          </cell>
          <cell r="O668" t="str">
            <v>GL</v>
          </cell>
          <cell r="P668" t="str">
            <v>A</v>
          </cell>
          <cell r="Q668" t="str">
            <v>PI</v>
          </cell>
          <cell r="R668" t="str">
            <v>PERMANENT</v>
          </cell>
          <cell r="S668" t="str">
            <v>PRM</v>
          </cell>
          <cell r="T668" t="str">
            <v>GL</v>
          </cell>
          <cell r="U668" t="str">
            <v>-</v>
          </cell>
          <cell r="V668" t="str">
            <v>P</v>
          </cell>
          <cell r="W668">
            <v>34</v>
          </cell>
        </row>
        <row r="669">
          <cell r="A669">
            <v>9644</v>
          </cell>
          <cell r="B669" t="str">
            <v>009644</v>
          </cell>
          <cell r="C669" t="str">
            <v>UMI LATIFAH</v>
          </cell>
          <cell r="D669" t="str">
            <v>SAMI</v>
          </cell>
          <cell r="E669" t="str">
            <v>OPT-218</v>
          </cell>
          <cell r="F669">
            <v>40179</v>
          </cell>
          <cell r="G669" t="str">
            <v>-</v>
          </cell>
          <cell r="H669" t="str">
            <v>-</v>
          </cell>
          <cell r="I669" t="str">
            <v>QA</v>
          </cell>
          <cell r="J669" t="str">
            <v>FINAL ASSY</v>
          </cell>
          <cell r="K669" t="str">
            <v>TOYOTA</v>
          </cell>
          <cell r="L669" t="str">
            <v>AQUA SIENTA</v>
          </cell>
          <cell r="M669" t="str">
            <v>CV T01</v>
          </cell>
          <cell r="N669" t="str">
            <v>GL REWORK</v>
          </cell>
          <cell r="O669" t="str">
            <v>REWORK</v>
          </cell>
          <cell r="P669" t="str">
            <v>A</v>
          </cell>
          <cell r="Q669" t="str">
            <v>PI</v>
          </cell>
          <cell r="R669" t="str">
            <v>PERMANENT</v>
          </cell>
          <cell r="S669" t="str">
            <v>PRM</v>
          </cell>
          <cell r="T669" t="str">
            <v>GL</v>
          </cell>
          <cell r="U669" t="str">
            <v>-</v>
          </cell>
          <cell r="V669" t="str">
            <v>P</v>
          </cell>
          <cell r="W669">
            <v>33</v>
          </cell>
        </row>
        <row r="670">
          <cell r="A670">
            <v>10751</v>
          </cell>
          <cell r="B670" t="str">
            <v>010751</v>
          </cell>
          <cell r="C670" t="str">
            <v>RETNO WULAN SETYANINGRUM</v>
          </cell>
          <cell r="D670" t="str">
            <v>SAMI</v>
          </cell>
          <cell r="E670" t="str">
            <v>OPT-281</v>
          </cell>
          <cell r="F670">
            <v>40566</v>
          </cell>
          <cell r="G670" t="str">
            <v>-</v>
          </cell>
          <cell r="H670" t="str">
            <v>-</v>
          </cell>
          <cell r="I670" t="str">
            <v>PRD</v>
          </cell>
          <cell r="J670" t="str">
            <v>FINAL ASSY</v>
          </cell>
          <cell r="K670" t="str">
            <v>HONDA NES</v>
          </cell>
          <cell r="L670" t="str">
            <v>HONDA NES HEV PET ENGINE</v>
          </cell>
          <cell r="M670" t="str">
            <v>CV H03</v>
          </cell>
          <cell r="N670" t="str">
            <v>S/A 7</v>
          </cell>
          <cell r="O670" t="str">
            <v>SUB ASSY</v>
          </cell>
          <cell r="P670" t="str">
            <v>A</v>
          </cell>
          <cell r="Q670" t="str">
            <v>DL</v>
          </cell>
          <cell r="R670" t="str">
            <v>PERMANENT</v>
          </cell>
          <cell r="S670" t="str">
            <v>PRM</v>
          </cell>
          <cell r="T670" t="str">
            <v>OPT</v>
          </cell>
          <cell r="U670" t="str">
            <v>-</v>
          </cell>
          <cell r="V670" t="str">
            <v>P</v>
          </cell>
          <cell r="W670">
            <v>35</v>
          </cell>
        </row>
        <row r="671">
          <cell r="A671">
            <v>10762</v>
          </cell>
          <cell r="B671" t="str">
            <v>010762</v>
          </cell>
          <cell r="C671" t="str">
            <v>WIHAYA PURMANA SARI</v>
          </cell>
          <cell r="D671" t="str">
            <v>SAMI</v>
          </cell>
          <cell r="E671" t="str">
            <v>OPT-281</v>
          </cell>
          <cell r="F671">
            <v>40566</v>
          </cell>
          <cell r="G671" t="str">
            <v>-</v>
          </cell>
          <cell r="H671" t="str">
            <v>-</v>
          </cell>
          <cell r="I671" t="str">
            <v>PRD</v>
          </cell>
          <cell r="J671" t="str">
            <v>FINAL ASSY</v>
          </cell>
          <cell r="K671" t="str">
            <v>HONDA NES</v>
          </cell>
          <cell r="L671" t="str">
            <v>HONDA NES HEV PET ENGINE</v>
          </cell>
          <cell r="M671" t="str">
            <v>CV H03</v>
          </cell>
          <cell r="N671" t="str">
            <v>T/P 6.2</v>
          </cell>
          <cell r="O671" t="str">
            <v>ASSEMBLY</v>
          </cell>
          <cell r="P671" t="str">
            <v>A</v>
          </cell>
          <cell r="Q671" t="str">
            <v>DL</v>
          </cell>
          <cell r="R671" t="str">
            <v>PERMANENT</v>
          </cell>
          <cell r="S671" t="str">
            <v>PRM</v>
          </cell>
          <cell r="T671" t="str">
            <v>OPT</v>
          </cell>
          <cell r="U671" t="str">
            <v>-</v>
          </cell>
          <cell r="V671" t="str">
            <v>P</v>
          </cell>
          <cell r="W671">
            <v>34</v>
          </cell>
        </row>
        <row r="672">
          <cell r="A672">
            <v>9681</v>
          </cell>
          <cell r="B672" t="str">
            <v>009681</v>
          </cell>
          <cell r="C672" t="str">
            <v>EKO WULAN SAFITRI</v>
          </cell>
          <cell r="D672" t="str">
            <v>SAMI</v>
          </cell>
          <cell r="E672" t="str">
            <v>OPT-222</v>
          </cell>
          <cell r="F672">
            <v>40297</v>
          </cell>
          <cell r="G672" t="str">
            <v>-</v>
          </cell>
          <cell r="H672" t="str">
            <v>-</v>
          </cell>
          <cell r="I672" t="str">
            <v>OTHERS</v>
          </cell>
          <cell r="J672" t="str">
            <v>AT HOME</v>
          </cell>
          <cell r="K672" t="str">
            <v>ALL</v>
          </cell>
          <cell r="L672" t="str">
            <v>ALL</v>
          </cell>
          <cell r="M672" t="str">
            <v>AT HOME</v>
          </cell>
          <cell r="N672" t="str">
            <v>CUTI DI LUAR TANGGUNGAN</v>
          </cell>
          <cell r="O672" t="str">
            <v>OTHERS IDL</v>
          </cell>
          <cell r="P672" t="str">
            <v>-</v>
          </cell>
          <cell r="Q672" t="str">
            <v>ADM</v>
          </cell>
          <cell r="R672" t="str">
            <v>PERMANENT</v>
          </cell>
          <cell r="S672" t="str">
            <v>PRM</v>
          </cell>
          <cell r="T672" t="str">
            <v>GL</v>
          </cell>
          <cell r="U672" t="str">
            <v>-</v>
          </cell>
          <cell r="V672" t="str">
            <v>P</v>
          </cell>
          <cell r="W672">
            <v>33</v>
          </cell>
        </row>
        <row r="673">
          <cell r="A673">
            <v>11301</v>
          </cell>
          <cell r="B673" t="str">
            <v>011301</v>
          </cell>
          <cell r="C673" t="str">
            <v>TRI LESTARI</v>
          </cell>
          <cell r="D673" t="str">
            <v>SAMI</v>
          </cell>
          <cell r="E673" t="str">
            <v>OPT-297</v>
          </cell>
          <cell r="F673">
            <v>40646</v>
          </cell>
          <cell r="G673" t="str">
            <v>-</v>
          </cell>
          <cell r="H673" t="str">
            <v>-</v>
          </cell>
          <cell r="I673" t="str">
            <v>PRD</v>
          </cell>
          <cell r="J673" t="str">
            <v>FINAL ASSY</v>
          </cell>
          <cell r="K673" t="str">
            <v>HONDA NES</v>
          </cell>
          <cell r="L673" t="str">
            <v>HONDA NES HEV PET ENGINE</v>
          </cell>
          <cell r="M673" t="str">
            <v>CV H03</v>
          </cell>
          <cell r="N673" t="str">
            <v>VISUAL 2.3</v>
          </cell>
          <cell r="O673" t="str">
            <v>VISUAL INSPECTION</v>
          </cell>
          <cell r="P673" t="str">
            <v>A</v>
          </cell>
          <cell r="Q673" t="str">
            <v>DL</v>
          </cell>
          <cell r="R673" t="str">
            <v>PERMANENT</v>
          </cell>
          <cell r="S673" t="str">
            <v>PRM</v>
          </cell>
          <cell r="T673" t="str">
            <v>OPT</v>
          </cell>
          <cell r="U673" t="str">
            <v>-</v>
          </cell>
          <cell r="V673" t="str">
            <v>P</v>
          </cell>
          <cell r="W673">
            <v>35</v>
          </cell>
        </row>
        <row r="674">
          <cell r="A674">
            <v>11324</v>
          </cell>
          <cell r="B674" t="str">
            <v>011324</v>
          </cell>
          <cell r="C674" t="str">
            <v>ISWATUN HASANAH</v>
          </cell>
          <cell r="D674" t="str">
            <v>SAMI</v>
          </cell>
          <cell r="E674" t="str">
            <v>OPT-300</v>
          </cell>
          <cell r="F674">
            <v>40666</v>
          </cell>
          <cell r="G674" t="str">
            <v>-</v>
          </cell>
          <cell r="H674" t="str">
            <v>-</v>
          </cell>
          <cell r="I674" t="str">
            <v>PRD</v>
          </cell>
          <cell r="J674" t="str">
            <v>FINAL ASSY</v>
          </cell>
          <cell r="K674" t="str">
            <v>HONDA NES</v>
          </cell>
          <cell r="L674" t="str">
            <v>HONDA NES HEV PET ENGINE</v>
          </cell>
          <cell r="M674" t="str">
            <v>CV H03</v>
          </cell>
          <cell r="N674" t="str">
            <v>VISUAL 1.1</v>
          </cell>
          <cell r="O674" t="str">
            <v>VISUAL INSPECTION</v>
          </cell>
          <cell r="P674" t="str">
            <v>A</v>
          </cell>
          <cell r="Q674" t="str">
            <v>DL</v>
          </cell>
          <cell r="R674" t="str">
            <v>PERMANENT</v>
          </cell>
          <cell r="S674" t="str">
            <v>PRM</v>
          </cell>
          <cell r="T674" t="str">
            <v>OPT</v>
          </cell>
          <cell r="U674" t="str">
            <v>-</v>
          </cell>
          <cell r="V674" t="str">
            <v>P</v>
          </cell>
          <cell r="W674">
            <v>33</v>
          </cell>
        </row>
        <row r="675">
          <cell r="A675">
            <v>11442</v>
          </cell>
          <cell r="B675" t="str">
            <v>011442</v>
          </cell>
          <cell r="C675" t="str">
            <v>IKA SARI</v>
          </cell>
          <cell r="D675" t="str">
            <v>SAMI</v>
          </cell>
          <cell r="E675" t="str">
            <v>OPT-306</v>
          </cell>
          <cell r="F675">
            <v>40701</v>
          </cell>
          <cell r="G675" t="str">
            <v>-</v>
          </cell>
          <cell r="H675" t="str">
            <v>-</v>
          </cell>
          <cell r="I675" t="str">
            <v>PRD</v>
          </cell>
          <cell r="J675" t="str">
            <v>FINAL ASSY</v>
          </cell>
          <cell r="K675" t="str">
            <v>HONDA NES</v>
          </cell>
          <cell r="L675" t="str">
            <v>HONDA NES HEV PET ENGINE</v>
          </cell>
          <cell r="M675" t="str">
            <v>CV H03</v>
          </cell>
          <cell r="N675" t="str">
            <v>VISUAL 1.4</v>
          </cell>
          <cell r="O675" t="str">
            <v>VISUAL INSPECTION</v>
          </cell>
          <cell r="P675" t="str">
            <v>A</v>
          </cell>
          <cell r="Q675" t="str">
            <v>DL</v>
          </cell>
          <cell r="R675" t="str">
            <v>PERMANENT</v>
          </cell>
          <cell r="S675" t="str">
            <v>PRM</v>
          </cell>
          <cell r="T675" t="str">
            <v>OPT</v>
          </cell>
          <cell r="U675" t="str">
            <v>-</v>
          </cell>
          <cell r="V675" t="str">
            <v>P</v>
          </cell>
          <cell r="W675">
            <v>32</v>
          </cell>
        </row>
        <row r="676">
          <cell r="A676">
            <v>9690</v>
          </cell>
          <cell r="B676" t="str">
            <v>009690</v>
          </cell>
          <cell r="C676" t="str">
            <v>RANNY PRI AGUSTIANI</v>
          </cell>
          <cell r="D676" t="str">
            <v>SAMI</v>
          </cell>
          <cell r="E676" t="str">
            <v>OPT-222</v>
          </cell>
          <cell r="F676">
            <v>40297</v>
          </cell>
          <cell r="G676" t="str">
            <v>-</v>
          </cell>
          <cell r="H676" t="str">
            <v>-</v>
          </cell>
          <cell r="I676" t="str">
            <v>PP</v>
          </cell>
          <cell r="J676" t="str">
            <v>OS &amp; IMPR</v>
          </cell>
          <cell r="K676" t="str">
            <v>ALL</v>
          </cell>
          <cell r="L676" t="str">
            <v>ALL</v>
          </cell>
          <cell r="M676" t="str">
            <v>OS &amp; IMPR</v>
          </cell>
          <cell r="N676" t="str">
            <v>GROUP LEADER</v>
          </cell>
          <cell r="O676" t="str">
            <v>PROCESS ENG</v>
          </cell>
          <cell r="P676" t="str">
            <v>A (NS)</v>
          </cell>
          <cell r="Q676" t="str">
            <v>PS</v>
          </cell>
          <cell r="R676" t="str">
            <v>PERMANENT</v>
          </cell>
          <cell r="S676" t="str">
            <v>PRM</v>
          </cell>
          <cell r="T676" t="str">
            <v>GL</v>
          </cell>
          <cell r="U676" t="str">
            <v>-</v>
          </cell>
          <cell r="V676" t="str">
            <v>P</v>
          </cell>
          <cell r="W676">
            <v>33</v>
          </cell>
        </row>
        <row r="677">
          <cell r="A677">
            <v>11841</v>
          </cell>
          <cell r="B677" t="str">
            <v>011841</v>
          </cell>
          <cell r="C677" t="str">
            <v>SITI MUKAROMAH</v>
          </cell>
          <cell r="D677" t="str">
            <v>SAMI</v>
          </cell>
          <cell r="E677" t="str">
            <v>OPT-309</v>
          </cell>
          <cell r="F677">
            <v>40721</v>
          </cell>
          <cell r="G677" t="str">
            <v>-</v>
          </cell>
          <cell r="H677" t="str">
            <v>-</v>
          </cell>
          <cell r="I677" t="str">
            <v>PRD</v>
          </cell>
          <cell r="J677" t="str">
            <v>FINAL ASSY</v>
          </cell>
          <cell r="K677" t="str">
            <v>HONDA NES</v>
          </cell>
          <cell r="L677" t="str">
            <v>HONDA NES HEV PET ENGINE</v>
          </cell>
          <cell r="M677" t="str">
            <v>CV H03</v>
          </cell>
          <cell r="N677" t="str">
            <v>VISUAL 2.1</v>
          </cell>
          <cell r="O677" t="str">
            <v>VISUAL INSPECTION</v>
          </cell>
          <cell r="P677" t="str">
            <v>A</v>
          </cell>
          <cell r="Q677" t="str">
            <v>DL</v>
          </cell>
          <cell r="R677" t="str">
            <v>PERMANENT</v>
          </cell>
          <cell r="S677" t="str">
            <v>PRM</v>
          </cell>
          <cell r="T677" t="str">
            <v>OPT</v>
          </cell>
          <cell r="U677" t="str">
            <v>-</v>
          </cell>
          <cell r="V677" t="str">
            <v>P</v>
          </cell>
          <cell r="W677">
            <v>33</v>
          </cell>
        </row>
        <row r="678">
          <cell r="A678">
            <v>9707</v>
          </cell>
          <cell r="B678" t="str">
            <v>009707</v>
          </cell>
          <cell r="C678" t="str">
            <v>WULAN INTANNIA R.</v>
          </cell>
          <cell r="D678" t="str">
            <v>SAMI</v>
          </cell>
          <cell r="E678" t="str">
            <v>OPT-223</v>
          </cell>
          <cell r="F678">
            <v>40299</v>
          </cell>
          <cell r="G678" t="str">
            <v>-</v>
          </cell>
          <cell r="H678" t="str">
            <v>-</v>
          </cell>
          <cell r="I678" t="str">
            <v>PRD</v>
          </cell>
          <cell r="J678" t="str">
            <v>FINAL ASSY</v>
          </cell>
          <cell r="K678" t="str">
            <v>MAZDA 3</v>
          </cell>
          <cell r="L678" t="str">
            <v>MAZDA REAR</v>
          </cell>
          <cell r="M678" t="str">
            <v>CV M01</v>
          </cell>
          <cell r="N678" t="str">
            <v>PRD LINE CHO</v>
          </cell>
          <cell r="O678" t="str">
            <v>FPI LL</v>
          </cell>
          <cell r="P678" t="str">
            <v>B</v>
          </cell>
          <cell r="Q678" t="str">
            <v>PI</v>
          </cell>
          <cell r="R678" t="str">
            <v>PERMANENT</v>
          </cell>
          <cell r="S678" t="str">
            <v>PRM</v>
          </cell>
          <cell r="T678" t="str">
            <v>LC</v>
          </cell>
          <cell r="U678" t="str">
            <v>-</v>
          </cell>
          <cell r="V678" t="str">
            <v>P</v>
          </cell>
          <cell r="W678">
            <v>35</v>
          </cell>
        </row>
        <row r="679">
          <cell r="A679">
            <v>9716</v>
          </cell>
          <cell r="B679" t="str">
            <v>009716</v>
          </cell>
          <cell r="C679" t="str">
            <v>SOLEKHAH TUNGGAL D.</v>
          </cell>
          <cell r="D679" t="str">
            <v>SAMI</v>
          </cell>
          <cell r="E679" t="str">
            <v>OPT-223</v>
          </cell>
          <cell r="F679">
            <v>40299</v>
          </cell>
          <cell r="G679" t="str">
            <v>-</v>
          </cell>
          <cell r="H679" t="str">
            <v>-</v>
          </cell>
          <cell r="I679" t="str">
            <v>PRD</v>
          </cell>
          <cell r="J679" t="str">
            <v>PRE ASSY</v>
          </cell>
          <cell r="K679" t="str">
            <v>MAZDA 3</v>
          </cell>
          <cell r="L679" t="str">
            <v>MAZDA REAR</v>
          </cell>
          <cell r="M679" t="str">
            <v>CPA MAZDA J03</v>
          </cell>
          <cell r="N679" t="str">
            <v>INSP CUTTING</v>
          </cell>
          <cell r="O679" t="str">
            <v>P/A INSPECTOR</v>
          </cell>
          <cell r="P679" t="str">
            <v>B</v>
          </cell>
          <cell r="Q679" t="str">
            <v>PI</v>
          </cell>
          <cell r="R679" t="str">
            <v>PERMANENT</v>
          </cell>
          <cell r="S679" t="str">
            <v>PRM</v>
          </cell>
          <cell r="T679" t="str">
            <v>OPT</v>
          </cell>
          <cell r="U679" t="str">
            <v>-</v>
          </cell>
          <cell r="V679" t="str">
            <v>P</v>
          </cell>
          <cell r="W679">
            <v>37</v>
          </cell>
        </row>
        <row r="680">
          <cell r="A680">
            <v>11911</v>
          </cell>
          <cell r="B680" t="str">
            <v>011911</v>
          </cell>
          <cell r="C680" t="str">
            <v>ZULISTIYANI</v>
          </cell>
          <cell r="D680" t="str">
            <v>SAMI</v>
          </cell>
          <cell r="E680" t="str">
            <v>OPT-310</v>
          </cell>
          <cell r="F680">
            <v>40735</v>
          </cell>
          <cell r="G680" t="str">
            <v>-</v>
          </cell>
          <cell r="H680" t="str">
            <v>-</v>
          </cell>
          <cell r="I680" t="str">
            <v>PRD</v>
          </cell>
          <cell r="J680" t="str">
            <v>FINAL ASSY</v>
          </cell>
          <cell r="K680" t="str">
            <v>HONDA NES</v>
          </cell>
          <cell r="L680" t="str">
            <v>HONDA NES HEV PET ENGINE</v>
          </cell>
          <cell r="M680" t="str">
            <v>CV H03</v>
          </cell>
          <cell r="N680" t="str">
            <v>CHECKER 4</v>
          </cell>
          <cell r="O680" t="str">
            <v>ELECTRICAL INSPECTION</v>
          </cell>
          <cell r="P680" t="str">
            <v>A</v>
          </cell>
          <cell r="Q680" t="str">
            <v>DL</v>
          </cell>
          <cell r="R680" t="str">
            <v>PERMANENT</v>
          </cell>
          <cell r="S680" t="str">
            <v>PRM</v>
          </cell>
          <cell r="T680" t="str">
            <v>OPT</v>
          </cell>
          <cell r="U680" t="str">
            <v>-</v>
          </cell>
          <cell r="V680" t="str">
            <v>P</v>
          </cell>
          <cell r="W680">
            <v>31</v>
          </cell>
        </row>
        <row r="681">
          <cell r="A681">
            <v>9786</v>
          </cell>
          <cell r="B681" t="str">
            <v>009786</v>
          </cell>
          <cell r="C681" t="str">
            <v>MUJIONO</v>
          </cell>
          <cell r="D681" t="str">
            <v>SAMI</v>
          </cell>
          <cell r="E681" t="str">
            <v>TKN-51</v>
          </cell>
          <cell r="F681">
            <v>40330</v>
          </cell>
          <cell r="G681" t="str">
            <v>-</v>
          </cell>
          <cell r="H681" t="str">
            <v>-</v>
          </cell>
          <cell r="I681" t="str">
            <v>PE</v>
          </cell>
          <cell r="J681" t="str">
            <v>J/C BP</v>
          </cell>
          <cell r="K681" t="str">
            <v>ALL</v>
          </cell>
          <cell r="L681" t="str">
            <v>ALL</v>
          </cell>
          <cell r="M681" t="str">
            <v>CBP</v>
          </cell>
          <cell r="N681" t="str">
            <v>CHECKER BOARD FABRICATION</v>
          </cell>
          <cell r="O681" t="str">
            <v>CBP</v>
          </cell>
          <cell r="P681" t="str">
            <v>A (NS)</v>
          </cell>
          <cell r="Q681" t="str">
            <v>PS</v>
          </cell>
          <cell r="R681" t="str">
            <v>PERMANENT</v>
          </cell>
          <cell r="S681" t="str">
            <v>PRM</v>
          </cell>
          <cell r="T681" t="str">
            <v>TKN</v>
          </cell>
          <cell r="U681" t="str">
            <v>-</v>
          </cell>
          <cell r="V681" t="str">
            <v>L</v>
          </cell>
          <cell r="W681">
            <v>40</v>
          </cell>
        </row>
        <row r="682">
          <cell r="A682">
            <v>12683</v>
          </cell>
          <cell r="B682" t="str">
            <v>012683</v>
          </cell>
          <cell r="C682" t="str">
            <v>MUJIBUROKHMAN</v>
          </cell>
          <cell r="D682" t="str">
            <v>SAMI</v>
          </cell>
          <cell r="E682" t="str">
            <v>OPT-320</v>
          </cell>
          <cell r="F682">
            <v>40819</v>
          </cell>
          <cell r="G682" t="str">
            <v>-</v>
          </cell>
          <cell r="H682" t="str">
            <v>-</v>
          </cell>
          <cell r="I682" t="str">
            <v>PRD</v>
          </cell>
          <cell r="J682" t="str">
            <v>FINAL ASSY</v>
          </cell>
          <cell r="K682" t="str">
            <v>HONDA NES</v>
          </cell>
          <cell r="L682" t="str">
            <v>HONDA NES HEV PET ENGINE</v>
          </cell>
          <cell r="M682" t="str">
            <v>CV H03</v>
          </cell>
          <cell r="N682" t="str">
            <v>CHECKER 1</v>
          </cell>
          <cell r="O682" t="str">
            <v>ELECTRICAL INSPECTION</v>
          </cell>
          <cell r="P682" t="str">
            <v>A</v>
          </cell>
          <cell r="Q682" t="str">
            <v>DL</v>
          </cell>
          <cell r="R682" t="str">
            <v>PERMANENT</v>
          </cell>
          <cell r="S682" t="str">
            <v>PRM</v>
          </cell>
          <cell r="T682" t="str">
            <v>OPT</v>
          </cell>
          <cell r="U682" t="str">
            <v>-</v>
          </cell>
          <cell r="V682" t="str">
            <v>L</v>
          </cell>
          <cell r="W682">
            <v>33</v>
          </cell>
        </row>
        <row r="683">
          <cell r="A683">
            <v>9801</v>
          </cell>
          <cell r="B683" t="str">
            <v>009801</v>
          </cell>
          <cell r="C683" t="str">
            <v>SITI MAHMUDAH</v>
          </cell>
          <cell r="D683" t="str">
            <v>SAMI</v>
          </cell>
          <cell r="E683" t="str">
            <v>OPT-232</v>
          </cell>
          <cell r="F683">
            <v>40360</v>
          </cell>
          <cell r="G683" t="str">
            <v>-</v>
          </cell>
          <cell r="H683" t="str">
            <v>-</v>
          </cell>
          <cell r="I683" t="str">
            <v>PRD</v>
          </cell>
          <cell r="J683" t="str">
            <v>FINAL ASSY</v>
          </cell>
          <cell r="K683" t="str">
            <v>MAZDA 3</v>
          </cell>
          <cell r="L683" t="str">
            <v>MAZDA REAR</v>
          </cell>
          <cell r="M683" t="str">
            <v>CV M01</v>
          </cell>
          <cell r="N683" t="str">
            <v>SUB LINE CHO</v>
          </cell>
          <cell r="O683" t="str">
            <v>GL</v>
          </cell>
          <cell r="P683" t="str">
            <v>B</v>
          </cell>
          <cell r="Q683" t="str">
            <v>PI</v>
          </cell>
          <cell r="R683" t="str">
            <v>PERMANENT</v>
          </cell>
          <cell r="S683" t="str">
            <v>PRM</v>
          </cell>
          <cell r="T683" t="str">
            <v>SLC</v>
          </cell>
          <cell r="U683" t="str">
            <v>-</v>
          </cell>
          <cell r="V683" t="str">
            <v>P</v>
          </cell>
          <cell r="W683">
            <v>36</v>
          </cell>
        </row>
        <row r="684">
          <cell r="A684">
            <v>13471</v>
          </cell>
          <cell r="B684" t="str">
            <v>013471</v>
          </cell>
          <cell r="C684" t="str">
            <v>AGUSTINA DEWI WIJAYANTI</v>
          </cell>
          <cell r="D684" t="str">
            <v>SAMI</v>
          </cell>
          <cell r="E684" t="str">
            <v>OPT-339</v>
          </cell>
          <cell r="F684">
            <v>40945</v>
          </cell>
          <cell r="G684" t="str">
            <v>-</v>
          </cell>
          <cell r="H684" t="str">
            <v>-</v>
          </cell>
          <cell r="I684" t="str">
            <v>PRD</v>
          </cell>
          <cell r="J684" t="str">
            <v>FINAL ASSY</v>
          </cell>
          <cell r="K684" t="str">
            <v>HONDA NES</v>
          </cell>
          <cell r="L684" t="str">
            <v>HONDA NES HEV PET ENGINE</v>
          </cell>
          <cell r="M684" t="str">
            <v>CV H03</v>
          </cell>
          <cell r="N684" t="str">
            <v>INSERTION GROUP</v>
          </cell>
          <cell r="O684" t="str">
            <v>SUB ASSY</v>
          </cell>
          <cell r="P684" t="str">
            <v>A (NS)</v>
          </cell>
          <cell r="Q684" t="str">
            <v>DL</v>
          </cell>
          <cell r="R684" t="str">
            <v>PERMANENT</v>
          </cell>
          <cell r="S684" t="str">
            <v>PRM</v>
          </cell>
          <cell r="T684" t="str">
            <v>OPT</v>
          </cell>
          <cell r="U684" t="str">
            <v>-</v>
          </cell>
          <cell r="V684" t="str">
            <v>P</v>
          </cell>
          <cell r="W684">
            <v>31</v>
          </cell>
        </row>
        <row r="685">
          <cell r="A685">
            <v>9849</v>
          </cell>
          <cell r="B685" t="str">
            <v>009849</v>
          </cell>
          <cell r="C685" t="str">
            <v>DEWI LESTARI BIASTUTI</v>
          </cell>
          <cell r="D685" t="str">
            <v>SAMI</v>
          </cell>
          <cell r="E685" t="str">
            <v>OPT-240</v>
          </cell>
          <cell r="F685">
            <v>40411</v>
          </cell>
          <cell r="G685" t="str">
            <v>-</v>
          </cell>
          <cell r="H685" t="str">
            <v>-</v>
          </cell>
          <cell r="I685" t="str">
            <v>PRD</v>
          </cell>
          <cell r="J685" t="str">
            <v>FINAL ASSY</v>
          </cell>
          <cell r="K685" t="str">
            <v>HONDA NES</v>
          </cell>
          <cell r="L685" t="str">
            <v>HONDA NES HEV PET ENGINE</v>
          </cell>
          <cell r="M685" t="str">
            <v>CV H04</v>
          </cell>
          <cell r="N685" t="str">
            <v>CHECKER 4</v>
          </cell>
          <cell r="O685" t="str">
            <v>ELECTRICAL INSPECTION</v>
          </cell>
          <cell r="P685" t="str">
            <v>B</v>
          </cell>
          <cell r="Q685" t="str">
            <v>DL</v>
          </cell>
          <cell r="R685" t="str">
            <v>PERMANENT</v>
          </cell>
          <cell r="S685" t="str">
            <v>PRM</v>
          </cell>
          <cell r="T685" t="str">
            <v>OPT</v>
          </cell>
          <cell r="U685" t="str">
            <v>-</v>
          </cell>
          <cell r="V685" t="str">
            <v>P</v>
          </cell>
          <cell r="W685">
            <v>33</v>
          </cell>
        </row>
        <row r="686">
          <cell r="A686">
            <v>9853</v>
          </cell>
          <cell r="B686" t="str">
            <v>009853</v>
          </cell>
          <cell r="C686" t="str">
            <v>MAULIDATUL CHASANAH</v>
          </cell>
          <cell r="D686" t="str">
            <v>SAMI</v>
          </cell>
          <cell r="E686" t="str">
            <v>OPT-240</v>
          </cell>
          <cell r="F686">
            <v>40411</v>
          </cell>
          <cell r="G686" t="str">
            <v>-</v>
          </cell>
          <cell r="H686" t="str">
            <v>-</v>
          </cell>
          <cell r="I686" t="str">
            <v>PRD</v>
          </cell>
          <cell r="J686" t="str">
            <v>FINAL ASSY</v>
          </cell>
          <cell r="K686" t="str">
            <v>TOYOTA</v>
          </cell>
          <cell r="L686" t="str">
            <v>AQUA SIENTA</v>
          </cell>
          <cell r="M686" t="str">
            <v>CV T01</v>
          </cell>
          <cell r="N686" t="str">
            <v>OJT T/P S/P 2.2</v>
          </cell>
          <cell r="O686" t="str">
            <v>OTHERS</v>
          </cell>
          <cell r="P686" t="str">
            <v>B</v>
          </cell>
          <cell r="Q686" t="str">
            <v>PI</v>
          </cell>
          <cell r="R686" t="str">
            <v>PERMANENT</v>
          </cell>
          <cell r="S686" t="str">
            <v>PRM</v>
          </cell>
          <cell r="T686" t="str">
            <v>OPT</v>
          </cell>
          <cell r="U686" t="str">
            <v>-</v>
          </cell>
          <cell r="V686" t="str">
            <v>P</v>
          </cell>
          <cell r="W686">
            <v>33</v>
          </cell>
        </row>
        <row r="687">
          <cell r="A687">
            <v>15439</v>
          </cell>
          <cell r="B687" t="str">
            <v>015439</v>
          </cell>
          <cell r="C687" t="str">
            <v>NAWAROTUL ARDHIYAH</v>
          </cell>
          <cell r="D687" t="str">
            <v>SAMI</v>
          </cell>
          <cell r="E687" t="str">
            <v>OPT-388</v>
          </cell>
          <cell r="F687">
            <v>41445</v>
          </cell>
          <cell r="G687" t="str">
            <v>-</v>
          </cell>
          <cell r="H687" t="str">
            <v>-</v>
          </cell>
          <cell r="I687" t="str">
            <v>PRD</v>
          </cell>
          <cell r="J687" t="str">
            <v>FINAL ASSY</v>
          </cell>
          <cell r="K687" t="str">
            <v>HONDA NES</v>
          </cell>
          <cell r="L687" t="str">
            <v>HONDA NES HEV PET ENGINE</v>
          </cell>
          <cell r="M687" t="str">
            <v>CV H03</v>
          </cell>
          <cell r="N687" t="str">
            <v>VISUAL 1.2</v>
          </cell>
          <cell r="O687" t="str">
            <v>VISUAL INSPECTION</v>
          </cell>
          <cell r="P687" t="str">
            <v>A</v>
          </cell>
          <cell r="Q687" t="str">
            <v>DL</v>
          </cell>
          <cell r="R687" t="str">
            <v>PERMANENT</v>
          </cell>
          <cell r="S687" t="str">
            <v>PRM</v>
          </cell>
          <cell r="T687" t="str">
            <v>OPT</v>
          </cell>
          <cell r="U687" t="str">
            <v>-</v>
          </cell>
          <cell r="V687" t="str">
            <v>P</v>
          </cell>
          <cell r="W687">
            <v>29</v>
          </cell>
        </row>
        <row r="688">
          <cell r="A688">
            <v>16833</v>
          </cell>
          <cell r="B688" t="str">
            <v>016833</v>
          </cell>
          <cell r="C688" t="str">
            <v>SARIR MUTTAQIN</v>
          </cell>
          <cell r="D688" t="str">
            <v>SAMI</v>
          </cell>
          <cell r="E688" t="str">
            <v>OPT-427</v>
          </cell>
          <cell r="F688">
            <v>41694</v>
          </cell>
          <cell r="G688" t="str">
            <v>-</v>
          </cell>
          <cell r="H688" t="str">
            <v>-</v>
          </cell>
          <cell r="I688" t="str">
            <v>PRD</v>
          </cell>
          <cell r="J688" t="str">
            <v>FINAL ASSY</v>
          </cell>
          <cell r="K688" t="str">
            <v>HONDA NES</v>
          </cell>
          <cell r="L688" t="str">
            <v>HONDA NES HEV PET ENGINE</v>
          </cell>
          <cell r="M688" t="str">
            <v>CV H03</v>
          </cell>
          <cell r="N688" t="str">
            <v>SHIAGE 2.2</v>
          </cell>
          <cell r="O688" t="str">
            <v>ASSEMBLY</v>
          </cell>
          <cell r="P688" t="str">
            <v>A</v>
          </cell>
          <cell r="Q688" t="str">
            <v>DL</v>
          </cell>
          <cell r="R688" t="str">
            <v>PERMANENT</v>
          </cell>
          <cell r="S688" t="str">
            <v>PRM</v>
          </cell>
          <cell r="T688" t="str">
            <v>OPT</v>
          </cell>
          <cell r="U688" t="str">
            <v>-</v>
          </cell>
          <cell r="V688" t="str">
            <v>L</v>
          </cell>
          <cell r="W688">
            <v>29</v>
          </cell>
        </row>
        <row r="689">
          <cell r="A689">
            <v>9864</v>
          </cell>
          <cell r="B689" t="str">
            <v>009864</v>
          </cell>
          <cell r="C689" t="str">
            <v>SITI NUR CHOLIFAH</v>
          </cell>
          <cell r="D689" t="str">
            <v>SAMI</v>
          </cell>
          <cell r="E689" t="str">
            <v>OPT-240</v>
          </cell>
          <cell r="F689">
            <v>40411</v>
          </cell>
          <cell r="G689" t="str">
            <v>-</v>
          </cell>
          <cell r="H689" t="str">
            <v>-</v>
          </cell>
          <cell r="I689" t="str">
            <v>QA</v>
          </cell>
          <cell r="J689" t="str">
            <v>FINAL ASSY</v>
          </cell>
          <cell r="K689" t="str">
            <v>FREED 25M</v>
          </cell>
          <cell r="L689" t="str">
            <v>L-CABIN</v>
          </cell>
          <cell r="M689" t="str">
            <v>CV H06</v>
          </cell>
          <cell r="N689" t="str">
            <v>OJT DC</v>
          </cell>
          <cell r="O689" t="str">
            <v>OTHERS</v>
          </cell>
          <cell r="P689" t="str">
            <v>A (NS)</v>
          </cell>
          <cell r="Q689" t="str">
            <v>PI</v>
          </cell>
          <cell r="R689" t="str">
            <v>PERMANENT</v>
          </cell>
          <cell r="S689" t="str">
            <v>PRM</v>
          </cell>
          <cell r="T689" t="str">
            <v>OPT</v>
          </cell>
          <cell r="U689" t="str">
            <v>-</v>
          </cell>
          <cell r="V689" t="str">
            <v>P</v>
          </cell>
          <cell r="W689">
            <v>33</v>
          </cell>
        </row>
        <row r="690">
          <cell r="A690">
            <v>19480</v>
          </cell>
          <cell r="B690" t="str">
            <v>019480</v>
          </cell>
          <cell r="C690" t="str">
            <v>LULUK ULFIYANTI</v>
          </cell>
          <cell r="D690" t="str">
            <v>SAMI</v>
          </cell>
          <cell r="E690" t="str">
            <v>OPT-487</v>
          </cell>
          <cell r="F690">
            <v>42464</v>
          </cell>
          <cell r="G690" t="str">
            <v>-</v>
          </cell>
          <cell r="H690" t="str">
            <v>-</v>
          </cell>
          <cell r="I690" t="str">
            <v>PRD</v>
          </cell>
          <cell r="J690" t="str">
            <v>FINAL ASSY</v>
          </cell>
          <cell r="K690" t="str">
            <v>HONDA NES</v>
          </cell>
          <cell r="L690" t="str">
            <v>HONDA NES HEV PET ENGINE</v>
          </cell>
          <cell r="M690" t="str">
            <v>CV H03</v>
          </cell>
          <cell r="N690" t="str">
            <v>S/A AB</v>
          </cell>
          <cell r="O690" t="str">
            <v>SUB ASSY</v>
          </cell>
          <cell r="P690" t="str">
            <v>A</v>
          </cell>
          <cell r="Q690" t="str">
            <v>DL</v>
          </cell>
          <cell r="R690" t="str">
            <v>PERMANENT</v>
          </cell>
          <cell r="S690" t="str">
            <v>PRM</v>
          </cell>
          <cell r="T690" t="str">
            <v>OPT</v>
          </cell>
          <cell r="U690" t="str">
            <v>-</v>
          </cell>
          <cell r="V690" t="str">
            <v>P</v>
          </cell>
          <cell r="W690">
            <v>29</v>
          </cell>
        </row>
        <row r="691">
          <cell r="A691">
            <v>20429</v>
          </cell>
          <cell r="B691" t="str">
            <v>020429</v>
          </cell>
          <cell r="C691" t="str">
            <v>PUJI LESTARI NINGSIH</v>
          </cell>
          <cell r="D691" t="str">
            <v>SAMI</v>
          </cell>
          <cell r="E691" t="str">
            <v>OPT-503</v>
          </cell>
          <cell r="F691">
            <v>42627</v>
          </cell>
          <cell r="G691" t="str">
            <v>-</v>
          </cell>
          <cell r="H691" t="str">
            <v>-</v>
          </cell>
          <cell r="I691" t="str">
            <v>PRD</v>
          </cell>
          <cell r="J691" t="str">
            <v>FINAL ASSY</v>
          </cell>
          <cell r="K691" t="str">
            <v>HONDA NES</v>
          </cell>
          <cell r="L691" t="str">
            <v>HONDA NES HEV PET ENGINE</v>
          </cell>
          <cell r="M691" t="str">
            <v>CV H03</v>
          </cell>
          <cell r="N691" t="str">
            <v>CHECKER 2</v>
          </cell>
          <cell r="O691" t="str">
            <v>ELECTRICAL INSPECTION</v>
          </cell>
          <cell r="P691" t="str">
            <v>A</v>
          </cell>
          <cell r="Q691" t="str">
            <v>DL</v>
          </cell>
          <cell r="R691" t="str">
            <v>PERMANENT</v>
          </cell>
          <cell r="S691" t="str">
            <v>PRM</v>
          </cell>
          <cell r="T691" t="str">
            <v>OPT</v>
          </cell>
          <cell r="U691" t="str">
            <v>-</v>
          </cell>
          <cell r="V691" t="str">
            <v>P</v>
          </cell>
          <cell r="W691">
            <v>27</v>
          </cell>
        </row>
        <row r="692">
          <cell r="A692">
            <v>9896</v>
          </cell>
          <cell r="B692" t="str">
            <v>009896</v>
          </cell>
          <cell r="C692" t="str">
            <v>MEI SETYANINGSIH</v>
          </cell>
          <cell r="D692" t="str">
            <v>SAMI</v>
          </cell>
          <cell r="E692" t="str">
            <v>OPT-244</v>
          </cell>
          <cell r="F692">
            <v>40424</v>
          </cell>
          <cell r="G692" t="str">
            <v>-</v>
          </cell>
          <cell r="H692" t="str">
            <v>-</v>
          </cell>
          <cell r="I692" t="str">
            <v>PRD</v>
          </cell>
          <cell r="J692" t="str">
            <v>FINAL ASSY</v>
          </cell>
          <cell r="K692" t="str">
            <v>TOYOTA HV</v>
          </cell>
          <cell r="L692" t="str">
            <v>HV TOYOTA 10PL</v>
          </cell>
          <cell r="M692" t="str">
            <v>CV HV 14B</v>
          </cell>
          <cell r="N692" t="str">
            <v>VISUAL T2.2</v>
          </cell>
          <cell r="O692" t="str">
            <v>VISUAL INSPECTION</v>
          </cell>
          <cell r="P692" t="str">
            <v>B</v>
          </cell>
          <cell r="Q692" t="str">
            <v>DL</v>
          </cell>
          <cell r="R692" t="str">
            <v>PERMANENT</v>
          </cell>
          <cell r="S692" t="str">
            <v>PRM</v>
          </cell>
          <cell r="T692" t="str">
            <v>OPT</v>
          </cell>
          <cell r="U692" t="str">
            <v>-</v>
          </cell>
          <cell r="V692" t="str">
            <v>P</v>
          </cell>
          <cell r="W692">
            <v>33</v>
          </cell>
        </row>
        <row r="693">
          <cell r="A693">
            <v>21056</v>
          </cell>
          <cell r="B693" t="str">
            <v>021056</v>
          </cell>
          <cell r="C693" t="str">
            <v>INGGIT CONISA</v>
          </cell>
          <cell r="D693" t="str">
            <v>SAMI</v>
          </cell>
          <cell r="E693" t="str">
            <v>OPT-520</v>
          </cell>
          <cell r="F693">
            <v>42863</v>
          </cell>
          <cell r="G693" t="str">
            <v>-</v>
          </cell>
          <cell r="H693" t="str">
            <v>-</v>
          </cell>
          <cell r="I693" t="str">
            <v>PRD</v>
          </cell>
          <cell r="J693" t="str">
            <v>FINAL ASSY</v>
          </cell>
          <cell r="K693" t="str">
            <v>HONDA NES</v>
          </cell>
          <cell r="L693" t="str">
            <v>HONDA NES HEV PET ENGINE</v>
          </cell>
          <cell r="M693" t="str">
            <v>CV H03</v>
          </cell>
          <cell r="N693" t="str">
            <v>VISUAL 1.3</v>
          </cell>
          <cell r="O693" t="str">
            <v>VISUAL INSPECTION</v>
          </cell>
          <cell r="P693" t="str">
            <v>A</v>
          </cell>
          <cell r="Q693" t="str">
            <v>DL</v>
          </cell>
          <cell r="R693" t="str">
            <v>PERMANENT</v>
          </cell>
          <cell r="S693" t="str">
            <v>PRM</v>
          </cell>
          <cell r="T693" t="str">
            <v>OPT</v>
          </cell>
          <cell r="U693" t="str">
            <v>-</v>
          </cell>
          <cell r="V693" t="str">
            <v>P</v>
          </cell>
          <cell r="W693">
            <v>25</v>
          </cell>
        </row>
        <row r="694">
          <cell r="A694">
            <v>9899</v>
          </cell>
          <cell r="B694" t="str">
            <v>009899</v>
          </cell>
          <cell r="C694" t="str">
            <v>NOFI MUAFIYAH</v>
          </cell>
          <cell r="D694" t="str">
            <v>SAMI</v>
          </cell>
          <cell r="E694" t="str">
            <v>OPT-244</v>
          </cell>
          <cell r="F694">
            <v>40424</v>
          </cell>
          <cell r="G694" t="str">
            <v>-</v>
          </cell>
          <cell r="H694" t="str">
            <v>-</v>
          </cell>
          <cell r="I694" t="str">
            <v>PRD</v>
          </cell>
          <cell r="J694" t="str">
            <v>PRE ASSY</v>
          </cell>
          <cell r="K694" t="str">
            <v>TOYOTA HV</v>
          </cell>
          <cell r="L694" t="str">
            <v>HV TOYOTA</v>
          </cell>
          <cell r="M694" t="str">
            <v>CPA TOYOTA 10 PL</v>
          </cell>
          <cell r="N694" t="str">
            <v>RELIEF 2</v>
          </cell>
          <cell r="O694" t="str">
            <v>RELIEF</v>
          </cell>
          <cell r="P694" t="str">
            <v>B</v>
          </cell>
          <cell r="Q694" t="str">
            <v>PI</v>
          </cell>
          <cell r="R694" t="str">
            <v>PERMANENT</v>
          </cell>
          <cell r="S694" t="str">
            <v>PRM</v>
          </cell>
          <cell r="T694" t="str">
            <v>OPT</v>
          </cell>
          <cell r="U694" t="str">
            <v>-</v>
          </cell>
          <cell r="V694" t="str">
            <v>P</v>
          </cell>
          <cell r="W694">
            <v>35</v>
          </cell>
        </row>
        <row r="695">
          <cell r="A695">
            <v>21216</v>
          </cell>
          <cell r="B695" t="str">
            <v>021216</v>
          </cell>
          <cell r="C695" t="str">
            <v>MUHAMMAD RIYANTO</v>
          </cell>
          <cell r="D695" t="str">
            <v>SAMI</v>
          </cell>
          <cell r="E695" t="str">
            <v>OPT-523</v>
          </cell>
          <cell r="F695">
            <v>42877</v>
          </cell>
          <cell r="G695" t="str">
            <v>-</v>
          </cell>
          <cell r="H695" t="str">
            <v>-</v>
          </cell>
          <cell r="I695" t="str">
            <v>PRD</v>
          </cell>
          <cell r="J695" t="str">
            <v>FINAL ASSY</v>
          </cell>
          <cell r="K695" t="str">
            <v>HONDA NES</v>
          </cell>
          <cell r="L695" t="str">
            <v>HONDA NES HEV PET ENGINE</v>
          </cell>
          <cell r="M695" t="str">
            <v>CV H03</v>
          </cell>
          <cell r="N695" t="str">
            <v>LQC</v>
          </cell>
          <cell r="O695" t="str">
            <v>RELIEF</v>
          </cell>
          <cell r="P695" t="str">
            <v>A</v>
          </cell>
          <cell r="Q695" t="str">
            <v>PI</v>
          </cell>
          <cell r="R695" t="str">
            <v>PERMANENT</v>
          </cell>
          <cell r="S695" t="str">
            <v>PRM</v>
          </cell>
          <cell r="T695" t="str">
            <v>PJK</v>
          </cell>
          <cell r="U695" t="str">
            <v>-</v>
          </cell>
          <cell r="V695" t="str">
            <v>L</v>
          </cell>
          <cell r="W695">
            <v>27</v>
          </cell>
        </row>
        <row r="696">
          <cell r="A696">
            <v>9907</v>
          </cell>
          <cell r="B696" t="str">
            <v>009907</v>
          </cell>
          <cell r="C696" t="str">
            <v>SURAIDA YULIASAPUTRI</v>
          </cell>
          <cell r="D696" t="str">
            <v>SAMI</v>
          </cell>
          <cell r="E696" t="str">
            <v>OPT-244</v>
          </cell>
          <cell r="F696">
            <v>40424</v>
          </cell>
          <cell r="G696" t="str">
            <v>-</v>
          </cell>
          <cell r="H696" t="str">
            <v>-</v>
          </cell>
          <cell r="I696" t="str">
            <v>PRD</v>
          </cell>
          <cell r="J696" t="str">
            <v>PRE ASSY</v>
          </cell>
          <cell r="K696" t="str">
            <v>HONDA FIT</v>
          </cell>
          <cell r="L696" t="str">
            <v>HONDA FIT</v>
          </cell>
          <cell r="M696" t="str">
            <v>CPA HONDA FIT HEV/PET</v>
          </cell>
          <cell r="N696" t="str">
            <v>BFT 3</v>
          </cell>
          <cell r="O696" t="str">
            <v>WFAP 2.2</v>
          </cell>
          <cell r="P696" t="str">
            <v>B</v>
          </cell>
          <cell r="Q696" t="str">
            <v>DL</v>
          </cell>
          <cell r="R696" t="str">
            <v>PERMANENT</v>
          </cell>
          <cell r="S696" t="str">
            <v>PRM</v>
          </cell>
          <cell r="T696" t="str">
            <v>OPT</v>
          </cell>
          <cell r="U696" t="str">
            <v>-</v>
          </cell>
          <cell r="V696" t="str">
            <v>P</v>
          </cell>
          <cell r="W696">
            <v>33</v>
          </cell>
        </row>
        <row r="697">
          <cell r="A697">
            <v>9912</v>
          </cell>
          <cell r="B697" t="str">
            <v>009912</v>
          </cell>
          <cell r="C697" t="str">
            <v>AMALIYAH RIZQI</v>
          </cell>
          <cell r="D697" t="str">
            <v>SAMI</v>
          </cell>
          <cell r="E697" t="str">
            <v>OPT-246</v>
          </cell>
          <cell r="F697">
            <v>40431</v>
          </cell>
          <cell r="G697" t="str">
            <v>-</v>
          </cell>
          <cell r="H697" t="str">
            <v>-</v>
          </cell>
          <cell r="I697" t="str">
            <v>PRD</v>
          </cell>
          <cell r="J697" t="str">
            <v>PRE ASSY</v>
          </cell>
          <cell r="K697" t="str">
            <v>HONDA NES</v>
          </cell>
          <cell r="L697" t="str">
            <v>HONDA NES</v>
          </cell>
          <cell r="M697" t="str">
            <v>CPA HONDA NES HEV/PET</v>
          </cell>
          <cell r="N697" t="str">
            <v>INSP PRE ASSY</v>
          </cell>
          <cell r="O697" t="str">
            <v>P/A INSPECTOR</v>
          </cell>
          <cell r="P697" t="str">
            <v>B</v>
          </cell>
          <cell r="Q697" t="str">
            <v>PI</v>
          </cell>
          <cell r="R697" t="str">
            <v>PERMANENT</v>
          </cell>
          <cell r="S697" t="str">
            <v>PRM</v>
          </cell>
          <cell r="T697" t="str">
            <v>OPT</v>
          </cell>
          <cell r="U697" t="str">
            <v>-</v>
          </cell>
          <cell r="V697" t="str">
            <v>P</v>
          </cell>
          <cell r="W697">
            <v>33</v>
          </cell>
        </row>
        <row r="698">
          <cell r="A698">
            <v>9917</v>
          </cell>
          <cell r="B698" t="str">
            <v>009917</v>
          </cell>
          <cell r="C698" t="str">
            <v>BIATUN</v>
          </cell>
          <cell r="D698" t="str">
            <v>SAMI</v>
          </cell>
          <cell r="E698" t="str">
            <v>OPT-246</v>
          </cell>
          <cell r="F698">
            <v>40431</v>
          </cell>
          <cell r="G698" t="str">
            <v>-</v>
          </cell>
          <cell r="H698" t="str">
            <v>-</v>
          </cell>
          <cell r="I698" t="str">
            <v>PRD</v>
          </cell>
          <cell r="J698" t="str">
            <v>FINAL ASSY</v>
          </cell>
          <cell r="K698" t="str">
            <v>TOYOTA</v>
          </cell>
          <cell r="L698" t="str">
            <v>AQUA SIENTA</v>
          </cell>
          <cell r="M698" t="str">
            <v>CV T01</v>
          </cell>
          <cell r="N698" t="str">
            <v>OJT SHIAGE 2</v>
          </cell>
          <cell r="O698" t="str">
            <v>OTHERS</v>
          </cell>
          <cell r="P698" t="str">
            <v>B</v>
          </cell>
          <cell r="Q698" t="str">
            <v>PI</v>
          </cell>
          <cell r="R698" t="str">
            <v>PERMANENT</v>
          </cell>
          <cell r="S698" t="str">
            <v>PRM</v>
          </cell>
          <cell r="T698" t="str">
            <v>OPT</v>
          </cell>
          <cell r="U698" t="str">
            <v>-</v>
          </cell>
          <cell r="V698" t="str">
            <v>P</v>
          </cell>
          <cell r="W698">
            <v>36</v>
          </cell>
        </row>
        <row r="699">
          <cell r="A699">
            <v>9925</v>
          </cell>
          <cell r="B699" t="str">
            <v>009925</v>
          </cell>
          <cell r="C699" t="str">
            <v>DWI SETIYANI</v>
          </cell>
          <cell r="D699" t="str">
            <v>SAMI</v>
          </cell>
          <cell r="E699" t="str">
            <v>OPT-246</v>
          </cell>
          <cell r="F699">
            <v>40431</v>
          </cell>
          <cell r="G699" t="str">
            <v>-</v>
          </cell>
          <cell r="H699" t="str">
            <v>-</v>
          </cell>
          <cell r="I699" t="str">
            <v>QA</v>
          </cell>
          <cell r="J699" t="str">
            <v>NON LINE</v>
          </cell>
          <cell r="K699" t="str">
            <v>ALL</v>
          </cell>
          <cell r="L699" t="str">
            <v>ALL</v>
          </cell>
          <cell r="M699" t="str">
            <v>RCV - CANDI</v>
          </cell>
          <cell r="N699" t="str">
            <v>SAMPLING &amp; CHECK 100%</v>
          </cell>
          <cell r="O699" t="str">
            <v>RCV</v>
          </cell>
          <cell r="P699" t="str">
            <v>B</v>
          </cell>
          <cell r="Q699" t="str">
            <v>PS</v>
          </cell>
          <cell r="R699" t="str">
            <v>PERMANENT</v>
          </cell>
          <cell r="S699" t="str">
            <v>PRM</v>
          </cell>
          <cell r="T699" t="str">
            <v>OPT</v>
          </cell>
          <cell r="U699" t="str">
            <v>-</v>
          </cell>
          <cell r="V699" t="str">
            <v>P</v>
          </cell>
          <cell r="W699">
            <v>32</v>
          </cell>
        </row>
        <row r="700">
          <cell r="A700">
            <v>21344</v>
          </cell>
          <cell r="B700" t="str">
            <v>021344</v>
          </cell>
          <cell r="C700" t="str">
            <v>JULYUS AGUNG KRIS PRIYANTO</v>
          </cell>
          <cell r="D700" t="str">
            <v>SAMI</v>
          </cell>
          <cell r="E700" t="str">
            <v>OPT-531</v>
          </cell>
          <cell r="F700">
            <v>43013</v>
          </cell>
          <cell r="G700" t="str">
            <v>-</v>
          </cell>
          <cell r="H700" t="str">
            <v>-</v>
          </cell>
          <cell r="I700" t="str">
            <v>PRD</v>
          </cell>
          <cell r="J700" t="str">
            <v>FINAL ASSY</v>
          </cell>
          <cell r="K700" t="str">
            <v>HONDA NES</v>
          </cell>
          <cell r="L700" t="str">
            <v>HONDA NES HEV PET ENGINE</v>
          </cell>
          <cell r="M700" t="str">
            <v>CV H03</v>
          </cell>
          <cell r="N700" t="str">
            <v>RELIEF 2</v>
          </cell>
          <cell r="O700" t="str">
            <v>RELIEF</v>
          </cell>
          <cell r="P700" t="str">
            <v>A</v>
          </cell>
          <cell r="Q700" t="str">
            <v>PI</v>
          </cell>
          <cell r="R700" t="str">
            <v>PERMANENT</v>
          </cell>
          <cell r="S700" t="str">
            <v>PRM</v>
          </cell>
          <cell r="T700" t="str">
            <v>PJK</v>
          </cell>
          <cell r="U700" t="str">
            <v>-</v>
          </cell>
          <cell r="V700" t="str">
            <v>L</v>
          </cell>
          <cell r="W700">
            <v>30</v>
          </cell>
        </row>
        <row r="701">
          <cell r="A701">
            <v>22309</v>
          </cell>
          <cell r="B701" t="str">
            <v>022309</v>
          </cell>
          <cell r="C701" t="str">
            <v>RISSA MAULANA</v>
          </cell>
          <cell r="D701" t="str">
            <v>SAMI</v>
          </cell>
          <cell r="E701" t="str">
            <v>OPT-555</v>
          </cell>
          <cell r="F701">
            <v>43192</v>
          </cell>
          <cell r="G701" t="str">
            <v>-</v>
          </cell>
          <cell r="H701" t="str">
            <v>-</v>
          </cell>
          <cell r="I701" t="str">
            <v>PRD</v>
          </cell>
          <cell r="J701" t="str">
            <v>FINAL ASSY</v>
          </cell>
          <cell r="K701" t="str">
            <v>HONDA NES</v>
          </cell>
          <cell r="L701" t="str">
            <v>HONDA NES HEV PET ENGINE</v>
          </cell>
          <cell r="M701" t="str">
            <v>CV H03</v>
          </cell>
          <cell r="N701" t="str">
            <v>CHECKER 3</v>
          </cell>
          <cell r="O701" t="str">
            <v>ELECTRICAL INSPECTION</v>
          </cell>
          <cell r="P701" t="str">
            <v>A</v>
          </cell>
          <cell r="Q701" t="str">
            <v>DL</v>
          </cell>
          <cell r="R701" t="str">
            <v>PERMANENT</v>
          </cell>
          <cell r="S701" t="str">
            <v>PRM</v>
          </cell>
          <cell r="T701" t="str">
            <v>OPT</v>
          </cell>
          <cell r="U701" t="str">
            <v>-</v>
          </cell>
          <cell r="V701" t="str">
            <v>L</v>
          </cell>
          <cell r="W701">
            <v>28</v>
          </cell>
        </row>
        <row r="702">
          <cell r="A702">
            <v>22342</v>
          </cell>
          <cell r="B702" t="str">
            <v>022342</v>
          </cell>
          <cell r="C702" t="str">
            <v>LANA MILATUL KUSNA</v>
          </cell>
          <cell r="D702" t="str">
            <v>SAMI</v>
          </cell>
          <cell r="E702" t="str">
            <v>OPT-556</v>
          </cell>
          <cell r="F702">
            <v>43195</v>
          </cell>
          <cell r="G702" t="str">
            <v>-</v>
          </cell>
          <cell r="H702" t="str">
            <v>-</v>
          </cell>
          <cell r="I702" t="str">
            <v>PRD</v>
          </cell>
          <cell r="J702" t="str">
            <v>FINAL ASSY</v>
          </cell>
          <cell r="K702" t="str">
            <v>HONDA NES</v>
          </cell>
          <cell r="L702" t="str">
            <v>HONDA NES HEV PET ENGINE</v>
          </cell>
          <cell r="M702" t="str">
            <v>CV H03</v>
          </cell>
          <cell r="N702" t="str">
            <v>INSERTION GROUP</v>
          </cell>
          <cell r="O702" t="str">
            <v>SUB ASSY</v>
          </cell>
          <cell r="P702" t="str">
            <v>A (NS)</v>
          </cell>
          <cell r="Q702" t="str">
            <v>DL</v>
          </cell>
          <cell r="R702" t="str">
            <v>PERMANENT</v>
          </cell>
          <cell r="S702" t="str">
            <v>PRM</v>
          </cell>
          <cell r="T702" t="str">
            <v>OPT</v>
          </cell>
          <cell r="U702" t="str">
            <v>-</v>
          </cell>
          <cell r="V702" t="str">
            <v>P</v>
          </cell>
          <cell r="W702">
            <v>26</v>
          </cell>
        </row>
        <row r="703">
          <cell r="A703">
            <v>9934</v>
          </cell>
          <cell r="B703" t="str">
            <v>009934</v>
          </cell>
          <cell r="C703" t="str">
            <v>INDAH UMI SAKINAH</v>
          </cell>
          <cell r="D703" t="str">
            <v>SAMI</v>
          </cell>
          <cell r="E703" t="str">
            <v>OPT-246</v>
          </cell>
          <cell r="F703">
            <v>40431</v>
          </cell>
          <cell r="G703" t="str">
            <v>-</v>
          </cell>
          <cell r="H703" t="str">
            <v>-</v>
          </cell>
          <cell r="I703" t="str">
            <v>PRD</v>
          </cell>
          <cell r="J703" t="str">
            <v>FINAL ASSY</v>
          </cell>
          <cell r="K703" t="str">
            <v>MAZDA 3</v>
          </cell>
          <cell r="L703" t="str">
            <v>MAZDA REAR</v>
          </cell>
          <cell r="M703" t="str">
            <v>CV M01</v>
          </cell>
          <cell r="N703" t="str">
            <v>LQC</v>
          </cell>
          <cell r="O703" t="str">
            <v>RELIEF</v>
          </cell>
          <cell r="P703" t="str">
            <v>B</v>
          </cell>
          <cell r="Q703" t="str">
            <v>PI</v>
          </cell>
          <cell r="R703" t="str">
            <v>PERMANENT</v>
          </cell>
          <cell r="S703" t="str">
            <v>PRM</v>
          </cell>
          <cell r="T703" t="str">
            <v>PJK</v>
          </cell>
          <cell r="U703" t="str">
            <v>-</v>
          </cell>
          <cell r="V703" t="str">
            <v>P</v>
          </cell>
          <cell r="W703">
            <v>32</v>
          </cell>
        </row>
        <row r="704">
          <cell r="A704">
            <v>60</v>
          </cell>
          <cell r="B704" t="str">
            <v>000060</v>
          </cell>
          <cell r="C704" t="str">
            <v>MARIA NINGSIH</v>
          </cell>
          <cell r="D704" t="str">
            <v>SAMI</v>
          </cell>
          <cell r="E704" t="str">
            <v>OPT-1</v>
          </cell>
          <cell r="F704">
            <v>37578</v>
          </cell>
          <cell r="G704" t="str">
            <v>-</v>
          </cell>
          <cell r="H704" t="str">
            <v>-</v>
          </cell>
          <cell r="I704" t="str">
            <v>PRD</v>
          </cell>
          <cell r="J704" t="str">
            <v>FINAL ASSY</v>
          </cell>
          <cell r="K704" t="str">
            <v>FREED 25M</v>
          </cell>
          <cell r="L704" t="str">
            <v>R-CABIN</v>
          </cell>
          <cell r="M704" t="str">
            <v>CV H05</v>
          </cell>
          <cell r="N704" t="str">
            <v>SUB LINE CHO</v>
          </cell>
          <cell r="O704" t="str">
            <v>GL</v>
          </cell>
          <cell r="P704" t="str">
            <v>A (NS)</v>
          </cell>
          <cell r="Q704" t="str">
            <v>PI</v>
          </cell>
          <cell r="R704" t="str">
            <v>PERMANENT</v>
          </cell>
          <cell r="S704" t="str">
            <v>PRM</v>
          </cell>
          <cell r="T704" t="str">
            <v>SLC</v>
          </cell>
          <cell r="U704" t="str">
            <v>-</v>
          </cell>
          <cell r="V704" t="str">
            <v>P</v>
          </cell>
          <cell r="W704">
            <v>41</v>
          </cell>
        </row>
        <row r="705">
          <cell r="A705">
            <v>9937</v>
          </cell>
          <cell r="B705" t="str">
            <v>009937</v>
          </cell>
          <cell r="C705" t="str">
            <v>ISMAWATI</v>
          </cell>
          <cell r="D705" t="str">
            <v>SAMI</v>
          </cell>
          <cell r="E705" t="str">
            <v>OPT-246</v>
          </cell>
          <cell r="F705">
            <v>40431</v>
          </cell>
          <cell r="G705" t="str">
            <v>-</v>
          </cell>
          <cell r="H705" t="str">
            <v>-</v>
          </cell>
          <cell r="I705" t="str">
            <v>QA</v>
          </cell>
          <cell r="J705" t="str">
            <v>FINAL ASSY</v>
          </cell>
          <cell r="K705" t="str">
            <v>HONDA NES</v>
          </cell>
          <cell r="L705" t="str">
            <v>HONDA NES HEV PET ENGINE</v>
          </cell>
          <cell r="M705" t="str">
            <v>CV H03</v>
          </cell>
          <cell r="N705" t="str">
            <v>DC</v>
          </cell>
          <cell r="O705" t="str">
            <v>DC</v>
          </cell>
          <cell r="P705" t="str">
            <v>A</v>
          </cell>
          <cell r="Q705" t="str">
            <v>PI</v>
          </cell>
          <cell r="R705" t="str">
            <v>PERMANENT</v>
          </cell>
          <cell r="S705" t="str">
            <v>PRM</v>
          </cell>
          <cell r="T705" t="str">
            <v>OPT</v>
          </cell>
          <cell r="U705" t="str">
            <v>-</v>
          </cell>
          <cell r="V705" t="str">
            <v>P</v>
          </cell>
          <cell r="W705">
            <v>32</v>
          </cell>
        </row>
        <row r="706">
          <cell r="A706">
            <v>280</v>
          </cell>
          <cell r="B706" t="str">
            <v>000280</v>
          </cell>
          <cell r="C706" t="str">
            <v>DEWI WURYAN</v>
          </cell>
          <cell r="D706" t="str">
            <v>SAMI</v>
          </cell>
          <cell r="E706" t="str">
            <v>OPT-8</v>
          </cell>
          <cell r="F706">
            <v>37718</v>
          </cell>
          <cell r="G706" t="str">
            <v>-</v>
          </cell>
          <cell r="H706" t="str">
            <v>-</v>
          </cell>
          <cell r="I706" t="str">
            <v>PRD</v>
          </cell>
          <cell r="J706" t="str">
            <v>FINAL ASSY</v>
          </cell>
          <cell r="K706" t="str">
            <v>FREED 25M</v>
          </cell>
          <cell r="L706" t="str">
            <v>R-CABIN</v>
          </cell>
          <cell r="M706" t="str">
            <v>CV H05</v>
          </cell>
          <cell r="N706" t="str">
            <v>KEYMAN FREED 33FA</v>
          </cell>
          <cell r="O706" t="str">
            <v>GL</v>
          </cell>
          <cell r="P706" t="str">
            <v>A (NS)</v>
          </cell>
          <cell r="Q706" t="str">
            <v>PI</v>
          </cell>
          <cell r="R706" t="str">
            <v>PERMANENT</v>
          </cell>
          <cell r="S706" t="str">
            <v>PRM</v>
          </cell>
          <cell r="T706" t="str">
            <v>GL</v>
          </cell>
          <cell r="U706" t="str">
            <v>-</v>
          </cell>
          <cell r="V706" t="str">
            <v>P</v>
          </cell>
          <cell r="W706">
            <v>40</v>
          </cell>
        </row>
        <row r="707">
          <cell r="A707">
            <v>299</v>
          </cell>
          <cell r="B707" t="str">
            <v>000299</v>
          </cell>
          <cell r="C707" t="str">
            <v>MUSDZALIFAH</v>
          </cell>
          <cell r="D707" t="str">
            <v>SAMI</v>
          </cell>
          <cell r="E707" t="str">
            <v>OPT-8</v>
          </cell>
          <cell r="F707">
            <v>37718</v>
          </cell>
          <cell r="G707" t="str">
            <v>-</v>
          </cell>
          <cell r="H707" t="str">
            <v>-</v>
          </cell>
          <cell r="I707" t="str">
            <v>PRD</v>
          </cell>
          <cell r="J707" t="str">
            <v>FINAL ASSY</v>
          </cell>
          <cell r="K707" t="str">
            <v>FREED 25M</v>
          </cell>
          <cell r="L707" t="str">
            <v>R-CABIN</v>
          </cell>
          <cell r="M707" t="str">
            <v>CV H05</v>
          </cell>
          <cell r="N707" t="str">
            <v>KEYMAN FREED 33FA</v>
          </cell>
          <cell r="O707" t="str">
            <v>GL</v>
          </cell>
          <cell r="P707" t="str">
            <v>A (NS)</v>
          </cell>
          <cell r="Q707" t="str">
            <v>PI</v>
          </cell>
          <cell r="R707" t="str">
            <v>PERMANENT</v>
          </cell>
          <cell r="S707" t="str">
            <v>PRM</v>
          </cell>
          <cell r="T707" t="str">
            <v>GL</v>
          </cell>
          <cell r="U707" t="str">
            <v>-</v>
          </cell>
          <cell r="V707" t="str">
            <v>P</v>
          </cell>
          <cell r="W707">
            <v>41</v>
          </cell>
        </row>
        <row r="708">
          <cell r="A708">
            <v>9951</v>
          </cell>
          <cell r="B708" t="str">
            <v>009951</v>
          </cell>
          <cell r="C708" t="str">
            <v>NUR LATIFAH</v>
          </cell>
          <cell r="D708" t="str">
            <v>SAMI</v>
          </cell>
          <cell r="E708" t="str">
            <v>OPT-246</v>
          </cell>
          <cell r="F708">
            <v>40431</v>
          </cell>
          <cell r="G708" t="str">
            <v>-</v>
          </cell>
          <cell r="H708" t="str">
            <v>-</v>
          </cell>
          <cell r="I708" t="str">
            <v>PP</v>
          </cell>
          <cell r="J708" t="str">
            <v>PP-3</v>
          </cell>
          <cell r="K708" t="str">
            <v>ALL</v>
          </cell>
          <cell r="L708" t="str">
            <v>ALL</v>
          </cell>
          <cell r="M708" t="str">
            <v>PP-3</v>
          </cell>
          <cell r="N708" t="str">
            <v>ANALISYS</v>
          </cell>
          <cell r="O708" t="str">
            <v>PROCESS ENG</v>
          </cell>
          <cell r="P708" t="str">
            <v>A (NS)</v>
          </cell>
          <cell r="Q708" t="str">
            <v>PS</v>
          </cell>
          <cell r="R708" t="str">
            <v>PERMANENT</v>
          </cell>
          <cell r="S708" t="str">
            <v>PRM</v>
          </cell>
          <cell r="T708" t="str">
            <v>OPT</v>
          </cell>
          <cell r="U708" t="str">
            <v>-</v>
          </cell>
          <cell r="V708" t="str">
            <v>P</v>
          </cell>
          <cell r="W708">
            <v>34</v>
          </cell>
        </row>
        <row r="709">
          <cell r="A709">
            <v>9952</v>
          </cell>
          <cell r="B709" t="str">
            <v>009952</v>
          </cell>
          <cell r="C709" t="str">
            <v>NURUL HIDAYATI</v>
          </cell>
          <cell r="D709" t="str">
            <v>SAMI</v>
          </cell>
          <cell r="E709" t="str">
            <v>OPT-246</v>
          </cell>
          <cell r="F709">
            <v>40431</v>
          </cell>
          <cell r="G709" t="str">
            <v>-</v>
          </cell>
          <cell r="H709" t="str">
            <v>-</v>
          </cell>
          <cell r="I709" t="str">
            <v>PRD</v>
          </cell>
          <cell r="J709" t="str">
            <v>PRE ASSY</v>
          </cell>
          <cell r="K709" t="str">
            <v>TOYOTA HV</v>
          </cell>
          <cell r="L709" t="str">
            <v>HV TOYOTA</v>
          </cell>
          <cell r="M709" t="str">
            <v>CPA TOYOTA 10 PL</v>
          </cell>
          <cell r="N709" t="str">
            <v>INSP CUTTING</v>
          </cell>
          <cell r="O709" t="str">
            <v>P/A INSPECTOR</v>
          </cell>
          <cell r="P709" t="str">
            <v>B</v>
          </cell>
          <cell r="Q709" t="str">
            <v>PI</v>
          </cell>
          <cell r="R709" t="str">
            <v>PERMANENT</v>
          </cell>
          <cell r="S709" t="str">
            <v>PRM</v>
          </cell>
          <cell r="T709" t="str">
            <v>OPT</v>
          </cell>
          <cell r="U709" t="str">
            <v>-</v>
          </cell>
          <cell r="V709" t="str">
            <v>P</v>
          </cell>
          <cell r="W709">
            <v>33</v>
          </cell>
        </row>
        <row r="710">
          <cell r="A710">
            <v>9954</v>
          </cell>
          <cell r="B710" t="str">
            <v>009954</v>
          </cell>
          <cell r="C710" t="str">
            <v>PUJI LESTARI</v>
          </cell>
          <cell r="D710" t="str">
            <v>SAMI</v>
          </cell>
          <cell r="E710" t="str">
            <v>OPT-246</v>
          </cell>
          <cell r="F710">
            <v>40431</v>
          </cell>
          <cell r="G710" t="str">
            <v>-</v>
          </cell>
          <cell r="H710" t="str">
            <v>-</v>
          </cell>
          <cell r="I710" t="str">
            <v>PRD</v>
          </cell>
          <cell r="J710" t="str">
            <v>FINAL ASSY</v>
          </cell>
          <cell r="K710" t="str">
            <v>TOYOTA HV</v>
          </cell>
          <cell r="L710" t="str">
            <v>HV TOYOTA UNDERFLOOR</v>
          </cell>
          <cell r="M710" t="str">
            <v>CV HV 09</v>
          </cell>
          <cell r="N710" t="str">
            <v>SUB LINE CHO</v>
          </cell>
          <cell r="O710" t="str">
            <v>GL</v>
          </cell>
          <cell r="P710" t="str">
            <v>B</v>
          </cell>
          <cell r="Q710" t="str">
            <v>PI</v>
          </cell>
          <cell r="R710" t="str">
            <v>PERMANENT</v>
          </cell>
          <cell r="S710" t="str">
            <v>PRM</v>
          </cell>
          <cell r="T710" t="str">
            <v>SLC</v>
          </cell>
          <cell r="U710" t="str">
            <v>-</v>
          </cell>
          <cell r="V710" t="str">
            <v>P</v>
          </cell>
          <cell r="W710">
            <v>32</v>
          </cell>
        </row>
        <row r="711">
          <cell r="A711">
            <v>1188</v>
          </cell>
          <cell r="B711" t="str">
            <v>001188</v>
          </cell>
          <cell r="C711" t="str">
            <v>ENI KUSRINI</v>
          </cell>
          <cell r="D711" t="str">
            <v>SAMI</v>
          </cell>
          <cell r="E711" t="str">
            <v>OPT-29</v>
          </cell>
          <cell r="F711">
            <v>37907</v>
          </cell>
          <cell r="G711" t="str">
            <v>-</v>
          </cell>
          <cell r="H711" t="str">
            <v>-</v>
          </cell>
          <cell r="I711" t="str">
            <v>PRD</v>
          </cell>
          <cell r="J711" t="str">
            <v>FINAL ASSY</v>
          </cell>
          <cell r="K711" t="str">
            <v>FREED 25M</v>
          </cell>
          <cell r="L711" t="str">
            <v>R-CABIN</v>
          </cell>
          <cell r="M711" t="str">
            <v>CV H05</v>
          </cell>
          <cell r="N711" t="str">
            <v>SUB LINE CHO</v>
          </cell>
          <cell r="O711" t="str">
            <v>GL</v>
          </cell>
          <cell r="P711" t="str">
            <v>A (NS)</v>
          </cell>
          <cell r="Q711" t="str">
            <v>PI</v>
          </cell>
          <cell r="R711" t="str">
            <v>PERMANENT</v>
          </cell>
          <cell r="S711" t="str">
            <v>PRM</v>
          </cell>
          <cell r="T711" t="str">
            <v>SLC</v>
          </cell>
          <cell r="U711" t="str">
            <v>-</v>
          </cell>
          <cell r="V711" t="str">
            <v>P</v>
          </cell>
          <cell r="W711">
            <v>40</v>
          </cell>
        </row>
        <row r="712">
          <cell r="A712">
            <v>9109</v>
          </cell>
          <cell r="B712" t="str">
            <v>009109</v>
          </cell>
          <cell r="C712" t="str">
            <v>LISTIYANI MANISA</v>
          </cell>
          <cell r="D712" t="str">
            <v>SAMI</v>
          </cell>
          <cell r="E712" t="str">
            <v>OPT-204</v>
          </cell>
          <cell r="F712">
            <v>39995</v>
          </cell>
          <cell r="G712" t="str">
            <v>-</v>
          </cell>
          <cell r="H712" t="str">
            <v>-</v>
          </cell>
          <cell r="I712" t="str">
            <v>PRD</v>
          </cell>
          <cell r="J712" t="str">
            <v>FINAL ASSY</v>
          </cell>
          <cell r="K712" t="str">
            <v>FREED 25M</v>
          </cell>
          <cell r="L712" t="str">
            <v>R-CABIN</v>
          </cell>
          <cell r="M712" t="str">
            <v>CV H05</v>
          </cell>
          <cell r="N712" t="str">
            <v>PRD LINE CHO</v>
          </cell>
          <cell r="O712" t="str">
            <v>FPI LL</v>
          </cell>
          <cell r="P712" t="str">
            <v>A (NS)</v>
          </cell>
          <cell r="Q712" t="str">
            <v>PI</v>
          </cell>
          <cell r="R712" t="str">
            <v>PERMANENT</v>
          </cell>
          <cell r="S712" t="str">
            <v>PRM</v>
          </cell>
          <cell r="T712" t="str">
            <v>LC</v>
          </cell>
          <cell r="U712" t="str">
            <v>-</v>
          </cell>
          <cell r="V712" t="str">
            <v>P</v>
          </cell>
          <cell r="W712">
            <v>35</v>
          </cell>
        </row>
        <row r="713">
          <cell r="A713">
            <v>9257</v>
          </cell>
          <cell r="B713" t="str">
            <v>009257</v>
          </cell>
          <cell r="C713" t="str">
            <v>CATUR SUHARTANTI</v>
          </cell>
          <cell r="D713" t="str">
            <v>SAMI</v>
          </cell>
          <cell r="E713" t="str">
            <v>OPT-216</v>
          </cell>
          <cell r="F713">
            <v>40148</v>
          </cell>
          <cell r="G713" t="str">
            <v>-</v>
          </cell>
          <cell r="H713" t="str">
            <v>-</v>
          </cell>
          <cell r="I713" t="str">
            <v>PRD</v>
          </cell>
          <cell r="J713" t="str">
            <v>FINAL ASSY</v>
          </cell>
          <cell r="K713" t="str">
            <v>FREED 25M</v>
          </cell>
          <cell r="L713" t="str">
            <v>R-CABIN</v>
          </cell>
          <cell r="M713" t="str">
            <v>CV H05</v>
          </cell>
          <cell r="N713" t="str">
            <v>OJT VISUAL 1.2</v>
          </cell>
          <cell r="O713" t="str">
            <v>OTHERS</v>
          </cell>
          <cell r="P713" t="str">
            <v>A (NS)</v>
          </cell>
          <cell r="Q713" t="str">
            <v>PI</v>
          </cell>
          <cell r="R713" t="str">
            <v>PERMANENT</v>
          </cell>
          <cell r="S713" t="str">
            <v>PRM</v>
          </cell>
          <cell r="T713" t="str">
            <v>OPT</v>
          </cell>
          <cell r="U713" t="str">
            <v>-</v>
          </cell>
          <cell r="V713" t="str">
            <v>P</v>
          </cell>
          <cell r="W713">
            <v>34</v>
          </cell>
        </row>
        <row r="714">
          <cell r="A714">
            <v>9466</v>
          </cell>
          <cell r="B714" t="str">
            <v>009466</v>
          </cell>
          <cell r="C714" t="str">
            <v>NUR KHAYATI</v>
          </cell>
          <cell r="D714" t="str">
            <v>SAMI</v>
          </cell>
          <cell r="E714" t="str">
            <v>OPT-216</v>
          </cell>
          <cell r="F714">
            <v>40148</v>
          </cell>
          <cell r="G714" t="str">
            <v>-</v>
          </cell>
          <cell r="H714" t="str">
            <v>-</v>
          </cell>
          <cell r="I714" t="str">
            <v>PRD</v>
          </cell>
          <cell r="J714" t="str">
            <v>FINAL ASSY</v>
          </cell>
          <cell r="K714" t="str">
            <v>FREED 25M</v>
          </cell>
          <cell r="L714" t="str">
            <v>R-CABIN</v>
          </cell>
          <cell r="M714" t="str">
            <v>CV H05</v>
          </cell>
          <cell r="N714" t="str">
            <v>OJT VISUAL 2.2</v>
          </cell>
          <cell r="O714" t="str">
            <v>OTHERS</v>
          </cell>
          <cell r="P714" t="str">
            <v>A (NS)</v>
          </cell>
          <cell r="Q714" t="str">
            <v>PI</v>
          </cell>
          <cell r="R714" t="str">
            <v>PERMANENT</v>
          </cell>
          <cell r="S714" t="str">
            <v>PRM</v>
          </cell>
          <cell r="T714" t="str">
            <v>OPT</v>
          </cell>
          <cell r="U714" t="str">
            <v>-</v>
          </cell>
          <cell r="V714" t="str">
            <v>P</v>
          </cell>
          <cell r="W714">
            <v>33</v>
          </cell>
        </row>
        <row r="715">
          <cell r="A715">
            <v>9895</v>
          </cell>
          <cell r="B715" t="str">
            <v>009895</v>
          </cell>
          <cell r="C715" t="str">
            <v>MARIANAH</v>
          </cell>
          <cell r="D715" t="str">
            <v>SAMI</v>
          </cell>
          <cell r="E715" t="str">
            <v>OPT-244</v>
          </cell>
          <cell r="F715">
            <v>40424</v>
          </cell>
          <cell r="G715" t="str">
            <v>-</v>
          </cell>
          <cell r="H715" t="str">
            <v>-</v>
          </cell>
          <cell r="I715" t="str">
            <v>PRD</v>
          </cell>
          <cell r="J715" t="str">
            <v>FINAL ASSY</v>
          </cell>
          <cell r="K715" t="str">
            <v>FREED 25M</v>
          </cell>
          <cell r="L715" t="str">
            <v>R-CABIN</v>
          </cell>
          <cell r="M715" t="str">
            <v>CV H05</v>
          </cell>
          <cell r="N715" t="str">
            <v>OJT S/A 6</v>
          </cell>
          <cell r="O715" t="str">
            <v>OTHERS</v>
          </cell>
          <cell r="P715" t="str">
            <v>A (NS)</v>
          </cell>
          <cell r="Q715" t="str">
            <v>PI</v>
          </cell>
          <cell r="R715" t="str">
            <v>PERMANENT</v>
          </cell>
          <cell r="S715" t="str">
            <v>PRM</v>
          </cell>
          <cell r="T715" t="str">
            <v>OPT</v>
          </cell>
          <cell r="U715" t="str">
            <v>-</v>
          </cell>
          <cell r="V715" t="str">
            <v>P</v>
          </cell>
          <cell r="W715">
            <v>34</v>
          </cell>
        </row>
        <row r="716">
          <cell r="A716">
            <v>9994</v>
          </cell>
          <cell r="B716" t="str">
            <v>009994</v>
          </cell>
          <cell r="C716" t="str">
            <v>ANISAH TRI MURTININGSIH</v>
          </cell>
          <cell r="D716" t="str">
            <v>SAMI</v>
          </cell>
          <cell r="E716" t="str">
            <v>OPT-247</v>
          </cell>
          <cell r="F716">
            <v>40438</v>
          </cell>
          <cell r="G716" t="str">
            <v>-</v>
          </cell>
          <cell r="H716" t="str">
            <v>-</v>
          </cell>
          <cell r="I716" t="str">
            <v>PRD</v>
          </cell>
          <cell r="J716" t="str">
            <v>FINAL ASSY</v>
          </cell>
          <cell r="K716" t="str">
            <v>TOYOTA</v>
          </cell>
          <cell r="L716" t="str">
            <v>AQUA SIENTA</v>
          </cell>
          <cell r="M716" t="str">
            <v>CV T02</v>
          </cell>
          <cell r="N716" t="str">
            <v>OJT VISUAL 2.1</v>
          </cell>
          <cell r="O716" t="str">
            <v>OTHERS</v>
          </cell>
          <cell r="P716" t="str">
            <v>B</v>
          </cell>
          <cell r="Q716" t="str">
            <v>PI</v>
          </cell>
          <cell r="R716" t="str">
            <v>PERMANENT</v>
          </cell>
          <cell r="S716" t="str">
            <v>PRM</v>
          </cell>
          <cell r="T716" t="str">
            <v>OPT</v>
          </cell>
          <cell r="U716" t="str">
            <v>-</v>
          </cell>
          <cell r="V716" t="str">
            <v>P</v>
          </cell>
          <cell r="W716">
            <v>32</v>
          </cell>
        </row>
        <row r="717">
          <cell r="A717">
            <v>10383</v>
          </cell>
          <cell r="B717" t="str">
            <v>010383</v>
          </cell>
          <cell r="C717" t="str">
            <v>SHARI IRIANI</v>
          </cell>
          <cell r="D717" t="str">
            <v>SAMI</v>
          </cell>
          <cell r="E717" t="str">
            <v>OPT-267</v>
          </cell>
          <cell r="F717">
            <v>40513</v>
          </cell>
          <cell r="G717" t="str">
            <v>-</v>
          </cell>
          <cell r="H717" t="str">
            <v>-</v>
          </cell>
          <cell r="I717" t="str">
            <v>PRD</v>
          </cell>
          <cell r="J717" t="str">
            <v>FINAL ASSY</v>
          </cell>
          <cell r="K717" t="str">
            <v>FREED 25M</v>
          </cell>
          <cell r="L717" t="str">
            <v>R-CABIN</v>
          </cell>
          <cell r="M717" t="str">
            <v>CV H05</v>
          </cell>
          <cell r="N717" t="str">
            <v>KEYMAN FREED 33FA</v>
          </cell>
          <cell r="O717" t="str">
            <v>FPI LL</v>
          </cell>
          <cell r="P717" t="str">
            <v>A (NS)</v>
          </cell>
          <cell r="Q717" t="str">
            <v>PI</v>
          </cell>
          <cell r="R717" t="str">
            <v>PERMANENT</v>
          </cell>
          <cell r="S717" t="str">
            <v>PRM</v>
          </cell>
          <cell r="T717" t="str">
            <v>LL</v>
          </cell>
          <cell r="U717" t="str">
            <v>-</v>
          </cell>
          <cell r="V717" t="str">
            <v>P</v>
          </cell>
          <cell r="W717">
            <v>34</v>
          </cell>
        </row>
        <row r="718">
          <cell r="A718">
            <v>10527</v>
          </cell>
          <cell r="B718" t="str">
            <v>010527</v>
          </cell>
          <cell r="C718" t="str">
            <v>SEKAR ASIH AMBARSARI</v>
          </cell>
          <cell r="D718" t="str">
            <v>SAMI</v>
          </cell>
          <cell r="E718" t="str">
            <v>OPT-273</v>
          </cell>
          <cell r="F718">
            <v>40535</v>
          </cell>
          <cell r="G718" t="str">
            <v>-</v>
          </cell>
          <cell r="H718" t="str">
            <v>-</v>
          </cell>
          <cell r="I718" t="str">
            <v>PRD</v>
          </cell>
          <cell r="J718" t="str">
            <v>FINAL ASSY</v>
          </cell>
          <cell r="K718" t="str">
            <v>FREED 25M</v>
          </cell>
          <cell r="L718" t="str">
            <v>R-CABIN</v>
          </cell>
          <cell r="M718" t="str">
            <v>CV H05</v>
          </cell>
          <cell r="N718" t="str">
            <v>OJT VISUAL 2.1</v>
          </cell>
          <cell r="O718" t="str">
            <v>OTHERS</v>
          </cell>
          <cell r="P718" t="str">
            <v>A (NS)</v>
          </cell>
          <cell r="Q718" t="str">
            <v>PI</v>
          </cell>
          <cell r="R718" t="str">
            <v>PERMANENT</v>
          </cell>
          <cell r="S718" t="str">
            <v>PRM</v>
          </cell>
          <cell r="T718" t="str">
            <v>OPT</v>
          </cell>
          <cell r="U718" t="str">
            <v>-</v>
          </cell>
          <cell r="V718" t="str">
            <v>P</v>
          </cell>
          <cell r="W718">
            <v>32</v>
          </cell>
        </row>
        <row r="719">
          <cell r="A719">
            <v>9999</v>
          </cell>
          <cell r="B719" t="str">
            <v>009999</v>
          </cell>
          <cell r="C719" t="str">
            <v>ASTRI MAWAR SIWI</v>
          </cell>
          <cell r="D719" t="str">
            <v>SAMI</v>
          </cell>
          <cell r="E719" t="str">
            <v>OPT-247</v>
          </cell>
          <cell r="F719">
            <v>40438</v>
          </cell>
          <cell r="G719" t="str">
            <v>-</v>
          </cell>
          <cell r="H719" t="str">
            <v>-</v>
          </cell>
          <cell r="I719" t="str">
            <v>PRD</v>
          </cell>
          <cell r="J719" t="str">
            <v>FINAL ASSY</v>
          </cell>
          <cell r="K719" t="str">
            <v>MAZDA 3</v>
          </cell>
          <cell r="L719" t="str">
            <v>MAZDA REAR</v>
          </cell>
          <cell r="M719" t="str">
            <v>CV M01</v>
          </cell>
          <cell r="N719" t="str">
            <v>CHECKER 2</v>
          </cell>
          <cell r="O719" t="str">
            <v>ELECTRICAL INSPECTION</v>
          </cell>
          <cell r="P719" t="str">
            <v>B</v>
          </cell>
          <cell r="Q719" t="str">
            <v>DL</v>
          </cell>
          <cell r="R719" t="str">
            <v>PERMANENT</v>
          </cell>
          <cell r="S719" t="str">
            <v>PRM</v>
          </cell>
          <cell r="T719" t="str">
            <v>OPT</v>
          </cell>
          <cell r="U719" t="str">
            <v>-</v>
          </cell>
          <cell r="V719" t="str">
            <v>P</v>
          </cell>
          <cell r="W719">
            <v>32</v>
          </cell>
        </row>
        <row r="720">
          <cell r="A720">
            <v>10546</v>
          </cell>
          <cell r="B720" t="str">
            <v>010546</v>
          </cell>
          <cell r="C720" t="str">
            <v>FITRI YANI DIAH ASTUTI</v>
          </cell>
          <cell r="D720" t="str">
            <v>SAMI</v>
          </cell>
          <cell r="E720" t="str">
            <v>OPT-275</v>
          </cell>
          <cell r="F720">
            <v>40542</v>
          </cell>
          <cell r="G720" t="str">
            <v>-</v>
          </cell>
          <cell r="H720" t="str">
            <v>-</v>
          </cell>
          <cell r="I720" t="str">
            <v>PRD</v>
          </cell>
          <cell r="J720" t="str">
            <v>FINAL ASSY</v>
          </cell>
          <cell r="K720" t="str">
            <v>FREED 25M</v>
          </cell>
          <cell r="L720" t="str">
            <v>R-CABIN</v>
          </cell>
          <cell r="M720" t="str">
            <v>CV H05</v>
          </cell>
          <cell r="N720" t="str">
            <v>OJT S/A 2</v>
          </cell>
          <cell r="O720" t="str">
            <v>OTHERS</v>
          </cell>
          <cell r="P720" t="str">
            <v>A (NS)</v>
          </cell>
          <cell r="Q720" t="str">
            <v>PI</v>
          </cell>
          <cell r="R720" t="str">
            <v>PERMANENT</v>
          </cell>
          <cell r="S720" t="str">
            <v>PRM</v>
          </cell>
          <cell r="T720" t="str">
            <v>OPT</v>
          </cell>
          <cell r="U720" t="str">
            <v>-</v>
          </cell>
          <cell r="V720" t="str">
            <v>P</v>
          </cell>
          <cell r="W720">
            <v>34</v>
          </cell>
        </row>
        <row r="721">
          <cell r="A721">
            <v>10899</v>
          </cell>
          <cell r="B721" t="str">
            <v>010899</v>
          </cell>
          <cell r="C721" t="str">
            <v>SITI INAYAHWATI</v>
          </cell>
          <cell r="D721" t="str">
            <v>SAMI</v>
          </cell>
          <cell r="E721" t="str">
            <v>OPT-284</v>
          </cell>
          <cell r="F721">
            <v>40574</v>
          </cell>
          <cell r="G721" t="str">
            <v>-</v>
          </cell>
          <cell r="H721" t="str">
            <v>-</v>
          </cell>
          <cell r="I721" t="str">
            <v>PRD</v>
          </cell>
          <cell r="J721" t="str">
            <v>FINAL ASSY</v>
          </cell>
          <cell r="K721" t="str">
            <v>FREED 25M</v>
          </cell>
          <cell r="L721" t="str">
            <v>R-CABIN</v>
          </cell>
          <cell r="M721" t="str">
            <v>CV H05</v>
          </cell>
          <cell r="N721" t="str">
            <v>OJT S/A 7</v>
          </cell>
          <cell r="O721" t="str">
            <v>OTHERS</v>
          </cell>
          <cell r="P721" t="str">
            <v>A (NS)</v>
          </cell>
          <cell r="Q721" t="str">
            <v>PI</v>
          </cell>
          <cell r="R721" t="str">
            <v>PERMANENT</v>
          </cell>
          <cell r="S721" t="str">
            <v>PRM</v>
          </cell>
          <cell r="T721" t="str">
            <v>OPT</v>
          </cell>
          <cell r="U721" t="str">
            <v>-</v>
          </cell>
          <cell r="V721" t="str">
            <v>P</v>
          </cell>
          <cell r="W721">
            <v>33</v>
          </cell>
        </row>
        <row r="722">
          <cell r="A722">
            <v>10026</v>
          </cell>
          <cell r="B722" t="str">
            <v>010026</v>
          </cell>
          <cell r="C722" t="str">
            <v>MAWAR RISTIANI</v>
          </cell>
          <cell r="D722" t="str">
            <v>SAMI</v>
          </cell>
          <cell r="E722" t="str">
            <v>OPT-247</v>
          </cell>
          <cell r="F722">
            <v>40438</v>
          </cell>
          <cell r="G722" t="str">
            <v>-</v>
          </cell>
          <cell r="H722" t="str">
            <v>-</v>
          </cell>
          <cell r="I722" t="str">
            <v>QA</v>
          </cell>
          <cell r="J722" t="str">
            <v>FINAL ASSY</v>
          </cell>
          <cell r="K722" t="str">
            <v>HONDA FIT</v>
          </cell>
          <cell r="L722" t="str">
            <v>HONDA FIT HEV PET ENGINE</v>
          </cell>
          <cell r="M722" t="str">
            <v>CV H02</v>
          </cell>
          <cell r="N722" t="str">
            <v>DC</v>
          </cell>
          <cell r="O722" t="str">
            <v>DC</v>
          </cell>
          <cell r="P722" t="str">
            <v>A</v>
          </cell>
          <cell r="Q722" t="str">
            <v>PI</v>
          </cell>
          <cell r="R722" t="str">
            <v>PERMANENT</v>
          </cell>
          <cell r="S722" t="str">
            <v>PRM</v>
          </cell>
          <cell r="T722" t="str">
            <v>OPT</v>
          </cell>
          <cell r="U722" t="str">
            <v>-</v>
          </cell>
          <cell r="V722" t="str">
            <v>P</v>
          </cell>
          <cell r="W722">
            <v>33</v>
          </cell>
        </row>
        <row r="723">
          <cell r="A723">
            <v>10036</v>
          </cell>
          <cell r="B723" t="str">
            <v>010036</v>
          </cell>
          <cell r="C723" t="str">
            <v>NURUL SHOBAH</v>
          </cell>
          <cell r="D723" t="str">
            <v>SAMI</v>
          </cell>
          <cell r="E723" t="str">
            <v>OPT-247</v>
          </cell>
          <cell r="F723">
            <v>40438</v>
          </cell>
          <cell r="G723" t="str">
            <v>-</v>
          </cell>
          <cell r="H723" t="str">
            <v>-</v>
          </cell>
          <cell r="I723" t="str">
            <v>PRD</v>
          </cell>
          <cell r="J723" t="str">
            <v>FINAL ASSY</v>
          </cell>
          <cell r="K723" t="str">
            <v>HONDA BBP</v>
          </cell>
          <cell r="L723" t="str">
            <v>HV HONDA 30B</v>
          </cell>
          <cell r="M723" t="str">
            <v>CV HV 11B</v>
          </cell>
          <cell r="N723" t="str">
            <v>VISUAL 1 131, 132</v>
          </cell>
          <cell r="O723" t="str">
            <v>VISUAL INSPECTION</v>
          </cell>
          <cell r="P723" t="str">
            <v>B</v>
          </cell>
          <cell r="Q723" t="str">
            <v>DL</v>
          </cell>
          <cell r="R723" t="str">
            <v>PERMANENT</v>
          </cell>
          <cell r="S723" t="str">
            <v>PRM</v>
          </cell>
          <cell r="T723" t="str">
            <v>OPT</v>
          </cell>
          <cell r="U723" t="str">
            <v>-</v>
          </cell>
          <cell r="V723" t="str">
            <v>P</v>
          </cell>
          <cell r="W723">
            <v>32</v>
          </cell>
        </row>
        <row r="724">
          <cell r="A724">
            <v>10048</v>
          </cell>
          <cell r="B724" t="str">
            <v>010048</v>
          </cell>
          <cell r="C724" t="str">
            <v>SAULINA RUDIYANTI</v>
          </cell>
          <cell r="D724" t="str">
            <v>SAMI</v>
          </cell>
          <cell r="E724" t="str">
            <v>OPT-247</v>
          </cell>
          <cell r="F724">
            <v>40438</v>
          </cell>
          <cell r="G724" t="str">
            <v>-</v>
          </cell>
          <cell r="H724" t="str">
            <v>-</v>
          </cell>
          <cell r="I724" t="str">
            <v>PRD</v>
          </cell>
          <cell r="J724" t="str">
            <v>PRE ASSY</v>
          </cell>
          <cell r="K724" t="str">
            <v>HONDA FIT</v>
          </cell>
          <cell r="L724" t="str">
            <v>HONDA FIT</v>
          </cell>
          <cell r="M724" t="str">
            <v>CPA HONDA FIT HEV/PET</v>
          </cell>
          <cell r="N724" t="str">
            <v>PRD LINE CHO</v>
          </cell>
          <cell r="O724" t="str">
            <v>FPI LL</v>
          </cell>
          <cell r="P724" t="str">
            <v>B</v>
          </cell>
          <cell r="Q724" t="str">
            <v>PI</v>
          </cell>
          <cell r="R724" t="str">
            <v>PERMANENT</v>
          </cell>
          <cell r="S724" t="str">
            <v>PRM</v>
          </cell>
          <cell r="T724" t="str">
            <v>LC</v>
          </cell>
          <cell r="U724" t="str">
            <v>-</v>
          </cell>
          <cell r="V724" t="str">
            <v>P</v>
          </cell>
          <cell r="W724">
            <v>32</v>
          </cell>
        </row>
        <row r="725">
          <cell r="A725">
            <v>10059</v>
          </cell>
          <cell r="B725" t="str">
            <v>010059</v>
          </cell>
          <cell r="C725" t="str">
            <v>TRI YUNIARTI</v>
          </cell>
          <cell r="D725" t="str">
            <v>SAMI</v>
          </cell>
          <cell r="E725" t="str">
            <v>OPT-247</v>
          </cell>
          <cell r="F725">
            <v>40438</v>
          </cell>
          <cell r="G725" t="str">
            <v>-</v>
          </cell>
          <cell r="H725" t="str">
            <v>-</v>
          </cell>
          <cell r="I725" t="str">
            <v>PE</v>
          </cell>
          <cell r="J725" t="str">
            <v>MTC</v>
          </cell>
          <cell r="K725" t="str">
            <v>ALL</v>
          </cell>
          <cell r="L725" t="str">
            <v>ALL</v>
          </cell>
          <cell r="M725" t="str">
            <v>MESIN LOADING</v>
          </cell>
          <cell r="N725" t="str">
            <v>ADMIN MACHINE LOADING</v>
          </cell>
          <cell r="O725" t="str">
            <v>CRIMP STD</v>
          </cell>
          <cell r="P725" t="str">
            <v>A (NS)</v>
          </cell>
          <cell r="Q725" t="str">
            <v>PS</v>
          </cell>
          <cell r="R725" t="str">
            <v>PERMANENT</v>
          </cell>
          <cell r="S725" t="str">
            <v>PRM</v>
          </cell>
          <cell r="T725" t="str">
            <v>OPT</v>
          </cell>
          <cell r="U725" t="str">
            <v>-</v>
          </cell>
          <cell r="V725" t="str">
            <v>P</v>
          </cell>
          <cell r="W725">
            <v>33</v>
          </cell>
        </row>
        <row r="726">
          <cell r="A726">
            <v>10061</v>
          </cell>
          <cell r="B726" t="str">
            <v>010061</v>
          </cell>
          <cell r="C726" t="str">
            <v>UPIK SITI ROCHANA</v>
          </cell>
          <cell r="D726" t="str">
            <v>SAMI</v>
          </cell>
          <cell r="E726" t="str">
            <v>OPT-247</v>
          </cell>
          <cell r="F726">
            <v>40438</v>
          </cell>
          <cell r="G726" t="str">
            <v>-</v>
          </cell>
          <cell r="H726" t="str">
            <v>-</v>
          </cell>
          <cell r="I726" t="str">
            <v>PRD</v>
          </cell>
          <cell r="J726" t="str">
            <v>PRE ASSY</v>
          </cell>
          <cell r="K726" t="str">
            <v>HONDA FIT</v>
          </cell>
          <cell r="L726" t="str">
            <v>HONDA FIT</v>
          </cell>
          <cell r="M726" t="str">
            <v>CPA HONDA FIT HEV/PET</v>
          </cell>
          <cell r="N726" t="str">
            <v>CUTTING AC90-HDA-21</v>
          </cell>
          <cell r="O726" t="str">
            <v>CUTTING WIRE</v>
          </cell>
          <cell r="P726" t="str">
            <v>B</v>
          </cell>
          <cell r="Q726" t="str">
            <v>DL</v>
          </cell>
          <cell r="R726" t="str">
            <v>PERMANENT</v>
          </cell>
          <cell r="S726" t="str">
            <v>PRM</v>
          </cell>
          <cell r="T726" t="str">
            <v>OPT</v>
          </cell>
          <cell r="U726" t="str">
            <v>-</v>
          </cell>
          <cell r="V726" t="str">
            <v>P</v>
          </cell>
          <cell r="W726">
            <v>36</v>
          </cell>
        </row>
        <row r="727">
          <cell r="A727">
            <v>10062</v>
          </cell>
          <cell r="B727" t="str">
            <v>010062</v>
          </cell>
          <cell r="C727" t="str">
            <v>VIPIT WULANINGSIH</v>
          </cell>
          <cell r="D727" t="str">
            <v>SAMI</v>
          </cell>
          <cell r="E727" t="str">
            <v>OPT-247</v>
          </cell>
          <cell r="F727">
            <v>40438</v>
          </cell>
          <cell r="G727" t="str">
            <v>-</v>
          </cell>
          <cell r="H727" t="str">
            <v>-</v>
          </cell>
          <cell r="I727" t="str">
            <v>QA</v>
          </cell>
          <cell r="J727" t="str">
            <v>FINAL ASSY</v>
          </cell>
          <cell r="K727" t="str">
            <v>MAZDA 3</v>
          </cell>
          <cell r="L727" t="str">
            <v>MAZDA REAR</v>
          </cell>
          <cell r="M727" t="str">
            <v>CV M01</v>
          </cell>
          <cell r="N727" t="str">
            <v>GL INSPECTION</v>
          </cell>
          <cell r="O727" t="str">
            <v>GL</v>
          </cell>
          <cell r="P727" t="str">
            <v>B</v>
          </cell>
          <cell r="Q727" t="str">
            <v>PI</v>
          </cell>
          <cell r="R727" t="str">
            <v>PERMANENT</v>
          </cell>
          <cell r="S727" t="str">
            <v>PRM</v>
          </cell>
          <cell r="T727" t="str">
            <v>GL</v>
          </cell>
          <cell r="U727" t="str">
            <v>-</v>
          </cell>
          <cell r="V727" t="str">
            <v>P</v>
          </cell>
          <cell r="W727">
            <v>32</v>
          </cell>
        </row>
        <row r="728">
          <cell r="A728">
            <v>10077</v>
          </cell>
          <cell r="B728" t="str">
            <v>010077</v>
          </cell>
          <cell r="C728" t="str">
            <v>AYU CAHYANI</v>
          </cell>
          <cell r="D728" t="str">
            <v>SAMI</v>
          </cell>
          <cell r="E728" t="str">
            <v>OPT-248</v>
          </cell>
          <cell r="F728">
            <v>40444</v>
          </cell>
          <cell r="G728" t="str">
            <v>-</v>
          </cell>
          <cell r="H728" t="str">
            <v>-</v>
          </cell>
          <cell r="I728" t="str">
            <v>PRD</v>
          </cell>
          <cell r="J728" t="str">
            <v>PRE ASSY</v>
          </cell>
          <cell r="K728" t="str">
            <v>TOYOTA</v>
          </cell>
          <cell r="L728" t="str">
            <v>HV TOYOTA LV</v>
          </cell>
          <cell r="M728" t="str">
            <v>CPA TOYOTA LV</v>
          </cell>
          <cell r="N728" t="str">
            <v>OJT CUTTING AC90-STA-02</v>
          </cell>
          <cell r="O728" t="str">
            <v>OTHERS</v>
          </cell>
          <cell r="P728" t="str">
            <v>B</v>
          </cell>
          <cell r="Q728" t="str">
            <v>PI</v>
          </cell>
          <cell r="R728" t="str">
            <v>PERMANENT</v>
          </cell>
          <cell r="S728" t="str">
            <v>PRM</v>
          </cell>
          <cell r="T728" t="str">
            <v>OPT</v>
          </cell>
          <cell r="U728" t="str">
            <v>-</v>
          </cell>
          <cell r="V728" t="str">
            <v>P</v>
          </cell>
          <cell r="W728">
            <v>32</v>
          </cell>
        </row>
        <row r="729">
          <cell r="A729">
            <v>10986</v>
          </cell>
          <cell r="B729" t="str">
            <v>010986</v>
          </cell>
          <cell r="C729" t="str">
            <v>NUNIK SURYATI</v>
          </cell>
          <cell r="D729" t="str">
            <v>SAMI</v>
          </cell>
          <cell r="E729" t="str">
            <v>OPT-286</v>
          </cell>
          <cell r="F729">
            <v>40582</v>
          </cell>
          <cell r="G729" t="str">
            <v>-</v>
          </cell>
          <cell r="H729" t="str">
            <v>-</v>
          </cell>
          <cell r="I729" t="str">
            <v>PRD</v>
          </cell>
          <cell r="J729" t="str">
            <v>FINAL ASSY</v>
          </cell>
          <cell r="K729" t="str">
            <v>FREED 25M</v>
          </cell>
          <cell r="L729" t="str">
            <v>R-CABIN</v>
          </cell>
          <cell r="M729" t="str">
            <v>CV H05</v>
          </cell>
          <cell r="N729" t="str">
            <v>OJT VISUAL 1.1</v>
          </cell>
          <cell r="O729" t="str">
            <v>OTHERS</v>
          </cell>
          <cell r="P729" t="str">
            <v>A (NS)</v>
          </cell>
          <cell r="Q729" t="str">
            <v>PI</v>
          </cell>
          <cell r="R729" t="str">
            <v>PERMANENT</v>
          </cell>
          <cell r="S729" t="str">
            <v>PRM</v>
          </cell>
          <cell r="T729" t="str">
            <v>OPT</v>
          </cell>
          <cell r="U729" t="str">
            <v>-</v>
          </cell>
          <cell r="V729" t="str">
            <v>P</v>
          </cell>
          <cell r="W729">
            <v>33</v>
          </cell>
        </row>
        <row r="730">
          <cell r="A730">
            <v>11901</v>
          </cell>
          <cell r="B730" t="str">
            <v>011901</v>
          </cell>
          <cell r="C730" t="str">
            <v>TUTIK AMBARWATI</v>
          </cell>
          <cell r="D730" t="str">
            <v>SAMI</v>
          </cell>
          <cell r="E730" t="str">
            <v>OPT-310</v>
          </cell>
          <cell r="F730">
            <v>40735</v>
          </cell>
          <cell r="G730" t="str">
            <v>-</v>
          </cell>
          <cell r="H730" t="str">
            <v>-</v>
          </cell>
          <cell r="I730" t="str">
            <v>PRD</v>
          </cell>
          <cell r="J730" t="str">
            <v>FINAL ASSY</v>
          </cell>
          <cell r="K730" t="str">
            <v>FREED 25M</v>
          </cell>
          <cell r="L730" t="str">
            <v>R-CABIN</v>
          </cell>
          <cell r="M730" t="str">
            <v>CV H05</v>
          </cell>
          <cell r="N730" t="str">
            <v>KEYMAN FREED 33FA</v>
          </cell>
          <cell r="O730" t="str">
            <v>OTHERS</v>
          </cell>
          <cell r="P730" t="str">
            <v>A (NS)</v>
          </cell>
          <cell r="Q730" t="str">
            <v>PI</v>
          </cell>
          <cell r="R730" t="str">
            <v>PERMANENT</v>
          </cell>
          <cell r="S730" t="str">
            <v>PRM</v>
          </cell>
          <cell r="T730" t="str">
            <v>PJK</v>
          </cell>
          <cell r="U730" t="str">
            <v>-</v>
          </cell>
          <cell r="V730" t="str">
            <v>P</v>
          </cell>
          <cell r="W730">
            <v>31</v>
          </cell>
        </row>
        <row r="731">
          <cell r="A731">
            <v>10087</v>
          </cell>
          <cell r="B731" t="str">
            <v>010087</v>
          </cell>
          <cell r="C731" t="str">
            <v>FATIKHATUL AFIDAH</v>
          </cell>
          <cell r="D731" t="str">
            <v>SAMI</v>
          </cell>
          <cell r="E731" t="str">
            <v>OPT-248</v>
          </cell>
          <cell r="F731">
            <v>40444</v>
          </cell>
          <cell r="G731" t="str">
            <v>-</v>
          </cell>
          <cell r="H731" t="str">
            <v>-</v>
          </cell>
          <cell r="I731" t="str">
            <v>QA</v>
          </cell>
          <cell r="J731" t="str">
            <v>FINAL ASSY</v>
          </cell>
          <cell r="K731" t="str">
            <v>ALL</v>
          </cell>
          <cell r="L731" t="str">
            <v>ALL</v>
          </cell>
          <cell r="M731" t="str">
            <v>PROTOTYPE</v>
          </cell>
          <cell r="N731" t="str">
            <v>INSPECTION</v>
          </cell>
          <cell r="O731" t="str">
            <v>QA APPROVE</v>
          </cell>
          <cell r="P731" t="str">
            <v>A (NS)</v>
          </cell>
          <cell r="Q731" t="str">
            <v>PI</v>
          </cell>
          <cell r="R731" t="str">
            <v>PERMANENT</v>
          </cell>
          <cell r="S731" t="str">
            <v>PRM</v>
          </cell>
          <cell r="T731" t="str">
            <v>OPT</v>
          </cell>
          <cell r="U731" t="str">
            <v>-</v>
          </cell>
          <cell r="V731" t="str">
            <v>P</v>
          </cell>
          <cell r="W731">
            <v>33</v>
          </cell>
        </row>
        <row r="732">
          <cell r="A732">
            <v>11916</v>
          </cell>
          <cell r="B732" t="str">
            <v>011916</v>
          </cell>
          <cell r="C732" t="str">
            <v>ANA WAHYUNINGRUM</v>
          </cell>
          <cell r="D732" t="str">
            <v>SAMI</v>
          </cell>
          <cell r="E732" t="str">
            <v>OPT-311</v>
          </cell>
          <cell r="F732">
            <v>40770</v>
          </cell>
          <cell r="G732" t="str">
            <v>-</v>
          </cell>
          <cell r="H732" t="str">
            <v>-</v>
          </cell>
          <cell r="I732" t="str">
            <v>PRD</v>
          </cell>
          <cell r="J732" t="str">
            <v>FINAL ASSY</v>
          </cell>
          <cell r="K732" t="str">
            <v>FREED 25M</v>
          </cell>
          <cell r="L732" t="str">
            <v>R-CABIN</v>
          </cell>
          <cell r="M732" t="str">
            <v>CV H05</v>
          </cell>
          <cell r="N732" t="str">
            <v>LQC</v>
          </cell>
          <cell r="O732" t="str">
            <v>RELIEF</v>
          </cell>
          <cell r="P732" t="str">
            <v>A (NS)</v>
          </cell>
          <cell r="Q732" t="str">
            <v>PI</v>
          </cell>
          <cell r="R732" t="str">
            <v>PERMANENT</v>
          </cell>
          <cell r="S732" t="str">
            <v>PRM</v>
          </cell>
          <cell r="T732" t="str">
            <v>PJK</v>
          </cell>
          <cell r="U732" t="str">
            <v>-</v>
          </cell>
          <cell r="V732" t="str">
            <v>P</v>
          </cell>
          <cell r="W732">
            <v>33</v>
          </cell>
        </row>
        <row r="733">
          <cell r="A733">
            <v>10094</v>
          </cell>
          <cell r="B733" t="str">
            <v>010094</v>
          </cell>
          <cell r="C733" t="str">
            <v>JAZIROH</v>
          </cell>
          <cell r="D733" t="str">
            <v>SAMI</v>
          </cell>
          <cell r="E733" t="str">
            <v>OPT-248</v>
          </cell>
          <cell r="F733">
            <v>40444</v>
          </cell>
          <cell r="G733" t="str">
            <v>-</v>
          </cell>
          <cell r="H733" t="str">
            <v>-</v>
          </cell>
          <cell r="I733" t="str">
            <v>OTHERS</v>
          </cell>
          <cell r="J733" t="str">
            <v>AT HOME</v>
          </cell>
          <cell r="K733" t="str">
            <v>ALL</v>
          </cell>
          <cell r="L733" t="str">
            <v>ALL</v>
          </cell>
          <cell r="M733" t="str">
            <v>AT HOME</v>
          </cell>
          <cell r="N733" t="str">
            <v>CUTI DI LUAR TANGGUNGAN</v>
          </cell>
          <cell r="O733" t="str">
            <v>OTHERS IDL</v>
          </cell>
          <cell r="P733" t="str">
            <v>-</v>
          </cell>
          <cell r="Q733" t="str">
            <v>ADM</v>
          </cell>
          <cell r="R733" t="str">
            <v>PERMANENT</v>
          </cell>
          <cell r="S733" t="str">
            <v>PRM</v>
          </cell>
          <cell r="T733" t="str">
            <v>OPT</v>
          </cell>
          <cell r="U733" t="str">
            <v>-</v>
          </cell>
          <cell r="V733" t="str">
            <v>P</v>
          </cell>
          <cell r="W733">
            <v>33</v>
          </cell>
        </row>
        <row r="734">
          <cell r="A734">
            <v>12156</v>
          </cell>
          <cell r="B734" t="str">
            <v>012156</v>
          </cell>
          <cell r="C734" t="str">
            <v>TRI NANI</v>
          </cell>
          <cell r="D734" t="str">
            <v>SAMI</v>
          </cell>
          <cell r="E734" t="str">
            <v>OPT-314</v>
          </cell>
          <cell r="F734">
            <v>40798</v>
          </cell>
          <cell r="G734" t="str">
            <v>-</v>
          </cell>
          <cell r="H734" t="str">
            <v>-</v>
          </cell>
          <cell r="I734" t="str">
            <v>PRD</v>
          </cell>
          <cell r="J734" t="str">
            <v>FINAL ASSY</v>
          </cell>
          <cell r="K734" t="str">
            <v>FREED 25M</v>
          </cell>
          <cell r="L734" t="str">
            <v>R-CABIN</v>
          </cell>
          <cell r="M734" t="str">
            <v>CV H05</v>
          </cell>
          <cell r="N734" t="str">
            <v>OJT VISUAL 1.3</v>
          </cell>
          <cell r="O734" t="str">
            <v>OTHERS</v>
          </cell>
          <cell r="P734" t="str">
            <v>A (NS)</v>
          </cell>
          <cell r="Q734" t="str">
            <v>PI</v>
          </cell>
          <cell r="R734" t="str">
            <v>PERMANENT</v>
          </cell>
          <cell r="S734" t="str">
            <v>PRM</v>
          </cell>
          <cell r="T734" t="str">
            <v>OPT</v>
          </cell>
          <cell r="U734" t="str">
            <v>-</v>
          </cell>
          <cell r="V734" t="str">
            <v>P</v>
          </cell>
          <cell r="W734">
            <v>37</v>
          </cell>
        </row>
        <row r="735">
          <cell r="A735">
            <v>10097</v>
          </cell>
          <cell r="B735" t="str">
            <v>010097</v>
          </cell>
          <cell r="C735" t="str">
            <v>LAILATUN NASRIYAH</v>
          </cell>
          <cell r="D735" t="str">
            <v>SAMI</v>
          </cell>
          <cell r="E735" t="str">
            <v>OPT-248</v>
          </cell>
          <cell r="F735">
            <v>40444</v>
          </cell>
          <cell r="G735" t="str">
            <v>-</v>
          </cell>
          <cell r="H735" t="str">
            <v>-</v>
          </cell>
          <cell r="I735" t="str">
            <v>QA</v>
          </cell>
          <cell r="J735" t="str">
            <v>FINAL ASSY</v>
          </cell>
          <cell r="K735" t="str">
            <v>HONDA NES</v>
          </cell>
          <cell r="L735" t="str">
            <v>HONDA NES HEV PET ENGINE</v>
          </cell>
          <cell r="M735" t="str">
            <v>CV H04</v>
          </cell>
          <cell r="N735" t="str">
            <v>DC</v>
          </cell>
          <cell r="O735" t="str">
            <v>DC</v>
          </cell>
          <cell r="P735" t="str">
            <v>B</v>
          </cell>
          <cell r="Q735" t="str">
            <v>PI</v>
          </cell>
          <cell r="R735" t="str">
            <v>PERMANENT</v>
          </cell>
          <cell r="S735" t="str">
            <v>PRM</v>
          </cell>
          <cell r="T735" t="str">
            <v>OPT</v>
          </cell>
          <cell r="U735" t="str">
            <v>-</v>
          </cell>
          <cell r="V735" t="str">
            <v>P</v>
          </cell>
          <cell r="W735">
            <v>32</v>
          </cell>
        </row>
        <row r="736">
          <cell r="A736">
            <v>10100</v>
          </cell>
          <cell r="B736" t="str">
            <v>010100</v>
          </cell>
          <cell r="C736" t="str">
            <v>MENIK JAYANTI</v>
          </cell>
          <cell r="D736" t="str">
            <v>SAMI</v>
          </cell>
          <cell r="E736" t="str">
            <v>OPT-248</v>
          </cell>
          <cell r="F736">
            <v>40444</v>
          </cell>
          <cell r="G736" t="str">
            <v>-</v>
          </cell>
          <cell r="H736" t="str">
            <v>-</v>
          </cell>
          <cell r="I736" t="str">
            <v>PRD</v>
          </cell>
          <cell r="J736" t="str">
            <v>PRE ASSY</v>
          </cell>
          <cell r="K736" t="str">
            <v>TOYOTA</v>
          </cell>
          <cell r="L736" t="str">
            <v>HV TOYOTA LV</v>
          </cell>
          <cell r="M736" t="str">
            <v>CPA TOYOTA LV</v>
          </cell>
          <cell r="N736" t="str">
            <v>OJT BM3-STA-01</v>
          </cell>
          <cell r="O736" t="str">
            <v>OTHERS</v>
          </cell>
          <cell r="P736" t="str">
            <v>B</v>
          </cell>
          <cell r="Q736" t="str">
            <v>PI</v>
          </cell>
          <cell r="R736" t="str">
            <v>PERMANENT</v>
          </cell>
          <cell r="S736" t="str">
            <v>PRM</v>
          </cell>
          <cell r="T736" t="str">
            <v>OPT</v>
          </cell>
          <cell r="U736" t="str">
            <v>-</v>
          </cell>
          <cell r="V736" t="str">
            <v>P</v>
          </cell>
          <cell r="W736">
            <v>32</v>
          </cell>
        </row>
        <row r="737">
          <cell r="A737">
            <v>12237</v>
          </cell>
          <cell r="B737" t="str">
            <v>012237</v>
          </cell>
          <cell r="C737" t="str">
            <v>AHMAD NUR WAHID</v>
          </cell>
          <cell r="D737" t="str">
            <v>SAMI</v>
          </cell>
          <cell r="E737" t="str">
            <v>OPT-316</v>
          </cell>
          <cell r="F737">
            <v>40805</v>
          </cell>
          <cell r="G737" t="str">
            <v>-</v>
          </cell>
          <cell r="H737" t="str">
            <v>-</v>
          </cell>
          <cell r="I737" t="str">
            <v>PRD</v>
          </cell>
          <cell r="J737" t="str">
            <v>FINAL ASSY</v>
          </cell>
          <cell r="K737" t="str">
            <v>FREED 25M</v>
          </cell>
          <cell r="L737" t="str">
            <v>R-CABIN</v>
          </cell>
          <cell r="M737" t="str">
            <v>CV H05</v>
          </cell>
          <cell r="N737" t="str">
            <v>KEYMAN FREED 33FA</v>
          </cell>
          <cell r="O737" t="str">
            <v>OTHERS</v>
          </cell>
          <cell r="P737" t="str">
            <v>A (NS)</v>
          </cell>
          <cell r="Q737" t="str">
            <v>PI</v>
          </cell>
          <cell r="R737" t="str">
            <v>PERMANENT</v>
          </cell>
          <cell r="S737" t="str">
            <v>PRM</v>
          </cell>
          <cell r="T737" t="str">
            <v>PJK</v>
          </cell>
          <cell r="U737" t="str">
            <v>-</v>
          </cell>
          <cell r="V737" t="str">
            <v>L</v>
          </cell>
          <cell r="W737">
            <v>31</v>
          </cell>
        </row>
        <row r="738">
          <cell r="A738">
            <v>10104</v>
          </cell>
          <cell r="B738" t="str">
            <v>010104</v>
          </cell>
          <cell r="C738" t="str">
            <v>NOVILIA ARUM SARI</v>
          </cell>
          <cell r="D738" t="str">
            <v>SAMI</v>
          </cell>
          <cell r="E738" t="str">
            <v>OPT-248</v>
          </cell>
          <cell r="F738">
            <v>40444</v>
          </cell>
          <cell r="G738" t="str">
            <v>-</v>
          </cell>
          <cell r="H738" t="str">
            <v>-</v>
          </cell>
          <cell r="I738" t="str">
            <v>LOG</v>
          </cell>
          <cell r="J738" t="str">
            <v>L. DOCK</v>
          </cell>
          <cell r="K738" t="str">
            <v>ALL</v>
          </cell>
          <cell r="L738" t="str">
            <v>ALL</v>
          </cell>
          <cell r="M738" t="str">
            <v>L. DOCK</v>
          </cell>
          <cell r="N738" t="str">
            <v>SUPPORT LD</v>
          </cell>
          <cell r="O738" t="str">
            <v>LD</v>
          </cell>
          <cell r="P738" t="str">
            <v>A (NS)</v>
          </cell>
          <cell r="Q738" t="str">
            <v>PS</v>
          </cell>
          <cell r="R738" t="str">
            <v>PERMANENT</v>
          </cell>
          <cell r="S738" t="str">
            <v>PRM</v>
          </cell>
          <cell r="T738" t="str">
            <v>OPT</v>
          </cell>
          <cell r="U738" t="str">
            <v>-</v>
          </cell>
          <cell r="V738" t="str">
            <v>P</v>
          </cell>
          <cell r="W738">
            <v>33</v>
          </cell>
        </row>
        <row r="739">
          <cell r="A739">
            <v>10108</v>
          </cell>
          <cell r="B739" t="str">
            <v>010108</v>
          </cell>
          <cell r="C739" t="str">
            <v>NURJANAH</v>
          </cell>
          <cell r="D739" t="str">
            <v>SAMI</v>
          </cell>
          <cell r="E739" t="str">
            <v>OPT-248</v>
          </cell>
          <cell r="F739">
            <v>40444</v>
          </cell>
          <cell r="G739" t="str">
            <v>-</v>
          </cell>
          <cell r="H739" t="str">
            <v>-</v>
          </cell>
          <cell r="I739" t="str">
            <v>PRD</v>
          </cell>
          <cell r="J739" t="str">
            <v>PRE ASSY</v>
          </cell>
          <cell r="K739" t="str">
            <v>HONDA NES</v>
          </cell>
          <cell r="L739" t="str">
            <v>HONDA NES</v>
          </cell>
          <cell r="M739" t="str">
            <v>CPA HONDA NES HEV/PET</v>
          </cell>
          <cell r="N739" t="str">
            <v>CUTTING AC90-3MO-05</v>
          </cell>
          <cell r="O739" t="str">
            <v>CUTTING WIRE</v>
          </cell>
          <cell r="P739" t="str">
            <v>B</v>
          </cell>
          <cell r="Q739" t="str">
            <v>DL</v>
          </cell>
          <cell r="R739" t="str">
            <v>PERMANENT</v>
          </cell>
          <cell r="S739" t="str">
            <v>PRM</v>
          </cell>
          <cell r="T739" t="str">
            <v>OPT</v>
          </cell>
          <cell r="U739" t="str">
            <v>-</v>
          </cell>
          <cell r="V739" t="str">
            <v>P</v>
          </cell>
          <cell r="W739">
            <v>32</v>
          </cell>
        </row>
        <row r="740">
          <cell r="A740">
            <v>10112</v>
          </cell>
          <cell r="B740" t="str">
            <v>010112</v>
          </cell>
          <cell r="C740" t="str">
            <v>RENNY RAFIKA HAPSARI</v>
          </cell>
          <cell r="D740" t="str">
            <v>SAMI</v>
          </cell>
          <cell r="E740" t="str">
            <v>OPT-248</v>
          </cell>
          <cell r="F740">
            <v>40444</v>
          </cell>
          <cell r="G740" t="str">
            <v>-</v>
          </cell>
          <cell r="H740" t="str">
            <v>-</v>
          </cell>
          <cell r="I740" t="str">
            <v>PGA</v>
          </cell>
          <cell r="J740" t="str">
            <v>GA</v>
          </cell>
          <cell r="K740" t="str">
            <v>ALL</v>
          </cell>
          <cell r="L740" t="str">
            <v>ALL</v>
          </cell>
          <cell r="M740" t="str">
            <v>GA</v>
          </cell>
          <cell r="N740" t="str">
            <v>STAFF GA</v>
          </cell>
          <cell r="O740" t="str">
            <v>GA</v>
          </cell>
          <cell r="P740" t="str">
            <v>A (NS)</v>
          </cell>
          <cell r="Q740" t="str">
            <v>ADM</v>
          </cell>
          <cell r="R740" t="str">
            <v>PERMANENT</v>
          </cell>
          <cell r="S740" t="str">
            <v>PRM</v>
          </cell>
          <cell r="T740" t="str">
            <v>PGA</v>
          </cell>
          <cell r="U740" t="str">
            <v>-</v>
          </cell>
          <cell r="V740" t="str">
            <v>P</v>
          </cell>
          <cell r="W740">
            <v>32</v>
          </cell>
        </row>
        <row r="741">
          <cell r="A741">
            <v>10117</v>
          </cell>
          <cell r="B741" t="str">
            <v>010117</v>
          </cell>
          <cell r="C741" t="str">
            <v>SITI MUADHIMAH</v>
          </cell>
          <cell r="D741" t="str">
            <v>SAMI</v>
          </cell>
          <cell r="E741" t="str">
            <v>OPT-248</v>
          </cell>
          <cell r="F741">
            <v>40444</v>
          </cell>
          <cell r="G741" t="str">
            <v>-</v>
          </cell>
          <cell r="H741" t="str">
            <v>-</v>
          </cell>
          <cell r="I741" t="str">
            <v>PRD</v>
          </cell>
          <cell r="J741" t="str">
            <v>PRE ASSY</v>
          </cell>
          <cell r="K741" t="str">
            <v>TOYOTA</v>
          </cell>
          <cell r="L741" t="str">
            <v>HV TOYOTA LV</v>
          </cell>
          <cell r="M741" t="str">
            <v>CPA TOYOTA LV</v>
          </cell>
          <cell r="N741" t="str">
            <v>OJT CUTTING AC90-STA-01</v>
          </cell>
          <cell r="O741" t="str">
            <v>OTHERS</v>
          </cell>
          <cell r="P741" t="str">
            <v>B</v>
          </cell>
          <cell r="Q741" t="str">
            <v>PI</v>
          </cell>
          <cell r="R741" t="str">
            <v>PERMANENT</v>
          </cell>
          <cell r="S741" t="str">
            <v>PRM</v>
          </cell>
          <cell r="T741" t="str">
            <v>OPT</v>
          </cell>
          <cell r="U741" t="str">
            <v>-</v>
          </cell>
          <cell r="V741" t="str">
            <v>P</v>
          </cell>
          <cell r="W741">
            <v>32</v>
          </cell>
        </row>
        <row r="742">
          <cell r="A742">
            <v>12737</v>
          </cell>
          <cell r="B742" t="str">
            <v>012737</v>
          </cell>
          <cell r="C742" t="str">
            <v>SEPTIAN ADHITYA DWI S.</v>
          </cell>
          <cell r="D742" t="str">
            <v>SAMI</v>
          </cell>
          <cell r="E742" t="str">
            <v>OPT-320</v>
          </cell>
          <cell r="F742">
            <v>40819</v>
          </cell>
          <cell r="G742" t="str">
            <v>-</v>
          </cell>
          <cell r="H742" t="str">
            <v>-</v>
          </cell>
          <cell r="I742" t="str">
            <v>PRD</v>
          </cell>
          <cell r="J742" t="str">
            <v>FINAL ASSY</v>
          </cell>
          <cell r="K742" t="str">
            <v>FREED 25M</v>
          </cell>
          <cell r="L742" t="str">
            <v>R-CABIN</v>
          </cell>
          <cell r="M742" t="str">
            <v>CV H05</v>
          </cell>
          <cell r="N742" t="str">
            <v>OJT SHIAGE 1</v>
          </cell>
          <cell r="O742" t="str">
            <v>OTHERS</v>
          </cell>
          <cell r="P742" t="str">
            <v>A (NS)</v>
          </cell>
          <cell r="Q742" t="str">
            <v>PI</v>
          </cell>
          <cell r="R742" t="str">
            <v>PERMANENT</v>
          </cell>
          <cell r="S742" t="str">
            <v>PRM</v>
          </cell>
          <cell r="T742" t="str">
            <v>OPT</v>
          </cell>
          <cell r="U742" t="str">
            <v>-</v>
          </cell>
          <cell r="V742" t="str">
            <v>L</v>
          </cell>
          <cell r="W742">
            <v>34</v>
          </cell>
        </row>
        <row r="743">
          <cell r="A743">
            <v>10124</v>
          </cell>
          <cell r="B743" t="str">
            <v>010124</v>
          </cell>
          <cell r="C743" t="str">
            <v>SURYO BUDI UTAMI</v>
          </cell>
          <cell r="D743" t="str">
            <v>SAMI</v>
          </cell>
          <cell r="E743" t="str">
            <v>OPT-248</v>
          </cell>
          <cell r="F743">
            <v>40444</v>
          </cell>
          <cell r="G743" t="str">
            <v>-</v>
          </cell>
          <cell r="H743" t="str">
            <v>-</v>
          </cell>
          <cell r="I743" t="str">
            <v>PRD</v>
          </cell>
          <cell r="J743" t="str">
            <v>FINAL ASSY</v>
          </cell>
          <cell r="K743" t="str">
            <v>HONDA FIT</v>
          </cell>
          <cell r="L743" t="str">
            <v>HONDA FIT HEV PET ENGINE</v>
          </cell>
          <cell r="M743" t="str">
            <v>CV H02</v>
          </cell>
          <cell r="N743" t="str">
            <v>SUB LINE CHO</v>
          </cell>
          <cell r="O743" t="str">
            <v>GL</v>
          </cell>
          <cell r="P743" t="str">
            <v>B</v>
          </cell>
          <cell r="Q743" t="str">
            <v>PI</v>
          </cell>
          <cell r="R743" t="str">
            <v>PERMANENT</v>
          </cell>
          <cell r="S743" t="str">
            <v>PRM</v>
          </cell>
          <cell r="T743" t="str">
            <v>SLC</v>
          </cell>
          <cell r="U743" t="str">
            <v>-</v>
          </cell>
          <cell r="V743" t="str">
            <v>P</v>
          </cell>
          <cell r="W743">
            <v>32</v>
          </cell>
        </row>
        <row r="744">
          <cell r="A744">
            <v>10126</v>
          </cell>
          <cell r="B744" t="str">
            <v>010126</v>
          </cell>
          <cell r="C744" t="str">
            <v>TRI UTARI</v>
          </cell>
          <cell r="D744" t="str">
            <v>SAMI</v>
          </cell>
          <cell r="E744" t="str">
            <v>OPT-248</v>
          </cell>
          <cell r="F744">
            <v>40444</v>
          </cell>
          <cell r="G744" t="str">
            <v>-</v>
          </cell>
          <cell r="H744" t="str">
            <v>-</v>
          </cell>
          <cell r="I744" t="str">
            <v>PP</v>
          </cell>
          <cell r="J744" t="str">
            <v>PP-3</v>
          </cell>
          <cell r="K744" t="str">
            <v>ALL</v>
          </cell>
          <cell r="L744" t="str">
            <v>ALL</v>
          </cell>
          <cell r="M744" t="str">
            <v>PP-3</v>
          </cell>
          <cell r="N744" t="str">
            <v>ANALISYS</v>
          </cell>
          <cell r="O744" t="str">
            <v>PROCESS ENG</v>
          </cell>
          <cell r="P744" t="str">
            <v>A (NS)</v>
          </cell>
          <cell r="Q744" t="str">
            <v>PS</v>
          </cell>
          <cell r="R744" t="str">
            <v>PERMANENT</v>
          </cell>
          <cell r="S744" t="str">
            <v>PRM</v>
          </cell>
          <cell r="T744" t="str">
            <v>OPT</v>
          </cell>
          <cell r="U744" t="str">
            <v>-</v>
          </cell>
          <cell r="V744" t="str">
            <v>P</v>
          </cell>
          <cell r="W744">
            <v>34</v>
          </cell>
        </row>
        <row r="745">
          <cell r="A745">
            <v>10127</v>
          </cell>
          <cell r="B745" t="str">
            <v>010127</v>
          </cell>
          <cell r="C745" t="str">
            <v>TRI WAHYUNI PUDJI RAHAYU</v>
          </cell>
          <cell r="D745" t="str">
            <v>SAMI</v>
          </cell>
          <cell r="E745" t="str">
            <v>OPT-248</v>
          </cell>
          <cell r="F745">
            <v>40444</v>
          </cell>
          <cell r="G745" t="str">
            <v>-</v>
          </cell>
          <cell r="H745" t="str">
            <v>-</v>
          </cell>
          <cell r="I745" t="str">
            <v>QA</v>
          </cell>
          <cell r="J745" t="str">
            <v>NON LINE</v>
          </cell>
          <cell r="K745" t="str">
            <v>ALL</v>
          </cell>
          <cell r="L745" t="str">
            <v>ALL</v>
          </cell>
          <cell r="M745" t="str">
            <v>OTHERS (BUFFER)</v>
          </cell>
          <cell r="N745" t="str">
            <v>SUPPORT QA ADM</v>
          </cell>
          <cell r="O745" t="str">
            <v>OTHERS</v>
          </cell>
          <cell r="P745" t="str">
            <v>A (NS)</v>
          </cell>
          <cell r="Q745" t="str">
            <v>PI</v>
          </cell>
          <cell r="R745" t="str">
            <v>PERMANENT</v>
          </cell>
          <cell r="S745" t="str">
            <v>PRM</v>
          </cell>
          <cell r="T745" t="str">
            <v>PJK</v>
          </cell>
          <cell r="U745" t="str">
            <v>-</v>
          </cell>
          <cell r="V745" t="str">
            <v>P</v>
          </cell>
          <cell r="W745">
            <v>32</v>
          </cell>
        </row>
        <row r="746">
          <cell r="A746">
            <v>12798</v>
          </cell>
          <cell r="B746" t="str">
            <v>012798</v>
          </cell>
          <cell r="C746" t="str">
            <v>ACHMAD ANDY MURSALIM</v>
          </cell>
          <cell r="D746" t="str">
            <v>SAMI</v>
          </cell>
          <cell r="E746" t="str">
            <v>OPT-321</v>
          </cell>
          <cell r="F746">
            <v>40826</v>
          </cell>
          <cell r="G746" t="str">
            <v>-</v>
          </cell>
          <cell r="H746" t="str">
            <v>-</v>
          </cell>
          <cell r="I746" t="str">
            <v>PRD</v>
          </cell>
          <cell r="J746" t="str">
            <v>FINAL ASSY</v>
          </cell>
          <cell r="K746" t="str">
            <v>FREED 25M</v>
          </cell>
          <cell r="L746" t="str">
            <v>R-CABIN</v>
          </cell>
          <cell r="M746" t="str">
            <v>CV H05</v>
          </cell>
          <cell r="N746" t="str">
            <v>LQC</v>
          </cell>
          <cell r="O746" t="str">
            <v>RELIEF</v>
          </cell>
          <cell r="P746" t="str">
            <v>A (NS)</v>
          </cell>
          <cell r="Q746" t="str">
            <v>PI</v>
          </cell>
          <cell r="R746" t="str">
            <v>PERMANENT</v>
          </cell>
          <cell r="S746" t="str">
            <v>PRM</v>
          </cell>
          <cell r="T746" t="str">
            <v>PJK</v>
          </cell>
          <cell r="U746" t="str">
            <v>-</v>
          </cell>
          <cell r="V746" t="str">
            <v>L</v>
          </cell>
          <cell r="W746">
            <v>32</v>
          </cell>
        </row>
        <row r="747">
          <cell r="A747">
            <v>19303</v>
          </cell>
          <cell r="B747" t="str">
            <v>019303</v>
          </cell>
          <cell r="C747" t="str">
            <v>LUTFIANA</v>
          </cell>
          <cell r="D747" t="str">
            <v>SAMI</v>
          </cell>
          <cell r="E747" t="str">
            <v>OPT-478</v>
          </cell>
          <cell r="F747">
            <v>42282</v>
          </cell>
          <cell r="G747" t="str">
            <v>-</v>
          </cell>
          <cell r="H747" t="str">
            <v>-</v>
          </cell>
          <cell r="I747" t="str">
            <v>PRD</v>
          </cell>
          <cell r="J747" t="str">
            <v>FINAL ASSY</v>
          </cell>
          <cell r="K747" t="str">
            <v>FREED 25M</v>
          </cell>
          <cell r="L747" t="str">
            <v>R-CABIN</v>
          </cell>
          <cell r="M747" t="str">
            <v>CV H05</v>
          </cell>
          <cell r="N747" t="str">
            <v>OJT T/P 6.2</v>
          </cell>
          <cell r="O747" t="str">
            <v>OTHERS</v>
          </cell>
          <cell r="P747" t="str">
            <v>A (NS)</v>
          </cell>
          <cell r="Q747" t="str">
            <v>PI</v>
          </cell>
          <cell r="R747" t="str">
            <v>PERMANENT</v>
          </cell>
          <cell r="S747" t="str">
            <v>PRM</v>
          </cell>
          <cell r="T747" t="str">
            <v>OPT</v>
          </cell>
          <cell r="U747" t="str">
            <v>-</v>
          </cell>
          <cell r="V747" t="str">
            <v>P</v>
          </cell>
          <cell r="W747">
            <v>27</v>
          </cell>
        </row>
        <row r="748">
          <cell r="A748">
            <v>10134</v>
          </cell>
          <cell r="B748" t="str">
            <v>010134</v>
          </cell>
          <cell r="C748" t="str">
            <v>YUNI ISWANTI</v>
          </cell>
          <cell r="D748" t="str">
            <v>SAMI</v>
          </cell>
          <cell r="E748" t="str">
            <v>OPT-248</v>
          </cell>
          <cell r="F748">
            <v>40444</v>
          </cell>
          <cell r="G748" t="str">
            <v>-</v>
          </cell>
          <cell r="H748" t="str">
            <v>-</v>
          </cell>
          <cell r="I748" t="str">
            <v>PRD</v>
          </cell>
          <cell r="J748" t="str">
            <v>FINAL ASSY</v>
          </cell>
          <cell r="K748" t="str">
            <v>TOYOTA HV</v>
          </cell>
          <cell r="L748" t="str">
            <v>HV TOYOTA 858W 874W BBM</v>
          </cell>
          <cell r="M748" t="str">
            <v>CV HV 15</v>
          </cell>
          <cell r="N748" t="str">
            <v>WIRE TRANSFER</v>
          </cell>
          <cell r="O748" t="str">
            <v>P/A CONTROLLER</v>
          </cell>
          <cell r="P748" t="str">
            <v>B</v>
          </cell>
          <cell r="Q748" t="str">
            <v>PI</v>
          </cell>
          <cell r="R748" t="str">
            <v>PERMANENT</v>
          </cell>
          <cell r="S748" t="str">
            <v>PRM</v>
          </cell>
          <cell r="T748" t="str">
            <v>OPT</v>
          </cell>
          <cell r="U748" t="str">
            <v>-</v>
          </cell>
          <cell r="V748" t="str">
            <v>P</v>
          </cell>
          <cell r="W748">
            <v>32</v>
          </cell>
        </row>
        <row r="749">
          <cell r="A749" t="str">
            <v>B00203</v>
          </cell>
          <cell r="B749" t="str">
            <v>B00203</v>
          </cell>
          <cell r="C749" t="str">
            <v>KOYIMAH</v>
          </cell>
          <cell r="D749" t="str">
            <v>SAMI</v>
          </cell>
          <cell r="E749" t="str">
            <v>BBF-004</v>
          </cell>
          <cell r="F749">
            <v>40847</v>
          </cell>
          <cell r="G749" t="str">
            <v>-</v>
          </cell>
          <cell r="H749" t="str">
            <v>-</v>
          </cell>
          <cell r="I749" t="str">
            <v>PRD</v>
          </cell>
          <cell r="J749" t="str">
            <v>FINAL ASSY</v>
          </cell>
          <cell r="K749" t="str">
            <v>FREED 25M</v>
          </cell>
          <cell r="L749" t="str">
            <v>R-CABIN</v>
          </cell>
          <cell r="M749" t="str">
            <v>CV H05</v>
          </cell>
          <cell r="N749" t="str">
            <v>OJT INSERTION GROUP</v>
          </cell>
          <cell r="O749" t="str">
            <v>OTHERS</v>
          </cell>
          <cell r="P749" t="str">
            <v>A (NS)</v>
          </cell>
          <cell r="Q749" t="str">
            <v>PI</v>
          </cell>
          <cell r="R749" t="str">
            <v>PERMANENT</v>
          </cell>
          <cell r="S749" t="str">
            <v>PRM</v>
          </cell>
          <cell r="T749" t="str">
            <v>OPT</v>
          </cell>
          <cell r="U749" t="str">
            <v>-</v>
          </cell>
          <cell r="V749" t="str">
            <v>P</v>
          </cell>
          <cell r="W749">
            <v>35</v>
          </cell>
        </row>
        <row r="750">
          <cell r="A750">
            <v>1313</v>
          </cell>
          <cell r="B750" t="str">
            <v>001313</v>
          </cell>
          <cell r="C750" t="str">
            <v>WIDYA ASTUTI</v>
          </cell>
          <cell r="D750" t="str">
            <v>SAMI</v>
          </cell>
          <cell r="E750" t="str">
            <v>OPT-32</v>
          </cell>
          <cell r="F750">
            <v>37928</v>
          </cell>
          <cell r="G750" t="str">
            <v>-</v>
          </cell>
          <cell r="H750" t="str">
            <v>-</v>
          </cell>
          <cell r="I750" t="str">
            <v>PRD</v>
          </cell>
          <cell r="J750" t="str">
            <v>FINAL ASSY</v>
          </cell>
          <cell r="K750" t="str">
            <v>FREED 25M</v>
          </cell>
          <cell r="L750" t="str">
            <v>L-CABIN</v>
          </cell>
          <cell r="M750" t="str">
            <v>CV H06</v>
          </cell>
          <cell r="N750" t="str">
            <v>OJT S/A 6</v>
          </cell>
          <cell r="O750" t="str">
            <v>OTHERS</v>
          </cell>
          <cell r="P750" t="str">
            <v>A (NS)</v>
          </cell>
          <cell r="Q750" t="str">
            <v>PI</v>
          </cell>
          <cell r="R750" t="str">
            <v>PERMANENT</v>
          </cell>
          <cell r="S750" t="str">
            <v>PRM</v>
          </cell>
          <cell r="T750" t="str">
            <v>OPT</v>
          </cell>
          <cell r="U750" t="str">
            <v>-</v>
          </cell>
          <cell r="V750" t="str">
            <v>P</v>
          </cell>
          <cell r="W750">
            <v>40</v>
          </cell>
        </row>
        <row r="751">
          <cell r="A751">
            <v>10156</v>
          </cell>
          <cell r="B751" t="str">
            <v>010156</v>
          </cell>
          <cell r="C751" t="str">
            <v>SRI KUSTIYAH</v>
          </cell>
          <cell r="D751" t="str">
            <v>SAMI</v>
          </cell>
          <cell r="E751" t="str">
            <v>OPT-251</v>
          </cell>
          <cell r="F751">
            <v>40452</v>
          </cell>
          <cell r="G751" t="str">
            <v>-</v>
          </cell>
          <cell r="H751" t="str">
            <v>-</v>
          </cell>
          <cell r="I751" t="str">
            <v>OTHERS</v>
          </cell>
          <cell r="J751" t="str">
            <v>AT HOME</v>
          </cell>
          <cell r="K751" t="str">
            <v>ALL</v>
          </cell>
          <cell r="L751" t="str">
            <v>ALL</v>
          </cell>
          <cell r="M751" t="str">
            <v>AT HOME</v>
          </cell>
          <cell r="N751" t="str">
            <v>CUTI KELAHIRAN</v>
          </cell>
          <cell r="O751" t="str">
            <v>OTHERS IDL</v>
          </cell>
          <cell r="P751" t="str">
            <v>-</v>
          </cell>
          <cell r="Q751" t="str">
            <v>ADM</v>
          </cell>
          <cell r="R751" t="str">
            <v>PERMANENT</v>
          </cell>
          <cell r="S751" t="str">
            <v>PRM</v>
          </cell>
          <cell r="T751" t="str">
            <v>OPT</v>
          </cell>
          <cell r="U751" t="str">
            <v>-</v>
          </cell>
          <cell r="V751" t="str">
            <v>P</v>
          </cell>
          <cell r="W751">
            <v>35</v>
          </cell>
        </row>
        <row r="752">
          <cell r="A752">
            <v>10160</v>
          </cell>
          <cell r="B752" t="str">
            <v>010160</v>
          </cell>
          <cell r="C752" t="str">
            <v>EDY KOESMANTO</v>
          </cell>
          <cell r="D752" t="str">
            <v>SAMI</v>
          </cell>
          <cell r="E752" t="str">
            <v>TKN-52</v>
          </cell>
          <cell r="F752">
            <v>40452</v>
          </cell>
          <cell r="G752" t="str">
            <v>-</v>
          </cell>
          <cell r="H752" t="str">
            <v>-</v>
          </cell>
          <cell r="I752" t="str">
            <v>PE</v>
          </cell>
          <cell r="J752" t="str">
            <v>J/C BP</v>
          </cell>
          <cell r="K752" t="str">
            <v>ALL</v>
          </cell>
          <cell r="L752" t="str">
            <v>ALL</v>
          </cell>
          <cell r="M752" t="str">
            <v>JCN</v>
          </cell>
          <cell r="N752" t="str">
            <v>BREAKDOWN FA</v>
          </cell>
          <cell r="O752" t="str">
            <v>MTC</v>
          </cell>
          <cell r="P752" t="str">
            <v>B</v>
          </cell>
          <cell r="Q752" t="str">
            <v>PI</v>
          </cell>
          <cell r="R752" t="str">
            <v>PERMANENT</v>
          </cell>
          <cell r="S752" t="str">
            <v>PRM</v>
          </cell>
          <cell r="T752" t="str">
            <v>TKN</v>
          </cell>
          <cell r="U752" t="str">
            <v>-</v>
          </cell>
          <cell r="V752" t="str">
            <v>L</v>
          </cell>
          <cell r="W752">
            <v>40</v>
          </cell>
        </row>
        <row r="753">
          <cell r="A753">
            <v>10161</v>
          </cell>
          <cell r="B753" t="str">
            <v>010161</v>
          </cell>
          <cell r="C753" t="str">
            <v>LASIMIN</v>
          </cell>
          <cell r="D753" t="str">
            <v>SAMI</v>
          </cell>
          <cell r="E753" t="str">
            <v>TKN-52</v>
          </cell>
          <cell r="F753">
            <v>40452</v>
          </cell>
          <cell r="G753" t="str">
            <v>-</v>
          </cell>
          <cell r="H753" t="str">
            <v>-</v>
          </cell>
          <cell r="I753" t="str">
            <v>PE</v>
          </cell>
          <cell r="J753" t="str">
            <v>MTC</v>
          </cell>
          <cell r="K753" t="str">
            <v>ALL</v>
          </cell>
          <cell r="L753" t="str">
            <v>ALL</v>
          </cell>
          <cell r="M753" t="str">
            <v>TPM</v>
          </cell>
          <cell r="N753" t="str">
            <v>PREVENTIVE</v>
          </cell>
          <cell r="O753" t="str">
            <v>PROCESS ENG</v>
          </cell>
          <cell r="P753" t="str">
            <v>A (NS)</v>
          </cell>
          <cell r="Q753" t="str">
            <v>PS</v>
          </cell>
          <cell r="R753" t="str">
            <v>PERMANENT</v>
          </cell>
          <cell r="S753" t="str">
            <v>PRM</v>
          </cell>
          <cell r="T753" t="str">
            <v>TKN</v>
          </cell>
          <cell r="U753" t="str">
            <v>-</v>
          </cell>
          <cell r="V753" t="str">
            <v>L</v>
          </cell>
          <cell r="W753">
            <v>39</v>
          </cell>
        </row>
        <row r="754">
          <cell r="A754">
            <v>3959</v>
          </cell>
          <cell r="B754" t="str">
            <v>003959</v>
          </cell>
          <cell r="C754" t="str">
            <v>SEPTIYANING RAHAYU</v>
          </cell>
          <cell r="D754" t="str">
            <v>SAMI</v>
          </cell>
          <cell r="E754" t="str">
            <v>OPT-104</v>
          </cell>
          <cell r="F754">
            <v>38722</v>
          </cell>
          <cell r="G754" t="str">
            <v>-</v>
          </cell>
          <cell r="H754" t="str">
            <v>-</v>
          </cell>
          <cell r="I754" t="str">
            <v>PRD</v>
          </cell>
          <cell r="J754" t="str">
            <v>FINAL ASSY</v>
          </cell>
          <cell r="K754" t="str">
            <v>FREED 25M</v>
          </cell>
          <cell r="L754" t="str">
            <v>L-CABIN</v>
          </cell>
          <cell r="M754" t="str">
            <v>CV H06</v>
          </cell>
          <cell r="N754" t="str">
            <v>OJT VISUAL 2.3</v>
          </cell>
          <cell r="O754" t="str">
            <v>OTHERS</v>
          </cell>
          <cell r="P754" t="str">
            <v>A (NS)</v>
          </cell>
          <cell r="Q754" t="str">
            <v>PI</v>
          </cell>
          <cell r="R754" t="str">
            <v>PERMANENT</v>
          </cell>
          <cell r="S754" t="str">
            <v>PRM</v>
          </cell>
          <cell r="T754" t="str">
            <v>OPT</v>
          </cell>
          <cell r="U754" t="str">
            <v>-</v>
          </cell>
          <cell r="V754" t="str">
            <v>P</v>
          </cell>
          <cell r="W754">
            <v>42</v>
          </cell>
        </row>
        <row r="755">
          <cell r="A755">
            <v>5433</v>
          </cell>
          <cell r="B755" t="str">
            <v>005433</v>
          </cell>
          <cell r="C755" t="str">
            <v>NUR JANAH</v>
          </cell>
          <cell r="D755" t="str">
            <v>SAMI</v>
          </cell>
          <cell r="E755" t="str">
            <v>OPT-128</v>
          </cell>
          <cell r="F755">
            <v>38991</v>
          </cell>
          <cell r="G755" t="str">
            <v>-</v>
          </cell>
          <cell r="H755" t="str">
            <v>-</v>
          </cell>
          <cell r="I755" t="str">
            <v>PRD</v>
          </cell>
          <cell r="J755" t="str">
            <v>FINAL ASSY</v>
          </cell>
          <cell r="K755" t="str">
            <v>FREED 25M</v>
          </cell>
          <cell r="L755" t="str">
            <v>L-CABIN</v>
          </cell>
          <cell r="M755" t="str">
            <v>CV H06</v>
          </cell>
          <cell r="N755" t="str">
            <v>OJT T/P 3.2</v>
          </cell>
          <cell r="O755" t="str">
            <v>OTHERS</v>
          </cell>
          <cell r="P755" t="str">
            <v>A (NS)</v>
          </cell>
          <cell r="Q755" t="str">
            <v>PI</v>
          </cell>
          <cell r="R755" t="str">
            <v>PERMANENT</v>
          </cell>
          <cell r="S755" t="str">
            <v>PRM</v>
          </cell>
          <cell r="T755" t="str">
            <v>OPT</v>
          </cell>
          <cell r="U755" t="str">
            <v>-</v>
          </cell>
          <cell r="V755" t="str">
            <v>P</v>
          </cell>
          <cell r="W755">
            <v>40</v>
          </cell>
        </row>
        <row r="756">
          <cell r="A756">
            <v>10176</v>
          </cell>
          <cell r="B756" t="str">
            <v>010176</v>
          </cell>
          <cell r="C756" t="str">
            <v>FIFI HANDAYANTI</v>
          </cell>
          <cell r="D756" t="str">
            <v>SAMI</v>
          </cell>
          <cell r="E756" t="str">
            <v>OPT-253</v>
          </cell>
          <cell r="F756">
            <v>40458</v>
          </cell>
          <cell r="G756" t="str">
            <v>-</v>
          </cell>
          <cell r="H756" t="str">
            <v>-</v>
          </cell>
          <cell r="I756" t="str">
            <v>PRD</v>
          </cell>
          <cell r="J756" t="str">
            <v>FINAL ASSY</v>
          </cell>
          <cell r="K756" t="str">
            <v>HONDA BBP</v>
          </cell>
          <cell r="L756" t="str">
            <v>HV HONDA 5JLA BBP</v>
          </cell>
          <cell r="M756" t="str">
            <v>CV HV 04A</v>
          </cell>
          <cell r="N756" t="str">
            <v>VISUAL 141</v>
          </cell>
          <cell r="O756" t="str">
            <v>VISUAL INSPECTION</v>
          </cell>
          <cell r="P756" t="str">
            <v>B</v>
          </cell>
          <cell r="Q756" t="str">
            <v>DL</v>
          </cell>
          <cell r="R756" t="str">
            <v>PERMANENT</v>
          </cell>
          <cell r="S756" t="str">
            <v>PRM</v>
          </cell>
          <cell r="T756" t="str">
            <v>OPT</v>
          </cell>
          <cell r="U756" t="str">
            <v>-</v>
          </cell>
          <cell r="V756" t="str">
            <v>P</v>
          </cell>
          <cell r="W756">
            <v>32</v>
          </cell>
        </row>
        <row r="757">
          <cell r="A757">
            <v>10177</v>
          </cell>
          <cell r="B757" t="str">
            <v>010177</v>
          </cell>
          <cell r="C757" t="str">
            <v>FIRA FIRMANILA</v>
          </cell>
          <cell r="D757" t="str">
            <v>SAMI</v>
          </cell>
          <cell r="E757" t="str">
            <v>OPT-253</v>
          </cell>
          <cell r="F757">
            <v>40458</v>
          </cell>
          <cell r="G757" t="str">
            <v>-</v>
          </cell>
          <cell r="H757" t="str">
            <v>-</v>
          </cell>
          <cell r="I757" t="str">
            <v>PRD</v>
          </cell>
          <cell r="J757" t="str">
            <v>FINAL ASSY</v>
          </cell>
          <cell r="K757" t="str">
            <v>HONDA NES</v>
          </cell>
          <cell r="L757" t="str">
            <v>HONDA NES HEV PET ENGINE</v>
          </cell>
          <cell r="M757" t="str">
            <v>CV H03</v>
          </cell>
          <cell r="N757" t="str">
            <v>CHECKER 3</v>
          </cell>
          <cell r="O757" t="str">
            <v>ELECTRICAL INSPECTION</v>
          </cell>
          <cell r="P757" t="str">
            <v>B</v>
          </cell>
          <cell r="Q757" t="str">
            <v>DL</v>
          </cell>
          <cell r="R757" t="str">
            <v>PERMANENT</v>
          </cell>
          <cell r="S757" t="str">
            <v>PRM</v>
          </cell>
          <cell r="T757" t="str">
            <v>OPT</v>
          </cell>
          <cell r="U757" t="str">
            <v>-</v>
          </cell>
          <cell r="V757" t="str">
            <v>P</v>
          </cell>
          <cell r="W757">
            <v>32</v>
          </cell>
        </row>
        <row r="758">
          <cell r="A758">
            <v>5539</v>
          </cell>
          <cell r="B758" t="str">
            <v>005539</v>
          </cell>
          <cell r="C758" t="str">
            <v>ARI TRI YANTO</v>
          </cell>
          <cell r="D758" t="str">
            <v>SAMI</v>
          </cell>
          <cell r="E758" t="str">
            <v>OPT-130</v>
          </cell>
          <cell r="F758">
            <v>39052</v>
          </cell>
          <cell r="G758" t="str">
            <v>-</v>
          </cell>
          <cell r="H758" t="str">
            <v>-</v>
          </cell>
          <cell r="I758" t="str">
            <v>PRD</v>
          </cell>
          <cell r="J758" t="str">
            <v>FINAL ASSY</v>
          </cell>
          <cell r="K758" t="str">
            <v>FREED 25M</v>
          </cell>
          <cell r="L758" t="str">
            <v>L-CABIN</v>
          </cell>
          <cell r="M758" t="str">
            <v>CV H06</v>
          </cell>
          <cell r="N758" t="str">
            <v>PRD LINE CHO</v>
          </cell>
          <cell r="O758" t="str">
            <v>FPI LL</v>
          </cell>
          <cell r="P758" t="str">
            <v>A (NS)</v>
          </cell>
          <cell r="Q758" t="str">
            <v>PI</v>
          </cell>
          <cell r="R758" t="str">
            <v>PERMANENT</v>
          </cell>
          <cell r="S758" t="str">
            <v>PRM</v>
          </cell>
          <cell r="T758" t="str">
            <v>LC</v>
          </cell>
          <cell r="U758" t="str">
            <v>-</v>
          </cell>
          <cell r="V758" t="str">
            <v>L</v>
          </cell>
          <cell r="W758">
            <v>39</v>
          </cell>
        </row>
        <row r="759">
          <cell r="A759">
            <v>5700</v>
          </cell>
          <cell r="B759" t="str">
            <v>005700</v>
          </cell>
          <cell r="C759" t="str">
            <v>ERMA DAYANTI</v>
          </cell>
          <cell r="D759" t="str">
            <v>SAMI</v>
          </cell>
          <cell r="E759" t="str">
            <v>OPT-134</v>
          </cell>
          <cell r="F759">
            <v>39098</v>
          </cell>
          <cell r="G759" t="str">
            <v>-</v>
          </cell>
          <cell r="H759" t="str">
            <v>-</v>
          </cell>
          <cell r="I759" t="str">
            <v>PRD</v>
          </cell>
          <cell r="J759" t="str">
            <v>FINAL ASSY</v>
          </cell>
          <cell r="K759" t="str">
            <v>FREED 25M</v>
          </cell>
          <cell r="L759" t="str">
            <v>L-CABIN</v>
          </cell>
          <cell r="M759" t="str">
            <v>CV H06</v>
          </cell>
          <cell r="N759" t="str">
            <v>OJT VISUAL 1.1</v>
          </cell>
          <cell r="O759" t="str">
            <v>OTHERS</v>
          </cell>
          <cell r="P759" t="str">
            <v>A (NS)</v>
          </cell>
          <cell r="Q759" t="str">
            <v>PI</v>
          </cell>
          <cell r="R759" t="str">
            <v>PERMANENT</v>
          </cell>
          <cell r="S759" t="str">
            <v>PRM</v>
          </cell>
          <cell r="T759" t="str">
            <v>OPT</v>
          </cell>
          <cell r="U759" t="str">
            <v>-</v>
          </cell>
          <cell r="V759" t="str">
            <v>P</v>
          </cell>
          <cell r="W759">
            <v>40</v>
          </cell>
        </row>
        <row r="760">
          <cell r="A760">
            <v>5775</v>
          </cell>
          <cell r="B760" t="str">
            <v>005775</v>
          </cell>
          <cell r="C760" t="str">
            <v>INDARI FUJI HARYATI</v>
          </cell>
          <cell r="D760" t="str">
            <v>SAMI</v>
          </cell>
          <cell r="E760" t="str">
            <v>OPT-135</v>
          </cell>
          <cell r="F760">
            <v>39114</v>
          </cell>
          <cell r="G760" t="str">
            <v>-</v>
          </cell>
          <cell r="H760" t="str">
            <v>-</v>
          </cell>
          <cell r="I760" t="str">
            <v>PRD</v>
          </cell>
          <cell r="J760" t="str">
            <v>FINAL ASSY</v>
          </cell>
          <cell r="K760" t="str">
            <v>FREED 25M</v>
          </cell>
          <cell r="L760" t="str">
            <v>L-CABIN</v>
          </cell>
          <cell r="M760" t="str">
            <v>CV H06</v>
          </cell>
          <cell r="N760" t="str">
            <v>OJT VISUAL 2.2</v>
          </cell>
          <cell r="O760" t="str">
            <v>OTHERS</v>
          </cell>
          <cell r="P760" t="str">
            <v>A (NS)</v>
          </cell>
          <cell r="Q760" t="str">
            <v>PI</v>
          </cell>
          <cell r="R760" t="str">
            <v>PERMANENT</v>
          </cell>
          <cell r="S760" t="str">
            <v>PRM</v>
          </cell>
          <cell r="T760" t="str">
            <v>OPT</v>
          </cell>
          <cell r="U760" t="str">
            <v>-</v>
          </cell>
          <cell r="V760" t="str">
            <v>P</v>
          </cell>
          <cell r="W760">
            <v>40</v>
          </cell>
        </row>
        <row r="761">
          <cell r="A761">
            <v>10184</v>
          </cell>
          <cell r="B761" t="str">
            <v>010184</v>
          </cell>
          <cell r="C761" t="str">
            <v>IRNA DIAN ISTININGRUM</v>
          </cell>
          <cell r="D761" t="str">
            <v>SAMI</v>
          </cell>
          <cell r="E761" t="str">
            <v>OPT-253</v>
          </cell>
          <cell r="F761">
            <v>40458</v>
          </cell>
          <cell r="G761" t="str">
            <v>-</v>
          </cell>
          <cell r="H761" t="str">
            <v>-</v>
          </cell>
          <cell r="I761" t="str">
            <v>PRD</v>
          </cell>
          <cell r="J761" t="str">
            <v>FINAL ASSY</v>
          </cell>
          <cell r="K761" t="str">
            <v>TOYOTA</v>
          </cell>
          <cell r="L761" t="str">
            <v>AQUA SIENTA</v>
          </cell>
          <cell r="M761" t="str">
            <v>CV T01</v>
          </cell>
          <cell r="N761" t="str">
            <v>OJT VISUAL 1.1</v>
          </cell>
          <cell r="O761" t="str">
            <v>OTHERS</v>
          </cell>
          <cell r="P761" t="str">
            <v>B</v>
          </cell>
          <cell r="Q761" t="str">
            <v>PI</v>
          </cell>
          <cell r="R761" t="str">
            <v>PERMANENT</v>
          </cell>
          <cell r="S761" t="str">
            <v>PRM</v>
          </cell>
          <cell r="T761" t="str">
            <v>OPT</v>
          </cell>
          <cell r="U761" t="str">
            <v>-</v>
          </cell>
          <cell r="V761" t="str">
            <v>P</v>
          </cell>
          <cell r="W761">
            <v>32</v>
          </cell>
        </row>
        <row r="762">
          <cell r="A762">
            <v>10185</v>
          </cell>
          <cell r="B762" t="str">
            <v>010185</v>
          </cell>
          <cell r="C762" t="str">
            <v>LINDA MUSTIKA SARI</v>
          </cell>
          <cell r="D762" t="str">
            <v>SAMI</v>
          </cell>
          <cell r="E762" t="str">
            <v>OPT-253</v>
          </cell>
          <cell r="F762">
            <v>40458</v>
          </cell>
          <cell r="G762" t="str">
            <v>-</v>
          </cell>
          <cell r="H762" t="str">
            <v>-</v>
          </cell>
          <cell r="I762" t="str">
            <v>PP</v>
          </cell>
          <cell r="J762" t="str">
            <v>PPM</v>
          </cell>
          <cell r="K762" t="str">
            <v>ALL</v>
          </cell>
          <cell r="L762" t="str">
            <v>ALL</v>
          </cell>
          <cell r="M762" t="str">
            <v>PPM/PPC/PLCT</v>
          </cell>
          <cell r="N762" t="str">
            <v>ADM, DOKUMEN PPM &amp; SWCT</v>
          </cell>
          <cell r="O762" t="str">
            <v>PROCESS ENG</v>
          </cell>
          <cell r="P762" t="str">
            <v>A (NS)</v>
          </cell>
          <cell r="Q762" t="str">
            <v>PS</v>
          </cell>
          <cell r="R762" t="str">
            <v>PERMANENT</v>
          </cell>
          <cell r="S762" t="str">
            <v>PRM</v>
          </cell>
          <cell r="T762" t="str">
            <v>ADM</v>
          </cell>
          <cell r="U762" t="str">
            <v>-</v>
          </cell>
          <cell r="V762" t="str">
            <v>P</v>
          </cell>
          <cell r="W762">
            <v>32</v>
          </cell>
        </row>
        <row r="763">
          <cell r="A763">
            <v>10186</v>
          </cell>
          <cell r="B763" t="str">
            <v>010186</v>
          </cell>
          <cell r="C763" t="str">
            <v>LISTIYA FAJAR ISNAINI</v>
          </cell>
          <cell r="D763" t="str">
            <v>SAMI</v>
          </cell>
          <cell r="E763" t="str">
            <v>OPT-253</v>
          </cell>
          <cell r="F763">
            <v>40458</v>
          </cell>
          <cell r="G763" t="str">
            <v>-</v>
          </cell>
          <cell r="H763" t="str">
            <v>-</v>
          </cell>
          <cell r="I763" t="str">
            <v>PRD</v>
          </cell>
          <cell r="J763" t="str">
            <v>FINAL ASSY</v>
          </cell>
          <cell r="K763" t="str">
            <v>TOYOTA HV</v>
          </cell>
          <cell r="L763" t="str">
            <v>HV TOYOTA 10PL</v>
          </cell>
          <cell r="M763" t="str">
            <v>CV HV 14B</v>
          </cell>
          <cell r="N763" t="str">
            <v>RELIEF 2</v>
          </cell>
          <cell r="O763" t="str">
            <v>RELIEF</v>
          </cell>
          <cell r="P763" t="str">
            <v>B</v>
          </cell>
          <cell r="Q763" t="str">
            <v>PI</v>
          </cell>
          <cell r="R763" t="str">
            <v>PERMANENT</v>
          </cell>
          <cell r="S763" t="str">
            <v>PRM</v>
          </cell>
          <cell r="T763" t="str">
            <v>OPT</v>
          </cell>
          <cell r="U763" t="str">
            <v>-</v>
          </cell>
          <cell r="V763" t="str">
            <v>P</v>
          </cell>
          <cell r="W763">
            <v>34</v>
          </cell>
        </row>
        <row r="764">
          <cell r="A764">
            <v>8644</v>
          </cell>
          <cell r="B764" t="str">
            <v>008644</v>
          </cell>
          <cell r="C764" t="str">
            <v>KHARISATUN NIKMAH</v>
          </cell>
          <cell r="D764" t="str">
            <v>SAMI</v>
          </cell>
          <cell r="E764" t="str">
            <v>OPT-189</v>
          </cell>
          <cell r="F764">
            <v>39878</v>
          </cell>
          <cell r="G764" t="str">
            <v>-</v>
          </cell>
          <cell r="H764" t="str">
            <v>-</v>
          </cell>
          <cell r="I764" t="str">
            <v>PRD</v>
          </cell>
          <cell r="J764" t="str">
            <v>FINAL ASSY</v>
          </cell>
          <cell r="K764" t="str">
            <v>FREED 25M</v>
          </cell>
          <cell r="L764" t="str">
            <v>L-CABIN</v>
          </cell>
          <cell r="M764" t="str">
            <v>CV H06</v>
          </cell>
          <cell r="N764" t="str">
            <v>OJT S/A A/B</v>
          </cell>
          <cell r="O764" t="str">
            <v>OTHERS</v>
          </cell>
          <cell r="P764" t="str">
            <v>A (NS)</v>
          </cell>
          <cell r="Q764" t="str">
            <v>PI</v>
          </cell>
          <cell r="R764" t="str">
            <v>PERMANENT</v>
          </cell>
          <cell r="S764" t="str">
            <v>PRM</v>
          </cell>
          <cell r="T764" t="str">
            <v>OPT</v>
          </cell>
          <cell r="U764" t="str">
            <v>-</v>
          </cell>
          <cell r="V764" t="str">
            <v>P</v>
          </cell>
          <cell r="W764">
            <v>35</v>
          </cell>
        </row>
        <row r="765">
          <cell r="A765">
            <v>10192</v>
          </cell>
          <cell r="B765" t="str">
            <v>010192</v>
          </cell>
          <cell r="C765" t="str">
            <v>NINGTYAS ARYASTUTI</v>
          </cell>
          <cell r="D765" t="str">
            <v>SAMI</v>
          </cell>
          <cell r="E765" t="str">
            <v>OPT-253</v>
          </cell>
          <cell r="F765">
            <v>40458</v>
          </cell>
          <cell r="G765" t="str">
            <v>-</v>
          </cell>
          <cell r="H765" t="str">
            <v>-</v>
          </cell>
          <cell r="I765" t="str">
            <v>PRD</v>
          </cell>
          <cell r="J765" t="str">
            <v>PRE ASSY</v>
          </cell>
          <cell r="K765" t="str">
            <v>HONDA NES</v>
          </cell>
          <cell r="L765" t="str">
            <v>HONDA NES</v>
          </cell>
          <cell r="M765" t="str">
            <v>CPA HONDA NES HEV/PET</v>
          </cell>
          <cell r="N765" t="str">
            <v>BM3-3MO-01</v>
          </cell>
          <cell r="O765" t="str">
            <v>BONDER</v>
          </cell>
          <cell r="P765" t="str">
            <v>B</v>
          </cell>
          <cell r="Q765" t="str">
            <v>DL</v>
          </cell>
          <cell r="R765" t="str">
            <v>PERMANENT</v>
          </cell>
          <cell r="S765" t="str">
            <v>PRM</v>
          </cell>
          <cell r="T765" t="str">
            <v>OPT</v>
          </cell>
          <cell r="U765" t="str">
            <v>-</v>
          </cell>
          <cell r="V765" t="str">
            <v>P</v>
          </cell>
          <cell r="W765">
            <v>32</v>
          </cell>
        </row>
        <row r="766">
          <cell r="A766">
            <v>10194</v>
          </cell>
          <cell r="B766" t="str">
            <v>010194</v>
          </cell>
          <cell r="C766" t="str">
            <v>NUR PADILAH</v>
          </cell>
          <cell r="D766" t="str">
            <v>SAMI</v>
          </cell>
          <cell r="E766" t="str">
            <v>OPT-253</v>
          </cell>
          <cell r="F766">
            <v>40458</v>
          </cell>
          <cell r="G766" t="str">
            <v>-</v>
          </cell>
          <cell r="H766" t="str">
            <v>-</v>
          </cell>
          <cell r="I766" t="str">
            <v>QA</v>
          </cell>
          <cell r="J766" t="str">
            <v>PRE ASSY</v>
          </cell>
          <cell r="K766" t="str">
            <v>HONDA EXPORT</v>
          </cell>
          <cell r="L766" t="str">
            <v>HONDA EXPORT</v>
          </cell>
          <cell r="M766" t="str">
            <v>CPA HONDA EXPORT</v>
          </cell>
          <cell r="N766" t="str">
            <v>INSP TENSILE</v>
          </cell>
          <cell r="O766" t="str">
            <v>TENSILE TEST</v>
          </cell>
          <cell r="P766" t="str">
            <v>B</v>
          </cell>
          <cell r="Q766" t="str">
            <v>PS</v>
          </cell>
          <cell r="R766" t="str">
            <v>PERMANENT</v>
          </cell>
          <cell r="S766" t="str">
            <v>PRM</v>
          </cell>
          <cell r="T766" t="str">
            <v>OPT</v>
          </cell>
          <cell r="U766" t="str">
            <v>-</v>
          </cell>
          <cell r="V766" t="str">
            <v>P</v>
          </cell>
          <cell r="W766">
            <v>32</v>
          </cell>
        </row>
        <row r="767">
          <cell r="A767">
            <v>8687</v>
          </cell>
          <cell r="B767" t="str">
            <v>008687</v>
          </cell>
          <cell r="C767" t="str">
            <v>KHOIRIL UMAMAH</v>
          </cell>
          <cell r="D767" t="str">
            <v>SAMI</v>
          </cell>
          <cell r="E767" t="str">
            <v>OPT-190</v>
          </cell>
          <cell r="F767">
            <v>39888</v>
          </cell>
          <cell r="G767" t="str">
            <v>-</v>
          </cell>
          <cell r="H767" t="str">
            <v>-</v>
          </cell>
          <cell r="I767" t="str">
            <v>PRD</v>
          </cell>
          <cell r="J767" t="str">
            <v>FINAL ASSY</v>
          </cell>
          <cell r="K767" t="str">
            <v>FREED 25M</v>
          </cell>
          <cell r="L767" t="str">
            <v>L-CABIN</v>
          </cell>
          <cell r="M767" t="str">
            <v>CV H06</v>
          </cell>
          <cell r="N767" t="str">
            <v>SUB LINE CHO</v>
          </cell>
          <cell r="O767" t="str">
            <v>GL</v>
          </cell>
          <cell r="P767" t="str">
            <v>A (NS)</v>
          </cell>
          <cell r="Q767" t="str">
            <v>PI</v>
          </cell>
          <cell r="R767" t="str">
            <v>PERMANENT</v>
          </cell>
          <cell r="S767" t="str">
            <v>PRM</v>
          </cell>
          <cell r="T767" t="str">
            <v>SLC</v>
          </cell>
          <cell r="U767" t="str">
            <v>-</v>
          </cell>
          <cell r="V767" t="str">
            <v>P</v>
          </cell>
          <cell r="W767">
            <v>34</v>
          </cell>
        </row>
        <row r="768">
          <cell r="A768">
            <v>9145</v>
          </cell>
          <cell r="B768" t="str">
            <v>009145</v>
          </cell>
          <cell r="C768" t="str">
            <v>JUNI AROFATUL M</v>
          </cell>
          <cell r="D768" t="str">
            <v>SAMI</v>
          </cell>
          <cell r="E768" t="str">
            <v>OPT-205</v>
          </cell>
          <cell r="F768">
            <v>40000</v>
          </cell>
          <cell r="G768" t="str">
            <v>-</v>
          </cell>
          <cell r="H768" t="str">
            <v>-</v>
          </cell>
          <cell r="I768" t="str">
            <v>PRD</v>
          </cell>
          <cell r="J768" t="str">
            <v>FINAL ASSY</v>
          </cell>
          <cell r="K768" t="str">
            <v>FREED 25M</v>
          </cell>
          <cell r="L768" t="str">
            <v>L-CABIN</v>
          </cell>
          <cell r="M768" t="str">
            <v>CV H06</v>
          </cell>
          <cell r="N768" t="str">
            <v>KEYMAN FREED 33FA</v>
          </cell>
          <cell r="O768" t="str">
            <v>GL</v>
          </cell>
          <cell r="P768" t="str">
            <v>A (NS)</v>
          </cell>
          <cell r="Q768" t="str">
            <v>PI</v>
          </cell>
          <cell r="R768" t="str">
            <v>PERMANENT</v>
          </cell>
          <cell r="S768" t="str">
            <v>PRM</v>
          </cell>
          <cell r="T768" t="str">
            <v>GL</v>
          </cell>
          <cell r="U768" t="str">
            <v>-</v>
          </cell>
          <cell r="V768" t="str">
            <v>P</v>
          </cell>
          <cell r="W768">
            <v>34</v>
          </cell>
        </row>
        <row r="769">
          <cell r="A769">
            <v>9331</v>
          </cell>
          <cell r="B769" t="str">
            <v>009331</v>
          </cell>
          <cell r="C769" t="str">
            <v>SITI KHOLIFAH</v>
          </cell>
          <cell r="D769" t="str">
            <v>SAMI</v>
          </cell>
          <cell r="E769" t="str">
            <v>OPT-216</v>
          </cell>
          <cell r="F769">
            <v>40148</v>
          </cell>
          <cell r="G769" t="str">
            <v>-</v>
          </cell>
          <cell r="H769" t="str">
            <v>-</v>
          </cell>
          <cell r="I769" t="str">
            <v>PRD</v>
          </cell>
          <cell r="J769" t="str">
            <v>FINAL ASSY</v>
          </cell>
          <cell r="K769" t="str">
            <v>FREED 25M</v>
          </cell>
          <cell r="L769" t="str">
            <v>L-CABIN</v>
          </cell>
          <cell r="M769" t="str">
            <v>CV H06</v>
          </cell>
          <cell r="N769" t="str">
            <v>OJT CHECKER 3</v>
          </cell>
          <cell r="O769" t="str">
            <v>OTHERS</v>
          </cell>
          <cell r="P769" t="str">
            <v>A (NS)</v>
          </cell>
          <cell r="Q769" t="str">
            <v>PI</v>
          </cell>
          <cell r="R769" t="str">
            <v>PERMANENT</v>
          </cell>
          <cell r="S769" t="str">
            <v>PRM</v>
          </cell>
          <cell r="T769" t="str">
            <v>OPT</v>
          </cell>
          <cell r="U769" t="str">
            <v>-</v>
          </cell>
          <cell r="V769" t="str">
            <v>P</v>
          </cell>
          <cell r="W769">
            <v>34</v>
          </cell>
        </row>
        <row r="770">
          <cell r="A770">
            <v>10228</v>
          </cell>
          <cell r="B770" t="str">
            <v>010228</v>
          </cell>
          <cell r="C770" t="str">
            <v>SITI HIDAYATI</v>
          </cell>
          <cell r="D770" t="str">
            <v>SAMI</v>
          </cell>
          <cell r="E770" t="str">
            <v>OPT-259</v>
          </cell>
          <cell r="F770">
            <v>40489</v>
          </cell>
          <cell r="G770" t="str">
            <v>-</v>
          </cell>
          <cell r="H770" t="str">
            <v>-</v>
          </cell>
          <cell r="I770" t="str">
            <v>PRD</v>
          </cell>
          <cell r="J770" t="str">
            <v>PRE ASSY</v>
          </cell>
          <cell r="K770" t="str">
            <v>MAZDA 3</v>
          </cell>
          <cell r="L770" t="str">
            <v>MAZDA REAR</v>
          </cell>
          <cell r="M770" t="str">
            <v>CPA MAZDA J03</v>
          </cell>
          <cell r="N770" t="str">
            <v>BM2-J03-02, 04, 05, JM2-J03-01, 02, JM3-J03-01, 02, JT-J03-01</v>
          </cell>
          <cell r="O770" t="str">
            <v>BONDER</v>
          </cell>
          <cell r="P770" t="str">
            <v>B</v>
          </cell>
          <cell r="Q770" t="str">
            <v>DL</v>
          </cell>
          <cell r="R770" t="str">
            <v>PERMANENT</v>
          </cell>
          <cell r="S770" t="str">
            <v>PRM</v>
          </cell>
          <cell r="T770" t="str">
            <v>OPT</v>
          </cell>
          <cell r="U770" t="str">
            <v>-</v>
          </cell>
          <cell r="V770" t="str">
            <v>P</v>
          </cell>
          <cell r="W770">
            <v>32</v>
          </cell>
        </row>
        <row r="771">
          <cell r="A771">
            <v>9478</v>
          </cell>
          <cell r="B771" t="str">
            <v>009478</v>
          </cell>
          <cell r="C771" t="str">
            <v>SRI SULASIH</v>
          </cell>
          <cell r="D771" t="str">
            <v>SAMI</v>
          </cell>
          <cell r="E771" t="str">
            <v>OPT-216</v>
          </cell>
          <cell r="F771">
            <v>40148</v>
          </cell>
          <cell r="G771" t="str">
            <v>-</v>
          </cell>
          <cell r="H771" t="str">
            <v>-</v>
          </cell>
          <cell r="I771" t="str">
            <v>PRD</v>
          </cell>
          <cell r="J771" t="str">
            <v>FINAL ASSY</v>
          </cell>
          <cell r="K771" t="str">
            <v>FREED 25M</v>
          </cell>
          <cell r="L771" t="str">
            <v>L-CABIN</v>
          </cell>
          <cell r="M771" t="str">
            <v>CV H06</v>
          </cell>
          <cell r="N771" t="str">
            <v>OJT VISUAL 1.2</v>
          </cell>
          <cell r="O771" t="str">
            <v>OTHERS</v>
          </cell>
          <cell r="P771" t="str">
            <v>A (NS)</v>
          </cell>
          <cell r="Q771" t="str">
            <v>PI</v>
          </cell>
          <cell r="R771" t="str">
            <v>PERMANENT</v>
          </cell>
          <cell r="S771" t="str">
            <v>PRM</v>
          </cell>
          <cell r="T771" t="str">
            <v>OPT</v>
          </cell>
          <cell r="U771" t="str">
            <v>-</v>
          </cell>
          <cell r="V771" t="str">
            <v>P</v>
          </cell>
          <cell r="W771">
            <v>34</v>
          </cell>
        </row>
        <row r="772">
          <cell r="A772">
            <v>9684</v>
          </cell>
          <cell r="B772" t="str">
            <v>009684</v>
          </cell>
          <cell r="C772" t="str">
            <v>FITRIANA</v>
          </cell>
          <cell r="D772" t="str">
            <v>SAMI</v>
          </cell>
          <cell r="E772" t="str">
            <v>OPT-222</v>
          </cell>
          <cell r="F772">
            <v>40297</v>
          </cell>
          <cell r="G772" t="str">
            <v>-</v>
          </cell>
          <cell r="H772" t="str">
            <v>-</v>
          </cell>
          <cell r="I772" t="str">
            <v>PRD</v>
          </cell>
          <cell r="J772" t="str">
            <v>FINAL ASSY</v>
          </cell>
          <cell r="K772" t="str">
            <v>FREED 25M</v>
          </cell>
          <cell r="L772" t="str">
            <v>L-CABIN</v>
          </cell>
          <cell r="M772" t="str">
            <v>CV H06</v>
          </cell>
          <cell r="N772" t="str">
            <v>OJT VISUAL 1.3</v>
          </cell>
          <cell r="O772" t="str">
            <v>OTHERS</v>
          </cell>
          <cell r="P772" t="str">
            <v>A (NS)</v>
          </cell>
          <cell r="Q772" t="str">
            <v>PI</v>
          </cell>
          <cell r="R772" t="str">
            <v>PERMANENT</v>
          </cell>
          <cell r="S772" t="str">
            <v>PRM</v>
          </cell>
          <cell r="T772" t="str">
            <v>OPT</v>
          </cell>
          <cell r="U772" t="str">
            <v>-</v>
          </cell>
          <cell r="V772" t="str">
            <v>P</v>
          </cell>
          <cell r="W772">
            <v>33</v>
          </cell>
        </row>
        <row r="773">
          <cell r="A773">
            <v>10232</v>
          </cell>
          <cell r="B773" t="str">
            <v>010232</v>
          </cell>
          <cell r="C773" t="str">
            <v>TUTI ISNAWATI</v>
          </cell>
          <cell r="D773" t="str">
            <v>SAMI</v>
          </cell>
          <cell r="E773" t="str">
            <v>OPT-259</v>
          </cell>
          <cell r="F773">
            <v>40489</v>
          </cell>
          <cell r="G773" t="str">
            <v>-</v>
          </cell>
          <cell r="H773" t="str">
            <v>-</v>
          </cell>
          <cell r="I773" t="str">
            <v>QA</v>
          </cell>
          <cell r="J773" t="str">
            <v>PRE ASSY</v>
          </cell>
          <cell r="K773" t="str">
            <v>SUZUKI WAGON R/HUSTLER</v>
          </cell>
          <cell r="L773" t="str">
            <v>SUZUKI YW0/Y0C/YEV</v>
          </cell>
          <cell r="M773" t="str">
            <v>CPA SUZUKI</v>
          </cell>
          <cell r="N773" t="str">
            <v>CROSS SECTION</v>
          </cell>
          <cell r="O773" t="str">
            <v>CROSS SECT.</v>
          </cell>
          <cell r="P773" t="str">
            <v>B</v>
          </cell>
          <cell r="Q773" t="str">
            <v>PS</v>
          </cell>
          <cell r="R773" t="str">
            <v>PERMANENT</v>
          </cell>
          <cell r="S773" t="str">
            <v>PRM</v>
          </cell>
          <cell r="T773" t="str">
            <v>OPT</v>
          </cell>
          <cell r="U773" t="str">
            <v>-</v>
          </cell>
          <cell r="V773" t="str">
            <v>P</v>
          </cell>
          <cell r="W773">
            <v>32</v>
          </cell>
        </row>
        <row r="774">
          <cell r="A774">
            <v>9898</v>
          </cell>
          <cell r="B774" t="str">
            <v>009898</v>
          </cell>
          <cell r="C774" t="str">
            <v>MURINA MUKTI SIAMI</v>
          </cell>
          <cell r="D774" t="str">
            <v>SAMI</v>
          </cell>
          <cell r="E774" t="str">
            <v>OPT-244</v>
          </cell>
          <cell r="F774">
            <v>40424</v>
          </cell>
          <cell r="G774" t="str">
            <v>-</v>
          </cell>
          <cell r="H774" t="str">
            <v>-</v>
          </cell>
          <cell r="I774" t="str">
            <v>PRD</v>
          </cell>
          <cell r="J774" t="str">
            <v>FINAL ASSY</v>
          </cell>
          <cell r="K774" t="str">
            <v>FREED 25M</v>
          </cell>
          <cell r="L774" t="str">
            <v>L-CABIN</v>
          </cell>
          <cell r="M774" t="str">
            <v>CV H06</v>
          </cell>
          <cell r="N774" t="str">
            <v>OJT OFFLINE CLIP 1</v>
          </cell>
          <cell r="O774" t="str">
            <v>OTHERS</v>
          </cell>
          <cell r="P774" t="str">
            <v>A (NS)</v>
          </cell>
          <cell r="Q774" t="str">
            <v>PI</v>
          </cell>
          <cell r="R774" t="str">
            <v>PERMANENT</v>
          </cell>
          <cell r="S774" t="str">
            <v>PRM</v>
          </cell>
          <cell r="T774" t="str">
            <v>OPT</v>
          </cell>
          <cell r="U774" t="str">
            <v>-</v>
          </cell>
          <cell r="V774" t="str">
            <v>P</v>
          </cell>
          <cell r="W774">
            <v>33</v>
          </cell>
        </row>
        <row r="775">
          <cell r="A775">
            <v>10235</v>
          </cell>
          <cell r="B775" t="str">
            <v>010235</v>
          </cell>
          <cell r="C775" t="str">
            <v>HANA KUSUMAWARDANI</v>
          </cell>
          <cell r="D775" t="str">
            <v>SAMI</v>
          </cell>
          <cell r="E775" t="str">
            <v>OPT-259</v>
          </cell>
          <cell r="F775">
            <v>40489</v>
          </cell>
          <cell r="G775" t="str">
            <v>-</v>
          </cell>
          <cell r="H775" t="str">
            <v>-</v>
          </cell>
          <cell r="I775" t="str">
            <v>PRD</v>
          </cell>
          <cell r="J775" t="str">
            <v>FINAL ASSY</v>
          </cell>
          <cell r="K775" t="str">
            <v>HONDA NES</v>
          </cell>
          <cell r="L775" t="str">
            <v>HONDA NES HEV PET ENGINE</v>
          </cell>
          <cell r="M775" t="str">
            <v>CV H04</v>
          </cell>
          <cell r="N775" t="str">
            <v>VISUAL 2.3</v>
          </cell>
          <cell r="O775" t="str">
            <v>VISUAL INSPECTION</v>
          </cell>
          <cell r="P775" t="str">
            <v>B</v>
          </cell>
          <cell r="Q775" t="str">
            <v>DL</v>
          </cell>
          <cell r="R775" t="str">
            <v>PERMANENT</v>
          </cell>
          <cell r="S775" t="str">
            <v>PRM</v>
          </cell>
          <cell r="T775" t="str">
            <v>OPT</v>
          </cell>
          <cell r="U775" t="str">
            <v>-</v>
          </cell>
          <cell r="V775" t="str">
            <v>P</v>
          </cell>
          <cell r="W775">
            <v>33</v>
          </cell>
        </row>
        <row r="776">
          <cell r="A776">
            <v>10237</v>
          </cell>
          <cell r="B776" t="str">
            <v>010237</v>
          </cell>
          <cell r="C776" t="str">
            <v>RIKNA IDA SRI WAHYUNINGSIH</v>
          </cell>
          <cell r="D776" t="str">
            <v>SAMI</v>
          </cell>
          <cell r="E776" t="str">
            <v>OPT-259</v>
          </cell>
          <cell r="F776">
            <v>40489</v>
          </cell>
          <cell r="G776" t="str">
            <v>-</v>
          </cell>
          <cell r="H776" t="str">
            <v>-</v>
          </cell>
          <cell r="I776" t="str">
            <v>PRD</v>
          </cell>
          <cell r="J776" t="str">
            <v>FINAL ASSY</v>
          </cell>
          <cell r="K776" t="str">
            <v>MAZDA ATENZA</v>
          </cell>
          <cell r="L776" t="str">
            <v>MAZDA J72A</v>
          </cell>
          <cell r="M776" t="str">
            <v>CV M03</v>
          </cell>
          <cell r="N776" t="str">
            <v>PRD LINE CHO</v>
          </cell>
          <cell r="O776" t="str">
            <v>FPI LL</v>
          </cell>
          <cell r="P776" t="str">
            <v>B</v>
          </cell>
          <cell r="Q776" t="str">
            <v>PI</v>
          </cell>
          <cell r="R776" t="str">
            <v>PERMANENT</v>
          </cell>
          <cell r="S776" t="str">
            <v>PRM</v>
          </cell>
          <cell r="T776" t="str">
            <v>LC</v>
          </cell>
          <cell r="U776" t="str">
            <v>-</v>
          </cell>
          <cell r="V776" t="str">
            <v>P</v>
          </cell>
          <cell r="W776">
            <v>34</v>
          </cell>
        </row>
        <row r="777">
          <cell r="A777">
            <v>10238</v>
          </cell>
          <cell r="B777" t="str">
            <v>010238</v>
          </cell>
          <cell r="C777" t="str">
            <v>SUDARWATI</v>
          </cell>
          <cell r="D777" t="str">
            <v>SAMI</v>
          </cell>
          <cell r="E777" t="str">
            <v>OPT-259</v>
          </cell>
          <cell r="F777">
            <v>40489</v>
          </cell>
          <cell r="G777" t="str">
            <v>-</v>
          </cell>
          <cell r="H777" t="str">
            <v>-</v>
          </cell>
          <cell r="I777" t="str">
            <v>QA</v>
          </cell>
          <cell r="J777" t="str">
            <v>NON LINE</v>
          </cell>
          <cell r="K777" t="str">
            <v>ALL</v>
          </cell>
          <cell r="L777" t="str">
            <v>ALL</v>
          </cell>
          <cell r="M777" t="str">
            <v>RCV - CANDI</v>
          </cell>
          <cell r="N777" t="str">
            <v>SAMPLING &amp; CHECK 100%</v>
          </cell>
          <cell r="O777" t="str">
            <v>RCV</v>
          </cell>
          <cell r="P777" t="str">
            <v>B</v>
          </cell>
          <cell r="Q777" t="str">
            <v>PS</v>
          </cell>
          <cell r="R777" t="str">
            <v>PERMANENT</v>
          </cell>
          <cell r="S777" t="str">
            <v>PRM</v>
          </cell>
          <cell r="T777" t="str">
            <v>OPT</v>
          </cell>
          <cell r="U777" t="str">
            <v>-</v>
          </cell>
          <cell r="V777" t="str">
            <v>P</v>
          </cell>
          <cell r="W777">
            <v>34</v>
          </cell>
        </row>
        <row r="778">
          <cell r="A778">
            <v>9998</v>
          </cell>
          <cell r="B778" t="str">
            <v>009998</v>
          </cell>
          <cell r="C778" t="str">
            <v>ARUM MULIASARI</v>
          </cell>
          <cell r="D778" t="str">
            <v>SAMI</v>
          </cell>
          <cell r="E778" t="str">
            <v>OPT-247</v>
          </cell>
          <cell r="F778">
            <v>40438</v>
          </cell>
          <cell r="G778" t="str">
            <v>-</v>
          </cell>
          <cell r="H778" t="str">
            <v>-</v>
          </cell>
          <cell r="I778" t="str">
            <v>PRD</v>
          </cell>
          <cell r="J778" t="str">
            <v>FINAL ASSY</v>
          </cell>
          <cell r="K778" t="str">
            <v>FREED 25M</v>
          </cell>
          <cell r="L778" t="str">
            <v>L-CABIN</v>
          </cell>
          <cell r="M778" t="str">
            <v>CV H06</v>
          </cell>
          <cell r="N778" t="str">
            <v>KEYMAN FREED 33FA</v>
          </cell>
          <cell r="O778" t="str">
            <v>FPI LL</v>
          </cell>
          <cell r="P778" t="str">
            <v>A (NS)</v>
          </cell>
          <cell r="Q778" t="str">
            <v>PI</v>
          </cell>
          <cell r="R778" t="str">
            <v>PERMANENT</v>
          </cell>
          <cell r="S778" t="str">
            <v>PRM</v>
          </cell>
          <cell r="T778" t="str">
            <v>LC</v>
          </cell>
          <cell r="U778" t="str">
            <v>-</v>
          </cell>
          <cell r="V778" t="str">
            <v>P</v>
          </cell>
          <cell r="W778">
            <v>32</v>
          </cell>
        </row>
        <row r="779">
          <cell r="A779">
            <v>10230</v>
          </cell>
          <cell r="B779" t="str">
            <v>010230</v>
          </cell>
          <cell r="C779" t="str">
            <v>SOLIKHATI</v>
          </cell>
          <cell r="D779" t="str">
            <v>SAMI</v>
          </cell>
          <cell r="E779" t="str">
            <v>OPT-259</v>
          </cell>
          <cell r="F779">
            <v>40489</v>
          </cell>
          <cell r="G779" t="str">
            <v>-</v>
          </cell>
          <cell r="H779" t="str">
            <v>-</v>
          </cell>
          <cell r="I779" t="str">
            <v>PRD</v>
          </cell>
          <cell r="J779" t="str">
            <v>FINAL ASSY</v>
          </cell>
          <cell r="K779" t="str">
            <v>FREED 25M</v>
          </cell>
          <cell r="L779" t="str">
            <v>L-CABIN</v>
          </cell>
          <cell r="M779" t="str">
            <v>CV H06</v>
          </cell>
          <cell r="N779" t="str">
            <v>OJT S/A 10</v>
          </cell>
          <cell r="O779" t="str">
            <v>OTHERS</v>
          </cell>
          <cell r="P779" t="str">
            <v>A (NS)</v>
          </cell>
          <cell r="Q779" t="str">
            <v>PI</v>
          </cell>
          <cell r="R779" t="str">
            <v>PERMANENT</v>
          </cell>
          <cell r="S779" t="str">
            <v>PRM</v>
          </cell>
          <cell r="T779" t="str">
            <v>OPT</v>
          </cell>
          <cell r="U779" t="str">
            <v>-</v>
          </cell>
          <cell r="V779" t="str">
            <v>P</v>
          </cell>
          <cell r="W779">
            <v>33</v>
          </cell>
        </row>
        <row r="780">
          <cell r="A780">
            <v>10253</v>
          </cell>
          <cell r="B780" t="str">
            <v>010253</v>
          </cell>
          <cell r="C780" t="str">
            <v>MUGI HAYUNINGATY</v>
          </cell>
          <cell r="D780" t="str">
            <v>SAMI</v>
          </cell>
          <cell r="E780" t="str">
            <v>OPT-261</v>
          </cell>
          <cell r="F780">
            <v>40497</v>
          </cell>
          <cell r="G780" t="str">
            <v>-</v>
          </cell>
          <cell r="H780" t="str">
            <v>-</v>
          </cell>
          <cell r="I780" t="str">
            <v>PRD</v>
          </cell>
          <cell r="J780" t="str">
            <v>FINAL ASSY</v>
          </cell>
          <cell r="K780" t="str">
            <v>MAZDA 3</v>
          </cell>
          <cell r="L780" t="str">
            <v>MAZDA REAR</v>
          </cell>
          <cell r="M780" t="str">
            <v>CV M01</v>
          </cell>
          <cell r="N780" t="str">
            <v>VISUAL 2.1</v>
          </cell>
          <cell r="O780" t="str">
            <v>VISUAL INSPECTION</v>
          </cell>
          <cell r="P780" t="str">
            <v>B</v>
          </cell>
          <cell r="Q780" t="str">
            <v>DL</v>
          </cell>
          <cell r="R780" t="str">
            <v>PERMANENT</v>
          </cell>
          <cell r="S780" t="str">
            <v>PRM</v>
          </cell>
          <cell r="T780" t="str">
            <v>OPT</v>
          </cell>
          <cell r="U780" t="str">
            <v>-</v>
          </cell>
          <cell r="V780" t="str">
            <v>P</v>
          </cell>
          <cell r="W780">
            <v>36</v>
          </cell>
        </row>
        <row r="781">
          <cell r="A781">
            <v>10254</v>
          </cell>
          <cell r="B781" t="str">
            <v>010254</v>
          </cell>
          <cell r="C781" t="str">
            <v>NURSITA AYU FATMANINGTYAS</v>
          </cell>
          <cell r="D781" t="str">
            <v>SAMI</v>
          </cell>
          <cell r="E781" t="str">
            <v>OPT-261</v>
          </cell>
          <cell r="F781">
            <v>40497</v>
          </cell>
          <cell r="G781" t="str">
            <v>-</v>
          </cell>
          <cell r="H781" t="str">
            <v>-</v>
          </cell>
          <cell r="I781" t="str">
            <v>PRD</v>
          </cell>
          <cell r="J781" t="str">
            <v>FINAL ASSY</v>
          </cell>
          <cell r="K781" t="str">
            <v>HONDA FIT</v>
          </cell>
          <cell r="L781" t="str">
            <v>HONDA FIT HEV PET ENGINE</v>
          </cell>
          <cell r="M781" t="str">
            <v>CV H02</v>
          </cell>
          <cell r="N781" t="str">
            <v>T/P 5.2</v>
          </cell>
          <cell r="O781" t="str">
            <v>ASSEMBLY</v>
          </cell>
          <cell r="P781" t="str">
            <v>B</v>
          </cell>
          <cell r="Q781" t="str">
            <v>DL</v>
          </cell>
          <cell r="R781" t="str">
            <v>PERMANENT</v>
          </cell>
          <cell r="S781" t="str">
            <v>PRM</v>
          </cell>
          <cell r="T781" t="str">
            <v>OPT</v>
          </cell>
          <cell r="U781" t="str">
            <v>-</v>
          </cell>
          <cell r="V781" t="str">
            <v>P</v>
          </cell>
          <cell r="W781">
            <v>32</v>
          </cell>
        </row>
        <row r="782">
          <cell r="A782">
            <v>10257</v>
          </cell>
          <cell r="B782" t="str">
            <v>010257</v>
          </cell>
          <cell r="C782" t="str">
            <v>RISKA BILLAH NOVIYANTI</v>
          </cell>
          <cell r="D782" t="str">
            <v>SAMI</v>
          </cell>
          <cell r="E782" t="str">
            <v>OPT-261</v>
          </cell>
          <cell r="F782">
            <v>40497</v>
          </cell>
          <cell r="G782" t="str">
            <v>-</v>
          </cell>
          <cell r="H782" t="str">
            <v>-</v>
          </cell>
          <cell r="I782" t="str">
            <v>PRD</v>
          </cell>
          <cell r="J782" t="str">
            <v>FINAL ASSY</v>
          </cell>
          <cell r="K782" t="str">
            <v>HONDA NES</v>
          </cell>
          <cell r="L782" t="str">
            <v>HONDA NES HEV PET ENGINE</v>
          </cell>
          <cell r="M782" t="str">
            <v>CV H03</v>
          </cell>
          <cell r="N782" t="str">
            <v>VISUAL 1.4</v>
          </cell>
          <cell r="O782" t="str">
            <v>VISUAL INSPECTION</v>
          </cell>
          <cell r="P782" t="str">
            <v>B</v>
          </cell>
          <cell r="Q782" t="str">
            <v>DL</v>
          </cell>
          <cell r="R782" t="str">
            <v>PERMANENT</v>
          </cell>
          <cell r="S782" t="str">
            <v>PRM</v>
          </cell>
          <cell r="T782" t="str">
            <v>OPT</v>
          </cell>
          <cell r="U782" t="str">
            <v>-</v>
          </cell>
          <cell r="V782" t="str">
            <v>P</v>
          </cell>
          <cell r="W782">
            <v>32</v>
          </cell>
        </row>
        <row r="783">
          <cell r="A783">
            <v>10284</v>
          </cell>
          <cell r="B783" t="str">
            <v>010284</v>
          </cell>
          <cell r="C783" t="str">
            <v>HANI WIDYA ASTUTIK</v>
          </cell>
          <cell r="D783" t="str">
            <v>SAMI</v>
          </cell>
          <cell r="E783" t="str">
            <v>OPT-263</v>
          </cell>
          <cell r="F783">
            <v>40504</v>
          </cell>
          <cell r="G783" t="str">
            <v>-</v>
          </cell>
          <cell r="H783" t="str">
            <v>-</v>
          </cell>
          <cell r="I783" t="str">
            <v>PRD</v>
          </cell>
          <cell r="J783" t="str">
            <v>FINAL ASSY</v>
          </cell>
          <cell r="K783" t="str">
            <v>FREED 25M</v>
          </cell>
          <cell r="L783" t="str">
            <v>L-CABIN</v>
          </cell>
          <cell r="M783" t="str">
            <v>CV H06</v>
          </cell>
          <cell r="N783" t="str">
            <v>KEYMAN FREED 33FA</v>
          </cell>
          <cell r="O783" t="str">
            <v>GL</v>
          </cell>
          <cell r="P783" t="str">
            <v>A (NS)</v>
          </cell>
          <cell r="Q783" t="str">
            <v>PI</v>
          </cell>
          <cell r="R783" t="str">
            <v>PERMANENT</v>
          </cell>
          <cell r="S783" t="str">
            <v>PRM</v>
          </cell>
          <cell r="T783" t="str">
            <v>GL</v>
          </cell>
          <cell r="U783" t="str">
            <v>-</v>
          </cell>
          <cell r="V783" t="str">
            <v>P</v>
          </cell>
          <cell r="W783">
            <v>33</v>
          </cell>
        </row>
        <row r="784">
          <cell r="A784">
            <v>10863</v>
          </cell>
          <cell r="B784" t="str">
            <v>010863</v>
          </cell>
          <cell r="C784" t="str">
            <v>SUPRIADI</v>
          </cell>
          <cell r="D784" t="str">
            <v>SAMI</v>
          </cell>
          <cell r="E784" t="str">
            <v>OPT-283</v>
          </cell>
          <cell r="F784">
            <v>40572</v>
          </cell>
          <cell r="G784" t="str">
            <v>-</v>
          </cell>
          <cell r="H784" t="str">
            <v>-</v>
          </cell>
          <cell r="I784" t="str">
            <v>PRD</v>
          </cell>
          <cell r="J784" t="str">
            <v>FINAL ASSY</v>
          </cell>
          <cell r="K784" t="str">
            <v>FREED 25M</v>
          </cell>
          <cell r="L784" t="str">
            <v>L-CABIN</v>
          </cell>
          <cell r="M784" t="str">
            <v>CV H06</v>
          </cell>
          <cell r="N784" t="str">
            <v>OJT CHECKER R/B 1</v>
          </cell>
          <cell r="O784" t="str">
            <v>OTHERS</v>
          </cell>
          <cell r="P784" t="str">
            <v>A (NS)</v>
          </cell>
          <cell r="Q784" t="str">
            <v>PI</v>
          </cell>
          <cell r="R784" t="str">
            <v>PERMANENT</v>
          </cell>
          <cell r="S784" t="str">
            <v>PRM</v>
          </cell>
          <cell r="T784" t="str">
            <v>OPT</v>
          </cell>
          <cell r="U784" t="str">
            <v>-</v>
          </cell>
          <cell r="V784" t="str">
            <v>L</v>
          </cell>
          <cell r="W784">
            <v>36</v>
          </cell>
        </row>
        <row r="785">
          <cell r="A785">
            <v>10274</v>
          </cell>
          <cell r="B785" t="str">
            <v>010274</v>
          </cell>
          <cell r="C785" t="str">
            <v>WIDYA NURMALITASARI</v>
          </cell>
          <cell r="D785" t="str">
            <v>SAMI</v>
          </cell>
          <cell r="E785" t="str">
            <v>OPT-261</v>
          </cell>
          <cell r="F785">
            <v>40497</v>
          </cell>
          <cell r="G785" t="str">
            <v>-</v>
          </cell>
          <cell r="H785" t="str">
            <v>-</v>
          </cell>
          <cell r="I785" t="str">
            <v>QA</v>
          </cell>
          <cell r="J785" t="str">
            <v>NON LINE</v>
          </cell>
          <cell r="K785" t="str">
            <v>ALL</v>
          </cell>
          <cell r="L785" t="str">
            <v>ALL</v>
          </cell>
          <cell r="M785" t="str">
            <v>OTHERS (BUFFER)</v>
          </cell>
          <cell r="N785" t="str">
            <v>SUPPORT QA ADM</v>
          </cell>
          <cell r="O785" t="str">
            <v>OTHERS</v>
          </cell>
          <cell r="P785" t="str">
            <v>A (NS)</v>
          </cell>
          <cell r="Q785" t="str">
            <v>PI</v>
          </cell>
          <cell r="R785" t="str">
            <v>PERMANENT</v>
          </cell>
          <cell r="S785" t="str">
            <v>PRM</v>
          </cell>
          <cell r="T785" t="str">
            <v>OPT</v>
          </cell>
          <cell r="U785" t="str">
            <v>-</v>
          </cell>
          <cell r="V785" t="str">
            <v>P</v>
          </cell>
          <cell r="W785">
            <v>32</v>
          </cell>
        </row>
        <row r="786">
          <cell r="A786">
            <v>11036</v>
          </cell>
          <cell r="B786" t="str">
            <v>011036</v>
          </cell>
          <cell r="C786" t="str">
            <v>WIWIN ERMIDAH</v>
          </cell>
          <cell r="D786" t="str">
            <v>SAMI</v>
          </cell>
          <cell r="E786" t="str">
            <v>OPT-287</v>
          </cell>
          <cell r="F786">
            <v>40585</v>
          </cell>
          <cell r="G786" t="str">
            <v>-</v>
          </cell>
          <cell r="H786" t="str">
            <v>-</v>
          </cell>
          <cell r="I786" t="str">
            <v>PRD</v>
          </cell>
          <cell r="J786" t="str">
            <v>FINAL ASSY</v>
          </cell>
          <cell r="K786" t="str">
            <v>FREED 25M</v>
          </cell>
          <cell r="L786" t="str">
            <v>L-CABIN</v>
          </cell>
          <cell r="M786" t="str">
            <v>CV H06</v>
          </cell>
          <cell r="N786" t="str">
            <v>OJT T/P 2.1</v>
          </cell>
          <cell r="O786" t="str">
            <v>OTHERS</v>
          </cell>
          <cell r="P786" t="str">
            <v>A (NS)</v>
          </cell>
          <cell r="Q786" t="str">
            <v>PI</v>
          </cell>
          <cell r="R786" t="str">
            <v>PERMANENT</v>
          </cell>
          <cell r="S786" t="str">
            <v>PRM</v>
          </cell>
          <cell r="T786" t="str">
            <v>OPT</v>
          </cell>
          <cell r="U786" t="str">
            <v>-</v>
          </cell>
          <cell r="V786" t="str">
            <v>P</v>
          </cell>
          <cell r="W786">
            <v>34</v>
          </cell>
        </row>
        <row r="787">
          <cell r="A787">
            <v>10287</v>
          </cell>
          <cell r="B787" t="str">
            <v>010287</v>
          </cell>
          <cell r="C787" t="str">
            <v>NANIK</v>
          </cell>
          <cell r="D787" t="str">
            <v>SAMI</v>
          </cell>
          <cell r="E787" t="str">
            <v>OPT-263</v>
          </cell>
          <cell r="F787">
            <v>40504</v>
          </cell>
          <cell r="G787" t="str">
            <v>-</v>
          </cell>
          <cell r="H787" t="str">
            <v>-</v>
          </cell>
          <cell r="I787" t="str">
            <v>QA</v>
          </cell>
          <cell r="J787" t="str">
            <v>FINAL ASSY</v>
          </cell>
          <cell r="K787" t="str">
            <v>MAZDA 3</v>
          </cell>
          <cell r="L787" t="str">
            <v>MAZDA REAR</v>
          </cell>
          <cell r="M787" t="str">
            <v>CV M01</v>
          </cell>
          <cell r="N787" t="str">
            <v>PJK INSP</v>
          </cell>
          <cell r="O787" t="str">
            <v>RELIEF</v>
          </cell>
          <cell r="P787" t="str">
            <v>A</v>
          </cell>
          <cell r="Q787" t="str">
            <v>PI</v>
          </cell>
          <cell r="R787" t="str">
            <v>PERMANENT</v>
          </cell>
          <cell r="S787" t="str">
            <v>PRM</v>
          </cell>
          <cell r="T787" t="str">
            <v>PJK</v>
          </cell>
          <cell r="U787" t="str">
            <v>-</v>
          </cell>
          <cell r="V787" t="str">
            <v>P</v>
          </cell>
          <cell r="W787">
            <v>32</v>
          </cell>
        </row>
        <row r="788">
          <cell r="A788">
            <v>11562</v>
          </cell>
          <cell r="B788" t="str">
            <v>011562</v>
          </cell>
          <cell r="C788" t="str">
            <v>ISTIGHFAROTUN</v>
          </cell>
          <cell r="D788" t="str">
            <v>SAMI</v>
          </cell>
          <cell r="E788" t="str">
            <v>OPT-307</v>
          </cell>
          <cell r="F788">
            <v>40707</v>
          </cell>
          <cell r="G788" t="str">
            <v>-</v>
          </cell>
          <cell r="H788" t="str">
            <v>-</v>
          </cell>
          <cell r="I788" t="str">
            <v>PRD</v>
          </cell>
          <cell r="J788" t="str">
            <v>FINAL ASSY</v>
          </cell>
          <cell r="K788" t="str">
            <v>FREED 25M</v>
          </cell>
          <cell r="L788" t="str">
            <v>L-CABIN</v>
          </cell>
          <cell r="M788" t="str">
            <v>CV H06</v>
          </cell>
          <cell r="N788" t="str">
            <v>OJT T/P 4.2</v>
          </cell>
          <cell r="O788" t="str">
            <v>OTHERS</v>
          </cell>
          <cell r="P788" t="str">
            <v>A (NS)</v>
          </cell>
          <cell r="Q788" t="str">
            <v>PI</v>
          </cell>
          <cell r="R788" t="str">
            <v>PERMANENT</v>
          </cell>
          <cell r="S788" t="str">
            <v>PRM</v>
          </cell>
          <cell r="T788" t="str">
            <v>OPT</v>
          </cell>
          <cell r="U788" t="str">
            <v>-</v>
          </cell>
          <cell r="V788" t="str">
            <v>P</v>
          </cell>
          <cell r="W788">
            <v>31</v>
          </cell>
        </row>
        <row r="789">
          <cell r="A789">
            <v>10296</v>
          </cell>
          <cell r="B789" t="str">
            <v>010296</v>
          </cell>
          <cell r="C789" t="str">
            <v>UMI RAHAYU</v>
          </cell>
          <cell r="D789" t="str">
            <v>SAMI</v>
          </cell>
          <cell r="E789" t="str">
            <v>OPT-263</v>
          </cell>
          <cell r="F789">
            <v>40504</v>
          </cell>
          <cell r="G789" t="str">
            <v>-</v>
          </cell>
          <cell r="H789" t="str">
            <v>-</v>
          </cell>
          <cell r="I789" t="str">
            <v>QA</v>
          </cell>
          <cell r="J789" t="str">
            <v>FINAL ASSY</v>
          </cell>
          <cell r="K789" t="str">
            <v>TOYOTA HV</v>
          </cell>
          <cell r="L789" t="str">
            <v>TOYOTA HV 10PL</v>
          </cell>
          <cell r="M789" t="str">
            <v>CV HV 14B</v>
          </cell>
          <cell r="N789" t="str">
            <v>SCANNER</v>
          </cell>
          <cell r="O789" t="str">
            <v>QA APPROVE</v>
          </cell>
          <cell r="P789" t="str">
            <v>B</v>
          </cell>
          <cell r="Q789" t="str">
            <v>PI</v>
          </cell>
          <cell r="R789" t="str">
            <v>PERMANENT</v>
          </cell>
          <cell r="S789" t="str">
            <v>PRM</v>
          </cell>
          <cell r="T789" t="str">
            <v>OPT</v>
          </cell>
          <cell r="U789" t="str">
            <v>-</v>
          </cell>
          <cell r="V789" t="str">
            <v>P</v>
          </cell>
          <cell r="W789">
            <v>35</v>
          </cell>
        </row>
        <row r="790">
          <cell r="A790">
            <v>10299</v>
          </cell>
          <cell r="B790" t="str">
            <v>010299</v>
          </cell>
          <cell r="C790" t="str">
            <v>ARINA FAOZIAH</v>
          </cell>
          <cell r="D790" t="str">
            <v>SAMI</v>
          </cell>
          <cell r="E790" t="str">
            <v>OPT-265</v>
          </cell>
          <cell r="F790">
            <v>40511</v>
          </cell>
          <cell r="G790" t="str">
            <v>-</v>
          </cell>
          <cell r="H790" t="str">
            <v>-</v>
          </cell>
          <cell r="I790" t="str">
            <v>OTHERS</v>
          </cell>
          <cell r="J790" t="str">
            <v>AT HOME</v>
          </cell>
          <cell r="K790" t="str">
            <v>ALL</v>
          </cell>
          <cell r="L790" t="str">
            <v>ALL</v>
          </cell>
          <cell r="M790" t="str">
            <v>AT HOME</v>
          </cell>
          <cell r="N790" t="str">
            <v>CUTI KELAHIRAN</v>
          </cell>
          <cell r="O790" t="str">
            <v>OTHERS IDL</v>
          </cell>
          <cell r="P790" t="str">
            <v>-</v>
          </cell>
          <cell r="Q790" t="str">
            <v>ADM</v>
          </cell>
          <cell r="R790" t="str">
            <v>PERMANENT</v>
          </cell>
          <cell r="S790" t="str">
            <v>PRM</v>
          </cell>
          <cell r="T790" t="str">
            <v>OPT</v>
          </cell>
          <cell r="U790" t="str">
            <v>-</v>
          </cell>
          <cell r="V790" t="str">
            <v>P</v>
          </cell>
          <cell r="W790">
            <v>32</v>
          </cell>
        </row>
        <row r="791">
          <cell r="A791">
            <v>10301</v>
          </cell>
          <cell r="B791" t="str">
            <v>010301</v>
          </cell>
          <cell r="C791" t="str">
            <v>DEWI LESTARI</v>
          </cell>
          <cell r="D791" t="str">
            <v>SAMI</v>
          </cell>
          <cell r="E791" t="str">
            <v>OPT-265</v>
          </cell>
          <cell r="F791">
            <v>40511</v>
          </cell>
          <cell r="G791" t="str">
            <v>-</v>
          </cell>
          <cell r="H791" t="str">
            <v>-</v>
          </cell>
          <cell r="I791" t="str">
            <v>PRD</v>
          </cell>
          <cell r="J791" t="str">
            <v>FINAL ASSY</v>
          </cell>
          <cell r="K791" t="str">
            <v>TOYOTA HV</v>
          </cell>
          <cell r="L791" t="str">
            <v>HV TOYOTA 858W 874W BBM</v>
          </cell>
          <cell r="M791" t="str">
            <v>CV HV 15</v>
          </cell>
          <cell r="N791" t="str">
            <v>FBBO</v>
          </cell>
          <cell r="O791" t="str">
            <v>WFAP 2.2</v>
          </cell>
          <cell r="P791" t="str">
            <v>B</v>
          </cell>
          <cell r="Q791" t="str">
            <v>DL</v>
          </cell>
          <cell r="R791" t="str">
            <v>PERMANENT</v>
          </cell>
          <cell r="S791" t="str">
            <v>PRM</v>
          </cell>
          <cell r="T791" t="str">
            <v>OPT</v>
          </cell>
          <cell r="U791" t="str">
            <v>-</v>
          </cell>
          <cell r="V791" t="str">
            <v>P</v>
          </cell>
          <cell r="W791">
            <v>32</v>
          </cell>
        </row>
        <row r="792">
          <cell r="A792">
            <v>10310</v>
          </cell>
          <cell r="B792" t="str">
            <v>010310</v>
          </cell>
          <cell r="C792" t="str">
            <v>JUWARMI</v>
          </cell>
          <cell r="D792" t="str">
            <v>SAMI</v>
          </cell>
          <cell r="E792" t="str">
            <v>OPT-265</v>
          </cell>
          <cell r="F792">
            <v>40511</v>
          </cell>
          <cell r="G792" t="str">
            <v>-</v>
          </cell>
          <cell r="H792" t="str">
            <v>-</v>
          </cell>
          <cell r="I792" t="str">
            <v>PRD</v>
          </cell>
          <cell r="J792" t="str">
            <v>PRE ASSY</v>
          </cell>
          <cell r="K792" t="str">
            <v>TOYOTA HV</v>
          </cell>
          <cell r="L792" t="str">
            <v>HV TOYOTA</v>
          </cell>
          <cell r="M792" t="str">
            <v>CPA TOYOTA 10 PL</v>
          </cell>
          <cell r="N792" t="str">
            <v>CUTTING AC90-T-09</v>
          </cell>
          <cell r="O792" t="str">
            <v>CUTTING WIRE</v>
          </cell>
          <cell r="P792" t="str">
            <v>B</v>
          </cell>
          <cell r="Q792" t="str">
            <v>DL</v>
          </cell>
          <cell r="R792" t="str">
            <v>PERMANENT</v>
          </cell>
          <cell r="S792" t="str">
            <v>PRM</v>
          </cell>
          <cell r="T792" t="str">
            <v>OPT</v>
          </cell>
          <cell r="U792" t="str">
            <v>-</v>
          </cell>
          <cell r="V792" t="str">
            <v>P</v>
          </cell>
          <cell r="W792">
            <v>33</v>
          </cell>
        </row>
        <row r="793">
          <cell r="A793">
            <v>11774</v>
          </cell>
          <cell r="B793" t="str">
            <v>011774</v>
          </cell>
          <cell r="C793" t="str">
            <v>RIZKI ASIH</v>
          </cell>
          <cell r="D793" t="str">
            <v>SAMI</v>
          </cell>
          <cell r="E793" t="str">
            <v>OPT-308</v>
          </cell>
          <cell r="F793">
            <v>40714</v>
          </cell>
          <cell r="G793" t="str">
            <v>-</v>
          </cell>
          <cell r="H793" t="str">
            <v>-</v>
          </cell>
          <cell r="I793" t="str">
            <v>PRD</v>
          </cell>
          <cell r="J793" t="str">
            <v>FINAL ASSY</v>
          </cell>
          <cell r="K793" t="str">
            <v>FREED 25M</v>
          </cell>
          <cell r="L793" t="str">
            <v>L-CABIN</v>
          </cell>
          <cell r="M793" t="str">
            <v>CV H06</v>
          </cell>
          <cell r="N793" t="str">
            <v>OJT S/A 2</v>
          </cell>
          <cell r="O793" t="str">
            <v>OTHERS</v>
          </cell>
          <cell r="P793" t="str">
            <v>A (NS)</v>
          </cell>
          <cell r="Q793" t="str">
            <v>PI</v>
          </cell>
          <cell r="R793" t="str">
            <v>PERMANENT</v>
          </cell>
          <cell r="S793" t="str">
            <v>PRM</v>
          </cell>
          <cell r="T793" t="str">
            <v>OPT</v>
          </cell>
          <cell r="U793" t="str">
            <v>-</v>
          </cell>
          <cell r="V793" t="str">
            <v>P</v>
          </cell>
          <cell r="W793">
            <v>31</v>
          </cell>
        </row>
        <row r="794">
          <cell r="A794">
            <v>11779</v>
          </cell>
          <cell r="B794" t="str">
            <v>011779</v>
          </cell>
          <cell r="C794" t="str">
            <v>SITI KHOINUNINGSIH</v>
          </cell>
          <cell r="D794" t="str">
            <v>SAMI</v>
          </cell>
          <cell r="E794" t="str">
            <v>OPT-308</v>
          </cell>
          <cell r="F794">
            <v>40714</v>
          </cell>
          <cell r="G794" t="str">
            <v>-</v>
          </cell>
          <cell r="H794" t="str">
            <v>-</v>
          </cell>
          <cell r="I794" t="str">
            <v>PRD</v>
          </cell>
          <cell r="J794" t="str">
            <v>FINAL ASSY</v>
          </cell>
          <cell r="K794" t="str">
            <v>FREED 25M</v>
          </cell>
          <cell r="L794" t="str">
            <v>L-CABIN</v>
          </cell>
          <cell r="M794" t="str">
            <v>CV H06</v>
          </cell>
          <cell r="N794" t="str">
            <v>OJT S/A 13</v>
          </cell>
          <cell r="O794" t="str">
            <v>OTHERS</v>
          </cell>
          <cell r="P794" t="str">
            <v>A (NS)</v>
          </cell>
          <cell r="Q794" t="str">
            <v>PI</v>
          </cell>
          <cell r="R794" t="str">
            <v>PERMANENT</v>
          </cell>
          <cell r="S794" t="str">
            <v>PRM</v>
          </cell>
          <cell r="T794" t="str">
            <v>OPT</v>
          </cell>
          <cell r="U794" t="str">
            <v>-</v>
          </cell>
          <cell r="V794" t="str">
            <v>P</v>
          </cell>
          <cell r="W794">
            <v>34</v>
          </cell>
        </row>
        <row r="795">
          <cell r="A795">
            <v>12201</v>
          </cell>
          <cell r="B795" t="str">
            <v>012201</v>
          </cell>
          <cell r="C795" t="str">
            <v>OKTY WIDYASTUTI</v>
          </cell>
          <cell r="D795" t="str">
            <v>SAMI</v>
          </cell>
          <cell r="E795" t="str">
            <v>OPT-315</v>
          </cell>
          <cell r="F795">
            <v>40802</v>
          </cell>
          <cell r="G795" t="str">
            <v>-</v>
          </cell>
          <cell r="H795" t="str">
            <v>-</v>
          </cell>
          <cell r="I795" t="str">
            <v>PRD</v>
          </cell>
          <cell r="J795" t="str">
            <v>FINAL ASSY</v>
          </cell>
          <cell r="K795" t="str">
            <v>FREED 25M</v>
          </cell>
          <cell r="L795" t="str">
            <v>L-CABIN</v>
          </cell>
          <cell r="M795" t="str">
            <v>CV H06</v>
          </cell>
          <cell r="N795" t="str">
            <v>LQC</v>
          </cell>
          <cell r="O795" t="str">
            <v>RELIEF</v>
          </cell>
          <cell r="P795" t="str">
            <v>A (NS)</v>
          </cell>
          <cell r="Q795" t="str">
            <v>PI</v>
          </cell>
          <cell r="R795" t="str">
            <v>PERMANENT</v>
          </cell>
          <cell r="S795" t="str">
            <v>PRM</v>
          </cell>
          <cell r="T795" t="str">
            <v>PJK</v>
          </cell>
          <cell r="U795" t="str">
            <v>-</v>
          </cell>
          <cell r="V795" t="str">
            <v>P</v>
          </cell>
          <cell r="W795">
            <v>32</v>
          </cell>
        </row>
        <row r="796">
          <cell r="A796">
            <v>10326</v>
          </cell>
          <cell r="B796" t="str">
            <v>010326</v>
          </cell>
          <cell r="C796" t="str">
            <v>PITA NURCHOERIYAH</v>
          </cell>
          <cell r="D796" t="str">
            <v>SAMI</v>
          </cell>
          <cell r="E796" t="str">
            <v>OPT-265</v>
          </cell>
          <cell r="F796">
            <v>40511</v>
          </cell>
          <cell r="G796" t="str">
            <v>-</v>
          </cell>
          <cell r="H796" t="str">
            <v>-</v>
          </cell>
          <cell r="I796" t="str">
            <v>PRD</v>
          </cell>
          <cell r="J796" t="str">
            <v>FINAL ASSY</v>
          </cell>
          <cell r="K796" t="str">
            <v>NISSAN HV</v>
          </cell>
          <cell r="L796" t="str">
            <v>HV NISSAN</v>
          </cell>
          <cell r="M796" t="str">
            <v>CV HV 05A</v>
          </cell>
          <cell r="N796" t="str">
            <v>GABUNG AMIZEN, STMAC-02, AP3N-02</v>
          </cell>
          <cell r="O796" t="str">
            <v>WFAP 2.2</v>
          </cell>
          <cell r="P796" t="str">
            <v>B</v>
          </cell>
          <cell r="Q796" t="str">
            <v>DL</v>
          </cell>
          <cell r="R796" t="str">
            <v>PERMANENT</v>
          </cell>
          <cell r="S796" t="str">
            <v>PRM</v>
          </cell>
          <cell r="T796" t="str">
            <v>OPT</v>
          </cell>
          <cell r="U796" t="str">
            <v>-</v>
          </cell>
          <cell r="V796" t="str">
            <v>P</v>
          </cell>
          <cell r="W796">
            <v>32</v>
          </cell>
        </row>
        <row r="797">
          <cell r="A797">
            <v>12632</v>
          </cell>
          <cell r="B797" t="str">
            <v>012632</v>
          </cell>
          <cell r="C797" t="str">
            <v>ARGO WINARSIH PRATIWI</v>
          </cell>
          <cell r="D797" t="str">
            <v>SAMI</v>
          </cell>
          <cell r="E797" t="str">
            <v>OPT-320</v>
          </cell>
          <cell r="F797">
            <v>40819</v>
          </cell>
          <cell r="G797" t="str">
            <v>-</v>
          </cell>
          <cell r="H797" t="str">
            <v>-</v>
          </cell>
          <cell r="I797" t="str">
            <v>PRD</v>
          </cell>
          <cell r="J797" t="str">
            <v>FINAL ASSY</v>
          </cell>
          <cell r="K797" t="str">
            <v>FREED 25M</v>
          </cell>
          <cell r="L797" t="str">
            <v>L-CABIN</v>
          </cell>
          <cell r="M797" t="str">
            <v>CV H06</v>
          </cell>
          <cell r="N797" t="str">
            <v>OJT CHECKER 2</v>
          </cell>
          <cell r="O797" t="str">
            <v>OTHERS</v>
          </cell>
          <cell r="P797" t="str">
            <v>A (NS)</v>
          </cell>
          <cell r="Q797" t="str">
            <v>PI</v>
          </cell>
          <cell r="R797" t="str">
            <v>PERMANENT</v>
          </cell>
          <cell r="S797" t="str">
            <v>PRM</v>
          </cell>
          <cell r="T797" t="str">
            <v>OPT</v>
          </cell>
          <cell r="U797" t="str">
            <v>-</v>
          </cell>
          <cell r="V797" t="str">
            <v>P</v>
          </cell>
          <cell r="W797">
            <v>34</v>
          </cell>
        </row>
        <row r="798">
          <cell r="A798">
            <v>10331</v>
          </cell>
          <cell r="B798" t="str">
            <v>010331</v>
          </cell>
          <cell r="C798" t="str">
            <v>ROZALIYAH</v>
          </cell>
          <cell r="D798" t="str">
            <v>SAMI</v>
          </cell>
          <cell r="E798" t="str">
            <v>OPT-265</v>
          </cell>
          <cell r="F798">
            <v>40511</v>
          </cell>
          <cell r="G798" t="str">
            <v>-</v>
          </cell>
          <cell r="H798" t="str">
            <v>-</v>
          </cell>
          <cell r="I798" t="str">
            <v>PRD</v>
          </cell>
          <cell r="J798" t="str">
            <v>FINAL ASSY</v>
          </cell>
          <cell r="K798" t="str">
            <v>HONDA NES</v>
          </cell>
          <cell r="L798" t="str">
            <v>HONDA NES HEV PET ENGINE</v>
          </cell>
          <cell r="M798" t="str">
            <v>CV H04</v>
          </cell>
          <cell r="N798" t="str">
            <v>T/P 7.2</v>
          </cell>
          <cell r="O798" t="str">
            <v>ASSEMBLY</v>
          </cell>
          <cell r="P798" t="str">
            <v>B</v>
          </cell>
          <cell r="Q798" t="str">
            <v>DL</v>
          </cell>
          <cell r="R798" t="str">
            <v>PERMANENT</v>
          </cell>
          <cell r="S798" t="str">
            <v>PRM</v>
          </cell>
          <cell r="T798" t="str">
            <v>OPT</v>
          </cell>
          <cell r="U798" t="str">
            <v>-</v>
          </cell>
          <cell r="V798" t="str">
            <v>P</v>
          </cell>
          <cell r="W798">
            <v>32</v>
          </cell>
        </row>
        <row r="799">
          <cell r="A799">
            <v>10335</v>
          </cell>
          <cell r="B799" t="str">
            <v>010335</v>
          </cell>
          <cell r="C799" t="str">
            <v>SEVIANA DWI SETYANINGSIH</v>
          </cell>
          <cell r="D799" t="str">
            <v>SAMI</v>
          </cell>
          <cell r="E799" t="str">
            <v>OPT-265</v>
          </cell>
          <cell r="F799">
            <v>40511</v>
          </cell>
          <cell r="G799" t="str">
            <v>-</v>
          </cell>
          <cell r="H799" t="str">
            <v>-</v>
          </cell>
          <cell r="I799" t="str">
            <v>PRD</v>
          </cell>
          <cell r="J799" t="str">
            <v>FINAL ASSY</v>
          </cell>
          <cell r="K799" t="str">
            <v>MAZDA 3</v>
          </cell>
          <cell r="L799" t="str">
            <v>MAZDA REAR</v>
          </cell>
          <cell r="M799" t="str">
            <v>CV M01</v>
          </cell>
          <cell r="N799" t="str">
            <v>LQC</v>
          </cell>
          <cell r="O799" t="str">
            <v>RELIEF</v>
          </cell>
          <cell r="P799" t="str">
            <v>B</v>
          </cell>
          <cell r="Q799" t="str">
            <v>PI</v>
          </cell>
          <cell r="R799" t="str">
            <v>PERMANENT</v>
          </cell>
          <cell r="S799" t="str">
            <v>PRM</v>
          </cell>
          <cell r="T799" t="str">
            <v>PJK</v>
          </cell>
          <cell r="U799" t="str">
            <v>-</v>
          </cell>
          <cell r="V799" t="str">
            <v>P</v>
          </cell>
          <cell r="W799">
            <v>32</v>
          </cell>
        </row>
        <row r="800">
          <cell r="A800">
            <v>12735</v>
          </cell>
          <cell r="B800" t="str">
            <v>012735</v>
          </cell>
          <cell r="C800" t="str">
            <v>SAYIDA NURUL CHIKMAH</v>
          </cell>
          <cell r="D800" t="str">
            <v>SAMI</v>
          </cell>
          <cell r="E800" t="str">
            <v>OPT-320</v>
          </cell>
          <cell r="F800">
            <v>40819</v>
          </cell>
          <cell r="G800" t="str">
            <v>-</v>
          </cell>
          <cell r="H800" t="str">
            <v>-</v>
          </cell>
          <cell r="I800" t="str">
            <v>PRD</v>
          </cell>
          <cell r="J800" t="str">
            <v>FINAL ASSY</v>
          </cell>
          <cell r="K800" t="str">
            <v>FREED 25M</v>
          </cell>
          <cell r="L800" t="str">
            <v>L-CABIN</v>
          </cell>
          <cell r="M800" t="str">
            <v>CV H06</v>
          </cell>
          <cell r="N800" t="str">
            <v>OJT S/A 15</v>
          </cell>
          <cell r="O800" t="str">
            <v>OTHERS</v>
          </cell>
          <cell r="P800" t="str">
            <v>A (NS)</v>
          </cell>
          <cell r="Q800" t="str">
            <v>PI</v>
          </cell>
          <cell r="R800" t="str">
            <v>PERMANENT</v>
          </cell>
          <cell r="S800" t="str">
            <v>PRM</v>
          </cell>
          <cell r="T800" t="str">
            <v>OPT</v>
          </cell>
          <cell r="U800" t="str">
            <v>-</v>
          </cell>
          <cell r="V800" t="str">
            <v>P</v>
          </cell>
          <cell r="W800">
            <v>30</v>
          </cell>
        </row>
        <row r="801">
          <cell r="A801">
            <v>10351</v>
          </cell>
          <cell r="B801" t="str">
            <v>010351</v>
          </cell>
          <cell r="C801" t="str">
            <v>ADHE ERMA S.</v>
          </cell>
          <cell r="D801" t="str">
            <v>SAMI</v>
          </cell>
          <cell r="E801" t="str">
            <v>OPT-267</v>
          </cell>
          <cell r="F801">
            <v>40513</v>
          </cell>
          <cell r="G801" t="str">
            <v>-</v>
          </cell>
          <cell r="H801" t="str">
            <v>-</v>
          </cell>
          <cell r="I801" t="str">
            <v>PRD</v>
          </cell>
          <cell r="J801" t="str">
            <v>FINAL ASSY</v>
          </cell>
          <cell r="K801" t="str">
            <v>HONDA NES</v>
          </cell>
          <cell r="L801" t="str">
            <v>HONDA NES HEV PET ENGINE</v>
          </cell>
          <cell r="M801" t="str">
            <v>CV H04</v>
          </cell>
          <cell r="N801" t="str">
            <v>SUB LINE CHO</v>
          </cell>
          <cell r="O801" t="str">
            <v>GL</v>
          </cell>
          <cell r="P801" t="str">
            <v>B</v>
          </cell>
          <cell r="Q801" t="str">
            <v>PI</v>
          </cell>
          <cell r="R801" t="str">
            <v>PERMANENT</v>
          </cell>
          <cell r="S801" t="str">
            <v>PRM</v>
          </cell>
          <cell r="T801" t="str">
            <v>SLC</v>
          </cell>
          <cell r="U801" t="str">
            <v>-</v>
          </cell>
          <cell r="V801" t="str">
            <v>P</v>
          </cell>
          <cell r="W801">
            <v>34</v>
          </cell>
        </row>
        <row r="802">
          <cell r="A802">
            <v>12856</v>
          </cell>
          <cell r="B802" t="str">
            <v>012856</v>
          </cell>
          <cell r="C802" t="str">
            <v>DESI MURNIYATI</v>
          </cell>
          <cell r="D802" t="str">
            <v>SAMI</v>
          </cell>
          <cell r="E802" t="str">
            <v>OPT-322</v>
          </cell>
          <cell r="F802">
            <v>40833</v>
          </cell>
          <cell r="G802" t="str">
            <v>-</v>
          </cell>
          <cell r="H802" t="str">
            <v>-</v>
          </cell>
          <cell r="I802" t="str">
            <v>PRD</v>
          </cell>
          <cell r="J802" t="str">
            <v>FINAL ASSY</v>
          </cell>
          <cell r="K802" t="str">
            <v>FREED 25M</v>
          </cell>
          <cell r="L802" t="str">
            <v>L-CABIN</v>
          </cell>
          <cell r="M802" t="str">
            <v>CV H06</v>
          </cell>
          <cell r="N802" t="str">
            <v>OJT INSERTION GROUP</v>
          </cell>
          <cell r="O802" t="str">
            <v>OTHERS</v>
          </cell>
          <cell r="P802" t="str">
            <v>A (NS)</v>
          </cell>
          <cell r="Q802" t="str">
            <v>PI</v>
          </cell>
          <cell r="R802" t="str">
            <v>PERMANENT</v>
          </cell>
          <cell r="S802" t="str">
            <v>PRM</v>
          </cell>
          <cell r="T802" t="str">
            <v>OPT</v>
          </cell>
          <cell r="U802" t="str">
            <v>-</v>
          </cell>
          <cell r="V802" t="str">
            <v>P</v>
          </cell>
          <cell r="W802">
            <v>33</v>
          </cell>
        </row>
        <row r="803">
          <cell r="A803">
            <v>12870</v>
          </cell>
          <cell r="B803" t="str">
            <v>012870</v>
          </cell>
          <cell r="C803" t="str">
            <v>FIFIANA ELFA NURROHMIATI</v>
          </cell>
          <cell r="D803" t="str">
            <v>SAMI</v>
          </cell>
          <cell r="E803" t="str">
            <v>OPT-322</v>
          </cell>
          <cell r="F803">
            <v>40833</v>
          </cell>
          <cell r="G803" t="str">
            <v>-</v>
          </cell>
          <cell r="H803" t="str">
            <v>-</v>
          </cell>
          <cell r="I803" t="str">
            <v>PRD</v>
          </cell>
          <cell r="J803" t="str">
            <v>FINAL ASSY</v>
          </cell>
          <cell r="K803" t="str">
            <v>FREED 25M</v>
          </cell>
          <cell r="L803" t="str">
            <v>L-CABIN</v>
          </cell>
          <cell r="M803" t="str">
            <v>CV H06</v>
          </cell>
          <cell r="N803" t="str">
            <v>OJT VISUAL 2.1</v>
          </cell>
          <cell r="O803" t="str">
            <v>OTHERS</v>
          </cell>
          <cell r="P803" t="str">
            <v>A (NS)</v>
          </cell>
          <cell r="Q803" t="str">
            <v>PI</v>
          </cell>
          <cell r="R803" t="str">
            <v>PERMANENT</v>
          </cell>
          <cell r="S803" t="str">
            <v>PRM</v>
          </cell>
          <cell r="T803" t="str">
            <v>OPT</v>
          </cell>
          <cell r="U803" t="str">
            <v>-</v>
          </cell>
          <cell r="V803" t="str">
            <v>P</v>
          </cell>
          <cell r="W803">
            <v>31</v>
          </cell>
        </row>
        <row r="804">
          <cell r="A804">
            <v>10372</v>
          </cell>
          <cell r="B804" t="str">
            <v>010372</v>
          </cell>
          <cell r="C804" t="str">
            <v>IDA FATQUL ROCHMAH</v>
          </cell>
          <cell r="D804" t="str">
            <v>SAMI</v>
          </cell>
          <cell r="E804" t="str">
            <v>OPT-267</v>
          </cell>
          <cell r="F804">
            <v>40513</v>
          </cell>
          <cell r="G804" t="str">
            <v>-</v>
          </cell>
          <cell r="H804" t="str">
            <v>-</v>
          </cell>
          <cell r="I804" t="str">
            <v>OTHERS</v>
          </cell>
          <cell r="J804" t="str">
            <v>AT HOME</v>
          </cell>
          <cell r="K804" t="str">
            <v>ALL</v>
          </cell>
          <cell r="L804" t="str">
            <v>ALL</v>
          </cell>
          <cell r="M804" t="str">
            <v>AT HOME</v>
          </cell>
          <cell r="N804" t="str">
            <v>CUTI DI LUAR TANGGUNGAN</v>
          </cell>
          <cell r="O804" t="str">
            <v>OTHERS IDL</v>
          </cell>
          <cell r="P804" t="str">
            <v>-</v>
          </cell>
          <cell r="Q804" t="str">
            <v>ADM</v>
          </cell>
          <cell r="R804" t="str">
            <v>PERMANENT</v>
          </cell>
          <cell r="S804" t="str">
            <v>PRM</v>
          </cell>
          <cell r="T804" t="str">
            <v>SLC</v>
          </cell>
          <cell r="U804" t="str">
            <v>-</v>
          </cell>
          <cell r="V804" t="str">
            <v>P</v>
          </cell>
          <cell r="W804">
            <v>34</v>
          </cell>
        </row>
        <row r="805">
          <cell r="A805">
            <v>10376</v>
          </cell>
          <cell r="B805" t="str">
            <v>010376</v>
          </cell>
          <cell r="C805" t="str">
            <v>LILIS SURYANTI</v>
          </cell>
          <cell r="D805" t="str">
            <v>SAMI</v>
          </cell>
          <cell r="E805" t="str">
            <v>OPT-267</v>
          </cell>
          <cell r="F805">
            <v>40513</v>
          </cell>
          <cell r="G805" t="str">
            <v>-</v>
          </cell>
          <cell r="H805" t="str">
            <v>-</v>
          </cell>
          <cell r="I805" t="str">
            <v>PP</v>
          </cell>
          <cell r="J805" t="str">
            <v>SWCT</v>
          </cell>
          <cell r="K805" t="str">
            <v>ALL</v>
          </cell>
          <cell r="L805" t="str">
            <v>ALL</v>
          </cell>
          <cell r="M805" t="str">
            <v>SWCT</v>
          </cell>
          <cell r="N805" t="str">
            <v>GROUP LEADER</v>
          </cell>
          <cell r="O805" t="str">
            <v>PROCESS ENG</v>
          </cell>
          <cell r="P805" t="str">
            <v>A (NS)</v>
          </cell>
          <cell r="Q805" t="str">
            <v>PS</v>
          </cell>
          <cell r="R805" t="str">
            <v>PERMANENT</v>
          </cell>
          <cell r="S805" t="str">
            <v>PRM</v>
          </cell>
          <cell r="T805" t="str">
            <v>GL</v>
          </cell>
          <cell r="U805" t="str">
            <v>-</v>
          </cell>
          <cell r="V805" t="str">
            <v>P</v>
          </cell>
          <cell r="W805">
            <v>34</v>
          </cell>
        </row>
        <row r="806">
          <cell r="A806">
            <v>14537</v>
          </cell>
          <cell r="B806" t="str">
            <v>014537</v>
          </cell>
          <cell r="C806" t="str">
            <v>SEPTIANI DWI AMIRA</v>
          </cell>
          <cell r="D806" t="str">
            <v>SAMI</v>
          </cell>
          <cell r="E806" t="str">
            <v>OPT-375</v>
          </cell>
          <cell r="F806">
            <v>41393</v>
          </cell>
          <cell r="G806" t="str">
            <v>-</v>
          </cell>
          <cell r="H806" t="str">
            <v>-</v>
          </cell>
          <cell r="I806" t="str">
            <v>PRD</v>
          </cell>
          <cell r="J806" t="str">
            <v>FINAL ASSY</v>
          </cell>
          <cell r="K806" t="str">
            <v>FREED 25M</v>
          </cell>
          <cell r="L806" t="str">
            <v>L-CABIN</v>
          </cell>
          <cell r="M806" t="str">
            <v>CV H06</v>
          </cell>
          <cell r="N806" t="str">
            <v>SUB LINE CHO</v>
          </cell>
          <cell r="O806" t="str">
            <v>GL</v>
          </cell>
          <cell r="P806" t="str">
            <v>A (NS)</v>
          </cell>
          <cell r="Q806" t="str">
            <v>PI</v>
          </cell>
          <cell r="R806" t="str">
            <v>PERMANENT</v>
          </cell>
          <cell r="S806" t="str">
            <v>PRM</v>
          </cell>
          <cell r="T806" t="str">
            <v>SLC</v>
          </cell>
          <cell r="U806" t="str">
            <v>-</v>
          </cell>
          <cell r="V806" t="str">
            <v>P</v>
          </cell>
          <cell r="W806">
            <v>29</v>
          </cell>
        </row>
        <row r="807">
          <cell r="A807">
            <v>16738</v>
          </cell>
          <cell r="B807" t="str">
            <v>016738</v>
          </cell>
          <cell r="C807" t="str">
            <v>AVIATUN MUFIDAH</v>
          </cell>
          <cell r="D807" t="str">
            <v>SAMI</v>
          </cell>
          <cell r="E807" t="str">
            <v>OPT-423</v>
          </cell>
          <cell r="F807">
            <v>41676</v>
          </cell>
          <cell r="G807" t="str">
            <v>-</v>
          </cell>
          <cell r="H807" t="str">
            <v>-</v>
          </cell>
          <cell r="I807" t="str">
            <v>PRD</v>
          </cell>
          <cell r="J807" t="str">
            <v>FINAL ASSY</v>
          </cell>
          <cell r="K807" t="str">
            <v>FREED 25M</v>
          </cell>
          <cell r="L807" t="str">
            <v>L-CABIN</v>
          </cell>
          <cell r="M807" t="str">
            <v>CV H06</v>
          </cell>
          <cell r="N807" t="str">
            <v>OJT S/A 9</v>
          </cell>
          <cell r="O807" t="str">
            <v>OTHERS</v>
          </cell>
          <cell r="P807" t="str">
            <v>A (NS)</v>
          </cell>
          <cell r="Q807" t="str">
            <v>PI</v>
          </cell>
          <cell r="R807" t="str">
            <v>PERMANENT</v>
          </cell>
          <cell r="S807" t="str">
            <v>PRM</v>
          </cell>
          <cell r="T807" t="str">
            <v>OPT</v>
          </cell>
          <cell r="U807" t="str">
            <v>-</v>
          </cell>
          <cell r="V807" t="str">
            <v>P</v>
          </cell>
          <cell r="W807">
            <v>31</v>
          </cell>
        </row>
        <row r="808">
          <cell r="A808">
            <v>10397</v>
          </cell>
          <cell r="B808" t="str">
            <v>010397</v>
          </cell>
          <cell r="C808" t="str">
            <v>EKA SURYANI</v>
          </cell>
          <cell r="D808" t="str">
            <v>SAMI</v>
          </cell>
          <cell r="E808" t="str">
            <v>OPT-268</v>
          </cell>
          <cell r="F808">
            <v>40518</v>
          </cell>
          <cell r="G808" t="str">
            <v>-</v>
          </cell>
          <cell r="H808" t="str">
            <v>-</v>
          </cell>
          <cell r="I808" t="str">
            <v>PRD</v>
          </cell>
          <cell r="J808" t="str">
            <v>FINAL ASSY</v>
          </cell>
          <cell r="K808" t="str">
            <v>HONDA FREED</v>
          </cell>
          <cell r="L808" t="str">
            <v>HONDA FREED W/H FLOOR</v>
          </cell>
          <cell r="M808" t="str">
            <v>CV 4</v>
          </cell>
          <cell r="N808" t="str">
            <v>VISUAL 2.2</v>
          </cell>
          <cell r="O808" t="str">
            <v>VISUAL INSPECTION</v>
          </cell>
          <cell r="P808" t="str">
            <v>B</v>
          </cell>
          <cell r="Q808" t="str">
            <v>DL</v>
          </cell>
          <cell r="R808" t="str">
            <v>PERMANENT</v>
          </cell>
          <cell r="S808" t="str">
            <v>PRM</v>
          </cell>
          <cell r="T808" t="str">
            <v>OPT</v>
          </cell>
          <cell r="U808" t="str">
            <v>-</v>
          </cell>
          <cell r="V808" t="str">
            <v>P</v>
          </cell>
          <cell r="W808">
            <v>35</v>
          </cell>
        </row>
        <row r="809">
          <cell r="A809">
            <v>10405</v>
          </cell>
          <cell r="B809" t="str">
            <v>010405</v>
          </cell>
          <cell r="C809" t="str">
            <v>MARTANTI KUSUMANINGTYAS</v>
          </cell>
          <cell r="D809" t="str">
            <v>SAMI</v>
          </cell>
          <cell r="E809" t="str">
            <v>OPT-268</v>
          </cell>
          <cell r="F809">
            <v>40518</v>
          </cell>
          <cell r="G809" t="str">
            <v>-</v>
          </cell>
          <cell r="H809" t="str">
            <v>-</v>
          </cell>
          <cell r="I809" t="str">
            <v>PRD</v>
          </cell>
          <cell r="J809" t="str">
            <v>FINAL ASSY</v>
          </cell>
          <cell r="K809" t="str">
            <v>TOYOTA</v>
          </cell>
          <cell r="L809" t="str">
            <v>AQUA SIENTA</v>
          </cell>
          <cell r="M809" t="str">
            <v>CV T01</v>
          </cell>
          <cell r="N809" t="str">
            <v>OJT S/T 2.2</v>
          </cell>
          <cell r="O809" t="str">
            <v>OTHERS</v>
          </cell>
          <cell r="P809" t="str">
            <v>B</v>
          </cell>
          <cell r="Q809" t="str">
            <v>PI</v>
          </cell>
          <cell r="R809" t="str">
            <v>PERMANENT</v>
          </cell>
          <cell r="S809" t="str">
            <v>PRM</v>
          </cell>
          <cell r="T809" t="str">
            <v>OPT</v>
          </cell>
          <cell r="U809" t="str">
            <v>-</v>
          </cell>
          <cell r="V809" t="str">
            <v>P</v>
          </cell>
          <cell r="W809">
            <v>34</v>
          </cell>
        </row>
        <row r="810">
          <cell r="A810">
            <v>17017</v>
          </cell>
          <cell r="B810" t="str">
            <v>017017</v>
          </cell>
          <cell r="C810" t="str">
            <v>FITRIANA RISKYANI</v>
          </cell>
          <cell r="D810" t="str">
            <v>SAMI</v>
          </cell>
          <cell r="E810" t="str">
            <v>OPT-438</v>
          </cell>
          <cell r="F810">
            <v>41753</v>
          </cell>
          <cell r="G810" t="str">
            <v>-</v>
          </cell>
          <cell r="H810" t="str">
            <v>-</v>
          </cell>
          <cell r="I810" t="str">
            <v>PRD</v>
          </cell>
          <cell r="J810" t="str">
            <v>FINAL ASSY</v>
          </cell>
          <cell r="K810" t="str">
            <v>FREED 25M</v>
          </cell>
          <cell r="L810" t="str">
            <v>L-CABIN</v>
          </cell>
          <cell r="M810" t="str">
            <v>CV H06</v>
          </cell>
          <cell r="N810" t="str">
            <v>OJT OFFLINE CLIP 3</v>
          </cell>
          <cell r="O810" t="str">
            <v>OTHERS</v>
          </cell>
          <cell r="P810" t="str">
            <v>A (NS)</v>
          </cell>
          <cell r="Q810" t="str">
            <v>PI</v>
          </cell>
          <cell r="R810" t="str">
            <v>PERMANENT</v>
          </cell>
          <cell r="S810" t="str">
            <v>PRM</v>
          </cell>
          <cell r="T810" t="str">
            <v>OPT</v>
          </cell>
          <cell r="U810" t="str">
            <v>-</v>
          </cell>
          <cell r="V810" t="str">
            <v>P</v>
          </cell>
          <cell r="W810">
            <v>28</v>
          </cell>
        </row>
        <row r="811">
          <cell r="A811">
            <v>10416</v>
          </cell>
          <cell r="B811" t="str">
            <v>010416</v>
          </cell>
          <cell r="C811" t="str">
            <v>SAFITRI DEWI KHOERIYAH</v>
          </cell>
          <cell r="D811" t="str">
            <v>SAMI</v>
          </cell>
          <cell r="E811" t="str">
            <v>OPT-268</v>
          </cell>
          <cell r="F811">
            <v>40518</v>
          </cell>
          <cell r="G811" t="str">
            <v>-</v>
          </cell>
          <cell r="H811" t="str">
            <v>-</v>
          </cell>
          <cell r="I811" t="str">
            <v>PRD</v>
          </cell>
          <cell r="J811" t="str">
            <v>FINAL ASSY</v>
          </cell>
          <cell r="K811" t="str">
            <v>HONDA FIT</v>
          </cell>
          <cell r="L811" t="str">
            <v>HONDA FIT HEV PET ENGINE</v>
          </cell>
          <cell r="M811" t="str">
            <v>CV H02</v>
          </cell>
          <cell r="N811" t="str">
            <v>VISUAL 1.2</v>
          </cell>
          <cell r="O811" t="str">
            <v>VISUAL INSPECTION</v>
          </cell>
          <cell r="P811" t="str">
            <v>B</v>
          </cell>
          <cell r="Q811" t="str">
            <v>DL</v>
          </cell>
          <cell r="R811" t="str">
            <v>PERMANENT</v>
          </cell>
          <cell r="S811" t="str">
            <v>PRM</v>
          </cell>
          <cell r="T811" t="str">
            <v>OPT</v>
          </cell>
          <cell r="U811" t="str">
            <v>-</v>
          </cell>
          <cell r="V811" t="str">
            <v>P</v>
          </cell>
          <cell r="W811">
            <v>32</v>
          </cell>
        </row>
        <row r="812">
          <cell r="A812">
            <v>18970</v>
          </cell>
          <cell r="B812" t="str">
            <v>018970</v>
          </cell>
          <cell r="C812" t="str">
            <v>NISA US'SHOLIKHA</v>
          </cell>
          <cell r="D812" t="str">
            <v>SAMI</v>
          </cell>
          <cell r="E812" t="str">
            <v>OPT-470</v>
          </cell>
          <cell r="F812">
            <v>42214</v>
          </cell>
          <cell r="G812" t="str">
            <v>-</v>
          </cell>
          <cell r="H812" t="str">
            <v>-</v>
          </cell>
          <cell r="I812" t="str">
            <v>PRD</v>
          </cell>
          <cell r="J812" t="str">
            <v>FINAL ASSY</v>
          </cell>
          <cell r="K812" t="str">
            <v>FREED 25M</v>
          </cell>
          <cell r="L812" t="str">
            <v>L-CABIN</v>
          </cell>
          <cell r="M812" t="str">
            <v>CV H06</v>
          </cell>
          <cell r="N812" t="str">
            <v>OJT T/P 6.1</v>
          </cell>
          <cell r="O812" t="str">
            <v>OTHERS</v>
          </cell>
          <cell r="P812" t="str">
            <v>A (NS)</v>
          </cell>
          <cell r="Q812" t="str">
            <v>PI</v>
          </cell>
          <cell r="R812" t="str">
            <v>PERMANENT</v>
          </cell>
          <cell r="S812" t="str">
            <v>PRM</v>
          </cell>
          <cell r="T812" t="str">
            <v>OPT</v>
          </cell>
          <cell r="U812" t="str">
            <v>-</v>
          </cell>
          <cell r="V812" t="str">
            <v>P</v>
          </cell>
          <cell r="W812">
            <v>27</v>
          </cell>
        </row>
        <row r="813">
          <cell r="A813">
            <v>10439</v>
          </cell>
          <cell r="B813" t="str">
            <v>010439</v>
          </cell>
          <cell r="C813" t="str">
            <v>ANDRI TRIANGGORO</v>
          </cell>
          <cell r="D813" t="str">
            <v>SAMI</v>
          </cell>
          <cell r="E813" t="str">
            <v>ES-28</v>
          </cell>
          <cell r="F813">
            <v>40520</v>
          </cell>
          <cell r="G813" t="str">
            <v>-</v>
          </cell>
          <cell r="H813" t="str">
            <v>-</v>
          </cell>
          <cell r="I813" t="str">
            <v>PE</v>
          </cell>
          <cell r="J813" t="str">
            <v>MTC</v>
          </cell>
          <cell r="K813" t="str">
            <v>ALL</v>
          </cell>
          <cell r="L813" t="str">
            <v>ALL</v>
          </cell>
          <cell r="M813" t="str">
            <v>INTERPRETER</v>
          </cell>
          <cell r="N813" t="str">
            <v xml:space="preserve">CONTROL PROJECT DAN SUPPORT DATA </v>
          </cell>
          <cell r="O813" t="str">
            <v>FPS LL</v>
          </cell>
          <cell r="P813" t="str">
            <v>A (NS)</v>
          </cell>
          <cell r="Q813" t="str">
            <v>PS</v>
          </cell>
          <cell r="R813" t="str">
            <v>PERMANENT</v>
          </cell>
          <cell r="S813" t="str">
            <v>PRM</v>
          </cell>
          <cell r="T813" t="str">
            <v>INT</v>
          </cell>
          <cell r="U813" t="str">
            <v>-</v>
          </cell>
          <cell r="V813" t="str">
            <v>L</v>
          </cell>
          <cell r="W813">
            <v>38</v>
          </cell>
        </row>
        <row r="814">
          <cell r="A814">
            <v>10446</v>
          </cell>
          <cell r="B814" t="str">
            <v>010446</v>
          </cell>
          <cell r="C814" t="str">
            <v>ENTIYATI</v>
          </cell>
          <cell r="D814" t="str">
            <v>SAMI</v>
          </cell>
          <cell r="E814" t="str">
            <v>OPT-270</v>
          </cell>
          <cell r="F814">
            <v>40524</v>
          </cell>
          <cell r="G814" t="str">
            <v>-</v>
          </cell>
          <cell r="H814" t="str">
            <v>-</v>
          </cell>
          <cell r="I814" t="str">
            <v>PRD</v>
          </cell>
          <cell r="J814" t="str">
            <v>FINAL ASSY</v>
          </cell>
          <cell r="K814" t="str">
            <v>SUZUKI WAGON R</v>
          </cell>
          <cell r="L814" t="str">
            <v>DOOR/DOOM</v>
          </cell>
          <cell r="M814" t="str">
            <v>CV S03</v>
          </cell>
          <cell r="N814" t="str">
            <v>SUB LINE CHO</v>
          </cell>
          <cell r="O814" t="str">
            <v>GL</v>
          </cell>
          <cell r="P814" t="str">
            <v>B</v>
          </cell>
          <cell r="Q814" t="str">
            <v>PI</v>
          </cell>
          <cell r="R814" t="str">
            <v>PERMANENT</v>
          </cell>
          <cell r="S814" t="str">
            <v>PRM</v>
          </cell>
          <cell r="T814" t="str">
            <v>SLC</v>
          </cell>
          <cell r="U814" t="str">
            <v>-</v>
          </cell>
          <cell r="V814" t="str">
            <v>P</v>
          </cell>
          <cell r="W814">
            <v>34</v>
          </cell>
        </row>
        <row r="815">
          <cell r="A815">
            <v>10452</v>
          </cell>
          <cell r="B815" t="str">
            <v>010452</v>
          </cell>
          <cell r="C815" t="str">
            <v>IDA MARDIYANA</v>
          </cell>
          <cell r="D815" t="str">
            <v>SAMI</v>
          </cell>
          <cell r="E815" t="str">
            <v>OPT-270</v>
          </cell>
          <cell r="F815">
            <v>40524</v>
          </cell>
          <cell r="G815" t="str">
            <v>-</v>
          </cell>
          <cell r="H815" t="str">
            <v>-</v>
          </cell>
          <cell r="I815" t="str">
            <v>PRD</v>
          </cell>
          <cell r="J815" t="str">
            <v>FINAL ASSY</v>
          </cell>
          <cell r="K815" t="str">
            <v>MAZDA 3</v>
          </cell>
          <cell r="L815" t="str">
            <v>MAZDA REAR</v>
          </cell>
          <cell r="M815" t="str">
            <v>CV M01</v>
          </cell>
          <cell r="N815" t="str">
            <v>S/A 1.2</v>
          </cell>
          <cell r="O815" t="str">
            <v>SUB ASSY</v>
          </cell>
          <cell r="P815" t="str">
            <v>B</v>
          </cell>
          <cell r="Q815" t="str">
            <v>DL</v>
          </cell>
          <cell r="R815" t="str">
            <v>PERMANENT</v>
          </cell>
          <cell r="S815" t="str">
            <v>PRM</v>
          </cell>
          <cell r="T815" t="str">
            <v>OPT</v>
          </cell>
          <cell r="U815" t="str">
            <v>-</v>
          </cell>
          <cell r="V815" t="str">
            <v>P</v>
          </cell>
          <cell r="W815">
            <v>32</v>
          </cell>
        </row>
        <row r="816">
          <cell r="A816">
            <v>20584</v>
          </cell>
          <cell r="B816" t="str">
            <v>020584</v>
          </cell>
          <cell r="C816" t="str">
            <v>FEBRY HARJANTO</v>
          </cell>
          <cell r="D816" t="str">
            <v>SAMI</v>
          </cell>
          <cell r="E816" t="str">
            <v>OPT-505</v>
          </cell>
          <cell r="F816">
            <v>42639</v>
          </cell>
          <cell r="G816" t="str">
            <v>-</v>
          </cell>
          <cell r="H816" t="str">
            <v>-</v>
          </cell>
          <cell r="I816" t="str">
            <v>PRD</v>
          </cell>
          <cell r="J816" t="str">
            <v>FINAL ASSY</v>
          </cell>
          <cell r="K816" t="str">
            <v>FREED 25M</v>
          </cell>
          <cell r="L816" t="str">
            <v>L-CABIN</v>
          </cell>
          <cell r="M816" t="str">
            <v>CV H06</v>
          </cell>
          <cell r="N816" t="str">
            <v>OJT CHECKER 1</v>
          </cell>
          <cell r="O816" t="str">
            <v>OTHERS</v>
          </cell>
          <cell r="P816" t="str">
            <v>A (NS)</v>
          </cell>
          <cell r="Q816" t="str">
            <v>PI</v>
          </cell>
          <cell r="R816" t="str">
            <v>PERMANENT</v>
          </cell>
          <cell r="S816" t="str">
            <v>PRM</v>
          </cell>
          <cell r="T816" t="str">
            <v>OPT</v>
          </cell>
          <cell r="U816" t="str">
            <v>-</v>
          </cell>
          <cell r="V816" t="str">
            <v>L</v>
          </cell>
          <cell r="W816">
            <v>31</v>
          </cell>
        </row>
        <row r="817">
          <cell r="A817">
            <v>10470</v>
          </cell>
          <cell r="B817" t="str">
            <v>010470</v>
          </cell>
          <cell r="C817" t="str">
            <v>RATNA FURI WIDYANINGRUM</v>
          </cell>
          <cell r="D817" t="str">
            <v>SAMI</v>
          </cell>
          <cell r="E817" t="str">
            <v>OPT-270</v>
          </cell>
          <cell r="F817">
            <v>40524</v>
          </cell>
          <cell r="G817" t="str">
            <v>-</v>
          </cell>
          <cell r="H817" t="str">
            <v>-</v>
          </cell>
          <cell r="I817" t="str">
            <v>PP</v>
          </cell>
          <cell r="J817" t="str">
            <v>PP-2</v>
          </cell>
          <cell r="K817" t="str">
            <v>ALL</v>
          </cell>
          <cell r="L817" t="str">
            <v>ALL</v>
          </cell>
          <cell r="M817" t="str">
            <v>PP-2</v>
          </cell>
          <cell r="N817" t="str">
            <v>ANALISYS</v>
          </cell>
          <cell r="O817" t="str">
            <v>PROCESS ENG</v>
          </cell>
          <cell r="P817" t="str">
            <v>A (NS)</v>
          </cell>
          <cell r="Q817" t="str">
            <v>PS</v>
          </cell>
          <cell r="R817" t="str">
            <v>PERMANENT</v>
          </cell>
          <cell r="S817" t="str">
            <v>PRM</v>
          </cell>
          <cell r="T817" t="str">
            <v>OPT</v>
          </cell>
          <cell r="U817" t="str">
            <v>-</v>
          </cell>
          <cell r="V817" t="str">
            <v>P</v>
          </cell>
          <cell r="W817">
            <v>32</v>
          </cell>
        </row>
        <row r="818">
          <cell r="A818">
            <v>20628</v>
          </cell>
          <cell r="B818" t="str">
            <v>020628</v>
          </cell>
          <cell r="C818" t="str">
            <v>NUR KONDRAN</v>
          </cell>
          <cell r="D818" t="str">
            <v>SAMI</v>
          </cell>
          <cell r="E818" t="str">
            <v>OPT-505</v>
          </cell>
          <cell r="F818">
            <v>42639</v>
          </cell>
          <cell r="G818" t="str">
            <v>-</v>
          </cell>
          <cell r="H818" t="str">
            <v>-</v>
          </cell>
          <cell r="I818" t="str">
            <v>PRD</v>
          </cell>
          <cell r="J818" t="str">
            <v>FINAL ASSY</v>
          </cell>
          <cell r="K818" t="str">
            <v>FREED 25M</v>
          </cell>
          <cell r="L818" t="str">
            <v>L-CABIN</v>
          </cell>
          <cell r="M818" t="str">
            <v>CV H06</v>
          </cell>
          <cell r="N818" t="str">
            <v>LQC</v>
          </cell>
          <cell r="O818" t="str">
            <v>RELIEF</v>
          </cell>
          <cell r="P818" t="str">
            <v>A (NS)</v>
          </cell>
          <cell r="Q818" t="str">
            <v>PI</v>
          </cell>
          <cell r="R818" t="str">
            <v>PERMANENT</v>
          </cell>
          <cell r="S818" t="str">
            <v>PRM</v>
          </cell>
          <cell r="T818" t="str">
            <v>PJK</v>
          </cell>
          <cell r="U818" t="str">
            <v>-</v>
          </cell>
          <cell r="V818" t="str">
            <v>L</v>
          </cell>
          <cell r="W818">
            <v>27</v>
          </cell>
        </row>
        <row r="819">
          <cell r="A819">
            <v>20773</v>
          </cell>
          <cell r="B819" t="str">
            <v>020773</v>
          </cell>
          <cell r="C819" t="str">
            <v>WAHYU NOVIKA</v>
          </cell>
          <cell r="D819" t="str">
            <v>SAMI</v>
          </cell>
          <cell r="E819" t="str">
            <v>OPT-506</v>
          </cell>
          <cell r="F819">
            <v>42642</v>
          </cell>
          <cell r="G819" t="str">
            <v>-</v>
          </cell>
          <cell r="H819" t="str">
            <v>-</v>
          </cell>
          <cell r="I819" t="str">
            <v>PRD</v>
          </cell>
          <cell r="J819" t="str">
            <v>FINAL ASSY</v>
          </cell>
          <cell r="K819" t="str">
            <v>FREED 25M</v>
          </cell>
          <cell r="L819" t="str">
            <v>L-CABIN</v>
          </cell>
          <cell r="M819" t="str">
            <v>CV H06</v>
          </cell>
          <cell r="N819" t="str">
            <v>OJT T/P 4.1</v>
          </cell>
          <cell r="O819" t="str">
            <v>OTHERS</v>
          </cell>
          <cell r="P819" t="str">
            <v>A (NS)</v>
          </cell>
          <cell r="Q819" t="str">
            <v>PI</v>
          </cell>
          <cell r="R819" t="str">
            <v>PERMANENT</v>
          </cell>
          <cell r="S819" t="str">
            <v>PRM</v>
          </cell>
          <cell r="T819" t="str">
            <v>OPT</v>
          </cell>
          <cell r="U819" t="str">
            <v>-</v>
          </cell>
          <cell r="V819" t="str">
            <v>P</v>
          </cell>
          <cell r="W819">
            <v>27</v>
          </cell>
        </row>
        <row r="820">
          <cell r="A820">
            <v>10488</v>
          </cell>
          <cell r="B820" t="str">
            <v>010488</v>
          </cell>
          <cell r="C820" t="str">
            <v>TRIYANTI</v>
          </cell>
          <cell r="D820" t="str">
            <v>SAMI</v>
          </cell>
          <cell r="E820" t="str">
            <v>OPT-270</v>
          </cell>
          <cell r="F820">
            <v>40524</v>
          </cell>
          <cell r="G820" t="str">
            <v>-</v>
          </cell>
          <cell r="H820" t="str">
            <v>-</v>
          </cell>
          <cell r="I820" t="str">
            <v>PRD</v>
          </cell>
          <cell r="J820" t="str">
            <v>FINAL ASSY</v>
          </cell>
          <cell r="K820" t="str">
            <v>HONDA FIT</v>
          </cell>
          <cell r="L820" t="str">
            <v>HONDA FIT HEV PET ENGINE</v>
          </cell>
          <cell r="M820" t="str">
            <v>CV H02</v>
          </cell>
          <cell r="N820" t="str">
            <v>LQC</v>
          </cell>
          <cell r="O820" t="str">
            <v>RELIEF</v>
          </cell>
          <cell r="P820" t="str">
            <v>B</v>
          </cell>
          <cell r="Q820" t="str">
            <v>PI</v>
          </cell>
          <cell r="R820" t="str">
            <v>PERMANENT</v>
          </cell>
          <cell r="S820" t="str">
            <v>PRM</v>
          </cell>
          <cell r="T820" t="str">
            <v>PJK</v>
          </cell>
          <cell r="U820" t="str">
            <v>-</v>
          </cell>
          <cell r="V820" t="str">
            <v>P</v>
          </cell>
          <cell r="W820">
            <v>32</v>
          </cell>
        </row>
        <row r="821">
          <cell r="A821">
            <v>10493</v>
          </cell>
          <cell r="B821" t="str">
            <v>010493</v>
          </cell>
          <cell r="C821" t="str">
            <v>ANIK SULISTYOWATI</v>
          </cell>
          <cell r="D821" t="str">
            <v>SAMI</v>
          </cell>
          <cell r="E821" t="str">
            <v>OPT-273</v>
          </cell>
          <cell r="F821">
            <v>40535</v>
          </cell>
          <cell r="G821" t="str">
            <v>-</v>
          </cell>
          <cell r="H821" t="str">
            <v>-</v>
          </cell>
          <cell r="I821" t="str">
            <v>QA</v>
          </cell>
          <cell r="J821" t="str">
            <v>FINAL ASSY</v>
          </cell>
          <cell r="K821" t="str">
            <v>TOYOTA</v>
          </cell>
          <cell r="L821" t="str">
            <v>AQUA SIENTA</v>
          </cell>
          <cell r="M821" t="str">
            <v>CV T02</v>
          </cell>
          <cell r="N821" t="str">
            <v>OJT DC</v>
          </cell>
          <cell r="O821" t="str">
            <v>OTHERS</v>
          </cell>
          <cell r="P821" t="str">
            <v>A</v>
          </cell>
          <cell r="Q821" t="str">
            <v>PI</v>
          </cell>
          <cell r="R821" t="str">
            <v>PERMANENT</v>
          </cell>
          <cell r="S821" t="str">
            <v>PRM</v>
          </cell>
          <cell r="T821" t="str">
            <v>OPT</v>
          </cell>
          <cell r="U821" t="str">
            <v>-</v>
          </cell>
          <cell r="V821" t="str">
            <v>P</v>
          </cell>
          <cell r="W821">
            <v>32</v>
          </cell>
        </row>
        <row r="822">
          <cell r="A822">
            <v>21439</v>
          </cell>
          <cell r="B822" t="str">
            <v>021439</v>
          </cell>
          <cell r="C822" t="str">
            <v>IDA FITRIYAH</v>
          </cell>
          <cell r="D822" t="str">
            <v>SAMI</v>
          </cell>
          <cell r="E822" t="str">
            <v>OPT-533</v>
          </cell>
          <cell r="F822">
            <v>43024</v>
          </cell>
          <cell r="G822" t="str">
            <v>-</v>
          </cell>
          <cell r="H822" t="str">
            <v>-</v>
          </cell>
          <cell r="I822" t="str">
            <v>PRD</v>
          </cell>
          <cell r="J822" t="str">
            <v>FINAL ASSY</v>
          </cell>
          <cell r="K822" t="str">
            <v>FREED 25M</v>
          </cell>
          <cell r="L822" t="str">
            <v>L-CABIN</v>
          </cell>
          <cell r="M822" t="str">
            <v>CV H06</v>
          </cell>
          <cell r="N822" t="str">
            <v>OJT CHECKER 4</v>
          </cell>
          <cell r="O822" t="str">
            <v>OTHERS</v>
          </cell>
          <cell r="P822" t="str">
            <v>A (NS)</v>
          </cell>
          <cell r="Q822" t="str">
            <v>PI</v>
          </cell>
          <cell r="R822" t="str">
            <v>PERMANENT</v>
          </cell>
          <cell r="S822" t="str">
            <v>PRM</v>
          </cell>
          <cell r="T822" t="str">
            <v>OPT</v>
          </cell>
          <cell r="U822" t="str">
            <v>-</v>
          </cell>
          <cell r="V822" t="str">
            <v>P</v>
          </cell>
          <cell r="W822">
            <v>26</v>
          </cell>
        </row>
        <row r="823">
          <cell r="A823">
            <v>21903</v>
          </cell>
          <cell r="B823" t="str">
            <v>021903</v>
          </cell>
          <cell r="C823" t="str">
            <v>SILVESTER EKO KRISTIANTORO</v>
          </cell>
          <cell r="D823" t="str">
            <v>SAMI</v>
          </cell>
          <cell r="E823" t="str">
            <v>OPT-542</v>
          </cell>
          <cell r="F823">
            <v>43103</v>
          </cell>
          <cell r="G823" t="str">
            <v>-</v>
          </cell>
          <cell r="H823" t="str">
            <v>-</v>
          </cell>
          <cell r="I823" t="str">
            <v>PRD</v>
          </cell>
          <cell r="J823" t="str">
            <v>FINAL ASSY</v>
          </cell>
          <cell r="K823" t="str">
            <v>FREED 25M</v>
          </cell>
          <cell r="L823" t="str">
            <v>L-CABIN</v>
          </cell>
          <cell r="M823" t="str">
            <v>CV H06</v>
          </cell>
          <cell r="N823" t="str">
            <v>OJT CHECKER R/B 2</v>
          </cell>
          <cell r="O823" t="str">
            <v>OTHERS</v>
          </cell>
          <cell r="P823" t="str">
            <v>A (NS)</v>
          </cell>
          <cell r="Q823" t="str">
            <v>PI</v>
          </cell>
          <cell r="R823" t="str">
            <v>PERMANENT</v>
          </cell>
          <cell r="S823" t="str">
            <v>PRM</v>
          </cell>
          <cell r="T823" t="str">
            <v>OPT</v>
          </cell>
          <cell r="U823" t="str">
            <v>-</v>
          </cell>
          <cell r="V823" t="str">
            <v>L</v>
          </cell>
          <cell r="W823">
            <v>28</v>
          </cell>
        </row>
        <row r="824">
          <cell r="A824" t="str">
            <v>B00213</v>
          </cell>
          <cell r="B824" t="str">
            <v>B00213</v>
          </cell>
          <cell r="C824" t="str">
            <v>MUSRIYAH</v>
          </cell>
          <cell r="D824" t="str">
            <v>SAMI</v>
          </cell>
          <cell r="E824" t="str">
            <v>BBF-004</v>
          </cell>
          <cell r="F824">
            <v>40847</v>
          </cell>
          <cell r="G824" t="str">
            <v>-</v>
          </cell>
          <cell r="H824" t="str">
            <v>-</v>
          </cell>
          <cell r="I824" t="str">
            <v>PRD</v>
          </cell>
          <cell r="J824" t="str">
            <v>FINAL ASSY</v>
          </cell>
          <cell r="K824" t="str">
            <v>FREED 25M</v>
          </cell>
          <cell r="L824" t="str">
            <v>L-CABIN</v>
          </cell>
          <cell r="M824" t="str">
            <v>CV H06</v>
          </cell>
          <cell r="N824" t="str">
            <v>OJT S/A 5</v>
          </cell>
          <cell r="O824" t="str">
            <v>OTHERS</v>
          </cell>
          <cell r="P824" t="str">
            <v>A (NS)</v>
          </cell>
          <cell r="Q824" t="str">
            <v>PI</v>
          </cell>
          <cell r="R824" t="str">
            <v>PERMANENT</v>
          </cell>
          <cell r="S824" t="str">
            <v>PRM</v>
          </cell>
          <cell r="T824" t="str">
            <v>OPT</v>
          </cell>
          <cell r="U824" t="str">
            <v>-</v>
          </cell>
          <cell r="V824" t="str">
            <v>P</v>
          </cell>
          <cell r="W824">
            <v>37</v>
          </cell>
        </row>
        <row r="825">
          <cell r="A825">
            <v>10510</v>
          </cell>
          <cell r="B825" t="str">
            <v>010510</v>
          </cell>
          <cell r="C825" t="str">
            <v>MIFTAKHATUN NIKMAH</v>
          </cell>
          <cell r="D825" t="str">
            <v>SAMI</v>
          </cell>
          <cell r="E825" t="str">
            <v>OPT-273</v>
          </cell>
          <cell r="F825">
            <v>40535</v>
          </cell>
          <cell r="G825" t="str">
            <v>-</v>
          </cell>
          <cell r="H825" t="str">
            <v>-</v>
          </cell>
          <cell r="I825" t="str">
            <v>PP</v>
          </cell>
          <cell r="J825" t="str">
            <v>PP-1</v>
          </cell>
          <cell r="K825" t="str">
            <v>ALL</v>
          </cell>
          <cell r="L825" t="str">
            <v>ALL</v>
          </cell>
          <cell r="M825" t="str">
            <v>PP-1</v>
          </cell>
          <cell r="N825" t="str">
            <v>ANALISYS</v>
          </cell>
          <cell r="O825" t="str">
            <v>PROCESS ENG</v>
          </cell>
          <cell r="P825" t="str">
            <v>A (NS)</v>
          </cell>
          <cell r="Q825" t="str">
            <v>PS</v>
          </cell>
          <cell r="R825" t="str">
            <v>PERMANENT</v>
          </cell>
          <cell r="S825" t="str">
            <v>PRM</v>
          </cell>
          <cell r="T825" t="str">
            <v>OPT</v>
          </cell>
          <cell r="U825" t="str">
            <v>-</v>
          </cell>
          <cell r="V825" t="str">
            <v>P</v>
          </cell>
          <cell r="W825">
            <v>32</v>
          </cell>
        </row>
        <row r="826">
          <cell r="A826" t="str">
            <v>B02262</v>
          </cell>
          <cell r="B826" t="str">
            <v>B02262</v>
          </cell>
          <cell r="C826" t="str">
            <v>ANDI NUR EFENDI</v>
          </cell>
          <cell r="D826" t="str">
            <v>SAMI</v>
          </cell>
          <cell r="E826" t="str">
            <v>BBF-095</v>
          </cell>
          <cell r="F826">
            <v>41724</v>
          </cell>
          <cell r="G826" t="str">
            <v>-</v>
          </cell>
          <cell r="H826" t="str">
            <v>-</v>
          </cell>
          <cell r="I826" t="str">
            <v>PRD</v>
          </cell>
          <cell r="J826" t="str">
            <v>FINAL ASSY</v>
          </cell>
          <cell r="K826" t="str">
            <v>FREED 25M</v>
          </cell>
          <cell r="L826" t="str">
            <v>L-CABIN</v>
          </cell>
          <cell r="M826" t="str">
            <v>CV H06</v>
          </cell>
          <cell r="N826" t="str">
            <v>KEYMAN FREED 33FA</v>
          </cell>
          <cell r="O826" t="str">
            <v>OTHERS</v>
          </cell>
          <cell r="P826" t="str">
            <v>A (NS)</v>
          </cell>
          <cell r="Q826" t="str">
            <v>PI</v>
          </cell>
          <cell r="R826" t="str">
            <v>PERMANENT</v>
          </cell>
          <cell r="S826" t="str">
            <v>PRM</v>
          </cell>
          <cell r="T826" t="str">
            <v>PJK</v>
          </cell>
          <cell r="U826" t="str">
            <v>-</v>
          </cell>
          <cell r="V826" t="str">
            <v>L</v>
          </cell>
          <cell r="W826">
            <v>31</v>
          </cell>
        </row>
        <row r="827">
          <cell r="A827">
            <v>404</v>
          </cell>
          <cell r="B827" t="str">
            <v>000404</v>
          </cell>
          <cell r="C827" t="str">
            <v>UMI ZULIASTUTIK</v>
          </cell>
          <cell r="D827" t="str">
            <v>SAMI</v>
          </cell>
          <cell r="E827" t="str">
            <v>OPT-11</v>
          </cell>
          <cell r="F827">
            <v>37739</v>
          </cell>
          <cell r="G827" t="str">
            <v>-</v>
          </cell>
          <cell r="H827" t="str">
            <v>-</v>
          </cell>
          <cell r="I827" t="str">
            <v>PRD</v>
          </cell>
          <cell r="J827" t="str">
            <v>FINAL ASSY</v>
          </cell>
          <cell r="K827" t="str">
            <v>HONDA BBP</v>
          </cell>
          <cell r="L827" t="str">
            <v>HV HONDA 5JLA BBP</v>
          </cell>
          <cell r="M827" t="str">
            <v>CV HV 04A</v>
          </cell>
          <cell r="N827" t="str">
            <v>SUB LINE CHO</v>
          </cell>
          <cell r="O827" t="str">
            <v>GL</v>
          </cell>
          <cell r="P827" t="str">
            <v>A</v>
          </cell>
          <cell r="Q827" t="str">
            <v>PI</v>
          </cell>
          <cell r="R827" t="str">
            <v>PERMANENT</v>
          </cell>
          <cell r="S827" t="str">
            <v>PRM</v>
          </cell>
          <cell r="T827" t="str">
            <v>SLC</v>
          </cell>
          <cell r="U827" t="str">
            <v>-</v>
          </cell>
          <cell r="V827" t="str">
            <v>P</v>
          </cell>
          <cell r="W827">
            <v>42</v>
          </cell>
        </row>
        <row r="828">
          <cell r="A828">
            <v>10514</v>
          </cell>
          <cell r="B828" t="str">
            <v>010514</v>
          </cell>
          <cell r="C828" t="str">
            <v>NOOR LAELY</v>
          </cell>
          <cell r="D828" t="str">
            <v>SAMI</v>
          </cell>
          <cell r="E828" t="str">
            <v>OPT-273</v>
          </cell>
          <cell r="F828">
            <v>40535</v>
          </cell>
          <cell r="G828" t="str">
            <v>-</v>
          </cell>
          <cell r="H828" t="str">
            <v>-</v>
          </cell>
          <cell r="I828" t="str">
            <v>PGA</v>
          </cell>
          <cell r="J828" t="str">
            <v>GA</v>
          </cell>
          <cell r="K828" t="str">
            <v>ALL</v>
          </cell>
          <cell r="L828" t="str">
            <v>ALL</v>
          </cell>
          <cell r="M828" t="str">
            <v>GA</v>
          </cell>
          <cell r="N828" t="str">
            <v>STAFF GA</v>
          </cell>
          <cell r="O828" t="str">
            <v>GA</v>
          </cell>
          <cell r="P828" t="str">
            <v>A (NS)</v>
          </cell>
          <cell r="Q828" t="str">
            <v>ADM</v>
          </cell>
          <cell r="R828" t="str">
            <v>PERMANENT</v>
          </cell>
          <cell r="S828" t="str">
            <v>PRM</v>
          </cell>
          <cell r="T828" t="str">
            <v>OPT</v>
          </cell>
          <cell r="U828" t="str">
            <v>-</v>
          </cell>
          <cell r="V828" t="str">
            <v>P</v>
          </cell>
          <cell r="W828">
            <v>32</v>
          </cell>
        </row>
        <row r="829">
          <cell r="A829">
            <v>11061</v>
          </cell>
          <cell r="B829" t="str">
            <v>011061</v>
          </cell>
          <cell r="C829" t="str">
            <v>EKA FITRIYANI</v>
          </cell>
          <cell r="D829" t="str">
            <v>SAMI</v>
          </cell>
          <cell r="E829" t="str">
            <v>OPT-289</v>
          </cell>
          <cell r="F829">
            <v>40595</v>
          </cell>
          <cell r="G829" t="str">
            <v>-</v>
          </cell>
          <cell r="H829" t="str">
            <v>-</v>
          </cell>
          <cell r="I829" t="str">
            <v>PRD</v>
          </cell>
          <cell r="J829" t="str">
            <v>FINAL ASSY</v>
          </cell>
          <cell r="K829" t="str">
            <v>HONDA BBP</v>
          </cell>
          <cell r="L829" t="str">
            <v>HV HONDA 5JLA BBP</v>
          </cell>
          <cell r="M829" t="str">
            <v>CV HV 04A</v>
          </cell>
          <cell r="N829" t="str">
            <v>VISUAL 141, 142, 151, 152</v>
          </cell>
          <cell r="O829" t="str">
            <v>VISUAL INSPECTION</v>
          </cell>
          <cell r="P829" t="str">
            <v>A</v>
          </cell>
          <cell r="Q829" t="str">
            <v>DL</v>
          </cell>
          <cell r="R829" t="str">
            <v>PERMANENT</v>
          </cell>
          <cell r="S829" t="str">
            <v>PRM</v>
          </cell>
          <cell r="T829" t="str">
            <v>OPT</v>
          </cell>
          <cell r="U829" t="str">
            <v>-</v>
          </cell>
          <cell r="V829" t="str">
            <v>P</v>
          </cell>
          <cell r="W829">
            <v>32</v>
          </cell>
        </row>
        <row r="830">
          <cell r="A830">
            <v>12709</v>
          </cell>
          <cell r="B830" t="str">
            <v>012709</v>
          </cell>
          <cell r="C830" t="str">
            <v>PRISANTI DWI A.</v>
          </cell>
          <cell r="D830" t="str">
            <v>SAMI</v>
          </cell>
          <cell r="E830" t="str">
            <v>OPT-320</v>
          </cell>
          <cell r="F830">
            <v>40819</v>
          </cell>
          <cell r="G830" t="str">
            <v>-</v>
          </cell>
          <cell r="H830" t="str">
            <v>-</v>
          </cell>
          <cell r="I830" t="str">
            <v>PRD</v>
          </cell>
          <cell r="J830" t="str">
            <v>FINAL ASSY</v>
          </cell>
          <cell r="K830" t="str">
            <v>HONDA BBP</v>
          </cell>
          <cell r="L830" t="str">
            <v>HV HONDA 5JLA BBP</v>
          </cell>
          <cell r="M830" t="str">
            <v>CV HV 04A</v>
          </cell>
          <cell r="N830" t="str">
            <v>VISUAL 141, 142, 151, 152</v>
          </cell>
          <cell r="O830" t="str">
            <v>VISUAL INSPECTION</v>
          </cell>
          <cell r="P830" t="str">
            <v>A</v>
          </cell>
          <cell r="Q830" t="str">
            <v>DL</v>
          </cell>
          <cell r="R830" t="str">
            <v>PERMANENT</v>
          </cell>
          <cell r="S830" t="str">
            <v>PRM</v>
          </cell>
          <cell r="T830" t="str">
            <v>OPT</v>
          </cell>
          <cell r="U830" t="str">
            <v>-</v>
          </cell>
          <cell r="V830" t="str">
            <v>P</v>
          </cell>
          <cell r="W830">
            <v>33</v>
          </cell>
        </row>
        <row r="831">
          <cell r="A831">
            <v>10523</v>
          </cell>
          <cell r="B831" t="str">
            <v>010523</v>
          </cell>
          <cell r="C831" t="str">
            <v>RIA LESTARINA</v>
          </cell>
          <cell r="D831" t="str">
            <v>SAMI</v>
          </cell>
          <cell r="E831" t="str">
            <v>OPT-273</v>
          </cell>
          <cell r="F831">
            <v>40535</v>
          </cell>
          <cell r="G831" t="str">
            <v>-</v>
          </cell>
          <cell r="H831" t="str">
            <v>-</v>
          </cell>
          <cell r="I831" t="str">
            <v>PRD</v>
          </cell>
          <cell r="J831" t="str">
            <v>FINAL ASSY</v>
          </cell>
          <cell r="K831" t="str">
            <v>HONDA NES</v>
          </cell>
          <cell r="L831" t="str">
            <v>HONDA NES HEV PET ENGINE</v>
          </cell>
          <cell r="M831" t="str">
            <v>CV H04</v>
          </cell>
          <cell r="N831" t="str">
            <v>T/P 5.2</v>
          </cell>
          <cell r="O831" t="str">
            <v>ASSEMBLY</v>
          </cell>
          <cell r="P831" t="str">
            <v>B</v>
          </cell>
          <cell r="Q831" t="str">
            <v>DL</v>
          </cell>
          <cell r="R831" t="str">
            <v>PERMANENT</v>
          </cell>
          <cell r="S831" t="str">
            <v>PRM</v>
          </cell>
          <cell r="T831" t="str">
            <v>OPT</v>
          </cell>
          <cell r="U831" t="str">
            <v>-</v>
          </cell>
          <cell r="V831" t="str">
            <v>P</v>
          </cell>
          <cell r="W831">
            <v>32</v>
          </cell>
        </row>
        <row r="832">
          <cell r="A832">
            <v>12891</v>
          </cell>
          <cell r="B832" t="str">
            <v>012891</v>
          </cell>
          <cell r="C832" t="str">
            <v>LISTIANI NURHAYATI</v>
          </cell>
          <cell r="D832" t="str">
            <v>SAMI</v>
          </cell>
          <cell r="E832" t="str">
            <v>OPT-322</v>
          </cell>
          <cell r="F832">
            <v>40833</v>
          </cell>
          <cell r="G832" t="str">
            <v>-</v>
          </cell>
          <cell r="H832" t="str">
            <v>-</v>
          </cell>
          <cell r="I832" t="str">
            <v>PRD</v>
          </cell>
          <cell r="J832" t="str">
            <v>FINAL ASSY</v>
          </cell>
          <cell r="K832" t="str">
            <v>HONDA BBP</v>
          </cell>
          <cell r="L832" t="str">
            <v>HV HONDA 5JLA BBP</v>
          </cell>
          <cell r="M832" t="str">
            <v>CV HV 04A</v>
          </cell>
          <cell r="N832" t="str">
            <v>S/A 151, 152, 141, 142</v>
          </cell>
          <cell r="O832" t="str">
            <v>SUB ASSY</v>
          </cell>
          <cell r="P832" t="str">
            <v>A</v>
          </cell>
          <cell r="Q832" t="str">
            <v>DL</v>
          </cell>
          <cell r="R832" t="str">
            <v>PERMANENT</v>
          </cell>
          <cell r="S832" t="str">
            <v>PRM</v>
          </cell>
          <cell r="T832" t="str">
            <v>OPT</v>
          </cell>
          <cell r="U832" t="str">
            <v>-</v>
          </cell>
          <cell r="V832" t="str">
            <v>P</v>
          </cell>
          <cell r="W832">
            <v>33</v>
          </cell>
        </row>
        <row r="833">
          <cell r="A833">
            <v>13049</v>
          </cell>
          <cell r="B833" t="str">
            <v>013049</v>
          </cell>
          <cell r="C833" t="str">
            <v>TRI MULYANI</v>
          </cell>
          <cell r="D833" t="str">
            <v>SAMI</v>
          </cell>
          <cell r="E833" t="str">
            <v>OPT-324</v>
          </cell>
          <cell r="F833">
            <v>40844</v>
          </cell>
          <cell r="G833" t="str">
            <v>-</v>
          </cell>
          <cell r="H833" t="str">
            <v>-</v>
          </cell>
          <cell r="I833" t="str">
            <v>PRD</v>
          </cell>
          <cell r="J833" t="str">
            <v>FINAL ASSY</v>
          </cell>
          <cell r="K833" t="str">
            <v>HONDA BBP</v>
          </cell>
          <cell r="L833" t="str">
            <v>HV HONDA 5JLA BBP</v>
          </cell>
          <cell r="M833" t="str">
            <v>CV HV 04A</v>
          </cell>
          <cell r="N833" t="str">
            <v>LQC</v>
          </cell>
          <cell r="O833" t="str">
            <v>RELIEF</v>
          </cell>
          <cell r="P833" t="str">
            <v>A</v>
          </cell>
          <cell r="Q833" t="str">
            <v>PI</v>
          </cell>
          <cell r="R833" t="str">
            <v>PERMANENT</v>
          </cell>
          <cell r="S833" t="str">
            <v>PRM</v>
          </cell>
          <cell r="T833" t="str">
            <v>PJK</v>
          </cell>
          <cell r="U833" t="str">
            <v>-</v>
          </cell>
          <cell r="V833" t="str">
            <v>P</v>
          </cell>
          <cell r="W833">
            <v>31</v>
          </cell>
        </row>
        <row r="834">
          <cell r="A834">
            <v>19378</v>
          </cell>
          <cell r="B834" t="str">
            <v>019378</v>
          </cell>
          <cell r="C834" t="str">
            <v>NDARNI</v>
          </cell>
          <cell r="D834" t="str">
            <v>SAMI</v>
          </cell>
          <cell r="E834" t="str">
            <v>OPT-479</v>
          </cell>
          <cell r="F834">
            <v>42289</v>
          </cell>
          <cell r="G834" t="str">
            <v>-</v>
          </cell>
          <cell r="H834" t="str">
            <v>-</v>
          </cell>
          <cell r="I834" t="str">
            <v>PRD</v>
          </cell>
          <cell r="J834" t="str">
            <v>FINAL ASSY</v>
          </cell>
          <cell r="K834" t="str">
            <v>HONDA BBP</v>
          </cell>
          <cell r="L834" t="str">
            <v>HV HONDA 5JLA BBP</v>
          </cell>
          <cell r="M834" t="str">
            <v>CV HV 04A</v>
          </cell>
          <cell r="N834" t="str">
            <v>VISUAL 141</v>
          </cell>
          <cell r="O834" t="str">
            <v>VISUAL INSPECTION</v>
          </cell>
          <cell r="P834" t="str">
            <v>A</v>
          </cell>
          <cell r="Q834" t="str">
            <v>DL</v>
          </cell>
          <cell r="R834" t="str">
            <v>PERMANENT</v>
          </cell>
          <cell r="S834" t="str">
            <v>PRM</v>
          </cell>
          <cell r="T834" t="str">
            <v>OPT</v>
          </cell>
          <cell r="U834" t="str">
            <v>-</v>
          </cell>
          <cell r="V834" t="str">
            <v>P</v>
          </cell>
          <cell r="W834">
            <v>28</v>
          </cell>
        </row>
        <row r="835">
          <cell r="A835">
            <v>10530</v>
          </cell>
          <cell r="B835" t="str">
            <v>010530</v>
          </cell>
          <cell r="C835" t="str">
            <v>SITI MUSTAQFIROH</v>
          </cell>
          <cell r="D835" t="str">
            <v>SAMI</v>
          </cell>
          <cell r="E835" t="str">
            <v>OPT-273</v>
          </cell>
          <cell r="F835">
            <v>40535</v>
          </cell>
          <cell r="G835" t="str">
            <v>-</v>
          </cell>
          <cell r="H835" t="str">
            <v>-</v>
          </cell>
          <cell r="I835" t="str">
            <v>PRD</v>
          </cell>
          <cell r="J835" t="str">
            <v>PRE ASSY</v>
          </cell>
          <cell r="K835" t="str">
            <v>TOYOTA</v>
          </cell>
          <cell r="L835" t="str">
            <v>HV TOYOTA LV</v>
          </cell>
          <cell r="M835" t="str">
            <v>CPA TOYOTA LV</v>
          </cell>
          <cell r="N835" t="str">
            <v>OJT CUTTING AC90-STA-04</v>
          </cell>
          <cell r="O835" t="str">
            <v>OTHERS</v>
          </cell>
          <cell r="P835" t="str">
            <v>B</v>
          </cell>
          <cell r="Q835" t="str">
            <v>PI</v>
          </cell>
          <cell r="R835" t="str">
            <v>PERMANENT</v>
          </cell>
          <cell r="S835" t="str">
            <v>PRM</v>
          </cell>
          <cell r="T835" t="str">
            <v>OPT</v>
          </cell>
          <cell r="U835" t="str">
            <v>-</v>
          </cell>
          <cell r="V835" t="str">
            <v>P</v>
          </cell>
          <cell r="W835">
            <v>33</v>
          </cell>
        </row>
        <row r="836">
          <cell r="A836">
            <v>10532</v>
          </cell>
          <cell r="B836" t="str">
            <v>010532</v>
          </cell>
          <cell r="C836" t="str">
            <v>SOFA FATMAWATI</v>
          </cell>
          <cell r="D836" t="str">
            <v>SAMI</v>
          </cell>
          <cell r="E836" t="str">
            <v>OPT-273</v>
          </cell>
          <cell r="F836">
            <v>40535</v>
          </cell>
          <cell r="G836" t="str">
            <v>-</v>
          </cell>
          <cell r="H836" t="str">
            <v>-</v>
          </cell>
          <cell r="I836" t="str">
            <v>PRD</v>
          </cell>
          <cell r="J836" t="str">
            <v>PRE ASSY</v>
          </cell>
          <cell r="K836" t="str">
            <v>SUZUKI WAGON R/HUSTLER</v>
          </cell>
          <cell r="L836" t="str">
            <v>SUZUKI YW0/Y0C/YEV</v>
          </cell>
          <cell r="M836" t="str">
            <v>CPA SUZUKI</v>
          </cell>
          <cell r="N836" t="str">
            <v>INSP PRE ASSY</v>
          </cell>
          <cell r="O836" t="str">
            <v>P/A INSPECTOR</v>
          </cell>
          <cell r="P836" t="str">
            <v>B</v>
          </cell>
          <cell r="Q836" t="str">
            <v>PI</v>
          </cell>
          <cell r="R836" t="str">
            <v>PERMANENT</v>
          </cell>
          <cell r="S836" t="str">
            <v>PRM</v>
          </cell>
          <cell r="T836" t="str">
            <v>OPT</v>
          </cell>
          <cell r="U836" t="str">
            <v>-</v>
          </cell>
          <cell r="V836" t="str">
            <v>P</v>
          </cell>
          <cell r="W836">
            <v>33</v>
          </cell>
        </row>
        <row r="837">
          <cell r="A837">
            <v>217</v>
          </cell>
          <cell r="B837" t="str">
            <v>000217</v>
          </cell>
          <cell r="C837" t="str">
            <v>RIMA NOVIYATI</v>
          </cell>
          <cell r="D837" t="str">
            <v>SAMI</v>
          </cell>
          <cell r="E837" t="str">
            <v>OPT-6</v>
          </cell>
          <cell r="F837">
            <v>37697</v>
          </cell>
          <cell r="G837" t="str">
            <v>-</v>
          </cell>
          <cell r="H837" t="str">
            <v>-</v>
          </cell>
          <cell r="I837" t="str">
            <v>PRD</v>
          </cell>
          <cell r="J837" t="str">
            <v>FINAL ASSY</v>
          </cell>
          <cell r="K837" t="str">
            <v>HONDA BBP</v>
          </cell>
          <cell r="L837" t="str">
            <v>HV HONDA 5JLA BBP</v>
          </cell>
          <cell r="M837" t="str">
            <v>CV HV 04B</v>
          </cell>
          <cell r="N837" t="str">
            <v>PRD LINE CHO</v>
          </cell>
          <cell r="O837" t="str">
            <v>FPI LL</v>
          </cell>
          <cell r="P837" t="str">
            <v>A</v>
          </cell>
          <cell r="Q837" t="str">
            <v>PI</v>
          </cell>
          <cell r="R837" t="str">
            <v>PERMANENT</v>
          </cell>
          <cell r="S837" t="str">
            <v>PRM</v>
          </cell>
          <cell r="T837" t="str">
            <v>LC</v>
          </cell>
          <cell r="U837" t="str">
            <v>-</v>
          </cell>
          <cell r="V837" t="str">
            <v>P</v>
          </cell>
          <cell r="W837">
            <v>40</v>
          </cell>
        </row>
        <row r="838">
          <cell r="A838">
            <v>8952</v>
          </cell>
          <cell r="B838" t="str">
            <v>008952</v>
          </cell>
          <cell r="C838" t="str">
            <v>SRI HARYANTI</v>
          </cell>
          <cell r="D838" t="str">
            <v>SAMI</v>
          </cell>
          <cell r="E838" t="str">
            <v>OPT-199</v>
          </cell>
          <cell r="F838">
            <v>39968</v>
          </cell>
          <cell r="G838" t="str">
            <v>-</v>
          </cell>
          <cell r="H838" t="str">
            <v>-</v>
          </cell>
          <cell r="I838" t="str">
            <v>PRD</v>
          </cell>
          <cell r="J838" t="str">
            <v>FINAL ASSY</v>
          </cell>
          <cell r="K838" t="str">
            <v>HONDA BBP</v>
          </cell>
          <cell r="L838" t="str">
            <v>HV HONDA 5JLA BBP</v>
          </cell>
          <cell r="M838" t="str">
            <v>CV HV 04B</v>
          </cell>
          <cell r="N838" t="str">
            <v>VISUAL 141, 142, 172, 173</v>
          </cell>
          <cell r="O838" t="str">
            <v>VISUAL INSPECTION</v>
          </cell>
          <cell r="P838" t="str">
            <v>A</v>
          </cell>
          <cell r="Q838" t="str">
            <v>DL</v>
          </cell>
          <cell r="R838" t="str">
            <v>PERMANENT</v>
          </cell>
          <cell r="S838" t="str">
            <v>PRM</v>
          </cell>
          <cell r="T838" t="str">
            <v>OPT</v>
          </cell>
          <cell r="U838" t="str">
            <v>-</v>
          </cell>
          <cell r="V838" t="str">
            <v>P</v>
          </cell>
          <cell r="W838">
            <v>37</v>
          </cell>
        </row>
        <row r="839">
          <cell r="A839">
            <v>10366</v>
          </cell>
          <cell r="B839" t="str">
            <v>010366</v>
          </cell>
          <cell r="C839" t="str">
            <v>ENDANG SRI REJEKI</v>
          </cell>
          <cell r="D839" t="str">
            <v>SAMI</v>
          </cell>
          <cell r="E839" t="str">
            <v>OPT-267</v>
          </cell>
          <cell r="F839">
            <v>40513</v>
          </cell>
          <cell r="G839" t="str">
            <v>-</v>
          </cell>
          <cell r="H839" t="str">
            <v>-</v>
          </cell>
          <cell r="I839" t="str">
            <v>PRD</v>
          </cell>
          <cell r="J839" t="str">
            <v>FINAL ASSY</v>
          </cell>
          <cell r="K839" t="str">
            <v>HONDA BBP</v>
          </cell>
          <cell r="L839" t="str">
            <v>HV HONDA 5JLA BBP</v>
          </cell>
          <cell r="M839" t="str">
            <v>CV HV 04B</v>
          </cell>
          <cell r="N839" t="str">
            <v>LQC</v>
          </cell>
          <cell r="O839" t="str">
            <v>RELIEF</v>
          </cell>
          <cell r="P839" t="str">
            <v>A</v>
          </cell>
          <cell r="Q839" t="str">
            <v>PI</v>
          </cell>
          <cell r="R839" t="str">
            <v>PERMANENT</v>
          </cell>
          <cell r="S839" t="str">
            <v>PRM</v>
          </cell>
          <cell r="T839" t="str">
            <v>PJK</v>
          </cell>
          <cell r="U839" t="str">
            <v>-</v>
          </cell>
          <cell r="V839" t="str">
            <v>P</v>
          </cell>
          <cell r="W839">
            <v>34</v>
          </cell>
        </row>
        <row r="840">
          <cell r="A840">
            <v>10526</v>
          </cell>
          <cell r="B840" t="str">
            <v>010526</v>
          </cell>
          <cell r="C840" t="str">
            <v>SARI KARYANI</v>
          </cell>
          <cell r="D840" t="str">
            <v>SAMI</v>
          </cell>
          <cell r="E840" t="str">
            <v>OPT-273</v>
          </cell>
          <cell r="F840">
            <v>40535</v>
          </cell>
          <cell r="G840" t="str">
            <v>-</v>
          </cell>
          <cell r="H840" t="str">
            <v>-</v>
          </cell>
          <cell r="I840" t="str">
            <v>PRD</v>
          </cell>
          <cell r="J840" t="str">
            <v>FINAL ASSY</v>
          </cell>
          <cell r="K840" t="str">
            <v>HONDA BBP</v>
          </cell>
          <cell r="L840" t="str">
            <v>HV HONDA 5JLA BBP</v>
          </cell>
          <cell r="M840" t="str">
            <v>CV HV 04B</v>
          </cell>
          <cell r="N840" t="str">
            <v>VISUAL 141, 142, 172, 173</v>
          </cell>
          <cell r="O840" t="str">
            <v>VISUAL INSPECTION</v>
          </cell>
          <cell r="P840" t="str">
            <v>A</v>
          </cell>
          <cell r="Q840" t="str">
            <v>DL</v>
          </cell>
          <cell r="R840" t="str">
            <v>PERMANENT</v>
          </cell>
          <cell r="S840" t="str">
            <v>PRM</v>
          </cell>
          <cell r="T840" t="str">
            <v>OPT</v>
          </cell>
          <cell r="U840" t="str">
            <v>-</v>
          </cell>
          <cell r="V840" t="str">
            <v>P</v>
          </cell>
          <cell r="W840">
            <v>33</v>
          </cell>
        </row>
        <row r="841">
          <cell r="A841">
            <v>10818</v>
          </cell>
          <cell r="B841" t="str">
            <v>010818</v>
          </cell>
          <cell r="C841" t="str">
            <v>AFI SYAIROTUL ALIYAH</v>
          </cell>
          <cell r="D841" t="str">
            <v>SAMI</v>
          </cell>
          <cell r="E841" t="str">
            <v>OPT-283</v>
          </cell>
          <cell r="F841">
            <v>40572</v>
          </cell>
          <cell r="G841" t="str">
            <v>-</v>
          </cell>
          <cell r="H841" t="str">
            <v>-</v>
          </cell>
          <cell r="I841" t="str">
            <v>PRD</v>
          </cell>
          <cell r="J841" t="str">
            <v>FINAL ASSY</v>
          </cell>
          <cell r="K841" t="str">
            <v>HONDA BBP</v>
          </cell>
          <cell r="L841" t="str">
            <v>HV HONDA 5JLA BBP</v>
          </cell>
          <cell r="M841" t="str">
            <v>CV HV 04B</v>
          </cell>
          <cell r="N841" t="str">
            <v>S/A 141, 142, 172, 173</v>
          </cell>
          <cell r="O841" t="str">
            <v>SUB ASSY</v>
          </cell>
          <cell r="P841" t="str">
            <v>A</v>
          </cell>
          <cell r="Q841" t="str">
            <v>DL</v>
          </cell>
          <cell r="R841" t="str">
            <v>PERMANENT</v>
          </cell>
          <cell r="S841" t="str">
            <v>PRM</v>
          </cell>
          <cell r="T841" t="str">
            <v>OPT</v>
          </cell>
          <cell r="U841" t="str">
            <v>-</v>
          </cell>
          <cell r="V841" t="str">
            <v>P</v>
          </cell>
          <cell r="W841">
            <v>32</v>
          </cell>
        </row>
        <row r="842">
          <cell r="A842">
            <v>11690</v>
          </cell>
          <cell r="B842" t="str">
            <v>011690</v>
          </cell>
          <cell r="C842" t="str">
            <v>FARIDATUL RAHMAWATI</v>
          </cell>
          <cell r="D842" t="str">
            <v>SAMI</v>
          </cell>
          <cell r="E842" t="str">
            <v>OPT-308</v>
          </cell>
          <cell r="F842">
            <v>40714</v>
          </cell>
          <cell r="G842" t="str">
            <v>-</v>
          </cell>
          <cell r="H842" t="str">
            <v>-</v>
          </cell>
          <cell r="I842" t="str">
            <v>PRD</v>
          </cell>
          <cell r="J842" t="str">
            <v>FINAL ASSY</v>
          </cell>
          <cell r="K842" t="str">
            <v>HONDA BBP</v>
          </cell>
          <cell r="L842" t="str">
            <v>HV HONDA 5JLA BBP</v>
          </cell>
          <cell r="M842" t="str">
            <v>CV HV 04B</v>
          </cell>
          <cell r="N842" t="str">
            <v>S/A 141, 142, 172, 173</v>
          </cell>
          <cell r="O842" t="str">
            <v>SUB ASSY</v>
          </cell>
          <cell r="P842" t="str">
            <v>A</v>
          </cell>
          <cell r="Q842" t="str">
            <v>DL</v>
          </cell>
          <cell r="R842" t="str">
            <v>PERMANENT</v>
          </cell>
          <cell r="S842" t="str">
            <v>PRM</v>
          </cell>
          <cell r="T842" t="str">
            <v>OPT</v>
          </cell>
          <cell r="U842" t="str">
            <v>-</v>
          </cell>
          <cell r="V842" t="str">
            <v>P</v>
          </cell>
          <cell r="W842">
            <v>31</v>
          </cell>
        </row>
        <row r="843">
          <cell r="A843">
            <v>1266</v>
          </cell>
          <cell r="B843" t="str">
            <v>001266</v>
          </cell>
          <cell r="C843" t="str">
            <v>WARSINI</v>
          </cell>
          <cell r="D843" t="str">
            <v>SAMI</v>
          </cell>
          <cell r="E843" t="str">
            <v>OPT-31</v>
          </cell>
          <cell r="F843">
            <v>37921</v>
          </cell>
          <cell r="G843" t="str">
            <v>-</v>
          </cell>
          <cell r="H843" t="str">
            <v>-</v>
          </cell>
          <cell r="I843" t="str">
            <v>PRD</v>
          </cell>
          <cell r="J843" t="str">
            <v>FINAL ASSY</v>
          </cell>
          <cell r="K843" t="str">
            <v>NISSAN HV</v>
          </cell>
          <cell r="L843" t="str">
            <v>HV NISSAN</v>
          </cell>
          <cell r="M843" t="str">
            <v>CV HV 05B</v>
          </cell>
          <cell r="N843" t="str">
            <v>VISUAL 2</v>
          </cell>
          <cell r="O843" t="str">
            <v>VISUAL INSPECTION</v>
          </cell>
          <cell r="P843" t="str">
            <v>A</v>
          </cell>
          <cell r="Q843" t="str">
            <v>DL</v>
          </cell>
          <cell r="R843" t="str">
            <v>PERMANENT</v>
          </cell>
          <cell r="S843" t="str">
            <v>PRM</v>
          </cell>
          <cell r="T843" t="str">
            <v>OPT</v>
          </cell>
          <cell r="U843" t="str">
            <v>-</v>
          </cell>
          <cell r="V843" t="str">
            <v>P</v>
          </cell>
          <cell r="W843">
            <v>42</v>
          </cell>
        </row>
        <row r="844">
          <cell r="A844">
            <v>10562</v>
          </cell>
          <cell r="B844" t="str">
            <v>010562</v>
          </cell>
          <cell r="C844" t="str">
            <v>SITI MULYATI</v>
          </cell>
          <cell r="D844" t="str">
            <v>SAMI</v>
          </cell>
          <cell r="E844" t="str">
            <v>OPT-275</v>
          </cell>
          <cell r="F844">
            <v>40542</v>
          </cell>
          <cell r="G844" t="str">
            <v>-</v>
          </cell>
          <cell r="H844" t="str">
            <v>-</v>
          </cell>
          <cell r="I844" t="str">
            <v>PRD</v>
          </cell>
          <cell r="J844" t="str">
            <v>FINAL ASSY</v>
          </cell>
          <cell r="K844" t="str">
            <v>MAZDA 3</v>
          </cell>
          <cell r="L844" t="str">
            <v>MAZDA REAR</v>
          </cell>
          <cell r="M844" t="str">
            <v>CV M01</v>
          </cell>
          <cell r="N844" t="str">
            <v>S/A S/P 2</v>
          </cell>
          <cell r="O844" t="str">
            <v>SUB ASSY</v>
          </cell>
          <cell r="P844" t="str">
            <v>B</v>
          </cell>
          <cell r="Q844" t="str">
            <v>DL</v>
          </cell>
          <cell r="R844" t="str">
            <v>PERMANENT</v>
          </cell>
          <cell r="S844" t="str">
            <v>PRM</v>
          </cell>
          <cell r="T844" t="str">
            <v>OPT</v>
          </cell>
          <cell r="U844" t="str">
            <v>-</v>
          </cell>
          <cell r="V844" t="str">
            <v>P</v>
          </cell>
          <cell r="W844">
            <v>32</v>
          </cell>
        </row>
        <row r="845">
          <cell r="A845">
            <v>1267</v>
          </cell>
          <cell r="B845" t="str">
            <v>001267</v>
          </cell>
          <cell r="C845" t="str">
            <v>WINARNI</v>
          </cell>
          <cell r="D845" t="str">
            <v>SAMI</v>
          </cell>
          <cell r="E845" t="str">
            <v>OPT-31</v>
          </cell>
          <cell r="F845">
            <v>37921</v>
          </cell>
          <cell r="G845" t="str">
            <v>-</v>
          </cell>
          <cell r="H845" t="str">
            <v>-</v>
          </cell>
          <cell r="I845" t="str">
            <v>PRD</v>
          </cell>
          <cell r="J845" t="str">
            <v>FINAL ASSY</v>
          </cell>
          <cell r="K845" t="str">
            <v>NISSAN HV</v>
          </cell>
          <cell r="L845" t="str">
            <v>HV NISSAN</v>
          </cell>
          <cell r="M845" t="str">
            <v>CV HV 05B</v>
          </cell>
          <cell r="N845" t="str">
            <v>S/A 1, SILICON</v>
          </cell>
          <cell r="O845" t="str">
            <v>SUB ASSY</v>
          </cell>
          <cell r="P845" t="str">
            <v>A</v>
          </cell>
          <cell r="Q845" t="str">
            <v>DL</v>
          </cell>
          <cell r="R845" t="str">
            <v>PERMANENT</v>
          </cell>
          <cell r="S845" t="str">
            <v>PRM</v>
          </cell>
          <cell r="T845" t="str">
            <v>OPT</v>
          </cell>
          <cell r="U845" t="str">
            <v>-</v>
          </cell>
          <cell r="V845" t="str">
            <v>P</v>
          </cell>
          <cell r="W845">
            <v>41</v>
          </cell>
        </row>
        <row r="846">
          <cell r="A846">
            <v>10564</v>
          </cell>
          <cell r="B846" t="str">
            <v>010564</v>
          </cell>
          <cell r="C846" t="str">
            <v>SITI NUR KHAYATI</v>
          </cell>
          <cell r="D846" t="str">
            <v>SAMI</v>
          </cell>
          <cell r="E846" t="str">
            <v>OPT-275</v>
          </cell>
          <cell r="F846">
            <v>40542</v>
          </cell>
          <cell r="G846" t="str">
            <v>-</v>
          </cell>
          <cell r="H846" t="str">
            <v>-</v>
          </cell>
          <cell r="I846" t="str">
            <v>PRD</v>
          </cell>
          <cell r="J846" t="str">
            <v>FINAL ASSY</v>
          </cell>
          <cell r="K846" t="str">
            <v>SUZUKI WAGON R</v>
          </cell>
          <cell r="L846" t="str">
            <v>DOOR/DOOM</v>
          </cell>
          <cell r="M846" t="str">
            <v>CV S03</v>
          </cell>
          <cell r="N846" t="str">
            <v>LQC</v>
          </cell>
          <cell r="O846" t="str">
            <v>RELIEF</v>
          </cell>
          <cell r="P846" t="str">
            <v>B</v>
          </cell>
          <cell r="Q846" t="str">
            <v>PI</v>
          </cell>
          <cell r="R846" t="str">
            <v>PERMANENT</v>
          </cell>
          <cell r="S846" t="str">
            <v>PRM</v>
          </cell>
          <cell r="T846" t="str">
            <v>PJK</v>
          </cell>
          <cell r="U846" t="str">
            <v>-</v>
          </cell>
          <cell r="V846" t="str">
            <v>P</v>
          </cell>
          <cell r="W846">
            <v>33</v>
          </cell>
        </row>
        <row r="847">
          <cell r="A847">
            <v>9629</v>
          </cell>
          <cell r="B847" t="str">
            <v>009629</v>
          </cell>
          <cell r="C847" t="str">
            <v>SINTA DIANA PUTRI</v>
          </cell>
          <cell r="D847" t="str">
            <v>SAMI</v>
          </cell>
          <cell r="E847" t="str">
            <v>OPT-218</v>
          </cell>
          <cell r="F847">
            <v>40179</v>
          </cell>
          <cell r="G847" t="str">
            <v>-</v>
          </cell>
          <cell r="H847" t="str">
            <v>-</v>
          </cell>
          <cell r="I847" t="str">
            <v>PRD</v>
          </cell>
          <cell r="J847" t="str">
            <v>FINAL ASSY</v>
          </cell>
          <cell r="K847" t="str">
            <v>NISSAN HV</v>
          </cell>
          <cell r="L847" t="str">
            <v>HV NISSAN</v>
          </cell>
          <cell r="M847" t="str">
            <v>CV HV 05B</v>
          </cell>
          <cell r="N847" t="str">
            <v>SUB LINE CHO</v>
          </cell>
          <cell r="O847" t="str">
            <v>GL</v>
          </cell>
          <cell r="P847" t="str">
            <v>A</v>
          </cell>
          <cell r="Q847" t="str">
            <v>PI</v>
          </cell>
          <cell r="R847" t="str">
            <v>PERMANENT</v>
          </cell>
          <cell r="S847" t="str">
            <v>PRM</v>
          </cell>
          <cell r="T847" t="str">
            <v>SLC</v>
          </cell>
          <cell r="U847" t="str">
            <v>-</v>
          </cell>
          <cell r="V847" t="str">
            <v>P</v>
          </cell>
          <cell r="W847">
            <v>33</v>
          </cell>
        </row>
        <row r="848">
          <cell r="A848">
            <v>10481</v>
          </cell>
          <cell r="B848" t="str">
            <v>010481</v>
          </cell>
          <cell r="C848" t="str">
            <v>SULISTYOWATI</v>
          </cell>
          <cell r="D848" t="str">
            <v>SAMI</v>
          </cell>
          <cell r="E848" t="str">
            <v>OPT-270</v>
          </cell>
          <cell r="F848">
            <v>40524</v>
          </cell>
          <cell r="G848" t="str">
            <v>-</v>
          </cell>
          <cell r="H848" t="str">
            <v>-</v>
          </cell>
          <cell r="I848" t="str">
            <v>PRD</v>
          </cell>
          <cell r="J848" t="str">
            <v>FINAL ASSY</v>
          </cell>
          <cell r="K848" t="str">
            <v>NISSAN HV</v>
          </cell>
          <cell r="L848" t="str">
            <v>HV NISSAN</v>
          </cell>
          <cell r="M848" t="str">
            <v>CV HV 05B</v>
          </cell>
          <cell r="N848" t="str">
            <v>ASM + CHECKER 2</v>
          </cell>
          <cell r="O848" t="str">
            <v>ASSEMBLY</v>
          </cell>
          <cell r="P848" t="str">
            <v>A</v>
          </cell>
          <cell r="Q848" t="str">
            <v>DL</v>
          </cell>
          <cell r="R848" t="str">
            <v>PERMANENT</v>
          </cell>
          <cell r="S848" t="str">
            <v>PRM</v>
          </cell>
          <cell r="T848" t="str">
            <v>OPT</v>
          </cell>
          <cell r="U848" t="str">
            <v>-</v>
          </cell>
          <cell r="V848" t="str">
            <v>P</v>
          </cell>
          <cell r="W848">
            <v>37</v>
          </cell>
        </row>
        <row r="849">
          <cell r="A849">
            <v>10578</v>
          </cell>
          <cell r="B849" t="str">
            <v>010578</v>
          </cell>
          <cell r="C849" t="str">
            <v>APRILIA WULANDARI P.</v>
          </cell>
          <cell r="D849" t="str">
            <v>SAMI</v>
          </cell>
          <cell r="E849" t="str">
            <v>OPT-276</v>
          </cell>
          <cell r="F849">
            <v>40544</v>
          </cell>
          <cell r="G849" t="str">
            <v>-</v>
          </cell>
          <cell r="H849" t="str">
            <v>-</v>
          </cell>
          <cell r="I849" t="str">
            <v>PRD</v>
          </cell>
          <cell r="J849" t="str">
            <v>FINAL ASSY</v>
          </cell>
          <cell r="K849" t="str">
            <v>HONDA FREED</v>
          </cell>
          <cell r="L849" t="str">
            <v>HONDA FREED W/H FLOOR</v>
          </cell>
          <cell r="M849" t="str">
            <v>CV 4</v>
          </cell>
          <cell r="N849" t="str">
            <v>SUB LINE CHO</v>
          </cell>
          <cell r="O849" t="str">
            <v>GL</v>
          </cell>
          <cell r="P849" t="str">
            <v>B</v>
          </cell>
          <cell r="Q849" t="str">
            <v>PI</v>
          </cell>
          <cell r="R849" t="str">
            <v>PERMANENT</v>
          </cell>
          <cell r="S849" t="str">
            <v>PRM</v>
          </cell>
          <cell r="T849" t="str">
            <v>SLC</v>
          </cell>
          <cell r="U849" t="str">
            <v>-</v>
          </cell>
          <cell r="V849" t="str">
            <v>P</v>
          </cell>
          <cell r="W849">
            <v>36</v>
          </cell>
        </row>
        <row r="850">
          <cell r="A850">
            <v>12795</v>
          </cell>
          <cell r="B850" t="str">
            <v>012795</v>
          </cell>
          <cell r="C850" t="str">
            <v>YENI YUNIAWATI</v>
          </cell>
          <cell r="D850" t="str">
            <v>SAMI</v>
          </cell>
          <cell r="E850" t="str">
            <v>OPT-320</v>
          </cell>
          <cell r="F850">
            <v>40819</v>
          </cell>
          <cell r="G850" t="str">
            <v>-</v>
          </cell>
          <cell r="H850" t="str">
            <v>-</v>
          </cell>
          <cell r="I850" t="str">
            <v>PRD</v>
          </cell>
          <cell r="J850" t="str">
            <v>FINAL ASSY</v>
          </cell>
          <cell r="K850" t="str">
            <v>NISSAN HV</v>
          </cell>
          <cell r="L850" t="str">
            <v>HV NISSAN</v>
          </cell>
          <cell r="M850" t="str">
            <v>CV HV 05B</v>
          </cell>
          <cell r="N850" t="str">
            <v>HVT , VISUAL 01</v>
          </cell>
          <cell r="O850" t="str">
            <v>VISUAL INSPECTION</v>
          </cell>
          <cell r="P850" t="str">
            <v>A</v>
          </cell>
          <cell r="Q850" t="str">
            <v>DL</v>
          </cell>
          <cell r="R850" t="str">
            <v>PERMANENT</v>
          </cell>
          <cell r="S850" t="str">
            <v>PRM</v>
          </cell>
          <cell r="T850" t="str">
            <v>OPT</v>
          </cell>
          <cell r="U850" t="str">
            <v>-</v>
          </cell>
          <cell r="V850" t="str">
            <v>P</v>
          </cell>
          <cell r="W850">
            <v>35</v>
          </cell>
        </row>
        <row r="851">
          <cell r="A851" t="str">
            <v>B02217</v>
          </cell>
          <cell r="B851" t="str">
            <v>B02217</v>
          </cell>
          <cell r="C851" t="str">
            <v>MUHAMMAD MUZAENI</v>
          </cell>
          <cell r="D851" t="str">
            <v>SAMI</v>
          </cell>
          <cell r="E851" t="str">
            <v>BBF-092</v>
          </cell>
          <cell r="F851">
            <v>41710</v>
          </cell>
          <cell r="G851" t="str">
            <v>-</v>
          </cell>
          <cell r="H851" t="str">
            <v>-</v>
          </cell>
          <cell r="I851" t="str">
            <v>PRD</v>
          </cell>
          <cell r="J851" t="str">
            <v>FINAL ASSY</v>
          </cell>
          <cell r="K851" t="str">
            <v>NISSAN HV</v>
          </cell>
          <cell r="L851" t="str">
            <v>HV NISSAN</v>
          </cell>
          <cell r="M851" t="str">
            <v>CV HV 05B</v>
          </cell>
          <cell r="N851" t="str">
            <v>LQC</v>
          </cell>
          <cell r="O851" t="str">
            <v>RELIEF</v>
          </cell>
          <cell r="P851" t="str">
            <v>A</v>
          </cell>
          <cell r="Q851" t="str">
            <v>PI</v>
          </cell>
          <cell r="R851" t="str">
            <v>PERMANENT</v>
          </cell>
          <cell r="S851" t="str">
            <v>PRM</v>
          </cell>
          <cell r="T851" t="str">
            <v>PJK</v>
          </cell>
          <cell r="U851" t="str">
            <v>-</v>
          </cell>
          <cell r="V851" t="str">
            <v>L</v>
          </cell>
          <cell r="W851">
            <v>29</v>
          </cell>
        </row>
        <row r="852">
          <cell r="A852">
            <v>163</v>
          </cell>
          <cell r="B852" t="str">
            <v>000163</v>
          </cell>
          <cell r="C852" t="str">
            <v>BOMI SUMARAH</v>
          </cell>
          <cell r="D852" t="str">
            <v>SAMI</v>
          </cell>
          <cell r="E852" t="str">
            <v>OPT-5</v>
          </cell>
          <cell r="F852">
            <v>37679</v>
          </cell>
          <cell r="G852" t="str">
            <v>-</v>
          </cell>
          <cell r="H852" t="str">
            <v>-</v>
          </cell>
          <cell r="I852" t="str">
            <v>PRD</v>
          </cell>
          <cell r="J852" t="str">
            <v>FINAL ASSY</v>
          </cell>
          <cell r="K852" t="str">
            <v>TOYOTA HV</v>
          </cell>
          <cell r="L852" t="str">
            <v>HV TOYOTA NIKEL</v>
          </cell>
          <cell r="M852" t="str">
            <v>CV HV 07</v>
          </cell>
          <cell r="N852" t="str">
            <v>SUB LINE CHO</v>
          </cell>
          <cell r="O852" t="str">
            <v>GL</v>
          </cell>
          <cell r="P852" t="str">
            <v>A</v>
          </cell>
          <cell r="Q852" t="str">
            <v>PI</v>
          </cell>
          <cell r="R852" t="str">
            <v>PERMANENT</v>
          </cell>
          <cell r="S852" t="str">
            <v>PRM</v>
          </cell>
          <cell r="T852" t="str">
            <v>SLC</v>
          </cell>
          <cell r="U852" t="str">
            <v>-</v>
          </cell>
          <cell r="V852" t="str">
            <v>P</v>
          </cell>
          <cell r="W852">
            <v>40</v>
          </cell>
        </row>
        <row r="853">
          <cell r="A853">
            <v>3732</v>
          </cell>
          <cell r="B853" t="str">
            <v>003732</v>
          </cell>
          <cell r="C853" t="str">
            <v>SUPRIYATI</v>
          </cell>
          <cell r="D853" t="str">
            <v>SAMI</v>
          </cell>
          <cell r="E853" t="str">
            <v>OPT-98</v>
          </cell>
          <cell r="F853">
            <v>38626</v>
          </cell>
          <cell r="G853" t="str">
            <v>-</v>
          </cell>
          <cell r="H853" t="str">
            <v>-</v>
          </cell>
          <cell r="I853" t="str">
            <v>PRD</v>
          </cell>
          <cell r="J853" t="str">
            <v>FINAL ASSY</v>
          </cell>
          <cell r="K853" t="str">
            <v>TOYOTA HV</v>
          </cell>
          <cell r="L853" t="str">
            <v>HV TOYOTA NIKEL</v>
          </cell>
          <cell r="M853" t="str">
            <v>CV HV 07</v>
          </cell>
          <cell r="N853" t="str">
            <v>PRD LINE CHO</v>
          </cell>
          <cell r="O853" t="str">
            <v>FPI LL</v>
          </cell>
          <cell r="P853" t="str">
            <v>A</v>
          </cell>
          <cell r="Q853" t="str">
            <v>PI</v>
          </cell>
          <cell r="R853" t="str">
            <v>PERMANENT</v>
          </cell>
          <cell r="S853" t="str">
            <v>PRM</v>
          </cell>
          <cell r="T853" t="str">
            <v>LC</v>
          </cell>
          <cell r="U853" t="str">
            <v>-</v>
          </cell>
          <cell r="V853" t="str">
            <v>P</v>
          </cell>
          <cell r="W853">
            <v>42</v>
          </cell>
        </row>
        <row r="854">
          <cell r="A854">
            <v>10587</v>
          </cell>
          <cell r="B854" t="str">
            <v>010587</v>
          </cell>
          <cell r="C854" t="str">
            <v>RAGIL ISTIANA</v>
          </cell>
          <cell r="D854" t="str">
            <v>SAMI</v>
          </cell>
          <cell r="E854" t="str">
            <v>OPT-276</v>
          </cell>
          <cell r="F854">
            <v>40544</v>
          </cell>
          <cell r="G854" t="str">
            <v>-</v>
          </cell>
          <cell r="H854" t="str">
            <v>-</v>
          </cell>
          <cell r="I854" t="str">
            <v>PRD</v>
          </cell>
          <cell r="J854" t="str">
            <v>FINAL ASSY</v>
          </cell>
          <cell r="K854" t="str">
            <v>MAZDA ATENZA</v>
          </cell>
          <cell r="L854" t="str">
            <v>MAZDA J72A</v>
          </cell>
          <cell r="M854" t="str">
            <v>CV M03</v>
          </cell>
          <cell r="N854" t="str">
            <v>SUB LINE CHO</v>
          </cell>
          <cell r="O854" t="str">
            <v>GL</v>
          </cell>
          <cell r="P854" t="str">
            <v>B</v>
          </cell>
          <cell r="Q854" t="str">
            <v>PI</v>
          </cell>
          <cell r="R854" t="str">
            <v>PERMANENT</v>
          </cell>
          <cell r="S854" t="str">
            <v>PRM</v>
          </cell>
          <cell r="T854" t="str">
            <v>SLC</v>
          </cell>
          <cell r="U854" t="str">
            <v>-</v>
          </cell>
          <cell r="V854" t="str">
            <v>P</v>
          </cell>
          <cell r="W854">
            <v>35</v>
          </cell>
        </row>
        <row r="855">
          <cell r="A855">
            <v>10593</v>
          </cell>
          <cell r="B855" t="str">
            <v>010593</v>
          </cell>
          <cell r="C855" t="str">
            <v>YESI NURWIANENGRUM</v>
          </cell>
          <cell r="D855" t="str">
            <v>SAMI</v>
          </cell>
          <cell r="E855" t="str">
            <v>OPT-276</v>
          </cell>
          <cell r="F855">
            <v>40544</v>
          </cell>
          <cell r="G855" t="str">
            <v>-</v>
          </cell>
          <cell r="H855" t="str">
            <v>-</v>
          </cell>
          <cell r="I855" t="str">
            <v>PRD</v>
          </cell>
          <cell r="J855" t="str">
            <v>PRE ASSY</v>
          </cell>
          <cell r="K855" t="str">
            <v>TOYOTA</v>
          </cell>
          <cell r="L855" t="str">
            <v>HV TOYOTA LV</v>
          </cell>
          <cell r="M855" t="str">
            <v>CPA TOYOTA LV</v>
          </cell>
          <cell r="N855" t="str">
            <v>SUB LINE CHO</v>
          </cell>
          <cell r="O855" t="str">
            <v>GL</v>
          </cell>
          <cell r="P855" t="str">
            <v>B</v>
          </cell>
          <cell r="Q855" t="str">
            <v>PI</v>
          </cell>
          <cell r="R855" t="str">
            <v>PERMANENT</v>
          </cell>
          <cell r="S855" t="str">
            <v>PRM</v>
          </cell>
          <cell r="T855" t="str">
            <v>SLC</v>
          </cell>
          <cell r="U855" t="str">
            <v>-</v>
          </cell>
          <cell r="V855" t="str">
            <v>P</v>
          </cell>
          <cell r="W855">
            <v>34</v>
          </cell>
        </row>
        <row r="856">
          <cell r="A856">
            <v>10600</v>
          </cell>
          <cell r="B856" t="str">
            <v>010600</v>
          </cell>
          <cell r="C856" t="str">
            <v>LESTARI NINGSIH</v>
          </cell>
          <cell r="D856" t="str">
            <v>SAMI</v>
          </cell>
          <cell r="E856" t="str">
            <v>OPT-276</v>
          </cell>
          <cell r="F856">
            <v>40544</v>
          </cell>
          <cell r="G856" t="str">
            <v>-</v>
          </cell>
          <cell r="H856" t="str">
            <v>-</v>
          </cell>
          <cell r="I856" t="str">
            <v>PGA</v>
          </cell>
          <cell r="J856" t="str">
            <v>TRN &amp; MOTO</v>
          </cell>
          <cell r="K856" t="str">
            <v>ALL</v>
          </cell>
          <cell r="L856" t="str">
            <v>ALL</v>
          </cell>
          <cell r="M856" t="str">
            <v>TRN</v>
          </cell>
          <cell r="N856" t="str">
            <v>TRAINING &amp; 136 RULES</v>
          </cell>
          <cell r="O856" t="str">
            <v>TRN</v>
          </cell>
          <cell r="P856" t="str">
            <v>A (NS)</v>
          </cell>
          <cell r="Q856" t="str">
            <v>ADM</v>
          </cell>
          <cell r="R856" t="str">
            <v>PERMANENT</v>
          </cell>
          <cell r="S856" t="str">
            <v>PRM</v>
          </cell>
          <cell r="T856" t="str">
            <v>GL</v>
          </cell>
          <cell r="U856" t="str">
            <v>-</v>
          </cell>
          <cell r="V856" t="str">
            <v>P</v>
          </cell>
          <cell r="W856">
            <v>34</v>
          </cell>
        </row>
        <row r="857">
          <cell r="A857">
            <v>10601</v>
          </cell>
          <cell r="B857" t="str">
            <v>010601</v>
          </cell>
          <cell r="C857" t="str">
            <v>NUR ALFI HIDAYAH</v>
          </cell>
          <cell r="D857" t="str">
            <v>SAMI</v>
          </cell>
          <cell r="E857" t="str">
            <v>OPT-276</v>
          </cell>
          <cell r="F857">
            <v>40544</v>
          </cell>
          <cell r="G857" t="str">
            <v>-</v>
          </cell>
          <cell r="H857" t="str">
            <v>-</v>
          </cell>
          <cell r="I857" t="str">
            <v>PRD</v>
          </cell>
          <cell r="J857" t="str">
            <v>FINAL ASSY</v>
          </cell>
          <cell r="K857" t="str">
            <v>HONDA FREED</v>
          </cell>
          <cell r="L857" t="str">
            <v>HONDA FREED W/H FLOOR</v>
          </cell>
          <cell r="M857" t="str">
            <v>CV 4</v>
          </cell>
          <cell r="N857" t="str">
            <v>LQC</v>
          </cell>
          <cell r="O857" t="str">
            <v>RELIEF</v>
          </cell>
          <cell r="P857" t="str">
            <v>B</v>
          </cell>
          <cell r="Q857" t="str">
            <v>PI</v>
          </cell>
          <cell r="R857" t="str">
            <v>PERMANENT</v>
          </cell>
          <cell r="S857" t="str">
            <v>PRM</v>
          </cell>
          <cell r="T857" t="str">
            <v>PJK</v>
          </cell>
          <cell r="U857" t="str">
            <v>-</v>
          </cell>
          <cell r="V857" t="str">
            <v>P</v>
          </cell>
          <cell r="W857">
            <v>34</v>
          </cell>
        </row>
        <row r="858">
          <cell r="A858">
            <v>10602</v>
          </cell>
          <cell r="B858" t="str">
            <v>010602</v>
          </cell>
          <cell r="C858" t="str">
            <v>NURUL SEPTIYANI</v>
          </cell>
          <cell r="D858" t="str">
            <v>SAMI</v>
          </cell>
          <cell r="E858" t="str">
            <v>OPT-276</v>
          </cell>
          <cell r="F858">
            <v>40544</v>
          </cell>
          <cell r="G858" t="str">
            <v>-</v>
          </cell>
          <cell r="H858" t="str">
            <v>-</v>
          </cell>
          <cell r="I858" t="str">
            <v>QA</v>
          </cell>
          <cell r="J858" t="str">
            <v>FINAL ASSY</v>
          </cell>
          <cell r="K858" t="str">
            <v>MAZDA 3</v>
          </cell>
          <cell r="L858" t="str">
            <v>MAZDA REAR</v>
          </cell>
          <cell r="M858" t="str">
            <v>CV M01</v>
          </cell>
          <cell r="N858" t="str">
            <v>GL INSPECTION</v>
          </cell>
          <cell r="O858" t="str">
            <v>GL</v>
          </cell>
          <cell r="P858" t="str">
            <v>A</v>
          </cell>
          <cell r="Q858" t="str">
            <v>PI</v>
          </cell>
          <cell r="R858" t="str">
            <v>PERMANENT</v>
          </cell>
          <cell r="S858" t="str">
            <v>PRM</v>
          </cell>
          <cell r="T858" t="str">
            <v>GL</v>
          </cell>
          <cell r="U858" t="str">
            <v>-</v>
          </cell>
          <cell r="V858" t="str">
            <v>P</v>
          </cell>
          <cell r="W858">
            <v>34</v>
          </cell>
        </row>
        <row r="859">
          <cell r="A859">
            <v>11733</v>
          </cell>
          <cell r="B859" t="str">
            <v>011733</v>
          </cell>
          <cell r="C859" t="str">
            <v>MAR'ATUS SHOLIKAH</v>
          </cell>
          <cell r="D859" t="str">
            <v>SAMI</v>
          </cell>
          <cell r="E859" t="str">
            <v>OPT-308</v>
          </cell>
          <cell r="F859">
            <v>40714</v>
          </cell>
          <cell r="G859" t="str">
            <v>-</v>
          </cell>
          <cell r="H859" t="str">
            <v>-</v>
          </cell>
          <cell r="I859" t="str">
            <v>PRD</v>
          </cell>
          <cell r="J859" t="str">
            <v>FINAL ASSY</v>
          </cell>
          <cell r="K859" t="str">
            <v>TOYOTA HV</v>
          </cell>
          <cell r="L859" t="str">
            <v>HV TOYOTA NIKEL</v>
          </cell>
          <cell r="M859" t="str">
            <v>CV HV 07</v>
          </cell>
          <cell r="N859" t="str">
            <v>FBBO-02, INTERMEDIATE, ASM BBM</v>
          </cell>
          <cell r="O859" t="str">
            <v>WFAP 2.2</v>
          </cell>
          <cell r="P859" t="str">
            <v>A</v>
          </cell>
          <cell r="Q859" t="str">
            <v>DL</v>
          </cell>
          <cell r="R859" t="str">
            <v>PERMANENT</v>
          </cell>
          <cell r="S859" t="str">
            <v>PRM</v>
          </cell>
          <cell r="T859" t="str">
            <v>OPT</v>
          </cell>
          <cell r="U859" t="str">
            <v>-</v>
          </cell>
          <cell r="V859" t="str">
            <v>P</v>
          </cell>
          <cell r="W859">
            <v>31</v>
          </cell>
        </row>
        <row r="860">
          <cell r="A860">
            <v>20963</v>
          </cell>
          <cell r="B860" t="str">
            <v>020963</v>
          </cell>
          <cell r="C860" t="str">
            <v>ULIL ALBAB SAPUTRA</v>
          </cell>
          <cell r="D860" t="str">
            <v>SAMI</v>
          </cell>
          <cell r="E860" t="str">
            <v>OPT-511</v>
          </cell>
          <cell r="F860">
            <v>42667</v>
          </cell>
          <cell r="G860" t="str">
            <v>-</v>
          </cell>
          <cell r="H860" t="str">
            <v>-</v>
          </cell>
          <cell r="I860" t="str">
            <v>PRD</v>
          </cell>
          <cell r="J860" t="str">
            <v>FINAL ASSY</v>
          </cell>
          <cell r="K860" t="str">
            <v>TOYOTA HV</v>
          </cell>
          <cell r="L860" t="str">
            <v>HV TOYOTA NIKEL</v>
          </cell>
          <cell r="M860" t="str">
            <v>CV HV 07</v>
          </cell>
          <cell r="N860" t="str">
            <v>LQC</v>
          </cell>
          <cell r="O860" t="str">
            <v>RELIEF</v>
          </cell>
          <cell r="P860" t="str">
            <v>A</v>
          </cell>
          <cell r="Q860" t="str">
            <v>PI</v>
          </cell>
          <cell r="R860" t="str">
            <v>PERMANENT</v>
          </cell>
          <cell r="S860" t="str">
            <v>PRM</v>
          </cell>
          <cell r="T860" t="str">
            <v>PJK</v>
          </cell>
          <cell r="U860" t="str">
            <v>-</v>
          </cell>
          <cell r="V860" t="str">
            <v>L</v>
          </cell>
          <cell r="W860">
            <v>25</v>
          </cell>
        </row>
        <row r="861">
          <cell r="A861">
            <v>10608</v>
          </cell>
          <cell r="B861" t="str">
            <v>010608</v>
          </cell>
          <cell r="C861" t="str">
            <v>SITI MUKAROMAH</v>
          </cell>
          <cell r="D861" t="str">
            <v>SAMI</v>
          </cell>
          <cell r="E861" t="str">
            <v>OPT-276</v>
          </cell>
          <cell r="F861">
            <v>40544</v>
          </cell>
          <cell r="G861" t="str">
            <v>-</v>
          </cell>
          <cell r="H861" t="str">
            <v>-</v>
          </cell>
          <cell r="I861" t="str">
            <v>PGA</v>
          </cell>
          <cell r="J861" t="str">
            <v>GA</v>
          </cell>
          <cell r="K861" t="str">
            <v>ALL</v>
          </cell>
          <cell r="L861" t="str">
            <v>ALL</v>
          </cell>
          <cell r="M861" t="str">
            <v>GA</v>
          </cell>
          <cell r="N861" t="str">
            <v>LEADER</v>
          </cell>
          <cell r="O861" t="str">
            <v>IDL LL</v>
          </cell>
          <cell r="P861" t="str">
            <v>A (NS)</v>
          </cell>
          <cell r="Q861" t="str">
            <v>ADM</v>
          </cell>
          <cell r="R861" t="str">
            <v>PERMANENT</v>
          </cell>
          <cell r="S861" t="str">
            <v>PRM</v>
          </cell>
          <cell r="T861" t="str">
            <v>LL</v>
          </cell>
          <cell r="U861" t="str">
            <v>-</v>
          </cell>
          <cell r="V861" t="str">
            <v>P</v>
          </cell>
          <cell r="W861">
            <v>35</v>
          </cell>
        </row>
        <row r="862">
          <cell r="A862">
            <v>21845</v>
          </cell>
          <cell r="B862" t="str">
            <v>021845</v>
          </cell>
          <cell r="C862" t="str">
            <v>NOVIA TRIANA PUTRI</v>
          </cell>
          <cell r="D862" t="str">
            <v>SAMI</v>
          </cell>
          <cell r="E862" t="str">
            <v>OPT-541</v>
          </cell>
          <cell r="F862">
            <v>43098</v>
          </cell>
          <cell r="G862" t="str">
            <v>-</v>
          </cell>
          <cell r="H862" t="str">
            <v>-</v>
          </cell>
          <cell r="I862" t="str">
            <v>PRD</v>
          </cell>
          <cell r="J862" t="str">
            <v>FINAL ASSY</v>
          </cell>
          <cell r="K862" t="str">
            <v>TOYOTA HV</v>
          </cell>
          <cell r="L862" t="str">
            <v>HV TOYOTA NIKEL</v>
          </cell>
          <cell r="M862" t="str">
            <v>CV HV 07</v>
          </cell>
          <cell r="N862" t="str">
            <v>VISUAL 1.1</v>
          </cell>
          <cell r="O862" t="str">
            <v>VISUAL INSPECTION</v>
          </cell>
          <cell r="P862" t="str">
            <v>A</v>
          </cell>
          <cell r="Q862" t="str">
            <v>DL</v>
          </cell>
          <cell r="R862" t="str">
            <v>PERMANENT</v>
          </cell>
          <cell r="S862" t="str">
            <v>PRM</v>
          </cell>
          <cell r="T862" t="str">
            <v>OPT</v>
          </cell>
          <cell r="U862" t="str">
            <v>-</v>
          </cell>
          <cell r="V862" t="str">
            <v>P</v>
          </cell>
          <cell r="W862">
            <v>25</v>
          </cell>
        </row>
        <row r="863">
          <cell r="A863">
            <v>25041</v>
          </cell>
          <cell r="B863" t="str">
            <v>025041</v>
          </cell>
          <cell r="C863" t="str">
            <v>IKA SETYANINGSIH</v>
          </cell>
          <cell r="D863" t="str">
            <v>SAMI</v>
          </cell>
          <cell r="E863" t="str">
            <v>OPT-609</v>
          </cell>
          <cell r="F863">
            <v>43817</v>
          </cell>
          <cell r="G863" t="str">
            <v>-</v>
          </cell>
          <cell r="H863" t="str">
            <v>-</v>
          </cell>
          <cell r="I863" t="str">
            <v>PRD</v>
          </cell>
          <cell r="J863" t="str">
            <v>FINAL ASSY</v>
          </cell>
          <cell r="K863" t="str">
            <v>TOYOTA HV</v>
          </cell>
          <cell r="L863" t="str">
            <v>HV TOYOTA NIKEL</v>
          </cell>
          <cell r="M863" t="str">
            <v>CV HV 07</v>
          </cell>
          <cell r="N863" t="str">
            <v>FBBO-01, INTERMEDIATE, ASM BBM</v>
          </cell>
          <cell r="O863" t="str">
            <v>WFAP 2.2</v>
          </cell>
          <cell r="P863" t="str">
            <v>A</v>
          </cell>
          <cell r="Q863" t="str">
            <v>DL</v>
          </cell>
          <cell r="R863" t="str">
            <v>PERMANENT</v>
          </cell>
          <cell r="S863" t="str">
            <v>PRM</v>
          </cell>
          <cell r="T863" t="str">
            <v>OPT</v>
          </cell>
          <cell r="U863" t="str">
            <v>-</v>
          </cell>
          <cell r="V863" t="str">
            <v>P</v>
          </cell>
          <cell r="W863">
            <v>26</v>
          </cell>
        </row>
        <row r="864">
          <cell r="A864">
            <v>10619</v>
          </cell>
          <cell r="B864" t="str">
            <v>010619</v>
          </cell>
          <cell r="C864" t="str">
            <v>CHRISIA GITA LINDANINGTYAS</v>
          </cell>
          <cell r="D864" t="str">
            <v>SAMI</v>
          </cell>
          <cell r="E864" t="str">
            <v>OPT-278</v>
          </cell>
          <cell r="F864">
            <v>40549</v>
          </cell>
          <cell r="G864" t="str">
            <v>-</v>
          </cell>
          <cell r="H864" t="str">
            <v>-</v>
          </cell>
          <cell r="I864" t="str">
            <v>QA</v>
          </cell>
          <cell r="J864" t="str">
            <v>FINAL ASSY</v>
          </cell>
          <cell r="K864" t="str">
            <v>HONDA FREED</v>
          </cell>
          <cell r="L864" t="str">
            <v>HONDA FREED W/H FLOOR</v>
          </cell>
          <cell r="M864" t="str">
            <v>CV 4</v>
          </cell>
          <cell r="N864" t="str">
            <v>PJK INSP</v>
          </cell>
          <cell r="O864" t="str">
            <v>RELIEF</v>
          </cell>
          <cell r="P864" t="str">
            <v>A</v>
          </cell>
          <cell r="Q864" t="str">
            <v>PI</v>
          </cell>
          <cell r="R864" t="str">
            <v>PERMANENT</v>
          </cell>
          <cell r="S864" t="str">
            <v>PRM</v>
          </cell>
          <cell r="T864" t="str">
            <v>PJK</v>
          </cell>
          <cell r="U864" t="str">
            <v>-</v>
          </cell>
          <cell r="V864" t="str">
            <v>P</v>
          </cell>
          <cell r="W864">
            <v>32</v>
          </cell>
        </row>
        <row r="865">
          <cell r="A865">
            <v>10624</v>
          </cell>
          <cell r="B865" t="str">
            <v>010624</v>
          </cell>
          <cell r="C865" t="str">
            <v>ENDAH NURLITA SARI</v>
          </cell>
          <cell r="D865" t="str">
            <v>SAMI</v>
          </cell>
          <cell r="E865" t="str">
            <v>OPT-278</v>
          </cell>
          <cell r="F865">
            <v>40549</v>
          </cell>
          <cell r="G865" t="str">
            <v>-</v>
          </cell>
          <cell r="H865" t="str">
            <v>-</v>
          </cell>
          <cell r="I865" t="str">
            <v>QA</v>
          </cell>
          <cell r="J865" t="str">
            <v>NON LINE</v>
          </cell>
          <cell r="K865" t="str">
            <v>ALL</v>
          </cell>
          <cell r="L865" t="str">
            <v>ALL</v>
          </cell>
          <cell r="M865" t="str">
            <v>PPAP</v>
          </cell>
          <cell r="N865" t="str">
            <v>HDR - ES TEST</v>
          </cell>
          <cell r="O865" t="str">
            <v>PPAP</v>
          </cell>
          <cell r="P865" t="str">
            <v>A (NS)</v>
          </cell>
          <cell r="Q865" t="str">
            <v>PS</v>
          </cell>
          <cell r="R865" t="str">
            <v>PERMANENT</v>
          </cell>
          <cell r="S865" t="str">
            <v>PRM</v>
          </cell>
          <cell r="T865" t="str">
            <v>OPT</v>
          </cell>
          <cell r="U865" t="str">
            <v>-</v>
          </cell>
          <cell r="V865" t="str">
            <v>P</v>
          </cell>
          <cell r="W865">
            <v>31</v>
          </cell>
        </row>
        <row r="866">
          <cell r="A866">
            <v>10629</v>
          </cell>
          <cell r="B866" t="str">
            <v>010629</v>
          </cell>
          <cell r="C866" t="str">
            <v>KUKOH SUKADEWI</v>
          </cell>
          <cell r="D866" t="str">
            <v>SAMI</v>
          </cell>
          <cell r="E866" t="str">
            <v>OPT-278</v>
          </cell>
          <cell r="F866">
            <v>40549</v>
          </cell>
          <cell r="G866" t="str">
            <v>-</v>
          </cell>
          <cell r="H866" t="str">
            <v>-</v>
          </cell>
          <cell r="I866" t="str">
            <v>PRD</v>
          </cell>
          <cell r="J866" t="str">
            <v>FINAL ASSY</v>
          </cell>
          <cell r="K866" t="str">
            <v>NISSAN HV</v>
          </cell>
          <cell r="L866" t="str">
            <v>HV NISSAN</v>
          </cell>
          <cell r="M866" t="str">
            <v>CV HV 05A</v>
          </cell>
          <cell r="N866" t="str">
            <v>S/A 1, SILICON</v>
          </cell>
          <cell r="O866" t="str">
            <v>SUB ASSY</v>
          </cell>
          <cell r="P866" t="str">
            <v>B</v>
          </cell>
          <cell r="Q866" t="str">
            <v>DL</v>
          </cell>
          <cell r="R866" t="str">
            <v>PERMANENT</v>
          </cell>
          <cell r="S866" t="str">
            <v>PRM</v>
          </cell>
          <cell r="T866" t="str">
            <v>OPT</v>
          </cell>
          <cell r="U866" t="str">
            <v>-</v>
          </cell>
          <cell r="V866" t="str">
            <v>P</v>
          </cell>
          <cell r="W866">
            <v>32</v>
          </cell>
        </row>
        <row r="867">
          <cell r="A867">
            <v>10632</v>
          </cell>
          <cell r="B867" t="str">
            <v>010632</v>
          </cell>
          <cell r="C867" t="str">
            <v>MUHAMMAD SHOLEH</v>
          </cell>
          <cell r="D867" t="str">
            <v>SAMI</v>
          </cell>
          <cell r="E867" t="str">
            <v>OPT-278</v>
          </cell>
          <cell r="F867">
            <v>40549</v>
          </cell>
          <cell r="G867" t="str">
            <v>-</v>
          </cell>
          <cell r="H867" t="str">
            <v>-</v>
          </cell>
          <cell r="I867" t="str">
            <v>PRD</v>
          </cell>
          <cell r="J867" t="str">
            <v>FINAL ASSY</v>
          </cell>
          <cell r="K867" t="str">
            <v>TOYOTA HV</v>
          </cell>
          <cell r="L867" t="str">
            <v>HV TOYOTA UNDERFLOOR</v>
          </cell>
          <cell r="M867" t="str">
            <v>CV HV 09</v>
          </cell>
          <cell r="N867" t="str">
            <v>LQC</v>
          </cell>
          <cell r="O867" t="str">
            <v>RELIEF</v>
          </cell>
          <cell r="P867" t="str">
            <v>B</v>
          </cell>
          <cell r="Q867" t="str">
            <v>PI</v>
          </cell>
          <cell r="R867" t="str">
            <v>PERMANENT</v>
          </cell>
          <cell r="S867" t="str">
            <v>PRM</v>
          </cell>
          <cell r="T867" t="str">
            <v>PJK</v>
          </cell>
          <cell r="U867" t="str">
            <v>-</v>
          </cell>
          <cell r="V867" t="str">
            <v>L</v>
          </cell>
          <cell r="W867">
            <v>34</v>
          </cell>
        </row>
        <row r="868">
          <cell r="A868">
            <v>324</v>
          </cell>
          <cell r="B868" t="str">
            <v>000324</v>
          </cell>
          <cell r="C868" t="str">
            <v>SUMIYATI</v>
          </cell>
          <cell r="D868" t="str">
            <v>SAMI</v>
          </cell>
          <cell r="E868" t="str">
            <v>OPT-9</v>
          </cell>
          <cell r="F868">
            <v>37725</v>
          </cell>
          <cell r="G868" t="str">
            <v>-</v>
          </cell>
          <cell r="H868" t="str">
            <v>-</v>
          </cell>
          <cell r="I868" t="str">
            <v>PRD</v>
          </cell>
          <cell r="J868" t="str">
            <v>FINAL ASSY</v>
          </cell>
          <cell r="K868" t="str">
            <v>TOYOTA HV</v>
          </cell>
          <cell r="L868" t="str">
            <v xml:space="preserve">HV TOYOTA AC </v>
          </cell>
          <cell r="M868" t="str">
            <v>CV HV 10A</v>
          </cell>
          <cell r="N868" t="str">
            <v>PRD LINE CHO</v>
          </cell>
          <cell r="O868" t="str">
            <v>FPI LL</v>
          </cell>
          <cell r="P868" t="str">
            <v>A</v>
          </cell>
          <cell r="Q868" t="str">
            <v>PI</v>
          </cell>
          <cell r="R868" t="str">
            <v>PERMANENT</v>
          </cell>
          <cell r="S868" t="str">
            <v>PRM</v>
          </cell>
          <cell r="T868" t="str">
            <v>LC</v>
          </cell>
          <cell r="U868" t="str">
            <v>-</v>
          </cell>
          <cell r="V868" t="str">
            <v>P</v>
          </cell>
          <cell r="W868">
            <v>42</v>
          </cell>
        </row>
        <row r="869">
          <cell r="A869">
            <v>10637</v>
          </cell>
          <cell r="B869" t="str">
            <v>010637</v>
          </cell>
          <cell r="C869" t="str">
            <v>SITI MUTOHAROH</v>
          </cell>
          <cell r="D869" t="str">
            <v>SAMI</v>
          </cell>
          <cell r="E869" t="str">
            <v>OPT-278</v>
          </cell>
          <cell r="F869">
            <v>40549</v>
          </cell>
          <cell r="G869" t="str">
            <v>-</v>
          </cell>
          <cell r="H869" t="str">
            <v>-</v>
          </cell>
          <cell r="I869" t="str">
            <v>PRD</v>
          </cell>
          <cell r="J869" t="str">
            <v>FINAL ASSY</v>
          </cell>
          <cell r="K869" t="str">
            <v>HONDA BBP</v>
          </cell>
          <cell r="L869" t="str">
            <v>HV HONDA 5JLA BBP</v>
          </cell>
          <cell r="M869" t="str">
            <v>CV HV 04A</v>
          </cell>
          <cell r="N869" t="str">
            <v>VISUAL 141, 142</v>
          </cell>
          <cell r="O869" t="str">
            <v>VISUAL INSPECTION</v>
          </cell>
          <cell r="P869" t="str">
            <v>B</v>
          </cell>
          <cell r="Q869" t="str">
            <v>DL</v>
          </cell>
          <cell r="R869" t="str">
            <v>PERMANENT</v>
          </cell>
          <cell r="S869" t="str">
            <v>PRM</v>
          </cell>
          <cell r="T869" t="str">
            <v>OPT</v>
          </cell>
          <cell r="U869" t="str">
            <v>-</v>
          </cell>
          <cell r="V869" t="str">
            <v>P</v>
          </cell>
          <cell r="W869">
            <v>32</v>
          </cell>
        </row>
        <row r="870">
          <cell r="A870">
            <v>8695</v>
          </cell>
          <cell r="B870" t="str">
            <v>008695</v>
          </cell>
          <cell r="C870" t="str">
            <v>RUWAIDAH</v>
          </cell>
          <cell r="D870" t="str">
            <v>SAMI</v>
          </cell>
          <cell r="E870" t="str">
            <v>OPT-190</v>
          </cell>
          <cell r="F870">
            <v>39888</v>
          </cell>
          <cell r="G870" t="str">
            <v>-</v>
          </cell>
          <cell r="H870" t="str">
            <v>-</v>
          </cell>
          <cell r="I870" t="str">
            <v>PRD</v>
          </cell>
          <cell r="J870" t="str">
            <v>FINAL ASSY</v>
          </cell>
          <cell r="K870" t="str">
            <v>TOYOTA HV</v>
          </cell>
          <cell r="L870" t="str">
            <v xml:space="preserve">HV TOYOTA AC </v>
          </cell>
          <cell r="M870" t="str">
            <v>CV HV 10A</v>
          </cell>
          <cell r="N870" t="str">
            <v>SUB LINE CHO</v>
          </cell>
          <cell r="O870" t="str">
            <v>GL</v>
          </cell>
          <cell r="P870" t="str">
            <v>A</v>
          </cell>
          <cell r="Q870" t="str">
            <v>PI</v>
          </cell>
          <cell r="R870" t="str">
            <v>PERMANENT</v>
          </cell>
          <cell r="S870" t="str">
            <v>PRM</v>
          </cell>
          <cell r="T870" t="str">
            <v>SLC</v>
          </cell>
          <cell r="U870" t="str">
            <v>-</v>
          </cell>
          <cell r="V870" t="str">
            <v>P</v>
          </cell>
          <cell r="W870">
            <v>35</v>
          </cell>
        </row>
        <row r="871">
          <cell r="A871">
            <v>10642</v>
          </cell>
          <cell r="B871" t="str">
            <v>010642</v>
          </cell>
          <cell r="C871" t="str">
            <v>YANI WIDIASTUTI</v>
          </cell>
          <cell r="D871" t="str">
            <v>SAMI</v>
          </cell>
          <cell r="E871" t="str">
            <v>OPT-278</v>
          </cell>
          <cell r="F871">
            <v>40549</v>
          </cell>
          <cell r="G871" t="str">
            <v>-</v>
          </cell>
          <cell r="H871" t="str">
            <v>-</v>
          </cell>
          <cell r="I871" t="str">
            <v>PRD</v>
          </cell>
          <cell r="J871" t="str">
            <v>FINAL ASSY</v>
          </cell>
          <cell r="K871" t="str">
            <v>HONDA NES</v>
          </cell>
          <cell r="L871" t="str">
            <v>HONDA NES HEV PET ENGINE</v>
          </cell>
          <cell r="M871" t="str">
            <v>CV H03</v>
          </cell>
          <cell r="N871" t="str">
            <v>VISUAL 2.3</v>
          </cell>
          <cell r="O871" t="str">
            <v>VISUAL INSPECTION</v>
          </cell>
          <cell r="P871" t="str">
            <v>B</v>
          </cell>
          <cell r="Q871" t="str">
            <v>DL</v>
          </cell>
          <cell r="R871" t="str">
            <v>PERMANENT</v>
          </cell>
          <cell r="S871" t="str">
            <v>PRM</v>
          </cell>
          <cell r="T871" t="str">
            <v>OPT</v>
          </cell>
          <cell r="U871" t="str">
            <v>-</v>
          </cell>
          <cell r="V871" t="str">
            <v>P</v>
          </cell>
          <cell r="W871">
            <v>37</v>
          </cell>
        </row>
        <row r="872">
          <cell r="A872">
            <v>10646</v>
          </cell>
          <cell r="B872" t="str">
            <v>010646</v>
          </cell>
          <cell r="C872" t="str">
            <v>AHMAD YAENURI</v>
          </cell>
          <cell r="D872" t="str">
            <v>SAMI</v>
          </cell>
          <cell r="E872" t="str">
            <v>OPT-279</v>
          </cell>
          <cell r="F872">
            <v>40553</v>
          </cell>
          <cell r="G872" t="str">
            <v>-</v>
          </cell>
          <cell r="H872" t="str">
            <v>-</v>
          </cell>
          <cell r="I872" t="str">
            <v>PRD</v>
          </cell>
          <cell r="J872" t="str">
            <v>FINAL ASSY</v>
          </cell>
          <cell r="K872" t="str">
            <v>HONDA BBP</v>
          </cell>
          <cell r="L872" t="str">
            <v>HV HONDA 5JLA BBP</v>
          </cell>
          <cell r="M872" t="str">
            <v>CV HV 04B</v>
          </cell>
          <cell r="N872" t="str">
            <v>PRD LINE CHO</v>
          </cell>
          <cell r="O872" t="str">
            <v>FPI LL</v>
          </cell>
          <cell r="P872" t="str">
            <v>B</v>
          </cell>
          <cell r="Q872" t="str">
            <v>PI</v>
          </cell>
          <cell r="R872" t="str">
            <v>PERMANENT</v>
          </cell>
          <cell r="S872" t="str">
            <v>PRM</v>
          </cell>
          <cell r="T872" t="str">
            <v>LC</v>
          </cell>
          <cell r="U872" t="str">
            <v>-</v>
          </cell>
          <cell r="V872" t="str">
            <v>L</v>
          </cell>
          <cell r="W872">
            <v>33</v>
          </cell>
        </row>
        <row r="873">
          <cell r="A873">
            <v>10679</v>
          </cell>
          <cell r="B873" t="str">
            <v>010679</v>
          </cell>
          <cell r="C873" t="str">
            <v>SAFAROTUL MU'AZIZAH</v>
          </cell>
          <cell r="D873" t="str">
            <v>SAMI</v>
          </cell>
          <cell r="E873" t="str">
            <v>OPT-279</v>
          </cell>
          <cell r="F873">
            <v>40553</v>
          </cell>
          <cell r="G873" t="str">
            <v>-</v>
          </cell>
          <cell r="H873" t="str">
            <v>-</v>
          </cell>
          <cell r="I873" t="str">
            <v>PRD</v>
          </cell>
          <cell r="J873" t="str">
            <v>FINAL ASSY</v>
          </cell>
          <cell r="K873" t="str">
            <v>HONDA FIT</v>
          </cell>
          <cell r="L873" t="str">
            <v>HONDA FIT HEV PET ENGINE</v>
          </cell>
          <cell r="M873" t="str">
            <v>CV H02</v>
          </cell>
          <cell r="N873" t="str">
            <v>RELIEF 2</v>
          </cell>
          <cell r="O873" t="str">
            <v>RELIEF</v>
          </cell>
          <cell r="P873" t="str">
            <v>B</v>
          </cell>
          <cell r="Q873" t="str">
            <v>PI</v>
          </cell>
          <cell r="R873" t="str">
            <v>PERMANENT</v>
          </cell>
          <cell r="S873" t="str">
            <v>PRM</v>
          </cell>
          <cell r="T873" t="str">
            <v>OPT</v>
          </cell>
          <cell r="U873" t="str">
            <v>-</v>
          </cell>
          <cell r="V873" t="str">
            <v>P</v>
          </cell>
          <cell r="W873">
            <v>33</v>
          </cell>
        </row>
        <row r="874">
          <cell r="A874">
            <v>10688</v>
          </cell>
          <cell r="B874" t="str">
            <v>010688</v>
          </cell>
          <cell r="C874" t="str">
            <v>TAUFIK PAMUJI R.</v>
          </cell>
          <cell r="D874" t="str">
            <v>SAMI</v>
          </cell>
          <cell r="E874" t="str">
            <v>OPT-279</v>
          </cell>
          <cell r="F874">
            <v>40553</v>
          </cell>
          <cell r="G874" t="str">
            <v>-</v>
          </cell>
          <cell r="H874" t="str">
            <v>-</v>
          </cell>
          <cell r="I874" t="str">
            <v>LOG</v>
          </cell>
          <cell r="J874" t="str">
            <v>L. DOCK</v>
          </cell>
          <cell r="K874" t="str">
            <v>ALL</v>
          </cell>
          <cell r="L874" t="str">
            <v>ALL</v>
          </cell>
          <cell r="M874" t="str">
            <v>L. DOCK</v>
          </cell>
          <cell r="N874" t="str">
            <v>SUPPORT LD</v>
          </cell>
          <cell r="O874" t="str">
            <v>LD</v>
          </cell>
          <cell r="P874" t="str">
            <v>A (NS)</v>
          </cell>
          <cell r="Q874" t="str">
            <v>PS</v>
          </cell>
          <cell r="R874" t="str">
            <v>PERMANENT</v>
          </cell>
          <cell r="S874" t="str">
            <v>PRM</v>
          </cell>
          <cell r="T874" t="str">
            <v>OPT</v>
          </cell>
          <cell r="U874" t="str">
            <v>-</v>
          </cell>
          <cell r="V874" t="str">
            <v>L</v>
          </cell>
          <cell r="W874">
            <v>35</v>
          </cell>
        </row>
        <row r="875">
          <cell r="A875">
            <v>10698</v>
          </cell>
          <cell r="B875" t="str">
            <v>010698</v>
          </cell>
          <cell r="C875" t="str">
            <v>ELNURANI MARTANINGRUM</v>
          </cell>
          <cell r="D875" t="str">
            <v>SAMI</v>
          </cell>
          <cell r="E875" t="str">
            <v>OPT-280</v>
          </cell>
          <cell r="F875">
            <v>40560</v>
          </cell>
          <cell r="G875" t="str">
            <v>-</v>
          </cell>
          <cell r="H875" t="str">
            <v>-</v>
          </cell>
          <cell r="I875" t="str">
            <v>PRD</v>
          </cell>
          <cell r="J875" t="str">
            <v>PRE ASSY</v>
          </cell>
          <cell r="K875" t="str">
            <v>HONDA NES</v>
          </cell>
          <cell r="L875" t="str">
            <v>HONDA NES</v>
          </cell>
          <cell r="M875" t="str">
            <v>CPA HONDA NES HEV/PET</v>
          </cell>
          <cell r="N875" t="str">
            <v>INSP CUTTING</v>
          </cell>
          <cell r="O875" t="str">
            <v>P/A INSPECTOR</v>
          </cell>
          <cell r="P875" t="str">
            <v>B</v>
          </cell>
          <cell r="Q875" t="str">
            <v>PI</v>
          </cell>
          <cell r="R875" t="str">
            <v>PERMANENT</v>
          </cell>
          <cell r="S875" t="str">
            <v>PRM</v>
          </cell>
          <cell r="T875" t="str">
            <v>OPT</v>
          </cell>
          <cell r="U875" t="str">
            <v>-</v>
          </cell>
          <cell r="V875" t="str">
            <v>P</v>
          </cell>
          <cell r="W875">
            <v>32</v>
          </cell>
        </row>
        <row r="876">
          <cell r="A876">
            <v>10746</v>
          </cell>
          <cell r="B876" t="str">
            <v>010746</v>
          </cell>
          <cell r="C876" t="str">
            <v>NINA BUDIYATI</v>
          </cell>
          <cell r="D876" t="str">
            <v>SAMI</v>
          </cell>
          <cell r="E876" t="str">
            <v>OPT-281</v>
          </cell>
          <cell r="F876">
            <v>40566</v>
          </cell>
          <cell r="G876" t="str">
            <v>-</v>
          </cell>
          <cell r="H876" t="str">
            <v>-</v>
          </cell>
          <cell r="I876" t="str">
            <v>QA</v>
          </cell>
          <cell r="J876" t="str">
            <v>FINAL ASSY</v>
          </cell>
          <cell r="K876" t="str">
            <v>TOYOTA HV</v>
          </cell>
          <cell r="L876" t="str">
            <v>HV TOYOTA AC</v>
          </cell>
          <cell r="M876" t="str">
            <v>CV HV 10B</v>
          </cell>
          <cell r="N876" t="str">
            <v>DC FUSE</v>
          </cell>
          <cell r="O876" t="str">
            <v>DC</v>
          </cell>
          <cell r="P876" t="str">
            <v>A</v>
          </cell>
          <cell r="Q876" t="str">
            <v>PI</v>
          </cell>
          <cell r="R876" t="str">
            <v>PERMANENT</v>
          </cell>
          <cell r="S876" t="str">
            <v>PRM</v>
          </cell>
          <cell r="T876" t="str">
            <v>OPT</v>
          </cell>
          <cell r="U876" t="str">
            <v>-</v>
          </cell>
          <cell r="V876" t="str">
            <v>P</v>
          </cell>
          <cell r="W876">
            <v>31</v>
          </cell>
        </row>
        <row r="877">
          <cell r="A877">
            <v>10497</v>
          </cell>
          <cell r="B877" t="str">
            <v>010497</v>
          </cell>
          <cell r="C877" t="str">
            <v>DEVI RATNA PUTRI</v>
          </cell>
          <cell r="D877" t="str">
            <v>SAMI</v>
          </cell>
          <cell r="E877" t="str">
            <v>OPT-273</v>
          </cell>
          <cell r="F877">
            <v>40535</v>
          </cell>
          <cell r="G877" t="str">
            <v>-</v>
          </cell>
          <cell r="H877" t="str">
            <v>-</v>
          </cell>
          <cell r="I877" t="str">
            <v>PRD</v>
          </cell>
          <cell r="J877" t="str">
            <v>FINAL ASSY</v>
          </cell>
          <cell r="K877" t="str">
            <v>TOYOTA HV</v>
          </cell>
          <cell r="L877" t="str">
            <v xml:space="preserve">HV TOYOTA AC </v>
          </cell>
          <cell r="M877" t="str">
            <v>CV HV 10A</v>
          </cell>
          <cell r="N877" t="str">
            <v>BFT-1</v>
          </cell>
          <cell r="O877" t="str">
            <v>ASSEMBLY</v>
          </cell>
          <cell r="P877" t="str">
            <v>A</v>
          </cell>
          <cell r="Q877" t="str">
            <v>DL</v>
          </cell>
          <cell r="R877" t="str">
            <v>PERMANENT</v>
          </cell>
          <cell r="S877" t="str">
            <v>PRM</v>
          </cell>
          <cell r="T877" t="str">
            <v>OPT</v>
          </cell>
          <cell r="U877" t="str">
            <v>-</v>
          </cell>
          <cell r="V877" t="str">
            <v>P</v>
          </cell>
          <cell r="W877">
            <v>33</v>
          </cell>
        </row>
        <row r="878">
          <cell r="A878">
            <v>10575</v>
          </cell>
          <cell r="B878" t="str">
            <v>010575</v>
          </cell>
          <cell r="C878" t="str">
            <v>UMI CHOLIFAH</v>
          </cell>
          <cell r="D878" t="str">
            <v>SAMI</v>
          </cell>
          <cell r="E878" t="str">
            <v>OPT-275</v>
          </cell>
          <cell r="F878">
            <v>40542</v>
          </cell>
          <cell r="G878" t="str">
            <v>-</v>
          </cell>
          <cell r="H878" t="str">
            <v>-</v>
          </cell>
          <cell r="I878" t="str">
            <v>PRD</v>
          </cell>
          <cell r="J878" t="str">
            <v>FINAL ASSY</v>
          </cell>
          <cell r="K878" t="str">
            <v>TOYOTA HV</v>
          </cell>
          <cell r="L878" t="str">
            <v xml:space="preserve">HV TOYOTA AC </v>
          </cell>
          <cell r="M878" t="str">
            <v>CV HV 10A</v>
          </cell>
          <cell r="N878" t="str">
            <v>OJT MAEKOTEI 3</v>
          </cell>
          <cell r="O878" t="str">
            <v>OTHERS</v>
          </cell>
          <cell r="P878" t="str">
            <v>A</v>
          </cell>
          <cell r="Q878" t="str">
            <v>PI</v>
          </cell>
          <cell r="R878" t="str">
            <v>PERMANENT</v>
          </cell>
          <cell r="S878" t="str">
            <v>PRM</v>
          </cell>
          <cell r="T878" t="str">
            <v>OPT</v>
          </cell>
          <cell r="U878" t="str">
            <v>-</v>
          </cell>
          <cell r="V878" t="str">
            <v>P</v>
          </cell>
          <cell r="W878">
            <v>32</v>
          </cell>
        </row>
        <row r="879">
          <cell r="A879">
            <v>11267</v>
          </cell>
          <cell r="B879" t="str">
            <v>011267</v>
          </cell>
          <cell r="C879" t="str">
            <v>NISA UMAROH</v>
          </cell>
          <cell r="D879" t="str">
            <v>SAMI</v>
          </cell>
          <cell r="E879" t="str">
            <v>OPT-294</v>
          </cell>
          <cell r="F879">
            <v>40617</v>
          </cell>
          <cell r="G879" t="str">
            <v>-</v>
          </cell>
          <cell r="H879" t="str">
            <v>-</v>
          </cell>
          <cell r="I879" t="str">
            <v>PRD</v>
          </cell>
          <cell r="J879" t="str">
            <v>FINAL ASSY</v>
          </cell>
          <cell r="K879" t="str">
            <v>TOYOTA HV</v>
          </cell>
          <cell r="L879" t="str">
            <v xml:space="preserve">HV TOYOTA AC </v>
          </cell>
          <cell r="M879" t="str">
            <v>CV HV 10A</v>
          </cell>
          <cell r="N879" t="str">
            <v>MAEKOTEI 1</v>
          </cell>
          <cell r="O879" t="str">
            <v>WFAP 2.2</v>
          </cell>
          <cell r="P879" t="str">
            <v>A</v>
          </cell>
          <cell r="Q879" t="str">
            <v>DL</v>
          </cell>
          <cell r="R879" t="str">
            <v>PERMANENT</v>
          </cell>
          <cell r="S879" t="str">
            <v>PRM</v>
          </cell>
          <cell r="T879" t="str">
            <v>OPT</v>
          </cell>
          <cell r="U879" t="str">
            <v>-</v>
          </cell>
          <cell r="V879" t="str">
            <v>P</v>
          </cell>
          <cell r="W879">
            <v>34</v>
          </cell>
        </row>
        <row r="880">
          <cell r="A880">
            <v>10767</v>
          </cell>
          <cell r="B880" t="str">
            <v>010767</v>
          </cell>
          <cell r="C880" t="str">
            <v>ARIES UMI KUSMIAH</v>
          </cell>
          <cell r="D880" t="str">
            <v>SAMI</v>
          </cell>
          <cell r="E880" t="str">
            <v>OPT-282</v>
          </cell>
          <cell r="F880">
            <v>40567</v>
          </cell>
          <cell r="G880" t="str">
            <v>-</v>
          </cell>
          <cell r="H880" t="str">
            <v>-</v>
          </cell>
          <cell r="I880" t="str">
            <v>PRD</v>
          </cell>
          <cell r="J880" t="str">
            <v>FINAL ASSY</v>
          </cell>
          <cell r="K880" t="str">
            <v>TOYOTA</v>
          </cell>
          <cell r="L880" t="str">
            <v>AQUA SIENTA</v>
          </cell>
          <cell r="M880" t="str">
            <v>CV T02</v>
          </cell>
          <cell r="N880" t="str">
            <v>PRD LINE CHO</v>
          </cell>
          <cell r="O880" t="str">
            <v>FPI LL</v>
          </cell>
          <cell r="P880" t="str">
            <v>B</v>
          </cell>
          <cell r="Q880" t="str">
            <v>PI</v>
          </cell>
          <cell r="R880" t="str">
            <v>PERMANENT</v>
          </cell>
          <cell r="S880" t="str">
            <v>PRM</v>
          </cell>
          <cell r="T880" t="str">
            <v>LC</v>
          </cell>
          <cell r="U880" t="str">
            <v>-</v>
          </cell>
          <cell r="V880" t="str">
            <v>P</v>
          </cell>
          <cell r="W880">
            <v>36</v>
          </cell>
        </row>
        <row r="881">
          <cell r="A881">
            <v>10784</v>
          </cell>
          <cell r="B881" t="str">
            <v>010784</v>
          </cell>
          <cell r="C881" t="str">
            <v>LILIA SETYOASIH</v>
          </cell>
          <cell r="D881" t="str">
            <v>SAMI</v>
          </cell>
          <cell r="E881" t="str">
            <v>OPT-282</v>
          </cell>
          <cell r="F881">
            <v>40567</v>
          </cell>
          <cell r="G881" t="str">
            <v>-</v>
          </cell>
          <cell r="H881" t="str">
            <v>-</v>
          </cell>
          <cell r="I881" t="str">
            <v>QA</v>
          </cell>
          <cell r="J881" t="str">
            <v>FINAL ASSY</v>
          </cell>
          <cell r="K881" t="str">
            <v>TOYOTA HV</v>
          </cell>
          <cell r="L881" t="str">
            <v>TOYOTA HV 10PL</v>
          </cell>
          <cell r="M881" t="str">
            <v>CV HV 14A</v>
          </cell>
          <cell r="N881" t="str">
            <v>GL REWORK</v>
          </cell>
          <cell r="O881" t="str">
            <v>REWORK</v>
          </cell>
          <cell r="P881" t="str">
            <v>B</v>
          </cell>
          <cell r="Q881" t="str">
            <v>PI</v>
          </cell>
          <cell r="R881" t="str">
            <v>PERMANENT</v>
          </cell>
          <cell r="S881" t="str">
            <v>PRM</v>
          </cell>
          <cell r="T881" t="str">
            <v>GL</v>
          </cell>
          <cell r="U881" t="str">
            <v>-</v>
          </cell>
          <cell r="V881" t="str">
            <v>P</v>
          </cell>
          <cell r="W881">
            <v>34</v>
          </cell>
        </row>
        <row r="882">
          <cell r="A882">
            <v>11550</v>
          </cell>
          <cell r="B882" t="str">
            <v>011550</v>
          </cell>
          <cell r="C882" t="str">
            <v>EVI KURNIASARI</v>
          </cell>
          <cell r="D882" t="str">
            <v>SAMI</v>
          </cell>
          <cell r="E882" t="str">
            <v>OPT-307</v>
          </cell>
          <cell r="F882">
            <v>40707</v>
          </cell>
          <cell r="G882" t="str">
            <v>-</v>
          </cell>
          <cell r="H882" t="str">
            <v>-</v>
          </cell>
          <cell r="I882" t="str">
            <v>PRD</v>
          </cell>
          <cell r="J882" t="str">
            <v>FINAL ASSY</v>
          </cell>
          <cell r="K882" t="str">
            <v>TOYOTA HV</v>
          </cell>
          <cell r="L882" t="str">
            <v xml:space="preserve">HV TOYOTA AC </v>
          </cell>
          <cell r="M882" t="str">
            <v>CV HV 10A</v>
          </cell>
          <cell r="N882" t="str">
            <v>VISUAL 2</v>
          </cell>
          <cell r="O882" t="str">
            <v>VISUAL INSPECTION</v>
          </cell>
          <cell r="P882" t="str">
            <v>A</v>
          </cell>
          <cell r="Q882" t="str">
            <v>DL</v>
          </cell>
          <cell r="R882" t="str">
            <v>PERMANENT</v>
          </cell>
          <cell r="S882" t="str">
            <v>PRM</v>
          </cell>
          <cell r="T882" t="str">
            <v>OPT</v>
          </cell>
          <cell r="U882" t="str">
            <v>-</v>
          </cell>
          <cell r="V882" t="str">
            <v>P</v>
          </cell>
          <cell r="W882">
            <v>31</v>
          </cell>
        </row>
        <row r="883">
          <cell r="A883">
            <v>10816</v>
          </cell>
          <cell r="B883" t="str">
            <v>010816</v>
          </cell>
          <cell r="C883" t="str">
            <v>ZHAWIN NIKMAH</v>
          </cell>
          <cell r="D883" t="str">
            <v>SAMI</v>
          </cell>
          <cell r="E883" t="str">
            <v>OPT-282</v>
          </cell>
          <cell r="F883">
            <v>40567</v>
          </cell>
          <cell r="G883" t="str">
            <v>-</v>
          </cell>
          <cell r="H883" t="str">
            <v>-</v>
          </cell>
          <cell r="I883" t="str">
            <v>QA</v>
          </cell>
          <cell r="J883" t="str">
            <v>NON LINE</v>
          </cell>
          <cell r="K883" t="str">
            <v>ALL</v>
          </cell>
          <cell r="L883" t="str">
            <v>ALL</v>
          </cell>
          <cell r="M883" t="str">
            <v>RCV - CANDI</v>
          </cell>
          <cell r="N883" t="str">
            <v>SAMPLING &amp; CHECK 100%</v>
          </cell>
          <cell r="O883" t="str">
            <v>RCV</v>
          </cell>
          <cell r="P883" t="str">
            <v>A</v>
          </cell>
          <cell r="Q883" t="str">
            <v>PS</v>
          </cell>
          <cell r="R883" t="str">
            <v>PERMANENT</v>
          </cell>
          <cell r="S883" t="str">
            <v>PRM</v>
          </cell>
          <cell r="T883" t="str">
            <v>OPT</v>
          </cell>
          <cell r="U883" t="str">
            <v>-</v>
          </cell>
          <cell r="V883" t="str">
            <v>P</v>
          </cell>
          <cell r="W883">
            <v>32</v>
          </cell>
        </row>
        <row r="884">
          <cell r="A884">
            <v>11959</v>
          </cell>
          <cell r="B884" t="str">
            <v>011959</v>
          </cell>
          <cell r="C884" t="str">
            <v>RATNA SARI</v>
          </cell>
          <cell r="D884" t="str">
            <v>SAMI</v>
          </cell>
          <cell r="E884" t="str">
            <v>OPT-311</v>
          </cell>
          <cell r="F884">
            <v>40770</v>
          </cell>
          <cell r="G884" t="str">
            <v>-</v>
          </cell>
          <cell r="H884" t="str">
            <v>-</v>
          </cell>
          <cell r="I884" t="str">
            <v>PRD</v>
          </cell>
          <cell r="J884" t="str">
            <v>FINAL ASSY</v>
          </cell>
          <cell r="K884" t="str">
            <v>TOYOTA HV</v>
          </cell>
          <cell r="L884" t="str">
            <v xml:space="preserve">HV TOYOTA AC </v>
          </cell>
          <cell r="M884" t="str">
            <v>CV HV 10A</v>
          </cell>
          <cell r="N884" t="str">
            <v>VISUAL 1</v>
          </cell>
          <cell r="O884" t="str">
            <v>VISUAL INSPECTION</v>
          </cell>
          <cell r="P884" t="str">
            <v>A</v>
          </cell>
          <cell r="Q884" t="str">
            <v>DL</v>
          </cell>
          <cell r="R884" t="str">
            <v>PERMANENT</v>
          </cell>
          <cell r="S884" t="str">
            <v>PRM</v>
          </cell>
          <cell r="T884" t="str">
            <v>OPT</v>
          </cell>
          <cell r="U884" t="str">
            <v>-</v>
          </cell>
          <cell r="V884" t="str">
            <v>P</v>
          </cell>
          <cell r="W884">
            <v>31</v>
          </cell>
        </row>
        <row r="885">
          <cell r="A885">
            <v>10820</v>
          </cell>
          <cell r="B885" t="str">
            <v>010820</v>
          </cell>
          <cell r="C885" t="str">
            <v>AIDHA AYU RACHANDINI PUTRI</v>
          </cell>
          <cell r="D885" t="str">
            <v>SAMI</v>
          </cell>
          <cell r="E885" t="str">
            <v>OPT-283</v>
          </cell>
          <cell r="F885">
            <v>40572</v>
          </cell>
          <cell r="G885" t="str">
            <v>-</v>
          </cell>
          <cell r="H885" t="str">
            <v>-</v>
          </cell>
          <cell r="I885" t="str">
            <v>PRD</v>
          </cell>
          <cell r="J885" t="str">
            <v>PRE ASSY</v>
          </cell>
          <cell r="K885" t="str">
            <v>MAZDA 3</v>
          </cell>
          <cell r="L885" t="str">
            <v>MAZDA REAR</v>
          </cell>
          <cell r="M885" t="str">
            <v>CPA MAZDA J03</v>
          </cell>
          <cell r="N885" t="str">
            <v>INSP CUTTING</v>
          </cell>
          <cell r="O885" t="str">
            <v>P/A INSPECTOR</v>
          </cell>
          <cell r="P885" t="str">
            <v>B</v>
          </cell>
          <cell r="Q885" t="str">
            <v>PI</v>
          </cell>
          <cell r="R885" t="str">
            <v>PERMANENT</v>
          </cell>
          <cell r="S885" t="str">
            <v>PRM</v>
          </cell>
          <cell r="T885" t="str">
            <v>OPT</v>
          </cell>
          <cell r="U885" t="str">
            <v>-</v>
          </cell>
          <cell r="V885" t="str">
            <v>P</v>
          </cell>
          <cell r="W885">
            <v>34</v>
          </cell>
        </row>
        <row r="886">
          <cell r="A886">
            <v>10821</v>
          </cell>
          <cell r="B886" t="str">
            <v>010821</v>
          </cell>
          <cell r="C886" t="str">
            <v>AKHMAD BISRI</v>
          </cell>
          <cell r="D886" t="str">
            <v>SAMI</v>
          </cell>
          <cell r="E886" t="str">
            <v>OPT-283</v>
          </cell>
          <cell r="F886">
            <v>40572</v>
          </cell>
          <cell r="G886" t="str">
            <v>-</v>
          </cell>
          <cell r="H886" t="str">
            <v>-</v>
          </cell>
          <cell r="I886" t="str">
            <v>PRD</v>
          </cell>
          <cell r="J886" t="str">
            <v>PRE ASSY</v>
          </cell>
          <cell r="K886" t="str">
            <v>HONDA FIT</v>
          </cell>
          <cell r="L886" t="str">
            <v>HONDA FIT</v>
          </cell>
          <cell r="M886" t="str">
            <v>CPA HONDA FIT HEV/PET</v>
          </cell>
          <cell r="N886" t="str">
            <v>BFT 1</v>
          </cell>
          <cell r="O886" t="str">
            <v>WFAP 2.2</v>
          </cell>
          <cell r="P886" t="str">
            <v>B</v>
          </cell>
          <cell r="Q886" t="str">
            <v>DL</v>
          </cell>
          <cell r="R886" t="str">
            <v>PERMANENT</v>
          </cell>
          <cell r="S886" t="str">
            <v>PRM</v>
          </cell>
          <cell r="T886" t="str">
            <v>OPT</v>
          </cell>
          <cell r="U886" t="str">
            <v>-</v>
          </cell>
          <cell r="V886" t="str">
            <v>L</v>
          </cell>
          <cell r="W886">
            <v>34</v>
          </cell>
        </row>
        <row r="887">
          <cell r="A887">
            <v>10823</v>
          </cell>
          <cell r="B887" t="str">
            <v>010823</v>
          </cell>
          <cell r="C887" t="str">
            <v>ANWAR MASHARI</v>
          </cell>
          <cell r="D887" t="str">
            <v>SAMI</v>
          </cell>
          <cell r="E887" t="str">
            <v>OPT-283</v>
          </cell>
          <cell r="F887">
            <v>40572</v>
          </cell>
          <cell r="G887" t="str">
            <v>-</v>
          </cell>
          <cell r="H887" t="str">
            <v>-</v>
          </cell>
          <cell r="I887" t="str">
            <v>PGA</v>
          </cell>
          <cell r="J887" t="str">
            <v>TRN &amp; MOTO</v>
          </cell>
          <cell r="K887" t="str">
            <v>ALL</v>
          </cell>
          <cell r="L887" t="str">
            <v>ALL</v>
          </cell>
          <cell r="M887" t="str">
            <v>TRN</v>
          </cell>
          <cell r="N887" t="str">
            <v>TRAINING &amp; 136 RULES</v>
          </cell>
          <cell r="O887" t="str">
            <v>TRN</v>
          </cell>
          <cell r="P887" t="str">
            <v>A (NS)</v>
          </cell>
          <cell r="Q887" t="str">
            <v>ADM</v>
          </cell>
          <cell r="R887" t="str">
            <v>PERMANENT</v>
          </cell>
          <cell r="S887" t="str">
            <v>PRM</v>
          </cell>
          <cell r="T887" t="str">
            <v>OPT</v>
          </cell>
          <cell r="U887" t="str">
            <v>-</v>
          </cell>
          <cell r="V887" t="str">
            <v>L</v>
          </cell>
          <cell r="W887">
            <v>34</v>
          </cell>
        </row>
        <row r="888">
          <cell r="A888">
            <v>10845</v>
          </cell>
          <cell r="B888" t="str">
            <v>010845</v>
          </cell>
          <cell r="C888" t="str">
            <v>MUAZAMAH</v>
          </cell>
          <cell r="D888" t="str">
            <v>SAMI</v>
          </cell>
          <cell r="E888" t="str">
            <v>OPT-283</v>
          </cell>
          <cell r="F888">
            <v>40572</v>
          </cell>
          <cell r="G888" t="str">
            <v>-</v>
          </cell>
          <cell r="H888" t="str">
            <v>-</v>
          </cell>
          <cell r="I888" t="str">
            <v>PRD</v>
          </cell>
          <cell r="J888" t="str">
            <v>NON LINE</v>
          </cell>
          <cell r="K888" t="str">
            <v>ALL</v>
          </cell>
          <cell r="L888" t="str">
            <v>ALL</v>
          </cell>
          <cell r="M888" t="str">
            <v>PRODUCTION QLP</v>
          </cell>
          <cell r="N888" t="str">
            <v>PATROLI ABNORMAL</v>
          </cell>
          <cell r="O888" t="str">
            <v>GL</v>
          </cell>
          <cell r="P888" t="str">
            <v>B</v>
          </cell>
          <cell r="Q888" t="str">
            <v>PI</v>
          </cell>
          <cell r="R888" t="str">
            <v>PERMANENT</v>
          </cell>
          <cell r="S888" t="str">
            <v>PRM</v>
          </cell>
          <cell r="T888" t="str">
            <v>GL</v>
          </cell>
          <cell r="U888" t="str">
            <v>-</v>
          </cell>
          <cell r="V888" t="str">
            <v>P</v>
          </cell>
          <cell r="W888">
            <v>34</v>
          </cell>
        </row>
        <row r="889">
          <cell r="A889">
            <v>12677</v>
          </cell>
          <cell r="B889" t="str">
            <v>012677</v>
          </cell>
          <cell r="C889" t="str">
            <v>MIFTAKUL KHOIR</v>
          </cell>
          <cell r="D889" t="str">
            <v>SAMI</v>
          </cell>
          <cell r="E889" t="str">
            <v>OPT-320</v>
          </cell>
          <cell r="F889">
            <v>40819</v>
          </cell>
          <cell r="G889" t="str">
            <v>-</v>
          </cell>
          <cell r="H889" t="str">
            <v>-</v>
          </cell>
          <cell r="I889" t="str">
            <v>PRD</v>
          </cell>
          <cell r="J889" t="str">
            <v>FINAL ASSY</v>
          </cell>
          <cell r="K889" t="str">
            <v>TOYOTA HV</v>
          </cell>
          <cell r="L889" t="str">
            <v xml:space="preserve">HV TOYOTA AC </v>
          </cell>
          <cell r="M889" t="str">
            <v>CV HV 10A</v>
          </cell>
          <cell r="N889" t="str">
            <v>BFT-2</v>
          </cell>
          <cell r="O889" t="str">
            <v>WFAP 2.2</v>
          </cell>
          <cell r="P889" t="str">
            <v>A</v>
          </cell>
          <cell r="Q889" t="str">
            <v>DL</v>
          </cell>
          <cell r="R889" t="str">
            <v>PERMANENT</v>
          </cell>
          <cell r="S889" t="str">
            <v>PRM</v>
          </cell>
          <cell r="T889" t="str">
            <v>OPT</v>
          </cell>
          <cell r="U889" t="str">
            <v>-</v>
          </cell>
          <cell r="V889" t="str">
            <v>P</v>
          </cell>
          <cell r="W889">
            <v>32</v>
          </cell>
        </row>
        <row r="890">
          <cell r="A890">
            <v>24641</v>
          </cell>
          <cell r="B890" t="str">
            <v>024641</v>
          </cell>
          <cell r="C890" t="str">
            <v>NUNUNG DARWATI</v>
          </cell>
          <cell r="D890" t="str">
            <v>SAMI</v>
          </cell>
          <cell r="E890" t="str">
            <v>OPT-600</v>
          </cell>
          <cell r="F890">
            <v>43696</v>
          </cell>
          <cell r="G890" t="str">
            <v>-</v>
          </cell>
          <cell r="H890" t="str">
            <v>-</v>
          </cell>
          <cell r="I890" t="str">
            <v>PRD</v>
          </cell>
          <cell r="J890" t="str">
            <v>FINAL ASSY</v>
          </cell>
          <cell r="K890" t="str">
            <v>TOYOTA HV</v>
          </cell>
          <cell r="L890" t="str">
            <v xml:space="preserve">HV TOYOTA AC </v>
          </cell>
          <cell r="M890" t="str">
            <v>CV HV 10A</v>
          </cell>
          <cell r="N890" t="str">
            <v>MAEKOTEI 3</v>
          </cell>
          <cell r="O890" t="str">
            <v>WFAP 2.2</v>
          </cell>
          <cell r="P890" t="str">
            <v>A</v>
          </cell>
          <cell r="Q890" t="str">
            <v>DL</v>
          </cell>
          <cell r="R890" t="str">
            <v>PERMANENT</v>
          </cell>
          <cell r="S890" t="str">
            <v>PRM</v>
          </cell>
          <cell r="T890" t="str">
            <v>OPT</v>
          </cell>
          <cell r="U890" t="str">
            <v>-</v>
          </cell>
          <cell r="V890" t="str">
            <v>P</v>
          </cell>
          <cell r="W890">
            <v>24</v>
          </cell>
        </row>
        <row r="891">
          <cell r="A891">
            <v>10853</v>
          </cell>
          <cell r="B891" t="str">
            <v>010853</v>
          </cell>
          <cell r="C891" t="str">
            <v>SEPTI MULYANI</v>
          </cell>
          <cell r="D891" t="str">
            <v>SAMI</v>
          </cell>
          <cell r="E891" t="str">
            <v>OPT-283</v>
          </cell>
          <cell r="F891">
            <v>40572</v>
          </cell>
          <cell r="G891" t="str">
            <v>-</v>
          </cell>
          <cell r="H891" t="str">
            <v>-</v>
          </cell>
          <cell r="I891" t="str">
            <v>PRD</v>
          </cell>
          <cell r="J891" t="str">
            <v>FINAL ASSY</v>
          </cell>
          <cell r="K891" t="str">
            <v>TOYOTA HV</v>
          </cell>
          <cell r="L891" t="str">
            <v>HV TOYOTA 858W 874W BBM</v>
          </cell>
          <cell r="M891" t="str">
            <v>CV HV 15</v>
          </cell>
          <cell r="N891" t="str">
            <v>VISUAL 2</v>
          </cell>
          <cell r="O891" t="str">
            <v>VISUAL INSPECTION</v>
          </cell>
          <cell r="P891" t="str">
            <v>B</v>
          </cell>
          <cell r="Q891" t="str">
            <v>DL</v>
          </cell>
          <cell r="R891" t="str">
            <v>PERMANENT</v>
          </cell>
          <cell r="S891" t="str">
            <v>PRM</v>
          </cell>
          <cell r="T891" t="str">
            <v>OPT</v>
          </cell>
          <cell r="U891" t="str">
            <v>-</v>
          </cell>
          <cell r="V891" t="str">
            <v>P</v>
          </cell>
          <cell r="W891">
            <v>33</v>
          </cell>
        </row>
        <row r="892">
          <cell r="A892">
            <v>10858</v>
          </cell>
          <cell r="B892" t="str">
            <v>010858</v>
          </cell>
          <cell r="C892" t="str">
            <v>SITI NUR KHASANAH</v>
          </cell>
          <cell r="D892" t="str">
            <v>SAMI</v>
          </cell>
          <cell r="E892" t="str">
            <v>OPT-283</v>
          </cell>
          <cell r="F892">
            <v>40572</v>
          </cell>
          <cell r="G892" t="str">
            <v>-</v>
          </cell>
          <cell r="H892" t="str">
            <v>-</v>
          </cell>
          <cell r="I892" t="str">
            <v>PRD</v>
          </cell>
          <cell r="J892" t="str">
            <v>FINAL ASSY</v>
          </cell>
          <cell r="K892" t="str">
            <v>HONDA FREED</v>
          </cell>
          <cell r="L892" t="str">
            <v>HONDA FREED W/H FLOOR</v>
          </cell>
          <cell r="M892" t="str">
            <v>CV 4</v>
          </cell>
          <cell r="N892" t="str">
            <v>VISUAL 1.1</v>
          </cell>
          <cell r="O892" t="str">
            <v>VISUAL INSPECTION</v>
          </cell>
          <cell r="P892" t="str">
            <v>B</v>
          </cell>
          <cell r="Q892" t="str">
            <v>DL</v>
          </cell>
          <cell r="R892" t="str">
            <v>PERMANENT</v>
          </cell>
          <cell r="S892" t="str">
            <v>PRM</v>
          </cell>
          <cell r="T892" t="str">
            <v>OPT</v>
          </cell>
          <cell r="U892" t="str">
            <v>-</v>
          </cell>
          <cell r="V892" t="str">
            <v>P</v>
          </cell>
          <cell r="W892">
            <v>32</v>
          </cell>
        </row>
        <row r="893">
          <cell r="A893">
            <v>5548</v>
          </cell>
          <cell r="B893" t="str">
            <v>005548</v>
          </cell>
          <cell r="C893" t="str">
            <v>SRI LESTARI</v>
          </cell>
          <cell r="D893" t="str">
            <v>SAMI</v>
          </cell>
          <cell r="E893" t="str">
            <v>OPT-130</v>
          </cell>
          <cell r="F893">
            <v>39052</v>
          </cell>
          <cell r="G893" t="str">
            <v>-</v>
          </cell>
          <cell r="H893" t="str">
            <v>-</v>
          </cell>
          <cell r="I893" t="str">
            <v>PRD</v>
          </cell>
          <cell r="J893" t="str">
            <v>FINAL ASSY</v>
          </cell>
          <cell r="K893" t="str">
            <v>TOYOTA HV</v>
          </cell>
          <cell r="L893" t="str">
            <v xml:space="preserve">HV TOYOTA AC </v>
          </cell>
          <cell r="M893" t="str">
            <v>CV HV 10B</v>
          </cell>
          <cell r="N893" t="str">
            <v>OJT MAEKOTEI</v>
          </cell>
          <cell r="O893" t="str">
            <v>OTHERS</v>
          </cell>
          <cell r="P893" t="str">
            <v>A</v>
          </cell>
          <cell r="Q893" t="str">
            <v>PI</v>
          </cell>
          <cell r="R893" t="str">
            <v>PERMANENT</v>
          </cell>
          <cell r="S893" t="str">
            <v>PRM</v>
          </cell>
          <cell r="T893" t="str">
            <v>OPT</v>
          </cell>
          <cell r="U893" t="str">
            <v>-</v>
          </cell>
          <cell r="V893" t="str">
            <v>P</v>
          </cell>
          <cell r="W893">
            <v>40</v>
          </cell>
        </row>
        <row r="894">
          <cell r="A894">
            <v>10868</v>
          </cell>
          <cell r="B894" t="str">
            <v>010868</v>
          </cell>
          <cell r="C894" t="str">
            <v>USWATUN KHASANAH</v>
          </cell>
          <cell r="D894" t="str">
            <v>SAMI</v>
          </cell>
          <cell r="E894" t="str">
            <v>OPT-283</v>
          </cell>
          <cell r="F894">
            <v>40572</v>
          </cell>
          <cell r="G894" t="str">
            <v>-</v>
          </cell>
          <cell r="H894" t="str">
            <v>-</v>
          </cell>
          <cell r="I894" t="str">
            <v>PRD</v>
          </cell>
          <cell r="J894" t="str">
            <v>FINAL ASSY</v>
          </cell>
          <cell r="K894" t="str">
            <v>SUZUKI WAGON R</v>
          </cell>
          <cell r="L894" t="str">
            <v>DOOR/DOOM</v>
          </cell>
          <cell r="M894" t="str">
            <v>CV S03</v>
          </cell>
          <cell r="N894" t="str">
            <v>VISUAL 1.1</v>
          </cell>
          <cell r="O894" t="str">
            <v>VISUAL INSPECTION</v>
          </cell>
          <cell r="P894" t="str">
            <v>B</v>
          </cell>
          <cell r="Q894" t="str">
            <v>DL</v>
          </cell>
          <cell r="R894" t="str">
            <v>PERMANENT</v>
          </cell>
          <cell r="S894" t="str">
            <v>PRM</v>
          </cell>
          <cell r="T894" t="str">
            <v>OPT</v>
          </cell>
          <cell r="U894" t="str">
            <v>-</v>
          </cell>
          <cell r="V894" t="str">
            <v>P</v>
          </cell>
          <cell r="W894">
            <v>32</v>
          </cell>
        </row>
        <row r="895">
          <cell r="A895">
            <v>8665</v>
          </cell>
          <cell r="B895" t="str">
            <v>008665</v>
          </cell>
          <cell r="C895" t="str">
            <v>SITI ROMDHONAH</v>
          </cell>
          <cell r="D895" t="str">
            <v>SAMI</v>
          </cell>
          <cell r="E895" t="str">
            <v>OPT-189</v>
          </cell>
          <cell r="F895">
            <v>39878</v>
          </cell>
          <cell r="G895" t="str">
            <v>-</v>
          </cell>
          <cell r="H895" t="str">
            <v>-</v>
          </cell>
          <cell r="I895" t="str">
            <v>PRD</v>
          </cell>
          <cell r="J895" t="str">
            <v>FINAL ASSY</v>
          </cell>
          <cell r="K895" t="str">
            <v>TOYOTA HV</v>
          </cell>
          <cell r="L895" t="str">
            <v xml:space="preserve">HV TOYOTA AC </v>
          </cell>
          <cell r="M895" t="str">
            <v>CV HV 10B</v>
          </cell>
          <cell r="N895" t="str">
            <v>VISUAL 1, HV TESTER</v>
          </cell>
          <cell r="O895" t="str">
            <v>VISUAL INSPECTION</v>
          </cell>
          <cell r="P895" t="str">
            <v>A</v>
          </cell>
          <cell r="Q895" t="str">
            <v>DL</v>
          </cell>
          <cell r="R895" t="str">
            <v>PERMANENT</v>
          </cell>
          <cell r="S895" t="str">
            <v>PRM</v>
          </cell>
          <cell r="T895" t="str">
            <v>OPT</v>
          </cell>
          <cell r="U895" t="str">
            <v>-</v>
          </cell>
          <cell r="V895" t="str">
            <v>P</v>
          </cell>
          <cell r="W895">
            <v>35</v>
          </cell>
        </row>
        <row r="896">
          <cell r="A896">
            <v>10884</v>
          </cell>
          <cell r="B896" t="str">
            <v>010884</v>
          </cell>
          <cell r="C896" t="str">
            <v>ELSA DIAH AYU PERTIWI</v>
          </cell>
          <cell r="D896" t="str">
            <v>SAMI</v>
          </cell>
          <cell r="E896" t="str">
            <v>OPT-284</v>
          </cell>
          <cell r="F896">
            <v>40574</v>
          </cell>
          <cell r="G896" t="str">
            <v>-</v>
          </cell>
          <cell r="H896" t="str">
            <v>-</v>
          </cell>
          <cell r="I896" t="str">
            <v>PRD</v>
          </cell>
          <cell r="J896" t="str">
            <v>FINAL ASSY</v>
          </cell>
          <cell r="K896" t="str">
            <v>TOYOTA HV</v>
          </cell>
          <cell r="L896" t="str">
            <v xml:space="preserve">HV TOYOTA AC </v>
          </cell>
          <cell r="M896" t="str">
            <v>CV HV 10B</v>
          </cell>
          <cell r="N896" t="str">
            <v>MAEKOTEI 3</v>
          </cell>
          <cell r="O896" t="str">
            <v>WFAP 2.1</v>
          </cell>
          <cell r="P896" t="str">
            <v>B</v>
          </cell>
          <cell r="Q896" t="str">
            <v>DL</v>
          </cell>
          <cell r="R896" t="str">
            <v>PERMANENT</v>
          </cell>
          <cell r="S896" t="str">
            <v>PRM</v>
          </cell>
          <cell r="T896" t="str">
            <v>OPT</v>
          </cell>
          <cell r="U896" t="str">
            <v>-</v>
          </cell>
          <cell r="V896" t="str">
            <v>P</v>
          </cell>
          <cell r="W896">
            <v>33</v>
          </cell>
        </row>
        <row r="897">
          <cell r="A897">
            <v>10895</v>
          </cell>
          <cell r="B897" t="str">
            <v>010895</v>
          </cell>
          <cell r="C897" t="str">
            <v>RISA AMITA</v>
          </cell>
          <cell r="D897" t="str">
            <v>SAMI</v>
          </cell>
          <cell r="E897" t="str">
            <v>OPT-284</v>
          </cell>
          <cell r="F897">
            <v>40574</v>
          </cell>
          <cell r="G897" t="str">
            <v>-</v>
          </cell>
          <cell r="H897" t="str">
            <v>-</v>
          </cell>
          <cell r="I897" t="str">
            <v>QA</v>
          </cell>
          <cell r="J897" t="str">
            <v>NON LINE</v>
          </cell>
          <cell r="K897" t="str">
            <v>ALL</v>
          </cell>
          <cell r="L897" t="str">
            <v>ALL HONDA JAPAN , SOLENOID</v>
          </cell>
          <cell r="M897" t="str">
            <v>QA LL</v>
          </cell>
          <cell r="N897" t="str">
            <v>QA LINE LEADER</v>
          </cell>
          <cell r="O897" t="str">
            <v>FPI LL</v>
          </cell>
          <cell r="P897" t="str">
            <v>A (NS)</v>
          </cell>
          <cell r="Q897" t="str">
            <v>PI</v>
          </cell>
          <cell r="R897" t="str">
            <v>PERMANENT</v>
          </cell>
          <cell r="S897" t="str">
            <v>PRM</v>
          </cell>
          <cell r="T897" t="str">
            <v>LL</v>
          </cell>
          <cell r="U897" t="str">
            <v>-</v>
          </cell>
          <cell r="V897" t="str">
            <v>P</v>
          </cell>
          <cell r="W897">
            <v>32</v>
          </cell>
        </row>
        <row r="898">
          <cell r="A898">
            <v>8832</v>
          </cell>
          <cell r="B898" t="str">
            <v>008832</v>
          </cell>
          <cell r="C898" t="str">
            <v>LIA EKOWATI</v>
          </cell>
          <cell r="D898" t="str">
            <v>SAMI</v>
          </cell>
          <cell r="E898" t="str">
            <v>OPT-195</v>
          </cell>
          <cell r="F898">
            <v>39937</v>
          </cell>
          <cell r="G898" t="str">
            <v>-</v>
          </cell>
          <cell r="H898" t="str">
            <v>-</v>
          </cell>
          <cell r="I898" t="str">
            <v>PRD</v>
          </cell>
          <cell r="J898" t="str">
            <v>FINAL ASSY</v>
          </cell>
          <cell r="K898" t="str">
            <v>TOYOTA HV</v>
          </cell>
          <cell r="L898" t="str">
            <v xml:space="preserve">HV TOYOTA AC </v>
          </cell>
          <cell r="M898" t="str">
            <v>CV HV 10B</v>
          </cell>
          <cell r="N898" t="str">
            <v>VISUAL 2</v>
          </cell>
          <cell r="O898" t="str">
            <v>VISUAL INSPECTION</v>
          </cell>
          <cell r="P898" t="str">
            <v>A</v>
          </cell>
          <cell r="Q898" t="str">
            <v>DL</v>
          </cell>
          <cell r="R898" t="str">
            <v>PERMANENT</v>
          </cell>
          <cell r="S898" t="str">
            <v>PRM</v>
          </cell>
          <cell r="T898" t="str">
            <v>OPT</v>
          </cell>
          <cell r="U898" t="str">
            <v>-</v>
          </cell>
          <cell r="V898" t="str">
            <v>P</v>
          </cell>
          <cell r="W898">
            <v>37</v>
          </cell>
        </row>
        <row r="899">
          <cell r="A899">
            <v>10908</v>
          </cell>
          <cell r="B899" t="str">
            <v>010908</v>
          </cell>
          <cell r="C899" t="str">
            <v>TUTUT BINTARI</v>
          </cell>
          <cell r="D899" t="str">
            <v>SAMI</v>
          </cell>
          <cell r="E899" t="str">
            <v>OPT-284</v>
          </cell>
          <cell r="F899">
            <v>40574</v>
          </cell>
          <cell r="G899" t="str">
            <v>-</v>
          </cell>
          <cell r="H899" t="str">
            <v>-</v>
          </cell>
          <cell r="I899" t="str">
            <v>PRD</v>
          </cell>
          <cell r="J899" t="str">
            <v>PRE ASSY</v>
          </cell>
          <cell r="K899" t="str">
            <v>TOYOTA</v>
          </cell>
          <cell r="L899" t="str">
            <v>HV TOYOTA LV</v>
          </cell>
          <cell r="M899" t="str">
            <v>CPA TOYOTA LV</v>
          </cell>
          <cell r="N899" t="str">
            <v>OJT INSP 3</v>
          </cell>
          <cell r="O899" t="str">
            <v>OTHERS</v>
          </cell>
          <cell r="P899" t="str">
            <v>B</v>
          </cell>
          <cell r="Q899" t="str">
            <v>PI</v>
          </cell>
          <cell r="R899" t="str">
            <v>PERMANENT</v>
          </cell>
          <cell r="S899" t="str">
            <v>PRM</v>
          </cell>
          <cell r="T899" t="str">
            <v>OPT</v>
          </cell>
          <cell r="U899" t="str">
            <v>-</v>
          </cell>
          <cell r="V899" t="str">
            <v>P</v>
          </cell>
          <cell r="W899">
            <v>32</v>
          </cell>
        </row>
        <row r="900">
          <cell r="A900">
            <v>10130</v>
          </cell>
          <cell r="B900" t="str">
            <v>010130</v>
          </cell>
          <cell r="C900" t="str">
            <v>USWATUN KHASANAH</v>
          </cell>
          <cell r="D900" t="str">
            <v>SAMI</v>
          </cell>
          <cell r="E900" t="str">
            <v>OPT-248</v>
          </cell>
          <cell r="F900">
            <v>40444</v>
          </cell>
          <cell r="G900" t="str">
            <v>-</v>
          </cell>
          <cell r="H900" t="str">
            <v>-</v>
          </cell>
          <cell r="I900" t="str">
            <v>PRD</v>
          </cell>
          <cell r="J900" t="str">
            <v>FINAL ASSY</v>
          </cell>
          <cell r="K900" t="str">
            <v>TOYOTA HV</v>
          </cell>
          <cell r="L900" t="str">
            <v xml:space="preserve">HV TOYOTA AC </v>
          </cell>
          <cell r="M900" t="str">
            <v>CV HV 10B</v>
          </cell>
          <cell r="N900" t="str">
            <v>BFT-1, BFT-2</v>
          </cell>
          <cell r="O900" t="str">
            <v>ASSEMBLY</v>
          </cell>
          <cell r="P900" t="str">
            <v>A</v>
          </cell>
          <cell r="Q900" t="str">
            <v>DL</v>
          </cell>
          <cell r="R900" t="str">
            <v>PERMANENT</v>
          </cell>
          <cell r="S900" t="str">
            <v>PRM</v>
          </cell>
          <cell r="T900" t="str">
            <v>OPT</v>
          </cell>
          <cell r="U900" t="str">
            <v>-</v>
          </cell>
          <cell r="V900" t="str">
            <v>P</v>
          </cell>
          <cell r="W900">
            <v>32</v>
          </cell>
        </row>
        <row r="901">
          <cell r="A901">
            <v>10931</v>
          </cell>
          <cell r="B901" t="str">
            <v>010931</v>
          </cell>
          <cell r="C901" t="str">
            <v>INAYATUL CHASANAH</v>
          </cell>
          <cell r="D901" t="str">
            <v>SAMI</v>
          </cell>
          <cell r="E901" t="str">
            <v>OPT-285</v>
          </cell>
          <cell r="F901">
            <v>40578</v>
          </cell>
          <cell r="G901" t="str">
            <v>-</v>
          </cell>
          <cell r="H901" t="str">
            <v>-</v>
          </cell>
          <cell r="I901" t="str">
            <v>PRD</v>
          </cell>
          <cell r="J901" t="str">
            <v>FINAL ASSY</v>
          </cell>
          <cell r="K901" t="str">
            <v>MAZDA ATENZA</v>
          </cell>
          <cell r="L901" t="str">
            <v>MAZDA J72A</v>
          </cell>
          <cell r="M901" t="str">
            <v>CV M03</v>
          </cell>
          <cell r="N901" t="str">
            <v>INSERT RELAY</v>
          </cell>
          <cell r="O901" t="str">
            <v>SUB ASSY</v>
          </cell>
          <cell r="P901" t="str">
            <v>B</v>
          </cell>
          <cell r="Q901" t="str">
            <v>DL</v>
          </cell>
          <cell r="R901" t="str">
            <v>PERMANENT</v>
          </cell>
          <cell r="S901" t="str">
            <v>PRM</v>
          </cell>
          <cell r="T901" t="str">
            <v>OPT</v>
          </cell>
          <cell r="U901" t="str">
            <v>-</v>
          </cell>
          <cell r="V901" t="str">
            <v>P</v>
          </cell>
          <cell r="W901">
            <v>33</v>
          </cell>
        </row>
        <row r="902">
          <cell r="A902">
            <v>10187</v>
          </cell>
          <cell r="B902" t="str">
            <v>010187</v>
          </cell>
          <cell r="C902" t="str">
            <v>MAKHMUDAH</v>
          </cell>
          <cell r="D902" t="str">
            <v>SAMI</v>
          </cell>
          <cell r="E902" t="str">
            <v>OPT-253</v>
          </cell>
          <cell r="F902">
            <v>40458</v>
          </cell>
          <cell r="G902" t="str">
            <v>-</v>
          </cell>
          <cell r="H902" t="str">
            <v>-</v>
          </cell>
          <cell r="I902" t="str">
            <v>PRD</v>
          </cell>
          <cell r="J902" t="str">
            <v>FINAL ASSY</v>
          </cell>
          <cell r="K902" t="str">
            <v>TOYOTA HV</v>
          </cell>
          <cell r="L902" t="str">
            <v xml:space="preserve">HV TOYOTA AC </v>
          </cell>
          <cell r="M902" t="str">
            <v>CV HV 10B</v>
          </cell>
          <cell r="N902" t="str">
            <v>SUB LINE CHO</v>
          </cell>
          <cell r="O902" t="str">
            <v>GL</v>
          </cell>
          <cell r="P902" t="str">
            <v>A</v>
          </cell>
          <cell r="Q902" t="str">
            <v>PI</v>
          </cell>
          <cell r="R902" t="str">
            <v>PERMANENT</v>
          </cell>
          <cell r="S902" t="str">
            <v>PRM</v>
          </cell>
          <cell r="T902" t="str">
            <v>SLC</v>
          </cell>
          <cell r="U902" t="str">
            <v>-</v>
          </cell>
          <cell r="V902" t="str">
            <v>P</v>
          </cell>
          <cell r="W902">
            <v>36</v>
          </cell>
        </row>
        <row r="903">
          <cell r="A903">
            <v>10934</v>
          </cell>
          <cell r="B903" t="str">
            <v>010934</v>
          </cell>
          <cell r="C903" t="str">
            <v>MAHMUDAH</v>
          </cell>
          <cell r="D903" t="str">
            <v>SAMI</v>
          </cell>
          <cell r="E903" t="str">
            <v>OPT-285</v>
          </cell>
          <cell r="F903">
            <v>40578</v>
          </cell>
          <cell r="G903" t="str">
            <v>-</v>
          </cell>
          <cell r="H903" t="str">
            <v>-</v>
          </cell>
          <cell r="I903" t="str">
            <v>PRD</v>
          </cell>
          <cell r="J903" t="str">
            <v>PRE ASSY</v>
          </cell>
          <cell r="K903" t="str">
            <v>MAZDA 3</v>
          </cell>
          <cell r="L903" t="str">
            <v>MAZDA REAR</v>
          </cell>
          <cell r="M903" t="str">
            <v>CPA MAZDA J03</v>
          </cell>
          <cell r="N903" t="str">
            <v>CUTTING AC90-J03-03, AC90-J03-07</v>
          </cell>
          <cell r="O903" t="str">
            <v>CUTTING WIRE</v>
          </cell>
          <cell r="P903" t="str">
            <v>B</v>
          </cell>
          <cell r="Q903" t="str">
            <v>DL</v>
          </cell>
          <cell r="R903" t="str">
            <v>PERMANENT</v>
          </cell>
          <cell r="S903" t="str">
            <v>PRM</v>
          </cell>
          <cell r="T903" t="str">
            <v>OPT</v>
          </cell>
          <cell r="U903" t="str">
            <v>-</v>
          </cell>
          <cell r="V903" t="str">
            <v>P</v>
          </cell>
          <cell r="W903">
            <v>32</v>
          </cell>
        </row>
        <row r="904">
          <cell r="A904">
            <v>11368</v>
          </cell>
          <cell r="B904" t="str">
            <v>011368</v>
          </cell>
          <cell r="C904" t="str">
            <v>AFIA HAFIDZ</v>
          </cell>
          <cell r="D904" t="str">
            <v>SAMI</v>
          </cell>
          <cell r="E904" t="str">
            <v>OPT-304</v>
          </cell>
          <cell r="F904">
            <v>40696</v>
          </cell>
          <cell r="G904" t="str">
            <v>-</v>
          </cell>
          <cell r="H904" t="str">
            <v>-</v>
          </cell>
          <cell r="I904" t="str">
            <v>PRD</v>
          </cell>
          <cell r="J904" t="str">
            <v>FINAL ASSY</v>
          </cell>
          <cell r="K904" t="str">
            <v>TOYOTA HV</v>
          </cell>
          <cell r="L904" t="str">
            <v xml:space="preserve">HV TOYOTA AC </v>
          </cell>
          <cell r="M904" t="str">
            <v>CV HV 10B</v>
          </cell>
          <cell r="N904" t="str">
            <v>ASM + CHECKER 1</v>
          </cell>
          <cell r="O904" t="str">
            <v>ASSEMBLY</v>
          </cell>
          <cell r="P904" t="str">
            <v>A</v>
          </cell>
          <cell r="Q904" t="str">
            <v>DL</v>
          </cell>
          <cell r="R904" t="str">
            <v>PERMANENT</v>
          </cell>
          <cell r="S904" t="str">
            <v>PRM</v>
          </cell>
          <cell r="T904" t="str">
            <v>OPT</v>
          </cell>
          <cell r="U904" t="str">
            <v>-</v>
          </cell>
          <cell r="V904" t="str">
            <v>P</v>
          </cell>
          <cell r="W904">
            <v>32</v>
          </cell>
        </row>
        <row r="905">
          <cell r="A905">
            <v>10946</v>
          </cell>
          <cell r="B905" t="str">
            <v>010946</v>
          </cell>
          <cell r="C905" t="str">
            <v>PUDJI NOVIYANTI</v>
          </cell>
          <cell r="D905" t="str">
            <v>SAMI</v>
          </cell>
          <cell r="E905" t="str">
            <v>OPT-285</v>
          </cell>
          <cell r="F905">
            <v>40578</v>
          </cell>
          <cell r="G905" t="str">
            <v>-</v>
          </cell>
          <cell r="H905" t="str">
            <v>-</v>
          </cell>
          <cell r="I905" t="str">
            <v>QA</v>
          </cell>
          <cell r="J905" t="str">
            <v>PRE ASSY</v>
          </cell>
          <cell r="K905" t="str">
            <v>HONDA BBP</v>
          </cell>
          <cell r="L905" t="str">
            <v>HV HONDA 5JLA BBP</v>
          </cell>
          <cell r="M905" t="str">
            <v>CPA HONDA HV</v>
          </cell>
          <cell r="N905" t="str">
            <v>CROSS SECTION</v>
          </cell>
          <cell r="O905" t="str">
            <v>CROSS SECT.</v>
          </cell>
          <cell r="P905" t="str">
            <v>B</v>
          </cell>
          <cell r="Q905" t="str">
            <v>PS</v>
          </cell>
          <cell r="R905" t="str">
            <v>PERMANENT</v>
          </cell>
          <cell r="S905" t="str">
            <v>PRM</v>
          </cell>
          <cell r="T905" t="str">
            <v>OPT</v>
          </cell>
          <cell r="U905" t="str">
            <v>-</v>
          </cell>
          <cell r="V905" t="str">
            <v>P</v>
          </cell>
          <cell r="W905">
            <v>34</v>
          </cell>
        </row>
        <row r="906">
          <cell r="A906">
            <v>10948</v>
          </cell>
          <cell r="B906" t="str">
            <v>010948</v>
          </cell>
          <cell r="C906" t="str">
            <v>RINAWATI</v>
          </cell>
          <cell r="D906" t="str">
            <v>SAMI</v>
          </cell>
          <cell r="E906" t="str">
            <v>OPT-285</v>
          </cell>
          <cell r="F906">
            <v>40578</v>
          </cell>
          <cell r="G906" t="str">
            <v>-</v>
          </cell>
          <cell r="H906" t="str">
            <v>-</v>
          </cell>
          <cell r="I906" t="str">
            <v>PGA</v>
          </cell>
          <cell r="J906" t="str">
            <v>TRN &amp; MOTO</v>
          </cell>
          <cell r="K906" t="str">
            <v>ALL</v>
          </cell>
          <cell r="L906" t="str">
            <v>ALL</v>
          </cell>
          <cell r="M906" t="str">
            <v>TRN</v>
          </cell>
          <cell r="N906" t="str">
            <v>TRAINING &amp; 136 RULES</v>
          </cell>
          <cell r="O906" t="str">
            <v>TRN</v>
          </cell>
          <cell r="P906" t="str">
            <v>A (NS)</v>
          </cell>
          <cell r="Q906" t="str">
            <v>ADM</v>
          </cell>
          <cell r="R906" t="str">
            <v>PERMANENT</v>
          </cell>
          <cell r="S906" t="str">
            <v>PRM</v>
          </cell>
          <cell r="T906" t="str">
            <v>GL</v>
          </cell>
          <cell r="U906" t="str">
            <v>-</v>
          </cell>
          <cell r="V906" t="str">
            <v>P</v>
          </cell>
          <cell r="W906">
            <v>32</v>
          </cell>
        </row>
        <row r="907">
          <cell r="A907">
            <v>11878</v>
          </cell>
          <cell r="B907" t="str">
            <v>011878</v>
          </cell>
          <cell r="C907" t="str">
            <v>MEGA SETIYANINGSIH</v>
          </cell>
          <cell r="D907" t="str">
            <v>SAMI</v>
          </cell>
          <cell r="E907" t="str">
            <v>OPT-310</v>
          </cell>
          <cell r="F907">
            <v>40735</v>
          </cell>
          <cell r="G907" t="str">
            <v>-</v>
          </cell>
          <cell r="H907" t="str">
            <v>-</v>
          </cell>
          <cell r="I907" t="str">
            <v>PRD</v>
          </cell>
          <cell r="J907" t="str">
            <v>FINAL ASSY</v>
          </cell>
          <cell r="K907" t="str">
            <v>TOYOTA HV</v>
          </cell>
          <cell r="L907" t="str">
            <v xml:space="preserve">HV TOYOTA AC </v>
          </cell>
          <cell r="M907" t="str">
            <v>CV HV 10B</v>
          </cell>
          <cell r="N907" t="str">
            <v>MAEKOTEI 3</v>
          </cell>
          <cell r="O907" t="str">
            <v>WFAP 2.2</v>
          </cell>
          <cell r="P907" t="str">
            <v>A</v>
          </cell>
          <cell r="Q907" t="str">
            <v>DL</v>
          </cell>
          <cell r="R907" t="str">
            <v>PERMANENT</v>
          </cell>
          <cell r="S907" t="str">
            <v>PRM</v>
          </cell>
          <cell r="T907" t="str">
            <v>OPT</v>
          </cell>
          <cell r="U907" t="str">
            <v>-</v>
          </cell>
          <cell r="V907" t="str">
            <v>P</v>
          </cell>
          <cell r="W907">
            <v>31</v>
          </cell>
        </row>
        <row r="908">
          <cell r="A908">
            <v>10964</v>
          </cell>
          <cell r="B908" t="str">
            <v>010964</v>
          </cell>
          <cell r="C908" t="str">
            <v>VANIA RINDA MEYDITA</v>
          </cell>
          <cell r="D908" t="str">
            <v>SAMI</v>
          </cell>
          <cell r="E908" t="str">
            <v>OPT-285</v>
          </cell>
          <cell r="F908">
            <v>40578</v>
          </cell>
          <cell r="G908" t="str">
            <v>-</v>
          </cell>
          <cell r="H908" t="str">
            <v>-</v>
          </cell>
          <cell r="I908" t="str">
            <v>PRD</v>
          </cell>
          <cell r="J908" t="str">
            <v>FINAL ASSY</v>
          </cell>
          <cell r="K908" t="str">
            <v>TOYOTA</v>
          </cell>
          <cell r="L908" t="str">
            <v>AQUA SIENTA</v>
          </cell>
          <cell r="M908" t="str">
            <v>CV T01</v>
          </cell>
          <cell r="N908" t="str">
            <v>LQC</v>
          </cell>
          <cell r="O908" t="str">
            <v>RELIEF</v>
          </cell>
          <cell r="P908" t="str">
            <v>B</v>
          </cell>
          <cell r="Q908" t="str">
            <v>PI</v>
          </cell>
          <cell r="R908" t="str">
            <v>PERMANENT</v>
          </cell>
          <cell r="S908" t="str">
            <v>PRM</v>
          </cell>
          <cell r="T908" t="str">
            <v>PJK</v>
          </cell>
          <cell r="U908" t="str">
            <v>-</v>
          </cell>
          <cell r="V908" t="str">
            <v>P</v>
          </cell>
          <cell r="W908">
            <v>32</v>
          </cell>
        </row>
        <row r="909">
          <cell r="A909">
            <v>10966</v>
          </cell>
          <cell r="B909" t="str">
            <v>010966</v>
          </cell>
          <cell r="C909" t="str">
            <v>WAHYU OKTAVIANA</v>
          </cell>
          <cell r="D909" t="str">
            <v>SAMI</v>
          </cell>
          <cell r="E909" t="str">
            <v>OPT-285</v>
          </cell>
          <cell r="F909">
            <v>40578</v>
          </cell>
          <cell r="G909" t="str">
            <v>-</v>
          </cell>
          <cell r="H909" t="str">
            <v>-</v>
          </cell>
          <cell r="I909" t="str">
            <v>PRD</v>
          </cell>
          <cell r="J909" t="str">
            <v>PRE ASSY</v>
          </cell>
          <cell r="K909" t="str">
            <v>MAZDA ATENZA</v>
          </cell>
          <cell r="L909" t="str">
            <v>MAZDA J72A</v>
          </cell>
          <cell r="M909" t="str">
            <v>CPA MAZDA CX-5</v>
          </cell>
          <cell r="N909" t="str">
            <v>BM4-MZD-03</v>
          </cell>
          <cell r="O909" t="str">
            <v>BONDER</v>
          </cell>
          <cell r="P909" t="str">
            <v>B</v>
          </cell>
          <cell r="Q909" t="str">
            <v>DL</v>
          </cell>
          <cell r="R909" t="str">
            <v>PERMANENT</v>
          </cell>
          <cell r="S909" t="str">
            <v>PRM</v>
          </cell>
          <cell r="T909" t="str">
            <v>OPT</v>
          </cell>
          <cell r="U909" t="str">
            <v>-</v>
          </cell>
          <cell r="V909" t="str">
            <v>P</v>
          </cell>
          <cell r="W909">
            <v>32</v>
          </cell>
        </row>
        <row r="910">
          <cell r="A910">
            <v>12140</v>
          </cell>
          <cell r="B910" t="str">
            <v>012140</v>
          </cell>
          <cell r="C910" t="str">
            <v>SAUDI ALIYAH SADAMI</v>
          </cell>
          <cell r="D910" t="str">
            <v>SAMI</v>
          </cell>
          <cell r="E910" t="str">
            <v>OPT-314</v>
          </cell>
          <cell r="F910">
            <v>40798</v>
          </cell>
          <cell r="G910" t="str">
            <v>-</v>
          </cell>
          <cell r="H910" t="str">
            <v>-</v>
          </cell>
          <cell r="I910" t="str">
            <v>PRD</v>
          </cell>
          <cell r="J910" t="str">
            <v>FINAL ASSY</v>
          </cell>
          <cell r="K910" t="str">
            <v>TOYOTA HV</v>
          </cell>
          <cell r="L910" t="str">
            <v xml:space="preserve">HV TOYOTA AC </v>
          </cell>
          <cell r="M910" t="str">
            <v>CV HV 10B</v>
          </cell>
          <cell r="N910" t="str">
            <v>ASM + CHECKER 3</v>
          </cell>
          <cell r="O910" t="str">
            <v>ASSEMBLY</v>
          </cell>
          <cell r="P910" t="str">
            <v>A</v>
          </cell>
          <cell r="Q910" t="str">
            <v>DL</v>
          </cell>
          <cell r="R910" t="str">
            <v>PERMANENT</v>
          </cell>
          <cell r="S910" t="str">
            <v>PRM</v>
          </cell>
          <cell r="T910" t="str">
            <v>OPT</v>
          </cell>
          <cell r="U910" t="str">
            <v>-</v>
          </cell>
          <cell r="V910" t="str">
            <v>P</v>
          </cell>
          <cell r="W910">
            <v>32</v>
          </cell>
        </row>
        <row r="911">
          <cell r="A911">
            <v>12466</v>
          </cell>
          <cell r="B911" t="str">
            <v>012466</v>
          </cell>
          <cell r="C911" t="str">
            <v>HENI INDRA SARI</v>
          </cell>
          <cell r="D911" t="str">
            <v>SAMI</v>
          </cell>
          <cell r="E911" t="str">
            <v>OPT-318</v>
          </cell>
          <cell r="F911">
            <v>40812</v>
          </cell>
          <cell r="G911" t="str">
            <v>-</v>
          </cell>
          <cell r="H911" t="str">
            <v>-</v>
          </cell>
          <cell r="I911" t="str">
            <v>PRD</v>
          </cell>
          <cell r="J911" t="str">
            <v>FINAL ASSY</v>
          </cell>
          <cell r="K911" t="str">
            <v>TOYOTA HV</v>
          </cell>
          <cell r="L911" t="str">
            <v xml:space="preserve">HV TOYOTA AC </v>
          </cell>
          <cell r="M911" t="str">
            <v>CV HV 10B</v>
          </cell>
          <cell r="N911" t="str">
            <v>MAEKOTEI 1</v>
          </cell>
          <cell r="O911" t="str">
            <v>WFAP 2.2</v>
          </cell>
          <cell r="P911" t="str">
            <v>A</v>
          </cell>
          <cell r="Q911" t="str">
            <v>DL</v>
          </cell>
          <cell r="R911" t="str">
            <v>PERMANENT</v>
          </cell>
          <cell r="S911" t="str">
            <v>PRM</v>
          </cell>
          <cell r="T911" t="str">
            <v>OPT</v>
          </cell>
          <cell r="U911" t="str">
            <v>-</v>
          </cell>
          <cell r="V911" t="str">
            <v>P</v>
          </cell>
          <cell r="W911">
            <v>32</v>
          </cell>
        </row>
        <row r="912">
          <cell r="A912">
            <v>23131</v>
          </cell>
          <cell r="B912" t="str">
            <v>023131</v>
          </cell>
          <cell r="C912" t="str">
            <v>LIDIYAWATI</v>
          </cell>
          <cell r="D912" t="str">
            <v>SAMI</v>
          </cell>
          <cell r="E912" t="str">
            <v>OPT-570</v>
          </cell>
          <cell r="F912">
            <v>43369</v>
          </cell>
          <cell r="G912" t="str">
            <v>-</v>
          </cell>
          <cell r="H912" t="str">
            <v>-</v>
          </cell>
          <cell r="I912" t="str">
            <v>PRD</v>
          </cell>
          <cell r="J912" t="str">
            <v>FINAL ASSY</v>
          </cell>
          <cell r="K912" t="str">
            <v>TOYOTA HV</v>
          </cell>
          <cell r="L912" t="str">
            <v xml:space="preserve">HV TOYOTA AC </v>
          </cell>
          <cell r="M912" t="str">
            <v>CV HV 10B</v>
          </cell>
          <cell r="N912" t="str">
            <v>MAEKOTEI 2</v>
          </cell>
          <cell r="O912" t="str">
            <v>WFAP 2.2</v>
          </cell>
          <cell r="P912" t="str">
            <v>A</v>
          </cell>
          <cell r="Q912" t="str">
            <v>DL</v>
          </cell>
          <cell r="R912" t="str">
            <v>PERMANENT</v>
          </cell>
          <cell r="S912" t="str">
            <v>PRM</v>
          </cell>
          <cell r="T912" t="str">
            <v>OPT</v>
          </cell>
          <cell r="U912" t="str">
            <v>-</v>
          </cell>
          <cell r="V912" t="str">
            <v>P</v>
          </cell>
          <cell r="W912">
            <v>26</v>
          </cell>
        </row>
        <row r="913">
          <cell r="A913">
            <v>10995</v>
          </cell>
          <cell r="B913" t="str">
            <v>010995</v>
          </cell>
          <cell r="C913" t="str">
            <v>AMBAR WATI</v>
          </cell>
          <cell r="D913" t="str">
            <v>SAMI</v>
          </cell>
          <cell r="E913" t="str">
            <v>OPT-287</v>
          </cell>
          <cell r="F913">
            <v>40585</v>
          </cell>
          <cell r="G913" t="str">
            <v>-</v>
          </cell>
          <cell r="H913" t="str">
            <v>-</v>
          </cell>
          <cell r="I913" t="str">
            <v>OTHERS</v>
          </cell>
          <cell r="J913" t="str">
            <v>AT HOME</v>
          </cell>
          <cell r="K913" t="str">
            <v>ALL</v>
          </cell>
          <cell r="L913" t="str">
            <v>ALL</v>
          </cell>
          <cell r="M913" t="str">
            <v>AT HOME</v>
          </cell>
          <cell r="N913" t="str">
            <v>CUTI KELAHIRAN</v>
          </cell>
          <cell r="O913" t="str">
            <v>OTHERS IDL</v>
          </cell>
          <cell r="P913" t="str">
            <v>-</v>
          </cell>
          <cell r="Q913" t="str">
            <v>ADM</v>
          </cell>
          <cell r="R913" t="str">
            <v>PERMANENT</v>
          </cell>
          <cell r="S913" t="str">
            <v>PRM</v>
          </cell>
          <cell r="T913" t="str">
            <v>OPT</v>
          </cell>
          <cell r="U913" t="str">
            <v>-</v>
          </cell>
          <cell r="V913" t="str">
            <v>P</v>
          </cell>
          <cell r="W913">
            <v>36</v>
          </cell>
        </row>
        <row r="914">
          <cell r="A914" t="str">
            <v>B00469</v>
          </cell>
          <cell r="B914" t="str">
            <v>B00469</v>
          </cell>
          <cell r="C914" t="str">
            <v>RATNA PUJI TRI U.</v>
          </cell>
          <cell r="D914" t="str">
            <v>SAMI</v>
          </cell>
          <cell r="E914" t="str">
            <v>BBF-007</v>
          </cell>
          <cell r="F914">
            <v>40868</v>
          </cell>
          <cell r="G914" t="str">
            <v>-</v>
          </cell>
          <cell r="H914" t="str">
            <v>-</v>
          </cell>
          <cell r="I914" t="str">
            <v>PRD</v>
          </cell>
          <cell r="J914" t="str">
            <v>FINAL ASSY</v>
          </cell>
          <cell r="K914" t="str">
            <v>TOYOTA HV</v>
          </cell>
          <cell r="L914" t="str">
            <v xml:space="preserve">HV TOYOTA AC </v>
          </cell>
          <cell r="M914" t="str">
            <v>CV HV 10B</v>
          </cell>
          <cell r="N914" t="str">
            <v>LQC</v>
          </cell>
          <cell r="O914" t="str">
            <v>RELIEF</v>
          </cell>
          <cell r="P914" t="str">
            <v>A</v>
          </cell>
          <cell r="Q914" t="str">
            <v>PI</v>
          </cell>
          <cell r="R914" t="str">
            <v>PERMANENT</v>
          </cell>
          <cell r="S914" t="str">
            <v>PRM</v>
          </cell>
          <cell r="T914" t="str">
            <v>PJK</v>
          </cell>
          <cell r="U914" t="str">
            <v>-</v>
          </cell>
          <cell r="V914" t="str">
            <v>P</v>
          </cell>
          <cell r="W914">
            <v>31</v>
          </cell>
        </row>
        <row r="915">
          <cell r="A915">
            <v>11019</v>
          </cell>
          <cell r="B915" t="str">
            <v>011019</v>
          </cell>
          <cell r="C915" t="str">
            <v>RICHA LAILIA</v>
          </cell>
          <cell r="D915" t="str">
            <v>SAMI</v>
          </cell>
          <cell r="E915" t="str">
            <v>OPT-287</v>
          </cell>
          <cell r="F915">
            <v>40585</v>
          </cell>
          <cell r="G915" t="str">
            <v>-</v>
          </cell>
          <cell r="H915" t="str">
            <v>-</v>
          </cell>
          <cell r="I915" t="str">
            <v>QA</v>
          </cell>
          <cell r="J915" t="str">
            <v>FINAL ASSY</v>
          </cell>
          <cell r="K915" t="str">
            <v>HONDA FREED</v>
          </cell>
          <cell r="L915" t="str">
            <v>HONDA FREED W/H FLOOR</v>
          </cell>
          <cell r="M915" t="str">
            <v>CV 4</v>
          </cell>
          <cell r="N915" t="str">
            <v>PJK INSP</v>
          </cell>
          <cell r="O915" t="str">
            <v>RELIEF</v>
          </cell>
          <cell r="P915" t="str">
            <v>B</v>
          </cell>
          <cell r="Q915" t="str">
            <v>PI</v>
          </cell>
          <cell r="R915" t="str">
            <v>PERMANENT</v>
          </cell>
          <cell r="S915" t="str">
            <v>PRM</v>
          </cell>
          <cell r="T915" t="str">
            <v>PJK</v>
          </cell>
          <cell r="U915" t="str">
            <v>-</v>
          </cell>
          <cell r="V915" t="str">
            <v>P</v>
          </cell>
          <cell r="W915">
            <v>35</v>
          </cell>
        </row>
        <row r="916">
          <cell r="A916">
            <v>11023</v>
          </cell>
          <cell r="B916" t="str">
            <v>011023</v>
          </cell>
          <cell r="C916" t="str">
            <v>RUDI YANTI</v>
          </cell>
          <cell r="D916" t="str">
            <v>SAMI</v>
          </cell>
          <cell r="E916" t="str">
            <v>OPT-287</v>
          </cell>
          <cell r="F916">
            <v>40585</v>
          </cell>
          <cell r="G916" t="str">
            <v>-</v>
          </cell>
          <cell r="H916" t="str">
            <v>-</v>
          </cell>
          <cell r="I916" t="str">
            <v>PRD</v>
          </cell>
          <cell r="J916" t="str">
            <v>FINAL ASSY</v>
          </cell>
          <cell r="K916" t="str">
            <v>TOYOTA HV</v>
          </cell>
          <cell r="L916" t="str">
            <v>HV TOYOTA 10PL</v>
          </cell>
          <cell r="M916" t="str">
            <v>CV HV 14A</v>
          </cell>
          <cell r="N916" t="str">
            <v>PRD LINE CHO</v>
          </cell>
          <cell r="O916" t="str">
            <v>FPI LL</v>
          </cell>
          <cell r="P916" t="str">
            <v>B</v>
          </cell>
          <cell r="Q916" t="str">
            <v>PI</v>
          </cell>
          <cell r="R916" t="str">
            <v>PERMANENT</v>
          </cell>
          <cell r="S916" t="str">
            <v>PRM</v>
          </cell>
          <cell r="T916" t="str">
            <v>LC</v>
          </cell>
          <cell r="U916" t="str">
            <v>-</v>
          </cell>
          <cell r="V916" t="str">
            <v>P</v>
          </cell>
          <cell r="W916">
            <v>34</v>
          </cell>
        </row>
        <row r="917">
          <cell r="A917">
            <v>5940</v>
          </cell>
          <cell r="B917" t="str">
            <v>005940</v>
          </cell>
          <cell r="C917" t="str">
            <v>ROSIDAH</v>
          </cell>
          <cell r="D917" t="str">
            <v>SAMI</v>
          </cell>
          <cell r="E917" t="str">
            <v>OPT-137</v>
          </cell>
          <cell r="F917">
            <v>39129</v>
          </cell>
          <cell r="G917" t="str">
            <v>-</v>
          </cell>
          <cell r="H917" t="str">
            <v>-</v>
          </cell>
          <cell r="I917" t="str">
            <v>PRD</v>
          </cell>
          <cell r="J917" t="str">
            <v>FINAL ASSY</v>
          </cell>
          <cell r="K917" t="str">
            <v>HONDA BBP</v>
          </cell>
          <cell r="L917" t="str">
            <v>HV HONDA 30B</v>
          </cell>
          <cell r="M917" t="str">
            <v>CV HV 11B</v>
          </cell>
          <cell r="N917" t="str">
            <v>SUB LINE CHO</v>
          </cell>
          <cell r="O917" t="str">
            <v>GL</v>
          </cell>
          <cell r="P917" t="str">
            <v>A</v>
          </cell>
          <cell r="Q917" t="str">
            <v>PI</v>
          </cell>
          <cell r="R917" t="str">
            <v>PERMANENT</v>
          </cell>
          <cell r="S917" t="str">
            <v>PRM</v>
          </cell>
          <cell r="T917" t="str">
            <v>SLC</v>
          </cell>
          <cell r="U917" t="str">
            <v>-</v>
          </cell>
          <cell r="V917" t="str">
            <v>P</v>
          </cell>
          <cell r="W917">
            <v>38</v>
          </cell>
        </row>
        <row r="918">
          <cell r="A918">
            <v>9558</v>
          </cell>
          <cell r="B918" t="str">
            <v>009558</v>
          </cell>
          <cell r="C918" t="str">
            <v>SYAADATUL ABADIYAH</v>
          </cell>
          <cell r="D918" t="str">
            <v>SAMI</v>
          </cell>
          <cell r="E918" t="str">
            <v>OPT-216</v>
          </cell>
          <cell r="F918">
            <v>40154</v>
          </cell>
          <cell r="G918" t="str">
            <v>-</v>
          </cell>
          <cell r="H918" t="str">
            <v>-</v>
          </cell>
          <cell r="I918" t="str">
            <v>PRD</v>
          </cell>
          <cell r="J918" t="str">
            <v>FINAL ASSY</v>
          </cell>
          <cell r="K918" t="str">
            <v>HONDA BBP</v>
          </cell>
          <cell r="L918" t="str">
            <v>HV HONDA 30B</v>
          </cell>
          <cell r="M918" t="str">
            <v>CV HV 11B</v>
          </cell>
          <cell r="N918" t="str">
            <v>VISUAL 2 131, 132</v>
          </cell>
          <cell r="O918" t="str">
            <v>VISUAL INSPECTION</v>
          </cell>
          <cell r="P918" t="str">
            <v>A</v>
          </cell>
          <cell r="Q918" t="str">
            <v>DL</v>
          </cell>
          <cell r="R918" t="str">
            <v>PERMANENT</v>
          </cell>
          <cell r="S918" t="str">
            <v>PRM</v>
          </cell>
          <cell r="T918" t="str">
            <v>OPT</v>
          </cell>
          <cell r="U918" t="str">
            <v>-</v>
          </cell>
          <cell r="V918" t="str">
            <v>P</v>
          </cell>
          <cell r="W918">
            <v>33</v>
          </cell>
        </row>
        <row r="919">
          <cell r="A919">
            <v>9960</v>
          </cell>
          <cell r="B919" t="str">
            <v>009960</v>
          </cell>
          <cell r="C919" t="str">
            <v>RIRIN AGUSTINA</v>
          </cell>
          <cell r="D919" t="str">
            <v>SAMI</v>
          </cell>
          <cell r="E919" t="str">
            <v>OPT-246</v>
          </cell>
          <cell r="F919">
            <v>40431</v>
          </cell>
          <cell r="G919" t="str">
            <v>-</v>
          </cell>
          <cell r="H919" t="str">
            <v>-</v>
          </cell>
          <cell r="I919" t="str">
            <v>PRD</v>
          </cell>
          <cell r="J919" t="str">
            <v>FINAL ASSY</v>
          </cell>
          <cell r="K919" t="str">
            <v>HONDA BBP</v>
          </cell>
          <cell r="L919" t="str">
            <v>HV HONDA 30B</v>
          </cell>
          <cell r="M919" t="str">
            <v>CV HV 11B</v>
          </cell>
          <cell r="N919" t="str">
            <v>VISUAL 1 131, 132</v>
          </cell>
          <cell r="O919" t="str">
            <v>VISUAL INSPECTION</v>
          </cell>
          <cell r="P919" t="str">
            <v>A</v>
          </cell>
          <cell r="Q919" t="str">
            <v>DL</v>
          </cell>
          <cell r="R919" t="str">
            <v>PERMANENT</v>
          </cell>
          <cell r="S919" t="str">
            <v>PRM</v>
          </cell>
          <cell r="T919" t="str">
            <v>OPT</v>
          </cell>
          <cell r="U919" t="str">
            <v>-</v>
          </cell>
          <cell r="V919" t="str">
            <v>P</v>
          </cell>
          <cell r="W919">
            <v>32</v>
          </cell>
        </row>
        <row r="920">
          <cell r="A920">
            <v>10538</v>
          </cell>
          <cell r="B920" t="str">
            <v>010538</v>
          </cell>
          <cell r="C920" t="str">
            <v>YULIANA INDAH FEBRI L.</v>
          </cell>
          <cell r="D920" t="str">
            <v>SAMI</v>
          </cell>
          <cell r="E920" t="str">
            <v>OPT-273</v>
          </cell>
          <cell r="F920">
            <v>40535</v>
          </cell>
          <cell r="G920" t="str">
            <v>-</v>
          </cell>
          <cell r="H920" t="str">
            <v>-</v>
          </cell>
          <cell r="I920" t="str">
            <v>PRD</v>
          </cell>
          <cell r="J920" t="str">
            <v>FINAL ASSY</v>
          </cell>
          <cell r="K920" t="str">
            <v>HONDA BBP</v>
          </cell>
          <cell r="L920" t="str">
            <v>HV HONDA 30B</v>
          </cell>
          <cell r="M920" t="str">
            <v>CV HV 11B</v>
          </cell>
          <cell r="N920" t="str">
            <v>LQC</v>
          </cell>
          <cell r="O920" t="str">
            <v>RELIEF</v>
          </cell>
          <cell r="P920" t="str">
            <v>A</v>
          </cell>
          <cell r="Q920" t="str">
            <v>PI</v>
          </cell>
          <cell r="R920" t="str">
            <v>PERMANENT</v>
          </cell>
          <cell r="S920" t="str">
            <v>PRM</v>
          </cell>
          <cell r="T920" t="str">
            <v>PJK</v>
          </cell>
          <cell r="U920" t="str">
            <v>-</v>
          </cell>
          <cell r="V920" t="str">
            <v>P</v>
          </cell>
          <cell r="W920">
            <v>35</v>
          </cell>
        </row>
        <row r="921">
          <cell r="A921">
            <v>11047</v>
          </cell>
          <cell r="B921" t="str">
            <v>011047</v>
          </cell>
          <cell r="C921" t="str">
            <v>NUR KHASANAH</v>
          </cell>
          <cell r="D921" t="str">
            <v>SAMI</v>
          </cell>
          <cell r="E921" t="str">
            <v>OPT-288</v>
          </cell>
          <cell r="F921">
            <v>40592</v>
          </cell>
          <cell r="G921" t="str">
            <v>-</v>
          </cell>
          <cell r="H921" t="str">
            <v>-</v>
          </cell>
          <cell r="I921" t="str">
            <v>OTHERS</v>
          </cell>
          <cell r="J921" t="str">
            <v>AT HOME</v>
          </cell>
          <cell r="K921" t="str">
            <v>ALL</v>
          </cell>
          <cell r="L921" t="str">
            <v>ALL</v>
          </cell>
          <cell r="M921" t="str">
            <v>AT HOME</v>
          </cell>
          <cell r="N921" t="str">
            <v>CUTI KELAHIRAN</v>
          </cell>
          <cell r="O921" t="str">
            <v>OTHERS IDL</v>
          </cell>
          <cell r="P921" t="str">
            <v>-</v>
          </cell>
          <cell r="Q921" t="str">
            <v>ADM</v>
          </cell>
          <cell r="R921" t="str">
            <v>PERMANENT</v>
          </cell>
          <cell r="S921" t="str">
            <v>PRM</v>
          </cell>
          <cell r="T921" t="str">
            <v>OPT</v>
          </cell>
          <cell r="U921" t="str">
            <v>-</v>
          </cell>
          <cell r="V921" t="str">
            <v>P</v>
          </cell>
          <cell r="W921">
            <v>33</v>
          </cell>
        </row>
        <row r="922">
          <cell r="A922">
            <v>11051</v>
          </cell>
          <cell r="B922" t="str">
            <v>011051</v>
          </cell>
          <cell r="C922" t="str">
            <v>SITI ROBANDIYAH</v>
          </cell>
          <cell r="D922" t="str">
            <v>SAMI</v>
          </cell>
          <cell r="E922" t="str">
            <v>OPT-288</v>
          </cell>
          <cell r="F922">
            <v>40592</v>
          </cell>
          <cell r="G922" t="str">
            <v>-</v>
          </cell>
          <cell r="H922" t="str">
            <v>-</v>
          </cell>
          <cell r="I922" t="str">
            <v>QA</v>
          </cell>
          <cell r="J922" t="str">
            <v>NON LINE</v>
          </cell>
          <cell r="K922" t="str">
            <v>ALL</v>
          </cell>
          <cell r="L922" t="str">
            <v>ALL</v>
          </cell>
          <cell r="M922" t="str">
            <v>OTHERS (BUFFER)</v>
          </cell>
          <cell r="N922" t="str">
            <v>SUPPORT QA ADM</v>
          </cell>
          <cell r="O922" t="str">
            <v>OTHERS</v>
          </cell>
          <cell r="P922" t="str">
            <v>A (NS)</v>
          </cell>
          <cell r="Q922" t="str">
            <v>PI</v>
          </cell>
          <cell r="R922" t="str">
            <v>PERMANENT</v>
          </cell>
          <cell r="S922" t="str">
            <v>PRM</v>
          </cell>
          <cell r="T922" t="str">
            <v>OPT</v>
          </cell>
          <cell r="U922" t="str">
            <v>-</v>
          </cell>
          <cell r="V922" t="str">
            <v>P</v>
          </cell>
          <cell r="W922">
            <v>33</v>
          </cell>
        </row>
        <row r="923">
          <cell r="A923">
            <v>519</v>
          </cell>
          <cell r="B923" t="str">
            <v>000519</v>
          </cell>
          <cell r="C923" t="str">
            <v>LUSIA TRI WULANDARI</v>
          </cell>
          <cell r="D923" t="str">
            <v>SAMI</v>
          </cell>
          <cell r="E923" t="str">
            <v>OPT-14</v>
          </cell>
          <cell r="F923">
            <v>37767</v>
          </cell>
          <cell r="G923" t="str">
            <v>-</v>
          </cell>
          <cell r="H923" t="str">
            <v>-</v>
          </cell>
          <cell r="I923" t="str">
            <v>PRD</v>
          </cell>
          <cell r="J923" t="str">
            <v>FINAL ASSY</v>
          </cell>
          <cell r="K923" t="str">
            <v>TOYOTA HV</v>
          </cell>
          <cell r="L923" t="str">
            <v>HV TOYOTA 10PL</v>
          </cell>
          <cell r="M923" t="str">
            <v>CV HV 14A</v>
          </cell>
          <cell r="N923" t="str">
            <v>PRD LINE CHO</v>
          </cell>
          <cell r="O923" t="str">
            <v>FPI LL</v>
          </cell>
          <cell r="P923" t="str">
            <v>A</v>
          </cell>
          <cell r="Q923" t="str">
            <v>PI</v>
          </cell>
          <cell r="R923" t="str">
            <v>PERMANENT</v>
          </cell>
          <cell r="S923" t="str">
            <v>PRM</v>
          </cell>
          <cell r="T923" t="str">
            <v>LC</v>
          </cell>
          <cell r="U923" t="str">
            <v>-</v>
          </cell>
          <cell r="V923" t="str">
            <v>P</v>
          </cell>
          <cell r="W923">
            <v>41</v>
          </cell>
        </row>
        <row r="924">
          <cell r="A924">
            <v>1273</v>
          </cell>
          <cell r="B924" t="str">
            <v>001273</v>
          </cell>
          <cell r="C924" t="str">
            <v>ARI SETIOWATI</v>
          </cell>
          <cell r="D924" t="str">
            <v>SAMI</v>
          </cell>
          <cell r="E924" t="str">
            <v>OPT-31</v>
          </cell>
          <cell r="F924">
            <v>37921</v>
          </cell>
          <cell r="G924" t="str">
            <v>-</v>
          </cell>
          <cell r="H924" t="str">
            <v>-</v>
          </cell>
          <cell r="I924" t="str">
            <v>PRD</v>
          </cell>
          <cell r="J924" t="str">
            <v>FINAL ASSY</v>
          </cell>
          <cell r="K924" t="str">
            <v>TOYOTA HV</v>
          </cell>
          <cell r="L924" t="str">
            <v>HV TOYOTA 10PL</v>
          </cell>
          <cell r="M924" t="str">
            <v>CV HV 14A</v>
          </cell>
          <cell r="N924" t="str">
            <v>ASM THERMISTOR T2-3</v>
          </cell>
          <cell r="O924" t="str">
            <v>ASSEMBLY</v>
          </cell>
          <cell r="P924" t="str">
            <v>A</v>
          </cell>
          <cell r="Q924" t="str">
            <v>DL</v>
          </cell>
          <cell r="R924" t="str">
            <v>PERMANENT</v>
          </cell>
          <cell r="S924" t="str">
            <v>PRM</v>
          </cell>
          <cell r="T924" t="str">
            <v>OPT</v>
          </cell>
          <cell r="U924" t="str">
            <v>-</v>
          </cell>
          <cell r="V924" t="str">
            <v>P</v>
          </cell>
          <cell r="W924">
            <v>40</v>
          </cell>
        </row>
        <row r="925">
          <cell r="A925">
            <v>11079</v>
          </cell>
          <cell r="B925" t="str">
            <v>011079</v>
          </cell>
          <cell r="C925" t="str">
            <v>PUTRI ESTIANA</v>
          </cell>
          <cell r="D925" t="str">
            <v>SAMI</v>
          </cell>
          <cell r="E925" t="str">
            <v>OPT-289</v>
          </cell>
          <cell r="F925">
            <v>40595</v>
          </cell>
          <cell r="G925" t="str">
            <v>-</v>
          </cell>
          <cell r="H925" t="str">
            <v>-</v>
          </cell>
          <cell r="I925" t="str">
            <v>QA</v>
          </cell>
          <cell r="J925" t="str">
            <v>FINAL ASSY</v>
          </cell>
          <cell r="K925" t="str">
            <v>HONDA NES</v>
          </cell>
          <cell r="L925" t="str">
            <v>HONDA NES HEV PET ENGINE</v>
          </cell>
          <cell r="M925" t="str">
            <v>CV H03</v>
          </cell>
          <cell r="N925" t="str">
            <v>DC</v>
          </cell>
          <cell r="O925" t="str">
            <v>DC</v>
          </cell>
          <cell r="P925" t="str">
            <v>B</v>
          </cell>
          <cell r="Q925" t="str">
            <v>PI</v>
          </cell>
          <cell r="R925" t="str">
            <v>PERMANENT</v>
          </cell>
          <cell r="S925" t="str">
            <v>PRM</v>
          </cell>
          <cell r="T925" t="str">
            <v>OPT</v>
          </cell>
          <cell r="U925" t="str">
            <v>-</v>
          </cell>
          <cell r="V925" t="str">
            <v>P</v>
          </cell>
          <cell r="W925">
            <v>31</v>
          </cell>
        </row>
        <row r="926">
          <cell r="A926">
            <v>11084</v>
          </cell>
          <cell r="B926" t="str">
            <v>011084</v>
          </cell>
          <cell r="C926" t="str">
            <v>SITI NUR FITRIYAH</v>
          </cell>
          <cell r="D926" t="str">
            <v>SAMI</v>
          </cell>
          <cell r="E926" t="str">
            <v>OPT-289</v>
          </cell>
          <cell r="F926">
            <v>40595</v>
          </cell>
          <cell r="G926" t="str">
            <v>-</v>
          </cell>
          <cell r="H926" t="str">
            <v>-</v>
          </cell>
          <cell r="I926" t="str">
            <v>QA</v>
          </cell>
          <cell r="J926" t="str">
            <v>PRE ASSY</v>
          </cell>
          <cell r="K926" t="str">
            <v>HONDA EXPORT</v>
          </cell>
          <cell r="L926" t="str">
            <v>HONDA EXPORT</v>
          </cell>
          <cell r="M926" t="str">
            <v>CPA HONDA EXPORT</v>
          </cell>
          <cell r="N926" t="str">
            <v>CROSS SECTION</v>
          </cell>
          <cell r="O926" t="str">
            <v>CROSS SECT.</v>
          </cell>
          <cell r="P926" t="str">
            <v>A</v>
          </cell>
          <cell r="Q926" t="str">
            <v>PS</v>
          </cell>
          <cell r="R926" t="str">
            <v>PERMANENT</v>
          </cell>
          <cell r="S926" t="str">
            <v>PRM</v>
          </cell>
          <cell r="T926" t="str">
            <v>OPT</v>
          </cell>
          <cell r="U926" t="str">
            <v>-</v>
          </cell>
          <cell r="V926" t="str">
            <v>P</v>
          </cell>
          <cell r="W926">
            <v>32</v>
          </cell>
        </row>
        <row r="927">
          <cell r="A927">
            <v>8786</v>
          </cell>
          <cell r="B927" t="str">
            <v>008786</v>
          </cell>
          <cell r="C927" t="str">
            <v>PONCO YUNIA SISTANTI</v>
          </cell>
          <cell r="D927" t="str">
            <v>SAMI</v>
          </cell>
          <cell r="E927" t="str">
            <v>OPT-194</v>
          </cell>
          <cell r="F927">
            <v>39931</v>
          </cell>
          <cell r="G927" t="str">
            <v>-</v>
          </cell>
          <cell r="H927" t="str">
            <v>-</v>
          </cell>
          <cell r="I927" t="str">
            <v>PRD</v>
          </cell>
          <cell r="J927" t="str">
            <v>FINAL ASSY</v>
          </cell>
          <cell r="K927" t="str">
            <v>TOYOTA HV</v>
          </cell>
          <cell r="L927" t="str">
            <v>HV TOYOTA 10PL</v>
          </cell>
          <cell r="M927" t="str">
            <v>CV HV 14A</v>
          </cell>
          <cell r="N927" t="str">
            <v>SUB LINE CHO</v>
          </cell>
          <cell r="O927" t="str">
            <v>GL</v>
          </cell>
          <cell r="P927" t="str">
            <v>A</v>
          </cell>
          <cell r="Q927" t="str">
            <v>PI</v>
          </cell>
          <cell r="R927" t="str">
            <v>PERMANENT</v>
          </cell>
          <cell r="S927" t="str">
            <v>PRM</v>
          </cell>
          <cell r="T927" t="str">
            <v>SLC</v>
          </cell>
          <cell r="U927" t="str">
            <v>-</v>
          </cell>
          <cell r="V927" t="str">
            <v>P</v>
          </cell>
          <cell r="W927">
            <v>34</v>
          </cell>
        </row>
        <row r="928">
          <cell r="A928">
            <v>11093</v>
          </cell>
          <cell r="B928" t="str">
            <v>011093</v>
          </cell>
          <cell r="C928" t="str">
            <v>YULIYAH TRI HASTUTI</v>
          </cell>
          <cell r="D928" t="str">
            <v>SAMI</v>
          </cell>
          <cell r="E928" t="str">
            <v>OPT-289</v>
          </cell>
          <cell r="F928">
            <v>40595</v>
          </cell>
          <cell r="G928" t="str">
            <v>-</v>
          </cell>
          <cell r="H928" t="str">
            <v>-</v>
          </cell>
          <cell r="I928" t="str">
            <v>PP</v>
          </cell>
          <cell r="J928" t="str">
            <v>PP-3</v>
          </cell>
          <cell r="K928" t="str">
            <v>ALL</v>
          </cell>
          <cell r="L928" t="str">
            <v>ALL</v>
          </cell>
          <cell r="M928" t="str">
            <v>PP-3</v>
          </cell>
          <cell r="N928" t="str">
            <v>ANALISYS</v>
          </cell>
          <cell r="O928" t="str">
            <v>PROCESS ENG</v>
          </cell>
          <cell r="P928" t="str">
            <v>A (NS)</v>
          </cell>
          <cell r="Q928" t="str">
            <v>PS</v>
          </cell>
          <cell r="R928" t="str">
            <v>PERMANENT</v>
          </cell>
          <cell r="S928" t="str">
            <v>PRM</v>
          </cell>
          <cell r="T928" t="str">
            <v>OPT</v>
          </cell>
          <cell r="U928" t="str">
            <v>-</v>
          </cell>
          <cell r="V928" t="str">
            <v>P</v>
          </cell>
          <cell r="W928">
            <v>34</v>
          </cell>
        </row>
        <row r="929">
          <cell r="A929">
            <v>11095</v>
          </cell>
          <cell r="B929" t="str">
            <v>011095</v>
          </cell>
          <cell r="C929" t="str">
            <v>AGUSTIN PUSPITASARI</v>
          </cell>
          <cell r="D929" t="str">
            <v>SAMI</v>
          </cell>
          <cell r="E929" t="str">
            <v>OPT-290</v>
          </cell>
          <cell r="F929">
            <v>40603</v>
          </cell>
          <cell r="G929" t="str">
            <v>-</v>
          </cell>
          <cell r="H929" t="str">
            <v>-</v>
          </cell>
          <cell r="I929" t="str">
            <v>PRD</v>
          </cell>
          <cell r="J929" t="str">
            <v>PRE ASSY</v>
          </cell>
          <cell r="K929" t="str">
            <v>HONDA NES</v>
          </cell>
          <cell r="L929" t="str">
            <v>HONDA NES</v>
          </cell>
          <cell r="M929" t="str">
            <v>CPA HONDA NES HEV/PET</v>
          </cell>
          <cell r="N929" t="str">
            <v>CUTTING AC90-3MO-07</v>
          </cell>
          <cell r="O929" t="str">
            <v>CUTTING WIRE</v>
          </cell>
          <cell r="P929" t="str">
            <v>B</v>
          </cell>
          <cell r="Q929" t="str">
            <v>DL</v>
          </cell>
          <cell r="R929" t="str">
            <v>PERMANENT</v>
          </cell>
          <cell r="S929" t="str">
            <v>PRM</v>
          </cell>
          <cell r="T929" t="str">
            <v>OPT</v>
          </cell>
          <cell r="U929" t="str">
            <v>-</v>
          </cell>
          <cell r="V929" t="str">
            <v>P</v>
          </cell>
          <cell r="W929">
            <v>34</v>
          </cell>
        </row>
        <row r="930">
          <cell r="A930">
            <v>9426</v>
          </cell>
          <cell r="B930" t="str">
            <v>009426</v>
          </cell>
          <cell r="C930" t="str">
            <v>DEBY DITA HAPSARI</v>
          </cell>
          <cell r="D930" t="str">
            <v>SAMI</v>
          </cell>
          <cell r="E930" t="str">
            <v>OPT-216</v>
          </cell>
          <cell r="F930">
            <v>40148</v>
          </cell>
          <cell r="G930" t="str">
            <v>-</v>
          </cell>
          <cell r="H930" t="str">
            <v>-</v>
          </cell>
          <cell r="I930" t="str">
            <v>PRD</v>
          </cell>
          <cell r="J930" t="str">
            <v>FINAL ASSY</v>
          </cell>
          <cell r="K930" t="str">
            <v>TOYOTA HV</v>
          </cell>
          <cell r="L930" t="str">
            <v>HV TOYOTA 10PL</v>
          </cell>
          <cell r="M930" t="str">
            <v>CV HV 14A</v>
          </cell>
          <cell r="N930" t="str">
            <v>ASM BBM U2-3</v>
          </cell>
          <cell r="O930" t="str">
            <v>ASSEMBLY</v>
          </cell>
          <cell r="P930" t="str">
            <v>A</v>
          </cell>
          <cell r="Q930" t="str">
            <v>DL</v>
          </cell>
          <cell r="R930" t="str">
            <v>PERMANENT</v>
          </cell>
          <cell r="S930" t="str">
            <v>PRM</v>
          </cell>
          <cell r="T930" t="str">
            <v>OPT</v>
          </cell>
          <cell r="U930" t="str">
            <v>-</v>
          </cell>
          <cell r="V930" t="str">
            <v>P</v>
          </cell>
          <cell r="W930">
            <v>34</v>
          </cell>
        </row>
        <row r="931">
          <cell r="A931">
            <v>9436</v>
          </cell>
          <cell r="B931" t="str">
            <v>009436</v>
          </cell>
          <cell r="C931" t="str">
            <v>IKA FITRIYANI</v>
          </cell>
          <cell r="D931" t="str">
            <v>SAMI</v>
          </cell>
          <cell r="E931" t="str">
            <v>OPT-216</v>
          </cell>
          <cell r="F931">
            <v>40148</v>
          </cell>
          <cell r="G931" t="str">
            <v>-</v>
          </cell>
          <cell r="H931" t="str">
            <v>-</v>
          </cell>
          <cell r="I931" t="str">
            <v>PRD</v>
          </cell>
          <cell r="J931" t="str">
            <v>FINAL ASSY</v>
          </cell>
          <cell r="K931" t="str">
            <v>TOYOTA HV</v>
          </cell>
          <cell r="L931" t="str">
            <v>HV TOYOTA 10PL</v>
          </cell>
          <cell r="M931" t="str">
            <v>CV HV 14A</v>
          </cell>
          <cell r="N931" t="str">
            <v>VISUAL 1.2 U2</v>
          </cell>
          <cell r="O931" t="str">
            <v>VISUAL INSPECTION</v>
          </cell>
          <cell r="P931" t="str">
            <v>A</v>
          </cell>
          <cell r="Q931" t="str">
            <v>DL</v>
          </cell>
          <cell r="R931" t="str">
            <v>PERMANENT</v>
          </cell>
          <cell r="S931" t="str">
            <v>PRM</v>
          </cell>
          <cell r="T931" t="str">
            <v>OPT</v>
          </cell>
          <cell r="U931" t="str">
            <v>-</v>
          </cell>
          <cell r="V931" t="str">
            <v>P</v>
          </cell>
          <cell r="W931">
            <v>33</v>
          </cell>
        </row>
        <row r="932">
          <cell r="A932">
            <v>11113</v>
          </cell>
          <cell r="B932" t="str">
            <v>011113</v>
          </cell>
          <cell r="C932" t="str">
            <v>IMA ZULFA</v>
          </cell>
          <cell r="D932" t="str">
            <v>SAMI</v>
          </cell>
          <cell r="E932" t="str">
            <v>OPT-290</v>
          </cell>
          <cell r="F932">
            <v>40603</v>
          </cell>
          <cell r="G932" t="str">
            <v>-</v>
          </cell>
          <cell r="H932" t="str">
            <v>-</v>
          </cell>
          <cell r="I932" t="str">
            <v>PRD</v>
          </cell>
          <cell r="J932" t="str">
            <v>FINAL ASSY</v>
          </cell>
          <cell r="K932" t="str">
            <v>HONDA BBP</v>
          </cell>
          <cell r="L932" t="str">
            <v>HV HONDA 5JLA BBP</v>
          </cell>
          <cell r="M932" t="str">
            <v>CV HV 04A</v>
          </cell>
          <cell r="N932" t="str">
            <v>CHECKER 141</v>
          </cell>
          <cell r="O932" t="str">
            <v>ELECTRICAL INSPECTION</v>
          </cell>
          <cell r="P932" t="str">
            <v>B</v>
          </cell>
          <cell r="Q932" t="str">
            <v>DL</v>
          </cell>
          <cell r="R932" t="str">
            <v>PERMANENT</v>
          </cell>
          <cell r="S932" t="str">
            <v>PRM</v>
          </cell>
          <cell r="T932" t="str">
            <v>OPT</v>
          </cell>
          <cell r="U932" t="str">
            <v>-</v>
          </cell>
          <cell r="V932" t="str">
            <v>P</v>
          </cell>
          <cell r="W932">
            <v>33</v>
          </cell>
        </row>
        <row r="933">
          <cell r="A933">
            <v>11124</v>
          </cell>
          <cell r="B933" t="str">
            <v>011124</v>
          </cell>
          <cell r="C933" t="str">
            <v>NUR AINI DWITA SARI</v>
          </cell>
          <cell r="D933" t="str">
            <v>SAMI</v>
          </cell>
          <cell r="E933" t="str">
            <v>OPT-290</v>
          </cell>
          <cell r="F933">
            <v>40603</v>
          </cell>
          <cell r="G933" t="str">
            <v>-</v>
          </cell>
          <cell r="H933" t="str">
            <v>-</v>
          </cell>
          <cell r="I933" t="str">
            <v>PRD</v>
          </cell>
          <cell r="J933" t="str">
            <v>FINAL ASSY</v>
          </cell>
          <cell r="K933" t="str">
            <v>HONDA NES</v>
          </cell>
          <cell r="L933" t="str">
            <v>HONDA NES HEV PET ENGINE</v>
          </cell>
          <cell r="M933" t="str">
            <v>CV H03</v>
          </cell>
          <cell r="N933" t="str">
            <v>CHECKER 4</v>
          </cell>
          <cell r="O933" t="str">
            <v>ELECTRICAL INSPECTION</v>
          </cell>
          <cell r="P933" t="str">
            <v>B</v>
          </cell>
          <cell r="Q933" t="str">
            <v>DL</v>
          </cell>
          <cell r="R933" t="str">
            <v>PERMANENT</v>
          </cell>
          <cell r="S933" t="str">
            <v>PRM</v>
          </cell>
          <cell r="T933" t="str">
            <v>OPT</v>
          </cell>
          <cell r="U933" t="str">
            <v>-</v>
          </cell>
          <cell r="V933" t="str">
            <v>P</v>
          </cell>
          <cell r="W933">
            <v>34</v>
          </cell>
        </row>
        <row r="934">
          <cell r="A934">
            <v>11137</v>
          </cell>
          <cell r="B934" t="str">
            <v>011137</v>
          </cell>
          <cell r="C934" t="str">
            <v>SUTINI</v>
          </cell>
          <cell r="D934" t="str">
            <v>SAMI</v>
          </cell>
          <cell r="E934" t="str">
            <v>OPT-290</v>
          </cell>
          <cell r="F934">
            <v>40603</v>
          </cell>
          <cell r="G934" t="str">
            <v>-</v>
          </cell>
          <cell r="H934" t="str">
            <v>-</v>
          </cell>
          <cell r="I934" t="str">
            <v>QA</v>
          </cell>
          <cell r="J934" t="str">
            <v>FINAL ASSY</v>
          </cell>
          <cell r="K934" t="str">
            <v>MAZDA 3</v>
          </cell>
          <cell r="L934" t="str">
            <v>MAZDA REAR</v>
          </cell>
          <cell r="M934" t="str">
            <v>CV M01</v>
          </cell>
          <cell r="N934" t="str">
            <v>DC</v>
          </cell>
          <cell r="O934" t="str">
            <v>DC</v>
          </cell>
          <cell r="P934" t="str">
            <v>B</v>
          </cell>
          <cell r="Q934" t="str">
            <v>PI</v>
          </cell>
          <cell r="R934" t="str">
            <v>PERMANENT</v>
          </cell>
          <cell r="S934" t="str">
            <v>PRM</v>
          </cell>
          <cell r="T934" t="str">
            <v>OPT</v>
          </cell>
          <cell r="U934" t="str">
            <v>-</v>
          </cell>
          <cell r="V934" t="str">
            <v>P</v>
          </cell>
          <cell r="W934">
            <v>34</v>
          </cell>
        </row>
        <row r="935">
          <cell r="A935">
            <v>11161</v>
          </cell>
          <cell r="B935" t="str">
            <v>011161</v>
          </cell>
          <cell r="C935" t="str">
            <v>FERRY ADI SAPUTRO</v>
          </cell>
          <cell r="D935" t="str">
            <v>SAMI</v>
          </cell>
          <cell r="E935" t="str">
            <v>ADM-45</v>
          </cell>
          <cell r="F935">
            <v>40602</v>
          </cell>
          <cell r="G935" t="str">
            <v>-</v>
          </cell>
          <cell r="H935" t="str">
            <v>-</v>
          </cell>
          <cell r="I935" t="str">
            <v>LOG</v>
          </cell>
          <cell r="J935" t="str">
            <v>EXIM</v>
          </cell>
          <cell r="K935" t="str">
            <v>ALL</v>
          </cell>
          <cell r="L935" t="str">
            <v>ALL</v>
          </cell>
          <cell r="M935" t="str">
            <v>EXIM - CANDI</v>
          </cell>
          <cell r="N935" t="str">
            <v>ADM EXPORT</v>
          </cell>
          <cell r="O935" t="str">
            <v>EXIM</v>
          </cell>
          <cell r="P935" t="str">
            <v>B</v>
          </cell>
          <cell r="Q935" t="str">
            <v>PS</v>
          </cell>
          <cell r="R935" t="str">
            <v>PERMANENT</v>
          </cell>
          <cell r="S935" t="str">
            <v>PRM</v>
          </cell>
          <cell r="T935" t="str">
            <v>ADM</v>
          </cell>
          <cell r="U935" t="str">
            <v>-</v>
          </cell>
          <cell r="V935" t="str">
            <v>L</v>
          </cell>
          <cell r="W935">
            <v>33</v>
          </cell>
        </row>
        <row r="936">
          <cell r="A936">
            <v>11165</v>
          </cell>
          <cell r="B936" t="str">
            <v>011165</v>
          </cell>
          <cell r="C936" t="str">
            <v>ANIFATUZAHROKH</v>
          </cell>
          <cell r="D936" t="str">
            <v>SAMI</v>
          </cell>
          <cell r="E936" t="str">
            <v>OPT-292</v>
          </cell>
          <cell r="F936">
            <v>40610</v>
          </cell>
          <cell r="G936" t="str">
            <v>-</v>
          </cell>
          <cell r="H936" t="str">
            <v>-</v>
          </cell>
          <cell r="I936" t="str">
            <v>OTHERS</v>
          </cell>
          <cell r="J936" t="str">
            <v>TRN @ OVERSEAS</v>
          </cell>
          <cell r="K936" t="str">
            <v>ALL</v>
          </cell>
          <cell r="L936" t="str">
            <v>ALL</v>
          </cell>
          <cell r="M936" t="str">
            <v>TRN @ OVERSEAS - TCS 9</v>
          </cell>
          <cell r="N936" t="str">
            <v>TRN @ OVERSEAS</v>
          </cell>
          <cell r="O936" t="str">
            <v>OTHERS IDL</v>
          </cell>
          <cell r="P936" t="str">
            <v>A (NS)</v>
          </cell>
          <cell r="Q936" t="str">
            <v>ADM</v>
          </cell>
          <cell r="R936" t="str">
            <v>PERMANENT</v>
          </cell>
          <cell r="S936" t="str">
            <v>PRM</v>
          </cell>
          <cell r="T936" t="str">
            <v>OPT</v>
          </cell>
          <cell r="U936" t="str">
            <v>-</v>
          </cell>
          <cell r="V936" t="str">
            <v>P</v>
          </cell>
          <cell r="W936">
            <v>34</v>
          </cell>
        </row>
        <row r="937">
          <cell r="A937">
            <v>11166</v>
          </cell>
          <cell r="B937" t="str">
            <v>011166</v>
          </cell>
          <cell r="C937" t="str">
            <v>ANJELIZA INTAN PERMATASARI</v>
          </cell>
          <cell r="D937" t="str">
            <v>SAMI</v>
          </cell>
          <cell r="E937" t="str">
            <v>OPT-292</v>
          </cell>
          <cell r="F937">
            <v>40610</v>
          </cell>
          <cell r="G937" t="str">
            <v>-</v>
          </cell>
          <cell r="H937" t="str">
            <v>-</v>
          </cell>
          <cell r="I937" t="str">
            <v>PRD</v>
          </cell>
          <cell r="J937" t="str">
            <v>FINAL ASSY</v>
          </cell>
          <cell r="K937" t="str">
            <v>HONDA BBP</v>
          </cell>
          <cell r="L937" t="str">
            <v>HV HONDA 30B</v>
          </cell>
          <cell r="M937" t="str">
            <v>CV HV 11B</v>
          </cell>
          <cell r="N937" t="str">
            <v>SUB LINE CHO</v>
          </cell>
          <cell r="O937" t="str">
            <v>GL</v>
          </cell>
          <cell r="P937" t="str">
            <v>B</v>
          </cell>
          <cell r="Q937" t="str">
            <v>PI</v>
          </cell>
          <cell r="R937" t="str">
            <v>PERMANENT</v>
          </cell>
          <cell r="S937" t="str">
            <v>PRM</v>
          </cell>
          <cell r="T937" t="str">
            <v>SLC</v>
          </cell>
          <cell r="U937" t="str">
            <v>-</v>
          </cell>
          <cell r="V937" t="str">
            <v>P</v>
          </cell>
          <cell r="W937">
            <v>33</v>
          </cell>
        </row>
        <row r="938">
          <cell r="A938">
            <v>9942</v>
          </cell>
          <cell r="B938" t="str">
            <v>009942</v>
          </cell>
          <cell r="C938" t="str">
            <v>KUSUMIARTI</v>
          </cell>
          <cell r="D938" t="str">
            <v>SAMI</v>
          </cell>
          <cell r="E938" t="str">
            <v>OPT-246</v>
          </cell>
          <cell r="F938">
            <v>40431</v>
          </cell>
          <cell r="G938" t="str">
            <v>-</v>
          </cell>
          <cell r="H938" t="str">
            <v>-</v>
          </cell>
          <cell r="I938" t="str">
            <v>PRD</v>
          </cell>
          <cell r="J938" t="str">
            <v>FINAL ASSY</v>
          </cell>
          <cell r="K938" t="str">
            <v>TOYOTA HV</v>
          </cell>
          <cell r="L938" t="str">
            <v>HV TOYOTA 10PL</v>
          </cell>
          <cell r="M938" t="str">
            <v>CV HV 14A</v>
          </cell>
          <cell r="N938" t="str">
            <v>VISUAL 1.3 T2</v>
          </cell>
          <cell r="O938" t="str">
            <v>VISUAL INSPECTION</v>
          </cell>
          <cell r="P938" t="str">
            <v>A</v>
          </cell>
          <cell r="Q938" t="str">
            <v>DL</v>
          </cell>
          <cell r="R938" t="str">
            <v>PERMANENT</v>
          </cell>
          <cell r="S938" t="str">
            <v>PRM</v>
          </cell>
          <cell r="T938" t="str">
            <v>OPT</v>
          </cell>
          <cell r="U938" t="str">
            <v>-</v>
          </cell>
          <cell r="V938" t="str">
            <v>P</v>
          </cell>
          <cell r="W938">
            <v>36</v>
          </cell>
        </row>
        <row r="939">
          <cell r="A939">
            <v>11186</v>
          </cell>
          <cell r="B939" t="str">
            <v>011186</v>
          </cell>
          <cell r="C939" t="str">
            <v>SULISTYORINI</v>
          </cell>
          <cell r="D939" t="str">
            <v>SAMI</v>
          </cell>
          <cell r="E939" t="str">
            <v>OPT-292</v>
          </cell>
          <cell r="F939">
            <v>40610</v>
          </cell>
          <cell r="G939" t="str">
            <v>-</v>
          </cell>
          <cell r="H939" t="str">
            <v>-</v>
          </cell>
          <cell r="I939" t="str">
            <v>PRD</v>
          </cell>
          <cell r="J939" t="str">
            <v>FINAL ASSY</v>
          </cell>
          <cell r="K939" t="str">
            <v>TOYOTA</v>
          </cell>
          <cell r="L939" t="str">
            <v>AQUA SIENTA</v>
          </cell>
          <cell r="M939" t="str">
            <v>CV T01</v>
          </cell>
          <cell r="N939" t="str">
            <v>OJT T/P 6.1</v>
          </cell>
          <cell r="O939" t="str">
            <v>OTHERS</v>
          </cell>
          <cell r="P939" t="str">
            <v>B</v>
          </cell>
          <cell r="Q939" t="str">
            <v>PI</v>
          </cell>
          <cell r="R939" t="str">
            <v>PERMANENT</v>
          </cell>
          <cell r="S939" t="str">
            <v>PRM</v>
          </cell>
          <cell r="T939" t="str">
            <v>OPT</v>
          </cell>
          <cell r="U939" t="str">
            <v>-</v>
          </cell>
          <cell r="V939" t="str">
            <v>P</v>
          </cell>
          <cell r="W939">
            <v>32</v>
          </cell>
        </row>
        <row r="940">
          <cell r="A940">
            <v>12194</v>
          </cell>
          <cell r="B940" t="str">
            <v>012194</v>
          </cell>
          <cell r="C940" t="str">
            <v>MIFTAKHUL JANAH</v>
          </cell>
          <cell r="D940" t="str">
            <v>SAMI</v>
          </cell>
          <cell r="E940" t="str">
            <v>OPT-315</v>
          </cell>
          <cell r="F940">
            <v>40802</v>
          </cell>
          <cell r="G940" t="str">
            <v>-</v>
          </cell>
          <cell r="H940" t="str">
            <v>-</v>
          </cell>
          <cell r="I940" t="str">
            <v>PRD</v>
          </cell>
          <cell r="J940" t="str">
            <v>FINAL ASSY</v>
          </cell>
          <cell r="K940" t="str">
            <v>TOYOTA HV</v>
          </cell>
          <cell r="L940" t="str">
            <v>HV TOYOTA 10PL</v>
          </cell>
          <cell r="M940" t="str">
            <v>CV HV 14A</v>
          </cell>
          <cell r="N940" t="str">
            <v>LQC</v>
          </cell>
          <cell r="O940" t="str">
            <v>RELIEF</v>
          </cell>
          <cell r="P940" t="str">
            <v>A</v>
          </cell>
          <cell r="Q940" t="str">
            <v>PI</v>
          </cell>
          <cell r="R940" t="str">
            <v>PERMANENT</v>
          </cell>
          <cell r="S940" t="str">
            <v>PRM</v>
          </cell>
          <cell r="T940" t="str">
            <v>PJK</v>
          </cell>
          <cell r="U940" t="str">
            <v>-</v>
          </cell>
          <cell r="V940" t="str">
            <v>P</v>
          </cell>
          <cell r="W940">
            <v>31</v>
          </cell>
        </row>
        <row r="941">
          <cell r="A941">
            <v>11191</v>
          </cell>
          <cell r="B941" t="str">
            <v>011191</v>
          </cell>
          <cell r="C941" t="str">
            <v>AMBAR RIANAWATI</v>
          </cell>
          <cell r="D941" t="str">
            <v>SAMI</v>
          </cell>
          <cell r="E941" t="str">
            <v>OPT-293</v>
          </cell>
          <cell r="F941">
            <v>40609</v>
          </cell>
          <cell r="G941" t="str">
            <v>-</v>
          </cell>
          <cell r="H941" t="str">
            <v>-</v>
          </cell>
          <cell r="I941" t="str">
            <v>PRD</v>
          </cell>
          <cell r="J941" t="str">
            <v>PRE ASSY</v>
          </cell>
          <cell r="K941" t="str">
            <v>HONDA EXPORT</v>
          </cell>
          <cell r="L941" t="str">
            <v>HONDA EXPORT</v>
          </cell>
          <cell r="M941" t="str">
            <v>CPA HONDA EXPORT</v>
          </cell>
          <cell r="N941" t="str">
            <v>OJT CUTTING AC90-HDA-03</v>
          </cell>
          <cell r="O941" t="str">
            <v>OTHERS</v>
          </cell>
          <cell r="P941" t="str">
            <v>B</v>
          </cell>
          <cell r="Q941" t="str">
            <v>PI</v>
          </cell>
          <cell r="R941" t="str">
            <v>PERMANENT</v>
          </cell>
          <cell r="S941" t="str">
            <v>PRM</v>
          </cell>
          <cell r="T941" t="str">
            <v>OPT</v>
          </cell>
          <cell r="U941" t="str">
            <v>-</v>
          </cell>
          <cell r="V941" t="str">
            <v>P</v>
          </cell>
          <cell r="W941">
            <v>33</v>
          </cell>
        </row>
        <row r="942">
          <cell r="A942">
            <v>11207</v>
          </cell>
          <cell r="B942" t="str">
            <v>011207</v>
          </cell>
          <cell r="C942" t="str">
            <v>KASIROH</v>
          </cell>
          <cell r="D942" t="str">
            <v>SAMI</v>
          </cell>
          <cell r="E942" t="str">
            <v>OPT-293</v>
          </cell>
          <cell r="F942">
            <v>40609</v>
          </cell>
          <cell r="G942" t="str">
            <v>-</v>
          </cell>
          <cell r="H942" t="str">
            <v>-</v>
          </cell>
          <cell r="I942" t="str">
            <v>OTHERS</v>
          </cell>
          <cell r="J942" t="str">
            <v>AT HOME</v>
          </cell>
          <cell r="K942" t="str">
            <v>ALL</v>
          </cell>
          <cell r="L942" t="str">
            <v>ALL</v>
          </cell>
          <cell r="M942" t="str">
            <v>AT HOME</v>
          </cell>
          <cell r="N942" t="str">
            <v>CUTI KELAHIRAN</v>
          </cell>
          <cell r="O942" t="str">
            <v>OTHERS IDL</v>
          </cell>
          <cell r="P942" t="str">
            <v>-</v>
          </cell>
          <cell r="Q942" t="str">
            <v>ADM</v>
          </cell>
          <cell r="R942" t="str">
            <v>PERMANENT</v>
          </cell>
          <cell r="S942" t="str">
            <v>PRM</v>
          </cell>
          <cell r="T942" t="str">
            <v>GL</v>
          </cell>
          <cell r="U942" t="str">
            <v>-</v>
          </cell>
          <cell r="V942" t="str">
            <v>P</v>
          </cell>
          <cell r="W942">
            <v>33</v>
          </cell>
        </row>
        <row r="943">
          <cell r="A943">
            <v>12368</v>
          </cell>
          <cell r="B943" t="str">
            <v>012368</v>
          </cell>
          <cell r="C943" t="str">
            <v>FRANCISCA SULISTYOWATI</v>
          </cell>
          <cell r="D943" t="str">
            <v>SAMI</v>
          </cell>
          <cell r="E943" t="str">
            <v>OPT-317</v>
          </cell>
          <cell r="F943">
            <v>40809</v>
          </cell>
          <cell r="G943" t="str">
            <v>-</v>
          </cell>
          <cell r="H943" t="str">
            <v>-</v>
          </cell>
          <cell r="I943" t="str">
            <v>PRD</v>
          </cell>
          <cell r="J943" t="str">
            <v>FINAL ASSY</v>
          </cell>
          <cell r="K943" t="str">
            <v>TOYOTA HV</v>
          </cell>
          <cell r="L943" t="str">
            <v>HV TOYOTA 10PL</v>
          </cell>
          <cell r="M943" t="str">
            <v>CV HV 14A</v>
          </cell>
          <cell r="N943" t="str">
            <v>VISUAL 1.1 T2</v>
          </cell>
          <cell r="O943" t="str">
            <v>VISUAL INSPECTION</v>
          </cell>
          <cell r="P943" t="str">
            <v>A</v>
          </cell>
          <cell r="Q943" t="str">
            <v>DL</v>
          </cell>
          <cell r="R943" t="str">
            <v>PERMANENT</v>
          </cell>
          <cell r="S943" t="str">
            <v>PRM</v>
          </cell>
          <cell r="T943" t="str">
            <v>OPT</v>
          </cell>
          <cell r="U943" t="str">
            <v>-</v>
          </cell>
          <cell r="V943" t="str">
            <v>P</v>
          </cell>
          <cell r="W943">
            <v>31</v>
          </cell>
        </row>
        <row r="944">
          <cell r="A944">
            <v>12596</v>
          </cell>
          <cell r="B944" t="str">
            <v>012596</v>
          </cell>
          <cell r="C944" t="str">
            <v>DEVI NOVIAWATI</v>
          </cell>
          <cell r="D944" t="str">
            <v>SAMI</v>
          </cell>
          <cell r="E944" t="str">
            <v>OPT-319</v>
          </cell>
          <cell r="F944">
            <v>40816</v>
          </cell>
          <cell r="G944" t="str">
            <v>-</v>
          </cell>
          <cell r="H944" t="str">
            <v>-</v>
          </cell>
          <cell r="I944" t="str">
            <v>PRD</v>
          </cell>
          <cell r="J944" t="str">
            <v>FINAL ASSY</v>
          </cell>
          <cell r="K944" t="str">
            <v>TOYOTA HV</v>
          </cell>
          <cell r="L944" t="str">
            <v>HV TOYOTA 10PL</v>
          </cell>
          <cell r="M944" t="str">
            <v>CV HV 14A</v>
          </cell>
          <cell r="N944" t="str">
            <v>VISUAL 1.2 T2</v>
          </cell>
          <cell r="O944" t="str">
            <v>VISUAL INSPECTION</v>
          </cell>
          <cell r="P944" t="str">
            <v>A</v>
          </cell>
          <cell r="Q944" t="str">
            <v>DL</v>
          </cell>
          <cell r="R944" t="str">
            <v>PERMANENT</v>
          </cell>
          <cell r="S944" t="str">
            <v>PRM</v>
          </cell>
          <cell r="T944" t="str">
            <v>OPT</v>
          </cell>
          <cell r="U944" t="str">
            <v>-</v>
          </cell>
          <cell r="V944" t="str">
            <v>P</v>
          </cell>
          <cell r="W944">
            <v>31</v>
          </cell>
        </row>
        <row r="945">
          <cell r="A945">
            <v>12805</v>
          </cell>
          <cell r="B945" t="str">
            <v>012805</v>
          </cell>
          <cell r="C945" t="str">
            <v>DESI RATNASARI</v>
          </cell>
          <cell r="D945" t="str">
            <v>SAMI</v>
          </cell>
          <cell r="E945" t="str">
            <v>OPT-321</v>
          </cell>
          <cell r="F945">
            <v>40826</v>
          </cell>
          <cell r="G945" t="str">
            <v>-</v>
          </cell>
          <cell r="H945" t="str">
            <v>-</v>
          </cell>
          <cell r="I945" t="str">
            <v>PRD</v>
          </cell>
          <cell r="J945" t="str">
            <v>FINAL ASSY</v>
          </cell>
          <cell r="K945" t="str">
            <v>TOYOTA HV</v>
          </cell>
          <cell r="L945" t="str">
            <v>HV TOYOTA 10PL</v>
          </cell>
          <cell r="M945" t="str">
            <v>CV HV 14A</v>
          </cell>
          <cell r="N945" t="str">
            <v>ASM BBM U2-1</v>
          </cell>
          <cell r="O945" t="str">
            <v>ASSEMBLY</v>
          </cell>
          <cell r="P945" t="str">
            <v>A</v>
          </cell>
          <cell r="Q945" t="str">
            <v>DL</v>
          </cell>
          <cell r="R945" t="str">
            <v>PERMANENT</v>
          </cell>
          <cell r="S945" t="str">
            <v>PRM</v>
          </cell>
          <cell r="T945" t="str">
            <v>OPT</v>
          </cell>
          <cell r="U945" t="str">
            <v>-</v>
          </cell>
          <cell r="V945" t="str">
            <v>P</v>
          </cell>
          <cell r="W945">
            <v>32</v>
          </cell>
        </row>
        <row r="946">
          <cell r="A946">
            <v>11248</v>
          </cell>
          <cell r="B946" t="str">
            <v>011248</v>
          </cell>
          <cell r="C946" t="str">
            <v>DWI ASTUTI</v>
          </cell>
          <cell r="D946" t="str">
            <v>SAMI</v>
          </cell>
          <cell r="E946" t="str">
            <v>OPT-294</v>
          </cell>
          <cell r="F946">
            <v>40617</v>
          </cell>
          <cell r="G946" t="str">
            <v>-</v>
          </cell>
          <cell r="H946" t="str">
            <v>-</v>
          </cell>
          <cell r="I946" t="str">
            <v>QA</v>
          </cell>
          <cell r="J946" t="str">
            <v>FINAL ASSY</v>
          </cell>
          <cell r="K946" t="str">
            <v>HONDA FIT</v>
          </cell>
          <cell r="L946" t="str">
            <v>HONDA FIT HEV PET ENGINE</v>
          </cell>
          <cell r="M946" t="str">
            <v>CV H02</v>
          </cell>
          <cell r="N946" t="str">
            <v>DC</v>
          </cell>
          <cell r="O946" t="str">
            <v>DC</v>
          </cell>
          <cell r="P946" t="str">
            <v>A</v>
          </cell>
          <cell r="Q946" t="str">
            <v>PI</v>
          </cell>
          <cell r="R946" t="str">
            <v>PERMANENT</v>
          </cell>
          <cell r="S946" t="str">
            <v>PRM</v>
          </cell>
          <cell r="T946" t="str">
            <v>OPT</v>
          </cell>
          <cell r="U946" t="str">
            <v>-</v>
          </cell>
          <cell r="V946" t="str">
            <v>P</v>
          </cell>
          <cell r="W946">
            <v>32</v>
          </cell>
        </row>
        <row r="947">
          <cell r="A947">
            <v>11259</v>
          </cell>
          <cell r="B947" t="str">
            <v>011259</v>
          </cell>
          <cell r="C947" t="str">
            <v>IKE DIAH AGUSTIN</v>
          </cell>
          <cell r="D947" t="str">
            <v>SAMI</v>
          </cell>
          <cell r="E947" t="str">
            <v>OPT-294</v>
          </cell>
          <cell r="F947">
            <v>40617</v>
          </cell>
          <cell r="G947" t="str">
            <v>-</v>
          </cell>
          <cell r="H947" t="str">
            <v>-</v>
          </cell>
          <cell r="I947" t="str">
            <v>PE</v>
          </cell>
          <cell r="J947" t="str">
            <v>J/C BP</v>
          </cell>
          <cell r="K947" t="str">
            <v>ALL</v>
          </cell>
          <cell r="L947" t="str">
            <v>ALL</v>
          </cell>
          <cell r="M947" t="str">
            <v>JBP</v>
          </cell>
          <cell r="N947" t="str">
            <v>VALIDASI JIG BOARD</v>
          </cell>
          <cell r="O947" t="str">
            <v>JBP</v>
          </cell>
          <cell r="P947" t="str">
            <v>A (NS)</v>
          </cell>
          <cell r="Q947" t="str">
            <v>PS</v>
          </cell>
          <cell r="R947" t="str">
            <v>PERMANENT</v>
          </cell>
          <cell r="S947" t="str">
            <v>PRM</v>
          </cell>
          <cell r="T947" t="str">
            <v>OPT</v>
          </cell>
          <cell r="U947" t="str">
            <v>-</v>
          </cell>
          <cell r="V947" t="str">
            <v>P</v>
          </cell>
          <cell r="W947">
            <v>33</v>
          </cell>
        </row>
        <row r="948">
          <cell r="A948">
            <v>14153</v>
          </cell>
          <cell r="B948" t="str">
            <v>014153</v>
          </cell>
          <cell r="C948" t="str">
            <v>AFIDAH</v>
          </cell>
          <cell r="D948" t="str">
            <v>SAMI</v>
          </cell>
          <cell r="E948" t="str">
            <v>OPT-367</v>
          </cell>
          <cell r="F948">
            <v>41360</v>
          </cell>
          <cell r="G948" t="str">
            <v>-</v>
          </cell>
          <cell r="H948" t="str">
            <v>-</v>
          </cell>
          <cell r="I948" t="str">
            <v>PRD</v>
          </cell>
          <cell r="J948" t="str">
            <v>FINAL ASSY</v>
          </cell>
          <cell r="K948" t="str">
            <v>TOYOTA HV</v>
          </cell>
          <cell r="L948" t="str">
            <v>HV TOYOTA 10PL</v>
          </cell>
          <cell r="M948" t="str">
            <v>CV HV 14A</v>
          </cell>
          <cell r="N948" t="str">
            <v>S/A BBM T2-4</v>
          </cell>
          <cell r="O948" t="str">
            <v>SUB ASSY</v>
          </cell>
          <cell r="P948" t="str">
            <v>A</v>
          </cell>
          <cell r="Q948" t="str">
            <v>DL</v>
          </cell>
          <cell r="R948" t="str">
            <v>PERMANENT</v>
          </cell>
          <cell r="S948" t="str">
            <v>PRM</v>
          </cell>
          <cell r="T948" t="str">
            <v>OPT</v>
          </cell>
          <cell r="U948" t="str">
            <v>-</v>
          </cell>
          <cell r="V948" t="str">
            <v>P</v>
          </cell>
          <cell r="W948">
            <v>31</v>
          </cell>
        </row>
        <row r="949">
          <cell r="A949">
            <v>14418</v>
          </cell>
          <cell r="B949" t="str">
            <v>014418</v>
          </cell>
          <cell r="C949" t="str">
            <v>LINDA NOVITA SARI</v>
          </cell>
          <cell r="D949" t="str">
            <v>SAMI</v>
          </cell>
          <cell r="E949" t="str">
            <v>OPT-374</v>
          </cell>
          <cell r="F949">
            <v>41390</v>
          </cell>
          <cell r="G949" t="str">
            <v>-</v>
          </cell>
          <cell r="H949" t="str">
            <v>-</v>
          </cell>
          <cell r="I949" t="str">
            <v>PRD</v>
          </cell>
          <cell r="J949" t="str">
            <v>FINAL ASSY</v>
          </cell>
          <cell r="K949" t="str">
            <v>TOYOTA HV</v>
          </cell>
          <cell r="L949" t="str">
            <v>HV TOYOTA 10PL</v>
          </cell>
          <cell r="M949" t="str">
            <v>CV HV 14A</v>
          </cell>
          <cell r="N949" t="str">
            <v>VISUAL 1.1 U2</v>
          </cell>
          <cell r="O949" t="str">
            <v>VISUAL INSPECTION</v>
          </cell>
          <cell r="P949" t="str">
            <v>A</v>
          </cell>
          <cell r="Q949" t="str">
            <v>DL</v>
          </cell>
          <cell r="R949" t="str">
            <v>PERMANENT</v>
          </cell>
          <cell r="S949" t="str">
            <v>PRM</v>
          </cell>
          <cell r="T949" t="str">
            <v>OPT</v>
          </cell>
          <cell r="U949" t="str">
            <v>-</v>
          </cell>
          <cell r="V949" t="str">
            <v>P</v>
          </cell>
          <cell r="W949">
            <v>30</v>
          </cell>
        </row>
        <row r="950">
          <cell r="A950">
            <v>11275</v>
          </cell>
          <cell r="B950" t="str">
            <v>011275</v>
          </cell>
          <cell r="C950" t="str">
            <v>SULISTIOWATI</v>
          </cell>
          <cell r="D950" t="str">
            <v>SAMI</v>
          </cell>
          <cell r="E950" t="str">
            <v>OPT-294</v>
          </cell>
          <cell r="F950">
            <v>40617</v>
          </cell>
          <cell r="G950" t="str">
            <v>-</v>
          </cell>
          <cell r="H950" t="str">
            <v>-</v>
          </cell>
          <cell r="I950" t="str">
            <v>PRD</v>
          </cell>
          <cell r="J950" t="str">
            <v>FINAL ASSY</v>
          </cell>
          <cell r="K950" t="str">
            <v>HONDA BBP</v>
          </cell>
          <cell r="L950" t="str">
            <v>HV HONDA 5JLA BBP</v>
          </cell>
          <cell r="M950" t="str">
            <v>CV HV 04A</v>
          </cell>
          <cell r="N950" t="str">
            <v>S/A 141-1</v>
          </cell>
          <cell r="O950" t="str">
            <v>SUB ASSY</v>
          </cell>
          <cell r="P950" t="str">
            <v>B</v>
          </cell>
          <cell r="Q950" t="str">
            <v>DL</v>
          </cell>
          <cell r="R950" t="str">
            <v>PERMANENT</v>
          </cell>
          <cell r="S950" t="str">
            <v>PRM</v>
          </cell>
          <cell r="T950" t="str">
            <v>OPT</v>
          </cell>
          <cell r="U950" t="str">
            <v>-</v>
          </cell>
          <cell r="V950" t="str">
            <v>P</v>
          </cell>
          <cell r="W950">
            <v>32</v>
          </cell>
        </row>
        <row r="951">
          <cell r="A951">
            <v>11286</v>
          </cell>
          <cell r="B951" t="str">
            <v>011286</v>
          </cell>
          <cell r="C951" t="str">
            <v>NIKEN KRISTANTI</v>
          </cell>
          <cell r="D951" t="str">
            <v>SAMI</v>
          </cell>
          <cell r="E951" t="str">
            <v>OPT-295</v>
          </cell>
          <cell r="F951">
            <v>40624</v>
          </cell>
          <cell r="G951" t="str">
            <v>-</v>
          </cell>
          <cell r="H951" t="str">
            <v>-</v>
          </cell>
          <cell r="I951" t="str">
            <v>PRD</v>
          </cell>
          <cell r="J951" t="str">
            <v>PRE ASSY</v>
          </cell>
          <cell r="K951" t="str">
            <v>HONDA EXPORT</v>
          </cell>
          <cell r="L951" t="str">
            <v>HONDA EXPORT</v>
          </cell>
          <cell r="M951" t="str">
            <v>CPA HONDA EXPORT</v>
          </cell>
          <cell r="N951" t="str">
            <v>INSP CUTTING</v>
          </cell>
          <cell r="O951" t="str">
            <v>P/A INSPECTOR</v>
          </cell>
          <cell r="P951" t="str">
            <v>B</v>
          </cell>
          <cell r="Q951" t="str">
            <v>PI</v>
          </cell>
          <cell r="R951" t="str">
            <v>PERMANENT</v>
          </cell>
          <cell r="S951" t="str">
            <v>PRM</v>
          </cell>
          <cell r="T951" t="str">
            <v>OPT</v>
          </cell>
          <cell r="U951" t="str">
            <v>-</v>
          </cell>
          <cell r="V951" t="str">
            <v>P</v>
          </cell>
          <cell r="W951">
            <v>34</v>
          </cell>
        </row>
        <row r="952">
          <cell r="A952">
            <v>11291</v>
          </cell>
          <cell r="B952" t="str">
            <v>011291</v>
          </cell>
          <cell r="C952" t="str">
            <v>M. FATIH AL ICHSAN</v>
          </cell>
          <cell r="D952" t="str">
            <v>SAMI</v>
          </cell>
          <cell r="E952" t="str">
            <v>ADM-47</v>
          </cell>
          <cell r="F952">
            <v>40631</v>
          </cell>
          <cell r="G952" t="str">
            <v>-</v>
          </cell>
          <cell r="H952" t="str">
            <v>-</v>
          </cell>
          <cell r="I952" t="str">
            <v>LOG</v>
          </cell>
          <cell r="J952" t="str">
            <v>PPIC</v>
          </cell>
          <cell r="K952" t="str">
            <v>ALL</v>
          </cell>
          <cell r="L952" t="str">
            <v>ALL</v>
          </cell>
          <cell r="M952" t="str">
            <v>PPIC</v>
          </cell>
          <cell r="N952" t="str">
            <v>Line Leader (PS) - Planner Masspro</v>
          </cell>
          <cell r="O952" t="str">
            <v>FPS LL</v>
          </cell>
          <cell r="P952" t="str">
            <v>A (NS)</v>
          </cell>
          <cell r="Q952" t="str">
            <v>PS</v>
          </cell>
          <cell r="R952" t="str">
            <v>PERMANENT</v>
          </cell>
          <cell r="S952" t="str">
            <v>PRM</v>
          </cell>
          <cell r="T952" t="str">
            <v>LL</v>
          </cell>
          <cell r="U952" t="str">
            <v>-</v>
          </cell>
          <cell r="V952" t="str">
            <v>L</v>
          </cell>
          <cell r="W952">
            <v>34</v>
          </cell>
        </row>
        <row r="953">
          <cell r="A953">
            <v>11292</v>
          </cell>
          <cell r="B953" t="str">
            <v>011292</v>
          </cell>
          <cell r="C953" t="str">
            <v>NUR MUJIYANTO</v>
          </cell>
          <cell r="D953" t="str">
            <v>SAMI</v>
          </cell>
          <cell r="E953" t="str">
            <v>TKN-53</v>
          </cell>
          <cell r="F953">
            <v>40634</v>
          </cell>
          <cell r="G953" t="str">
            <v>-</v>
          </cell>
          <cell r="H953" t="str">
            <v>-</v>
          </cell>
          <cell r="I953" t="str">
            <v>PE</v>
          </cell>
          <cell r="J953" t="str">
            <v>WORKSHOP</v>
          </cell>
          <cell r="K953" t="str">
            <v>ALL</v>
          </cell>
          <cell r="L953" t="str">
            <v>ALL</v>
          </cell>
          <cell r="M953" t="str">
            <v>WORKSHOP</v>
          </cell>
          <cell r="N953" t="str">
            <v>GL WORKSHOP</v>
          </cell>
          <cell r="O953" t="str">
            <v>WKS</v>
          </cell>
          <cell r="P953" t="str">
            <v>A (NS)</v>
          </cell>
          <cell r="Q953" t="str">
            <v>PS</v>
          </cell>
          <cell r="R953" t="str">
            <v>PERMANENT</v>
          </cell>
          <cell r="S953" t="str">
            <v>PRM</v>
          </cell>
          <cell r="T953" t="str">
            <v>GL</v>
          </cell>
          <cell r="U953" t="str">
            <v>-</v>
          </cell>
          <cell r="V953" t="str">
            <v>L</v>
          </cell>
          <cell r="W953">
            <v>38</v>
          </cell>
        </row>
        <row r="954">
          <cell r="A954">
            <v>11293</v>
          </cell>
          <cell r="B954" t="str">
            <v>011293</v>
          </cell>
          <cell r="C954" t="str">
            <v>WIDODO</v>
          </cell>
          <cell r="D954" t="str">
            <v>SAMI</v>
          </cell>
          <cell r="E954" t="str">
            <v>TKN-53</v>
          </cell>
          <cell r="F954">
            <v>40634</v>
          </cell>
          <cell r="G954" t="str">
            <v>-</v>
          </cell>
          <cell r="H954" t="str">
            <v>-</v>
          </cell>
          <cell r="I954" t="str">
            <v>PE</v>
          </cell>
          <cell r="J954" t="str">
            <v>WORKSHOP</v>
          </cell>
          <cell r="K954" t="str">
            <v>ALL</v>
          </cell>
          <cell r="L954" t="str">
            <v>ALL</v>
          </cell>
          <cell r="M954" t="str">
            <v>WORKSHOP</v>
          </cell>
          <cell r="N954" t="str">
            <v>EQUIPMENT NEW PROJECT FINAL ASSY</v>
          </cell>
          <cell r="O954" t="str">
            <v>WKS</v>
          </cell>
          <cell r="P954" t="str">
            <v>B</v>
          </cell>
          <cell r="Q954" t="str">
            <v>PS</v>
          </cell>
          <cell r="R954" t="str">
            <v>PERMANENT</v>
          </cell>
          <cell r="S954" t="str">
            <v>PRM</v>
          </cell>
          <cell r="T954" t="str">
            <v>TKN</v>
          </cell>
          <cell r="U954" t="str">
            <v>-</v>
          </cell>
          <cell r="V954" t="str">
            <v>L</v>
          </cell>
          <cell r="W954">
            <v>36</v>
          </cell>
        </row>
        <row r="955">
          <cell r="A955">
            <v>11295</v>
          </cell>
          <cell r="B955" t="str">
            <v>011295</v>
          </cell>
          <cell r="C955" t="str">
            <v>ANNA OCTAVIANI NUR HALIMAH</v>
          </cell>
          <cell r="D955" t="str">
            <v>SAMI</v>
          </cell>
          <cell r="E955" t="str">
            <v>OPT-297</v>
          </cell>
          <cell r="F955">
            <v>40646</v>
          </cell>
          <cell r="G955" t="str">
            <v>-</v>
          </cell>
          <cell r="H955" t="str">
            <v>-</v>
          </cell>
          <cell r="I955" t="str">
            <v>PRD</v>
          </cell>
          <cell r="J955" t="str">
            <v>FINAL ASSY</v>
          </cell>
          <cell r="K955" t="str">
            <v>TOYOTA HV</v>
          </cell>
          <cell r="L955" t="str">
            <v>HV TOYOTA 10PL</v>
          </cell>
          <cell r="M955" t="str">
            <v>CV HV 14A</v>
          </cell>
          <cell r="N955" t="str">
            <v>VISUAL U2.1</v>
          </cell>
          <cell r="O955" t="str">
            <v>VISUAL INSPECTION</v>
          </cell>
          <cell r="P955" t="str">
            <v>B</v>
          </cell>
          <cell r="Q955" t="str">
            <v>DL</v>
          </cell>
          <cell r="R955" t="str">
            <v>PERMANENT</v>
          </cell>
          <cell r="S955" t="str">
            <v>PRM</v>
          </cell>
          <cell r="T955" t="str">
            <v>OPT</v>
          </cell>
          <cell r="U955" t="str">
            <v>-</v>
          </cell>
          <cell r="V955" t="str">
            <v>P</v>
          </cell>
          <cell r="W955">
            <v>32</v>
          </cell>
        </row>
        <row r="956">
          <cell r="A956">
            <v>22027</v>
          </cell>
          <cell r="B956" t="str">
            <v>022027</v>
          </cell>
          <cell r="C956" t="str">
            <v>INAWATI AMIR</v>
          </cell>
          <cell r="D956" t="str">
            <v>SAMI</v>
          </cell>
          <cell r="E956" t="str">
            <v>OPT-547</v>
          </cell>
          <cell r="F956">
            <v>43144</v>
          </cell>
          <cell r="G956" t="str">
            <v>-</v>
          </cell>
          <cell r="H956" t="str">
            <v>-</v>
          </cell>
          <cell r="I956" t="str">
            <v>PRD</v>
          </cell>
          <cell r="J956" t="str">
            <v>FINAL ASSY</v>
          </cell>
          <cell r="K956" t="str">
            <v>TOYOTA HV</v>
          </cell>
          <cell r="L956" t="str">
            <v>HV TOYOTA 10PL</v>
          </cell>
          <cell r="M956" t="str">
            <v>CV HV 14A</v>
          </cell>
          <cell r="N956" t="str">
            <v>S/A THERMISTOR T2-1</v>
          </cell>
          <cell r="O956" t="str">
            <v>SUB ASSY</v>
          </cell>
          <cell r="P956" t="str">
            <v>A</v>
          </cell>
          <cell r="Q956" t="str">
            <v>DL</v>
          </cell>
          <cell r="R956" t="str">
            <v>PERMANENT</v>
          </cell>
          <cell r="S956" t="str">
            <v>PRM</v>
          </cell>
          <cell r="T956" t="str">
            <v>OPT</v>
          </cell>
          <cell r="U956" t="str">
            <v>-</v>
          </cell>
          <cell r="V956" t="str">
            <v>P</v>
          </cell>
          <cell r="W956">
            <v>25</v>
          </cell>
        </row>
        <row r="957">
          <cell r="A957">
            <v>11316</v>
          </cell>
          <cell r="B957" t="str">
            <v>011316</v>
          </cell>
          <cell r="C957" t="str">
            <v>NOVI INDRIANI</v>
          </cell>
          <cell r="D957" t="str">
            <v>SAMI</v>
          </cell>
          <cell r="E957" t="str">
            <v>OPT-299</v>
          </cell>
          <cell r="F957">
            <v>40660</v>
          </cell>
          <cell r="G957" t="str">
            <v>-</v>
          </cell>
          <cell r="H957" t="str">
            <v>-</v>
          </cell>
          <cell r="I957" t="str">
            <v>PRD</v>
          </cell>
          <cell r="J957" t="str">
            <v>FINAL ASSY</v>
          </cell>
          <cell r="K957" t="str">
            <v>HONDA NES</v>
          </cell>
          <cell r="L957" t="str">
            <v>HONDA NES HEV PET ENGINE</v>
          </cell>
          <cell r="M957" t="str">
            <v>CV H04</v>
          </cell>
          <cell r="N957" t="str">
            <v>S/T 4</v>
          </cell>
          <cell r="O957" t="str">
            <v>ASSEMBLY</v>
          </cell>
          <cell r="P957" t="str">
            <v>B</v>
          </cell>
          <cell r="Q957" t="str">
            <v>DL</v>
          </cell>
          <cell r="R957" t="str">
            <v>PERMANENT</v>
          </cell>
          <cell r="S957" t="str">
            <v>PRM</v>
          </cell>
          <cell r="T957" t="str">
            <v>OPT</v>
          </cell>
          <cell r="U957" t="str">
            <v>-</v>
          </cell>
          <cell r="V957" t="str">
            <v>P</v>
          </cell>
          <cell r="W957">
            <v>36</v>
          </cell>
        </row>
        <row r="958">
          <cell r="A958" t="str">
            <v>B00814</v>
          </cell>
          <cell r="B958" t="str">
            <v>B00814</v>
          </cell>
          <cell r="C958" t="str">
            <v>DWI SETYANINGSIH</v>
          </cell>
          <cell r="D958" t="str">
            <v>SAMI</v>
          </cell>
          <cell r="E958" t="str">
            <v>BBF-014</v>
          </cell>
          <cell r="F958">
            <v>40917</v>
          </cell>
          <cell r="G958" t="str">
            <v>-</v>
          </cell>
          <cell r="H958" t="str">
            <v>-</v>
          </cell>
          <cell r="I958" t="str">
            <v>PRD</v>
          </cell>
          <cell r="J958" t="str">
            <v>FINAL ASSY</v>
          </cell>
          <cell r="K958" t="str">
            <v>TOYOTA HV</v>
          </cell>
          <cell r="L958" t="str">
            <v>HV TOYOTA 10PL</v>
          </cell>
          <cell r="M958" t="str">
            <v>CV HV 14A</v>
          </cell>
          <cell r="N958" t="str">
            <v>S/A THERMISTOR T2-2</v>
          </cell>
          <cell r="O958" t="str">
            <v>SUB ASSY</v>
          </cell>
          <cell r="P958" t="str">
            <v>A</v>
          </cell>
          <cell r="Q958" t="str">
            <v>DL</v>
          </cell>
          <cell r="R958" t="str">
            <v>PERMANENT</v>
          </cell>
          <cell r="S958" t="str">
            <v>PRM</v>
          </cell>
          <cell r="T958" t="str">
            <v>OPT</v>
          </cell>
          <cell r="U958" t="str">
            <v>-</v>
          </cell>
          <cell r="V958" t="str">
            <v>P</v>
          </cell>
          <cell r="W958">
            <v>31</v>
          </cell>
        </row>
        <row r="959">
          <cell r="A959">
            <v>8991</v>
          </cell>
          <cell r="B959" t="str">
            <v>008991</v>
          </cell>
          <cell r="C959" t="str">
            <v>ANJAR SETIYANI</v>
          </cell>
          <cell r="D959" t="str">
            <v>SAMI</v>
          </cell>
          <cell r="E959" t="str">
            <v>OPT-201</v>
          </cell>
          <cell r="F959">
            <v>39975</v>
          </cell>
          <cell r="G959" t="str">
            <v>-</v>
          </cell>
          <cell r="H959" t="str">
            <v>-</v>
          </cell>
          <cell r="I959" t="str">
            <v>PRD</v>
          </cell>
          <cell r="J959" t="str">
            <v>FINAL ASSY</v>
          </cell>
          <cell r="K959" t="str">
            <v>TOYOTA HV</v>
          </cell>
          <cell r="L959" t="str">
            <v>HV TOYOTA 10PL</v>
          </cell>
          <cell r="M959" t="str">
            <v>CV HV 14B</v>
          </cell>
          <cell r="N959" t="str">
            <v>RELIEF 2</v>
          </cell>
          <cell r="O959" t="str">
            <v>RELIEF</v>
          </cell>
          <cell r="P959" t="str">
            <v>A</v>
          </cell>
          <cell r="Q959" t="str">
            <v>PI</v>
          </cell>
          <cell r="R959" t="str">
            <v>PERMANENT</v>
          </cell>
          <cell r="S959" t="str">
            <v>PRM</v>
          </cell>
          <cell r="T959" t="str">
            <v>PJK</v>
          </cell>
          <cell r="U959" t="str">
            <v>-</v>
          </cell>
          <cell r="V959" t="str">
            <v>P</v>
          </cell>
          <cell r="W959">
            <v>37</v>
          </cell>
        </row>
        <row r="960">
          <cell r="A960">
            <v>11329</v>
          </cell>
          <cell r="B960" t="str">
            <v>011329</v>
          </cell>
          <cell r="C960" t="str">
            <v>SITI MARFUAH</v>
          </cell>
          <cell r="D960" t="str">
            <v>SAMI</v>
          </cell>
          <cell r="E960" t="str">
            <v>OPT-300</v>
          </cell>
          <cell r="F960">
            <v>40666</v>
          </cell>
          <cell r="G960" t="str">
            <v>-</v>
          </cell>
          <cell r="H960" t="str">
            <v>-</v>
          </cell>
          <cell r="I960" t="str">
            <v>PRD</v>
          </cell>
          <cell r="J960" t="str">
            <v>FINAL ASSY</v>
          </cell>
          <cell r="K960" t="str">
            <v>SUZUKI WAGON R</v>
          </cell>
          <cell r="L960" t="str">
            <v>SUZUKI YW0</v>
          </cell>
          <cell r="M960" t="str">
            <v>CV S01</v>
          </cell>
          <cell r="N960" t="str">
            <v>T/P 3</v>
          </cell>
          <cell r="O960" t="str">
            <v>ASSEMBLY</v>
          </cell>
          <cell r="P960" t="str">
            <v>B</v>
          </cell>
          <cell r="Q960" t="str">
            <v>DL</v>
          </cell>
          <cell r="R960" t="str">
            <v>PERMANENT</v>
          </cell>
          <cell r="S960" t="str">
            <v>PRM</v>
          </cell>
          <cell r="T960" t="str">
            <v>OPT</v>
          </cell>
          <cell r="U960" t="str">
            <v>-</v>
          </cell>
          <cell r="V960" t="str">
            <v>P</v>
          </cell>
          <cell r="W960">
            <v>34</v>
          </cell>
        </row>
        <row r="961">
          <cell r="A961">
            <v>8992</v>
          </cell>
          <cell r="B961" t="str">
            <v>008992</v>
          </cell>
          <cell r="C961" t="str">
            <v>AVIANI SHOBIKAH</v>
          </cell>
          <cell r="D961" t="str">
            <v>SAMI</v>
          </cell>
          <cell r="E961" t="str">
            <v>OPT-201</v>
          </cell>
          <cell r="F961">
            <v>39975</v>
          </cell>
          <cell r="G961" t="str">
            <v>-</v>
          </cell>
          <cell r="H961" t="str">
            <v>-</v>
          </cell>
          <cell r="I961" t="str">
            <v>PRD</v>
          </cell>
          <cell r="J961" t="str">
            <v>FINAL ASSY</v>
          </cell>
          <cell r="K961" t="str">
            <v>TOYOTA HV</v>
          </cell>
          <cell r="L961" t="str">
            <v>HV TOYOTA 10PL</v>
          </cell>
          <cell r="M961" t="str">
            <v>CV HV 14B</v>
          </cell>
          <cell r="N961" t="str">
            <v>LQC</v>
          </cell>
          <cell r="O961" t="str">
            <v>RELIEF</v>
          </cell>
          <cell r="P961" t="str">
            <v>A</v>
          </cell>
          <cell r="Q961" t="str">
            <v>PI</v>
          </cell>
          <cell r="R961" t="str">
            <v>PERMANENT</v>
          </cell>
          <cell r="S961" t="str">
            <v>PRM</v>
          </cell>
          <cell r="T961" t="str">
            <v>PJK</v>
          </cell>
          <cell r="U961" t="str">
            <v>-</v>
          </cell>
          <cell r="V961" t="str">
            <v>P</v>
          </cell>
          <cell r="W961">
            <v>38</v>
          </cell>
        </row>
        <row r="962">
          <cell r="A962">
            <v>11352</v>
          </cell>
          <cell r="B962" t="str">
            <v>011352</v>
          </cell>
          <cell r="C962" t="str">
            <v>DEWI YULIANTI</v>
          </cell>
          <cell r="D962" t="str">
            <v>SAMI</v>
          </cell>
          <cell r="E962" t="str">
            <v>OPT-301</v>
          </cell>
          <cell r="F962">
            <v>40672</v>
          </cell>
          <cell r="G962" t="str">
            <v>-</v>
          </cell>
          <cell r="H962" t="str">
            <v>-</v>
          </cell>
          <cell r="I962" t="str">
            <v>PP</v>
          </cell>
          <cell r="J962" t="str">
            <v>SWCT</v>
          </cell>
          <cell r="K962" t="str">
            <v>ALL</v>
          </cell>
          <cell r="L962" t="str">
            <v>ALL</v>
          </cell>
          <cell r="M962" t="str">
            <v>SWCT</v>
          </cell>
          <cell r="N962" t="str">
            <v>DOKUMEN SWCT</v>
          </cell>
          <cell r="O962" t="str">
            <v>PROCESS ENG</v>
          </cell>
          <cell r="P962" t="str">
            <v>A (NS)</v>
          </cell>
          <cell r="Q962" t="str">
            <v>PS</v>
          </cell>
          <cell r="R962" t="str">
            <v>PERMANENT</v>
          </cell>
          <cell r="S962" t="str">
            <v>PRM</v>
          </cell>
          <cell r="T962" t="str">
            <v>OPT</v>
          </cell>
          <cell r="U962" t="str">
            <v>-</v>
          </cell>
          <cell r="V962" t="str">
            <v>P</v>
          </cell>
          <cell r="W962">
            <v>32</v>
          </cell>
        </row>
        <row r="963">
          <cell r="A963">
            <v>11357</v>
          </cell>
          <cell r="B963" t="str">
            <v>011357</v>
          </cell>
          <cell r="C963" t="str">
            <v>SISKA WIJAYANTI</v>
          </cell>
          <cell r="D963" t="str">
            <v>SAMI</v>
          </cell>
          <cell r="E963" t="str">
            <v>OPT-302</v>
          </cell>
          <cell r="F963">
            <v>40674</v>
          </cell>
          <cell r="G963" t="str">
            <v>-</v>
          </cell>
          <cell r="H963" t="str">
            <v>-</v>
          </cell>
          <cell r="I963" t="str">
            <v>PRD</v>
          </cell>
          <cell r="J963" t="str">
            <v>FINAL ASSY</v>
          </cell>
          <cell r="K963" t="str">
            <v>HONDA FREED</v>
          </cell>
          <cell r="L963" t="str">
            <v>HONDA FREED W/H FLOOR</v>
          </cell>
          <cell r="M963" t="str">
            <v>CV 4</v>
          </cell>
          <cell r="N963" t="str">
            <v>MATERIAL SUPPLY 1</v>
          </cell>
          <cell r="O963" t="str">
            <v>MATERIAL SUPPLY</v>
          </cell>
          <cell r="P963" t="str">
            <v>B</v>
          </cell>
          <cell r="Q963" t="str">
            <v>PI</v>
          </cell>
          <cell r="R963" t="str">
            <v>PERMANENT</v>
          </cell>
          <cell r="S963" t="str">
            <v>PRM</v>
          </cell>
          <cell r="T963" t="str">
            <v>OPT</v>
          </cell>
          <cell r="U963" t="str">
            <v>-</v>
          </cell>
          <cell r="V963" t="str">
            <v>P</v>
          </cell>
          <cell r="W963">
            <v>32</v>
          </cell>
        </row>
        <row r="964">
          <cell r="A964">
            <v>9058</v>
          </cell>
          <cell r="B964" t="str">
            <v>009058</v>
          </cell>
          <cell r="C964" t="str">
            <v>ANITA VIDYANWATI</v>
          </cell>
          <cell r="D964" t="str">
            <v>SAMI</v>
          </cell>
          <cell r="E964" t="str">
            <v>OPT-203</v>
          </cell>
          <cell r="F964">
            <v>39993</v>
          </cell>
          <cell r="G964" t="str">
            <v>-</v>
          </cell>
          <cell r="H964" t="str">
            <v>-</v>
          </cell>
          <cell r="I964" t="str">
            <v>PRD</v>
          </cell>
          <cell r="J964" t="str">
            <v>FINAL ASSY</v>
          </cell>
          <cell r="K964" t="str">
            <v>TOYOTA HV</v>
          </cell>
          <cell r="L964" t="str">
            <v>HV TOYOTA 10PL</v>
          </cell>
          <cell r="M964" t="str">
            <v>CV HV 14B</v>
          </cell>
          <cell r="N964" t="str">
            <v>VISUAL 1.3 T2</v>
          </cell>
          <cell r="O964" t="str">
            <v>VISUAL INSPECTION</v>
          </cell>
          <cell r="P964" t="str">
            <v>A</v>
          </cell>
          <cell r="Q964" t="str">
            <v>DL</v>
          </cell>
          <cell r="R964" t="str">
            <v>PERMANENT</v>
          </cell>
          <cell r="S964" t="str">
            <v>PRM</v>
          </cell>
          <cell r="T964" t="str">
            <v>OPT</v>
          </cell>
          <cell r="U964" t="str">
            <v>-</v>
          </cell>
          <cell r="V964" t="str">
            <v>P</v>
          </cell>
          <cell r="W964">
            <v>34</v>
          </cell>
        </row>
        <row r="965">
          <cell r="A965">
            <v>10519</v>
          </cell>
          <cell r="B965" t="str">
            <v>010519</v>
          </cell>
          <cell r="C965" t="str">
            <v>RAHAYU SAPTONINGSIH</v>
          </cell>
          <cell r="D965" t="str">
            <v>SAMI</v>
          </cell>
          <cell r="E965" t="str">
            <v>OPT-273</v>
          </cell>
          <cell r="F965">
            <v>40535</v>
          </cell>
          <cell r="G965" t="str">
            <v>-</v>
          </cell>
          <cell r="H965" t="str">
            <v>-</v>
          </cell>
          <cell r="I965" t="str">
            <v>PRD</v>
          </cell>
          <cell r="J965" t="str">
            <v>FINAL ASSY</v>
          </cell>
          <cell r="K965" t="str">
            <v>TOYOTA HV</v>
          </cell>
          <cell r="L965" t="str">
            <v>HV TOYOTA 10PL</v>
          </cell>
          <cell r="M965" t="str">
            <v>CV HV 14B</v>
          </cell>
          <cell r="N965" t="str">
            <v>VISUAL 1.1 T2</v>
          </cell>
          <cell r="O965" t="str">
            <v>VISUAL INSPECTION</v>
          </cell>
          <cell r="P965" t="str">
            <v>A</v>
          </cell>
          <cell r="Q965" t="str">
            <v>DL</v>
          </cell>
          <cell r="R965" t="str">
            <v>PERMANENT</v>
          </cell>
          <cell r="S965" t="str">
            <v>PRM</v>
          </cell>
          <cell r="T965" t="str">
            <v>OPT</v>
          </cell>
          <cell r="U965" t="str">
            <v>-</v>
          </cell>
          <cell r="V965" t="str">
            <v>P</v>
          </cell>
          <cell r="W965">
            <v>34</v>
          </cell>
        </row>
        <row r="966">
          <cell r="A966">
            <v>11734</v>
          </cell>
          <cell r="B966" t="str">
            <v>011734</v>
          </cell>
          <cell r="C966" t="str">
            <v>MELINDA KURNIASARI</v>
          </cell>
          <cell r="D966" t="str">
            <v>SAMI</v>
          </cell>
          <cell r="E966" t="str">
            <v>OPT-308</v>
          </cell>
          <cell r="F966">
            <v>40714</v>
          </cell>
          <cell r="G966" t="str">
            <v>-</v>
          </cell>
          <cell r="H966" t="str">
            <v>-</v>
          </cell>
          <cell r="I966" t="str">
            <v>PRD</v>
          </cell>
          <cell r="J966" t="str">
            <v>FINAL ASSY</v>
          </cell>
          <cell r="K966" t="str">
            <v>TOYOTA HV</v>
          </cell>
          <cell r="L966" t="str">
            <v>HV TOYOTA 10PL</v>
          </cell>
          <cell r="M966" t="str">
            <v>CV HV 14B</v>
          </cell>
          <cell r="N966" t="str">
            <v>SUB LINE CHO</v>
          </cell>
          <cell r="O966" t="str">
            <v>GL</v>
          </cell>
          <cell r="P966" t="str">
            <v>A</v>
          </cell>
          <cell r="Q966" t="str">
            <v>PI</v>
          </cell>
          <cell r="R966" t="str">
            <v>PERMANENT</v>
          </cell>
          <cell r="S966" t="str">
            <v>PRM</v>
          </cell>
          <cell r="T966" t="str">
            <v>SLC</v>
          </cell>
          <cell r="U966" t="str">
            <v>-</v>
          </cell>
          <cell r="V966" t="str">
            <v>P</v>
          </cell>
          <cell r="W966">
            <v>31</v>
          </cell>
        </row>
        <row r="967">
          <cell r="A967">
            <v>11393</v>
          </cell>
          <cell r="B967" t="str">
            <v>011393</v>
          </cell>
          <cell r="C967" t="str">
            <v>SOFIYAH</v>
          </cell>
          <cell r="D967" t="str">
            <v>SAMI</v>
          </cell>
          <cell r="E967" t="str">
            <v>OPT-305</v>
          </cell>
          <cell r="F967">
            <v>40700</v>
          </cell>
          <cell r="G967" t="str">
            <v>-</v>
          </cell>
          <cell r="H967" t="str">
            <v>-</v>
          </cell>
          <cell r="I967" t="str">
            <v>PRD</v>
          </cell>
          <cell r="J967" t="str">
            <v>PRE ASSY</v>
          </cell>
          <cell r="K967" t="str">
            <v>HONDA NES</v>
          </cell>
          <cell r="L967" t="str">
            <v>HONDA NES</v>
          </cell>
          <cell r="M967" t="str">
            <v>CPA HONDA NES HEV/PET</v>
          </cell>
          <cell r="N967" t="str">
            <v>INSP CUTTING</v>
          </cell>
          <cell r="O967" t="str">
            <v>P/A INSPECTOR</v>
          </cell>
          <cell r="P967" t="str">
            <v>B</v>
          </cell>
          <cell r="Q967" t="str">
            <v>PI</v>
          </cell>
          <cell r="R967" t="str">
            <v>PERMANENT</v>
          </cell>
          <cell r="S967" t="str">
            <v>PRM</v>
          </cell>
          <cell r="T967" t="str">
            <v>OPT</v>
          </cell>
          <cell r="U967" t="str">
            <v>-</v>
          </cell>
          <cell r="V967" t="str">
            <v>P</v>
          </cell>
          <cell r="W967">
            <v>32</v>
          </cell>
        </row>
        <row r="968">
          <cell r="A968">
            <v>12482</v>
          </cell>
          <cell r="B968" t="str">
            <v>012482</v>
          </cell>
          <cell r="C968" t="str">
            <v>LAMIK NADHIFAH</v>
          </cell>
          <cell r="D968" t="str">
            <v>SAMI</v>
          </cell>
          <cell r="E968" t="str">
            <v>OPT-318</v>
          </cell>
          <cell r="F968">
            <v>40812</v>
          </cell>
          <cell r="G968" t="str">
            <v>-</v>
          </cell>
          <cell r="H968" t="str">
            <v>-</v>
          </cell>
          <cell r="I968" t="str">
            <v>PRD</v>
          </cell>
          <cell r="J968" t="str">
            <v>FINAL ASSY</v>
          </cell>
          <cell r="K968" t="str">
            <v>TOYOTA HV</v>
          </cell>
          <cell r="L968" t="str">
            <v>HV TOYOTA 10PL</v>
          </cell>
          <cell r="M968" t="str">
            <v>CV HV 14B</v>
          </cell>
          <cell r="N968" t="str">
            <v>VISUAL 1.1 U2</v>
          </cell>
          <cell r="O968" t="str">
            <v>VISUAL INSPECTION</v>
          </cell>
          <cell r="P968" t="str">
            <v>A</v>
          </cell>
          <cell r="Q968" t="str">
            <v>DL</v>
          </cell>
          <cell r="R968" t="str">
            <v>PERMANENT</v>
          </cell>
          <cell r="S968" t="str">
            <v>PRM</v>
          </cell>
          <cell r="T968" t="str">
            <v>OPT</v>
          </cell>
          <cell r="U968" t="str">
            <v>-</v>
          </cell>
          <cell r="V968" t="str">
            <v>P</v>
          </cell>
          <cell r="W968">
            <v>34</v>
          </cell>
        </row>
        <row r="969">
          <cell r="A969">
            <v>11406</v>
          </cell>
          <cell r="B969" t="str">
            <v>011406</v>
          </cell>
          <cell r="C969" t="str">
            <v>ARI WIDIYANI</v>
          </cell>
          <cell r="D969" t="str">
            <v>SAMI</v>
          </cell>
          <cell r="E969" t="str">
            <v>OPT-306</v>
          </cell>
          <cell r="F969">
            <v>40701</v>
          </cell>
          <cell r="G969" t="str">
            <v>-</v>
          </cell>
          <cell r="H969" t="str">
            <v>-</v>
          </cell>
          <cell r="I969" t="str">
            <v>OTHERS</v>
          </cell>
          <cell r="J969" t="str">
            <v>AT HOME</v>
          </cell>
          <cell r="K969" t="str">
            <v>ALL</v>
          </cell>
          <cell r="L969" t="str">
            <v>ALL</v>
          </cell>
          <cell r="M969" t="str">
            <v>AT HOME</v>
          </cell>
          <cell r="N969" t="str">
            <v>CUTI KELAHIRAN</v>
          </cell>
          <cell r="O969" t="str">
            <v>OTHERS IDL</v>
          </cell>
          <cell r="P969" t="str">
            <v>-</v>
          </cell>
          <cell r="Q969" t="str">
            <v>ADM</v>
          </cell>
          <cell r="R969" t="str">
            <v>PERMANENT</v>
          </cell>
          <cell r="S969" t="str">
            <v>PRM</v>
          </cell>
          <cell r="T969" t="str">
            <v>OPT</v>
          </cell>
          <cell r="U969" t="str">
            <v>-</v>
          </cell>
          <cell r="V969" t="str">
            <v>P</v>
          </cell>
          <cell r="W969">
            <v>32</v>
          </cell>
        </row>
        <row r="970">
          <cell r="A970">
            <v>22294</v>
          </cell>
          <cell r="B970" t="str">
            <v>022294</v>
          </cell>
          <cell r="C970" t="str">
            <v>LIDYA SELVIANA</v>
          </cell>
          <cell r="D970" t="str">
            <v>SAMI</v>
          </cell>
          <cell r="E970" t="str">
            <v>OPT-555</v>
          </cell>
          <cell r="F970">
            <v>43192</v>
          </cell>
          <cell r="G970" t="str">
            <v>-</v>
          </cell>
          <cell r="H970" t="str">
            <v>-</v>
          </cell>
          <cell r="I970" t="str">
            <v>PRD</v>
          </cell>
          <cell r="J970" t="str">
            <v>FINAL ASSY</v>
          </cell>
          <cell r="K970" t="str">
            <v>TOYOTA HV</v>
          </cell>
          <cell r="L970" t="str">
            <v>HV TOYOTA 10PL</v>
          </cell>
          <cell r="M970" t="str">
            <v>CV HV 14B</v>
          </cell>
          <cell r="N970" t="str">
            <v>VISUAL 1.2 U2</v>
          </cell>
          <cell r="O970" t="str">
            <v>VISUAL INSPECTION</v>
          </cell>
          <cell r="P970" t="str">
            <v>A</v>
          </cell>
          <cell r="Q970" t="str">
            <v>DL</v>
          </cell>
          <cell r="R970" t="str">
            <v>PERMANENT</v>
          </cell>
          <cell r="S970" t="str">
            <v>PRM</v>
          </cell>
          <cell r="T970" t="str">
            <v>OPT</v>
          </cell>
          <cell r="U970" t="str">
            <v>-</v>
          </cell>
          <cell r="V970" t="str">
            <v>P</v>
          </cell>
          <cell r="W970">
            <v>26</v>
          </cell>
        </row>
        <row r="971">
          <cell r="A971">
            <v>11419</v>
          </cell>
          <cell r="B971" t="str">
            <v>011419</v>
          </cell>
          <cell r="C971" t="str">
            <v>DWI LESTARI</v>
          </cell>
          <cell r="D971" t="str">
            <v>SAMI</v>
          </cell>
          <cell r="E971" t="str">
            <v>OPT-306</v>
          </cell>
          <cell r="F971">
            <v>40701</v>
          </cell>
          <cell r="G971" t="str">
            <v>-</v>
          </cell>
          <cell r="H971" t="str">
            <v>-</v>
          </cell>
          <cell r="I971" t="str">
            <v>PRD</v>
          </cell>
          <cell r="J971" t="str">
            <v>FINAL ASSY</v>
          </cell>
          <cell r="K971" t="str">
            <v>HONDA BBP</v>
          </cell>
          <cell r="L971" t="str">
            <v>HV HONDA 5JLA BBP</v>
          </cell>
          <cell r="M971" t="str">
            <v>CV HV 04A</v>
          </cell>
          <cell r="N971" t="str">
            <v>LQC</v>
          </cell>
          <cell r="O971" t="str">
            <v>RELIEF</v>
          </cell>
          <cell r="P971" t="str">
            <v>B</v>
          </cell>
          <cell r="Q971" t="str">
            <v>PI</v>
          </cell>
          <cell r="R971" t="str">
            <v>PERMANENT</v>
          </cell>
          <cell r="S971" t="str">
            <v>PRM</v>
          </cell>
          <cell r="T971" t="str">
            <v>PJK</v>
          </cell>
          <cell r="U971" t="str">
            <v>-</v>
          </cell>
          <cell r="V971" t="str">
            <v>P</v>
          </cell>
          <cell r="W971">
            <v>32</v>
          </cell>
        </row>
        <row r="972">
          <cell r="A972">
            <v>11433</v>
          </cell>
          <cell r="B972" t="str">
            <v>011433</v>
          </cell>
          <cell r="C972" t="str">
            <v>FITRI DIAN PERTIWI</v>
          </cell>
          <cell r="D972" t="str">
            <v>SAMI</v>
          </cell>
          <cell r="E972" t="str">
            <v>OPT-306</v>
          </cell>
          <cell r="F972">
            <v>40701</v>
          </cell>
          <cell r="G972" t="str">
            <v>-</v>
          </cell>
          <cell r="H972" t="str">
            <v>-</v>
          </cell>
          <cell r="I972" t="str">
            <v>QA</v>
          </cell>
          <cell r="J972" t="str">
            <v>FINAL ASSY</v>
          </cell>
          <cell r="K972" t="str">
            <v>ALL</v>
          </cell>
          <cell r="L972" t="str">
            <v>ALL</v>
          </cell>
          <cell r="M972" t="str">
            <v>PROTOTYPE</v>
          </cell>
          <cell r="N972" t="str">
            <v>INSPECTION</v>
          </cell>
          <cell r="O972" t="str">
            <v>QA APPROVE</v>
          </cell>
          <cell r="P972" t="str">
            <v>A (NS)</v>
          </cell>
          <cell r="Q972" t="str">
            <v>PI</v>
          </cell>
          <cell r="R972" t="str">
            <v>PERMANENT</v>
          </cell>
          <cell r="S972" t="str">
            <v>PRM</v>
          </cell>
          <cell r="T972" t="str">
            <v>OPT</v>
          </cell>
          <cell r="U972" t="str">
            <v>-</v>
          </cell>
          <cell r="V972" t="str">
            <v>P</v>
          </cell>
          <cell r="W972">
            <v>31</v>
          </cell>
        </row>
        <row r="973">
          <cell r="A973">
            <v>11436</v>
          </cell>
          <cell r="B973" t="str">
            <v>011436</v>
          </cell>
          <cell r="C973" t="str">
            <v>HANI ANUNG NUR TINI</v>
          </cell>
          <cell r="D973" t="str">
            <v>SAMI</v>
          </cell>
          <cell r="E973" t="str">
            <v>OPT-306</v>
          </cell>
          <cell r="F973">
            <v>40701</v>
          </cell>
          <cell r="G973" t="str">
            <v>-</v>
          </cell>
          <cell r="H973" t="str">
            <v>-</v>
          </cell>
          <cell r="I973" t="str">
            <v>PRD</v>
          </cell>
          <cell r="J973" t="str">
            <v>FINAL ASSY</v>
          </cell>
          <cell r="K973" t="str">
            <v>HONDA NES</v>
          </cell>
          <cell r="L973" t="str">
            <v>HONDA NES HEV PET ENGINE</v>
          </cell>
          <cell r="M973" t="str">
            <v>CV H03</v>
          </cell>
          <cell r="N973" t="str">
            <v>S/A 2</v>
          </cell>
          <cell r="O973" t="str">
            <v>SUB ASSY</v>
          </cell>
          <cell r="P973" t="str">
            <v>B</v>
          </cell>
          <cell r="Q973" t="str">
            <v>DL</v>
          </cell>
          <cell r="R973" t="str">
            <v>PERMANENT</v>
          </cell>
          <cell r="S973" t="str">
            <v>PRM</v>
          </cell>
          <cell r="T973" t="str">
            <v>OPT</v>
          </cell>
          <cell r="U973" t="str">
            <v>-</v>
          </cell>
          <cell r="V973" t="str">
            <v>P</v>
          </cell>
          <cell r="W973">
            <v>32</v>
          </cell>
        </row>
        <row r="974">
          <cell r="A974" t="str">
            <v>B00024</v>
          </cell>
          <cell r="B974" t="str">
            <v>B00024</v>
          </cell>
          <cell r="C974" t="str">
            <v>ERNA ROSITA DEWI</v>
          </cell>
          <cell r="D974" t="str">
            <v>SAMI</v>
          </cell>
          <cell r="E974" t="str">
            <v>BBF-001</v>
          </cell>
          <cell r="F974">
            <v>40826</v>
          </cell>
          <cell r="G974" t="str">
            <v>-</v>
          </cell>
          <cell r="H974" t="str">
            <v>-</v>
          </cell>
          <cell r="I974" t="str">
            <v>PRD</v>
          </cell>
          <cell r="J974" t="str">
            <v>FINAL ASSY</v>
          </cell>
          <cell r="K974" t="str">
            <v>TOYOTA HV</v>
          </cell>
          <cell r="L974" t="str">
            <v>HV TOYOTA 10PL</v>
          </cell>
          <cell r="M974" t="str">
            <v>CV HV 14B</v>
          </cell>
          <cell r="N974" t="str">
            <v>VISUAL 1.2 T2</v>
          </cell>
          <cell r="O974" t="str">
            <v>VISUAL INSPECTION</v>
          </cell>
          <cell r="P974" t="str">
            <v>A</v>
          </cell>
          <cell r="Q974" t="str">
            <v>DL</v>
          </cell>
          <cell r="R974" t="str">
            <v>PERMANENT</v>
          </cell>
          <cell r="S974" t="str">
            <v>PRM</v>
          </cell>
          <cell r="T974" t="str">
            <v>OPT</v>
          </cell>
          <cell r="U974" t="str">
            <v>-</v>
          </cell>
          <cell r="V974" t="str">
            <v>P</v>
          </cell>
          <cell r="W974">
            <v>31</v>
          </cell>
        </row>
        <row r="975">
          <cell r="A975">
            <v>11448</v>
          </cell>
          <cell r="B975" t="str">
            <v>011448</v>
          </cell>
          <cell r="C975" t="str">
            <v>JANATUN</v>
          </cell>
          <cell r="D975" t="str">
            <v>SAMI</v>
          </cell>
          <cell r="E975" t="str">
            <v>OPT-306</v>
          </cell>
          <cell r="F975">
            <v>40701</v>
          </cell>
          <cell r="G975" t="str">
            <v>-</v>
          </cell>
          <cell r="H975" t="str">
            <v>-</v>
          </cell>
          <cell r="I975" t="str">
            <v>PRD</v>
          </cell>
          <cell r="J975" t="str">
            <v>FINAL ASSY</v>
          </cell>
          <cell r="K975" t="str">
            <v>TOYOTA</v>
          </cell>
          <cell r="L975" t="str">
            <v>AQUA SIENTA</v>
          </cell>
          <cell r="M975" t="str">
            <v>CV T01</v>
          </cell>
          <cell r="N975" t="str">
            <v>RELIEF 2</v>
          </cell>
          <cell r="O975" t="str">
            <v>RELIEF</v>
          </cell>
          <cell r="P975" t="str">
            <v>B</v>
          </cell>
          <cell r="Q975" t="str">
            <v>PI</v>
          </cell>
          <cell r="R975" t="str">
            <v>PERMANENT</v>
          </cell>
          <cell r="S975" t="str">
            <v>PRM</v>
          </cell>
          <cell r="T975" t="str">
            <v>OPT</v>
          </cell>
          <cell r="U975" t="str">
            <v>-</v>
          </cell>
          <cell r="V975" t="str">
            <v>P</v>
          </cell>
          <cell r="W975">
            <v>33</v>
          </cell>
        </row>
        <row r="976">
          <cell r="A976">
            <v>11455</v>
          </cell>
          <cell r="B976" t="str">
            <v>011455</v>
          </cell>
          <cell r="C976" t="str">
            <v>NOVI DYAH NINGRUM</v>
          </cell>
          <cell r="D976" t="str">
            <v>SAMI</v>
          </cell>
          <cell r="E976" t="str">
            <v>OPT-306</v>
          </cell>
          <cell r="F976">
            <v>40701</v>
          </cell>
          <cell r="G976" t="str">
            <v>-</v>
          </cell>
          <cell r="H976" t="str">
            <v>-</v>
          </cell>
          <cell r="I976" t="str">
            <v>PRD</v>
          </cell>
          <cell r="J976" t="str">
            <v>FINAL ASSY</v>
          </cell>
          <cell r="K976" t="str">
            <v>TOYOTA HV</v>
          </cell>
          <cell r="L976" t="str">
            <v xml:space="preserve">HV TOYOTA AC </v>
          </cell>
          <cell r="M976" t="str">
            <v>CV HV 10B</v>
          </cell>
          <cell r="N976" t="str">
            <v>MAEKOTEI 1</v>
          </cell>
          <cell r="O976" t="str">
            <v>WFAP 2.2</v>
          </cell>
          <cell r="P976" t="str">
            <v>B</v>
          </cell>
          <cell r="Q976" t="str">
            <v>DL</v>
          </cell>
          <cell r="R976" t="str">
            <v>PERMANENT</v>
          </cell>
          <cell r="S976" t="str">
            <v>PRM</v>
          </cell>
          <cell r="T976" t="str">
            <v>OPT</v>
          </cell>
          <cell r="U976" t="str">
            <v>-</v>
          </cell>
          <cell r="V976" t="str">
            <v>P</v>
          </cell>
          <cell r="W976">
            <v>31</v>
          </cell>
        </row>
        <row r="977">
          <cell r="A977">
            <v>11461</v>
          </cell>
          <cell r="B977" t="str">
            <v>011461</v>
          </cell>
          <cell r="C977" t="str">
            <v>NURAINI FITRI</v>
          </cell>
          <cell r="D977" t="str">
            <v>SAMI</v>
          </cell>
          <cell r="E977" t="str">
            <v>OPT-306</v>
          </cell>
          <cell r="F977">
            <v>40701</v>
          </cell>
          <cell r="G977" t="str">
            <v>-</v>
          </cell>
          <cell r="H977" t="str">
            <v>-</v>
          </cell>
          <cell r="I977" t="str">
            <v>PRD</v>
          </cell>
          <cell r="J977" t="str">
            <v>FINAL ASSY</v>
          </cell>
          <cell r="K977" t="str">
            <v>NISSAN HV</v>
          </cell>
          <cell r="L977" t="str">
            <v>HV NISSAN</v>
          </cell>
          <cell r="M977" t="str">
            <v>CV HV 05A</v>
          </cell>
          <cell r="N977" t="str">
            <v>VISUAL 2</v>
          </cell>
          <cell r="O977" t="str">
            <v>VISUAL INSPECTION</v>
          </cell>
          <cell r="P977" t="str">
            <v>B</v>
          </cell>
          <cell r="Q977" t="str">
            <v>DL</v>
          </cell>
          <cell r="R977" t="str">
            <v>PERMANENT</v>
          </cell>
          <cell r="S977" t="str">
            <v>PRM</v>
          </cell>
          <cell r="T977" t="str">
            <v>OPT</v>
          </cell>
          <cell r="U977" t="str">
            <v>-</v>
          </cell>
          <cell r="V977" t="str">
            <v>P</v>
          </cell>
          <cell r="W977">
            <v>31</v>
          </cell>
        </row>
        <row r="978">
          <cell r="A978">
            <v>11483</v>
          </cell>
          <cell r="B978" t="str">
            <v>011483</v>
          </cell>
          <cell r="C978" t="str">
            <v>SITI MAISAROH</v>
          </cell>
          <cell r="D978" t="str">
            <v>SAMI</v>
          </cell>
          <cell r="E978" t="str">
            <v>OPT-306</v>
          </cell>
          <cell r="F978">
            <v>40701</v>
          </cell>
          <cell r="G978" t="str">
            <v>-</v>
          </cell>
          <cell r="H978" t="str">
            <v>-</v>
          </cell>
          <cell r="I978" t="str">
            <v>PRD</v>
          </cell>
          <cell r="J978" t="str">
            <v>PRE ASSY</v>
          </cell>
          <cell r="K978" t="str">
            <v>HONDA BBP</v>
          </cell>
          <cell r="L978" t="str">
            <v>HONDA 36 CELL</v>
          </cell>
          <cell r="M978" t="str">
            <v>CPA HONDA 36 CELL</v>
          </cell>
          <cell r="N978" t="str">
            <v>INSP CUTTING</v>
          </cell>
          <cell r="O978" t="str">
            <v>P/A INSPECTOR</v>
          </cell>
          <cell r="P978" t="str">
            <v>B</v>
          </cell>
          <cell r="Q978" t="str">
            <v>PI</v>
          </cell>
          <cell r="R978" t="str">
            <v>PERMANENT</v>
          </cell>
          <cell r="S978" t="str">
            <v>PRM</v>
          </cell>
          <cell r="T978" t="str">
            <v>OPT</v>
          </cell>
          <cell r="U978" t="str">
            <v>-</v>
          </cell>
          <cell r="V978" t="str">
            <v>P</v>
          </cell>
          <cell r="W978">
            <v>32</v>
          </cell>
        </row>
        <row r="979">
          <cell r="A979" t="str">
            <v>B02978</v>
          </cell>
          <cell r="B979" t="str">
            <v>B02978</v>
          </cell>
          <cell r="C979" t="str">
            <v>DIAH AYU PANGESTIKA</v>
          </cell>
          <cell r="D979" t="str">
            <v>SAMI</v>
          </cell>
          <cell r="E979" t="str">
            <v>BBF-139</v>
          </cell>
          <cell r="F979">
            <v>42282</v>
          </cell>
          <cell r="G979" t="str">
            <v>-</v>
          </cell>
          <cell r="H979" t="str">
            <v>-</v>
          </cell>
          <cell r="I979" t="str">
            <v>PRD</v>
          </cell>
          <cell r="J979" t="str">
            <v>FINAL ASSY</v>
          </cell>
          <cell r="K979" t="str">
            <v>TOYOTA HV</v>
          </cell>
          <cell r="L979" t="str">
            <v>HV TOYOTA 10PL</v>
          </cell>
          <cell r="M979" t="str">
            <v>CV HV 14B</v>
          </cell>
          <cell r="N979" t="str">
            <v>ASM BBM U2-2</v>
          </cell>
          <cell r="O979" t="str">
            <v>ASSEMBLY</v>
          </cell>
          <cell r="P979" t="str">
            <v>A</v>
          </cell>
          <cell r="Q979" t="str">
            <v>DL</v>
          </cell>
          <cell r="R979" t="str">
            <v>PERMANENT</v>
          </cell>
          <cell r="S979" t="str">
            <v>PRM</v>
          </cell>
          <cell r="T979" t="str">
            <v>OPT</v>
          </cell>
          <cell r="U979" t="str">
            <v>-</v>
          </cell>
          <cell r="V979" t="str">
            <v>P</v>
          </cell>
          <cell r="W979">
            <v>29</v>
          </cell>
        </row>
        <row r="980">
          <cell r="A980">
            <v>9430</v>
          </cell>
          <cell r="B980" t="str">
            <v>009430</v>
          </cell>
          <cell r="C980" t="str">
            <v>DWI ALIN YANI</v>
          </cell>
          <cell r="D980" t="str">
            <v>SAMI</v>
          </cell>
          <cell r="E980" t="str">
            <v>OPT-216</v>
          </cell>
          <cell r="F980">
            <v>40148</v>
          </cell>
          <cell r="G980" t="str">
            <v>-</v>
          </cell>
          <cell r="H980" t="str">
            <v>-</v>
          </cell>
          <cell r="I980" t="str">
            <v>PRD</v>
          </cell>
          <cell r="J980" t="str">
            <v>FINAL ASSY</v>
          </cell>
          <cell r="K980" t="str">
            <v>TOYOTA HV</v>
          </cell>
          <cell r="L980" t="str">
            <v>HV TOYOTA 858W 874W BBM</v>
          </cell>
          <cell r="M980" t="str">
            <v>CV HV 15</v>
          </cell>
          <cell r="N980" t="str">
            <v>SUB LINE CHO</v>
          </cell>
          <cell r="O980" t="str">
            <v>GL</v>
          </cell>
          <cell r="P980" t="str">
            <v>A</v>
          </cell>
          <cell r="Q980" t="str">
            <v>PI</v>
          </cell>
          <cell r="R980" t="str">
            <v>PERMANENT</v>
          </cell>
          <cell r="S980" t="str">
            <v>PRM</v>
          </cell>
          <cell r="T980" t="str">
            <v>SLC</v>
          </cell>
          <cell r="U980" t="str">
            <v>-</v>
          </cell>
          <cell r="V980" t="str">
            <v>P</v>
          </cell>
          <cell r="W980">
            <v>34</v>
          </cell>
        </row>
        <row r="981">
          <cell r="A981">
            <v>9571</v>
          </cell>
          <cell r="B981" t="str">
            <v>009571</v>
          </cell>
          <cell r="C981" t="str">
            <v>SUKENI</v>
          </cell>
          <cell r="D981" t="str">
            <v>SAMI</v>
          </cell>
          <cell r="E981" t="str">
            <v>OPT-217</v>
          </cell>
          <cell r="F981">
            <v>40179</v>
          </cell>
          <cell r="G981" t="str">
            <v>-</v>
          </cell>
          <cell r="H981" t="str">
            <v>-</v>
          </cell>
          <cell r="I981" t="str">
            <v>PRD</v>
          </cell>
          <cell r="J981" t="str">
            <v>FINAL ASSY</v>
          </cell>
          <cell r="K981" t="str">
            <v>TOYOTA HV</v>
          </cell>
          <cell r="L981" t="str">
            <v>HV TOYOTA 858W 874W BBM</v>
          </cell>
          <cell r="M981" t="str">
            <v>CV HV 15</v>
          </cell>
          <cell r="N981" t="str">
            <v>VISUAL 1.1</v>
          </cell>
          <cell r="O981" t="str">
            <v>VISUAL INSPECTION</v>
          </cell>
          <cell r="P981" t="str">
            <v>A</v>
          </cell>
          <cell r="Q981" t="str">
            <v>DL</v>
          </cell>
          <cell r="R981" t="str">
            <v>PERMANENT</v>
          </cell>
          <cell r="S981" t="str">
            <v>PRM</v>
          </cell>
          <cell r="T981" t="str">
            <v>OPT</v>
          </cell>
          <cell r="U981" t="str">
            <v>-</v>
          </cell>
          <cell r="V981" t="str">
            <v>P</v>
          </cell>
          <cell r="W981">
            <v>35</v>
          </cell>
        </row>
        <row r="982">
          <cell r="A982">
            <v>11523</v>
          </cell>
          <cell r="B982" t="str">
            <v>011523</v>
          </cell>
          <cell r="C982" t="str">
            <v>APRIANA RIZKI HAPY SAPUTRI</v>
          </cell>
          <cell r="D982" t="str">
            <v>SAMI</v>
          </cell>
          <cell r="E982" t="str">
            <v>OPT-307</v>
          </cell>
          <cell r="F982">
            <v>40707</v>
          </cell>
          <cell r="G982" t="str">
            <v>-</v>
          </cell>
          <cell r="H982" t="str">
            <v>-</v>
          </cell>
          <cell r="I982" t="str">
            <v>PRD</v>
          </cell>
          <cell r="J982" t="str">
            <v>FINAL ASSY</v>
          </cell>
          <cell r="K982" t="str">
            <v>HONDA BBP</v>
          </cell>
          <cell r="L982" t="str">
            <v>HV HONDA 5JLA BBP</v>
          </cell>
          <cell r="M982" t="str">
            <v>CV HV 04A</v>
          </cell>
          <cell r="N982" t="str">
            <v>SUB LINE CHO</v>
          </cell>
          <cell r="O982" t="str">
            <v>GL</v>
          </cell>
          <cell r="P982" t="str">
            <v>B</v>
          </cell>
          <cell r="Q982" t="str">
            <v>PI</v>
          </cell>
          <cell r="R982" t="str">
            <v>PERMANENT</v>
          </cell>
          <cell r="S982" t="str">
            <v>PRM</v>
          </cell>
          <cell r="T982" t="str">
            <v>SLC</v>
          </cell>
          <cell r="U982" t="str">
            <v>-</v>
          </cell>
          <cell r="V982" t="str">
            <v>P</v>
          </cell>
          <cell r="W982">
            <v>32</v>
          </cell>
        </row>
        <row r="983">
          <cell r="A983">
            <v>9972</v>
          </cell>
          <cell r="B983" t="str">
            <v>009972</v>
          </cell>
          <cell r="C983" t="str">
            <v>SITI ULIYAH</v>
          </cell>
          <cell r="D983" t="str">
            <v>SAMI</v>
          </cell>
          <cell r="E983" t="str">
            <v>OPT-246</v>
          </cell>
          <cell r="F983">
            <v>40431</v>
          </cell>
          <cell r="G983" t="str">
            <v>-</v>
          </cell>
          <cell r="H983" t="str">
            <v>-</v>
          </cell>
          <cell r="I983" t="str">
            <v>PRD</v>
          </cell>
          <cell r="J983" t="str">
            <v>FINAL ASSY</v>
          </cell>
          <cell r="K983" t="str">
            <v>TOYOTA HV</v>
          </cell>
          <cell r="L983" t="str">
            <v>HV TOYOTA 858W 874W BBM</v>
          </cell>
          <cell r="M983" t="str">
            <v>CV HV 15</v>
          </cell>
          <cell r="N983" t="str">
            <v>VISUAL 2</v>
          </cell>
          <cell r="O983" t="str">
            <v>VISUAL INSPECTION</v>
          </cell>
          <cell r="P983" t="str">
            <v>A</v>
          </cell>
          <cell r="Q983" t="str">
            <v>DL</v>
          </cell>
          <cell r="R983" t="str">
            <v>PERMANENT</v>
          </cell>
          <cell r="S983" t="str">
            <v>PRM</v>
          </cell>
          <cell r="T983" t="str">
            <v>OPT</v>
          </cell>
          <cell r="U983" t="str">
            <v>-</v>
          </cell>
          <cell r="V983" t="str">
            <v>P</v>
          </cell>
          <cell r="W983">
            <v>35</v>
          </cell>
        </row>
        <row r="984">
          <cell r="A984">
            <v>11546</v>
          </cell>
          <cell r="B984" t="str">
            <v>011546</v>
          </cell>
          <cell r="C984" t="str">
            <v>ENDAH AYU ANJARWATI</v>
          </cell>
          <cell r="D984" t="str">
            <v>SAMI</v>
          </cell>
          <cell r="E984" t="str">
            <v>OPT-307</v>
          </cell>
          <cell r="F984">
            <v>40707</v>
          </cell>
          <cell r="G984" t="str">
            <v>-</v>
          </cell>
          <cell r="H984" t="str">
            <v>-</v>
          </cell>
          <cell r="I984" t="str">
            <v>PRD</v>
          </cell>
          <cell r="J984" t="str">
            <v>PRE ASSY</v>
          </cell>
          <cell r="K984" t="str">
            <v>SUZUKI WAGON R/HUSTLER</v>
          </cell>
          <cell r="L984" t="str">
            <v>SUZUKI YW0/Y0C/YEV</v>
          </cell>
          <cell r="M984" t="str">
            <v>CPA SUZUKI</v>
          </cell>
          <cell r="N984" t="str">
            <v>BM3-SZK-01</v>
          </cell>
          <cell r="O984" t="str">
            <v>BONDER</v>
          </cell>
          <cell r="P984" t="str">
            <v>B</v>
          </cell>
          <cell r="Q984" t="str">
            <v>DL</v>
          </cell>
          <cell r="R984" t="str">
            <v>PERMANENT</v>
          </cell>
          <cell r="S984" t="str">
            <v>PRM</v>
          </cell>
          <cell r="T984" t="str">
            <v>OPT</v>
          </cell>
          <cell r="U984" t="str">
            <v>-</v>
          </cell>
          <cell r="V984" t="str">
            <v>P</v>
          </cell>
          <cell r="W984">
            <v>32</v>
          </cell>
        </row>
        <row r="985">
          <cell r="A985">
            <v>12598</v>
          </cell>
          <cell r="B985" t="str">
            <v>012598</v>
          </cell>
          <cell r="C985" t="str">
            <v>DHATI ASTITI</v>
          </cell>
          <cell r="D985" t="str">
            <v>SAMI</v>
          </cell>
          <cell r="E985" t="str">
            <v>OPT-319</v>
          </cell>
          <cell r="F985">
            <v>40816</v>
          </cell>
          <cell r="G985" t="str">
            <v>-</v>
          </cell>
          <cell r="H985" t="str">
            <v>-</v>
          </cell>
          <cell r="I985" t="str">
            <v>PRD</v>
          </cell>
          <cell r="J985" t="str">
            <v>FINAL ASSY</v>
          </cell>
          <cell r="K985" t="str">
            <v>TOYOTA HV</v>
          </cell>
          <cell r="L985" t="str">
            <v>HV TOYOTA 858W 874W BBM</v>
          </cell>
          <cell r="M985" t="str">
            <v>CV HV 15</v>
          </cell>
          <cell r="N985" t="str">
            <v>VISUAL 1.2</v>
          </cell>
          <cell r="O985" t="str">
            <v>VISUAL INSPECTION</v>
          </cell>
          <cell r="P985" t="str">
            <v>A</v>
          </cell>
          <cell r="Q985" t="str">
            <v>DL</v>
          </cell>
          <cell r="R985" t="str">
            <v>PERMANENT</v>
          </cell>
          <cell r="S985" t="str">
            <v>PRM</v>
          </cell>
          <cell r="T985" t="str">
            <v>OPT</v>
          </cell>
          <cell r="U985" t="str">
            <v>-</v>
          </cell>
          <cell r="V985" t="str">
            <v>P</v>
          </cell>
          <cell r="W985">
            <v>31</v>
          </cell>
        </row>
        <row r="986">
          <cell r="A986">
            <v>13530</v>
          </cell>
          <cell r="B986" t="str">
            <v>013530</v>
          </cell>
          <cell r="C986" t="str">
            <v>MUNADHIROH</v>
          </cell>
          <cell r="D986" t="str">
            <v>SAMI</v>
          </cell>
          <cell r="E986" t="str">
            <v>OPT-340</v>
          </cell>
          <cell r="F986">
            <v>40948</v>
          </cell>
          <cell r="G986" t="str">
            <v>-</v>
          </cell>
          <cell r="H986" t="str">
            <v>-</v>
          </cell>
          <cell r="I986" t="str">
            <v>PRD</v>
          </cell>
          <cell r="J986" t="str">
            <v>FINAL ASSY</v>
          </cell>
          <cell r="K986" t="str">
            <v>TOYOTA HV</v>
          </cell>
          <cell r="L986" t="str">
            <v>HV TOYOTA 858W 874W BBM</v>
          </cell>
          <cell r="M986" t="str">
            <v>CV HV 15</v>
          </cell>
          <cell r="N986" t="str">
            <v>S/A 560</v>
          </cell>
          <cell r="O986" t="str">
            <v>SUB ASSY</v>
          </cell>
          <cell r="P986" t="str">
            <v>A</v>
          </cell>
          <cell r="Q986" t="str">
            <v>DL</v>
          </cell>
          <cell r="R986" t="str">
            <v>PERMANENT</v>
          </cell>
          <cell r="S986" t="str">
            <v>PRM</v>
          </cell>
          <cell r="T986" t="str">
            <v>OPT</v>
          </cell>
          <cell r="U986" t="str">
            <v>-</v>
          </cell>
          <cell r="V986" t="str">
            <v>P</v>
          </cell>
          <cell r="W986">
            <v>31</v>
          </cell>
        </row>
        <row r="987">
          <cell r="A987">
            <v>11551</v>
          </cell>
          <cell r="B987" t="str">
            <v>011551</v>
          </cell>
          <cell r="C987" t="str">
            <v>FARIDATUL AULIYAH</v>
          </cell>
          <cell r="D987" t="str">
            <v>SAMI</v>
          </cell>
          <cell r="E987" t="str">
            <v>OPT-307</v>
          </cell>
          <cell r="F987">
            <v>40707</v>
          </cell>
          <cell r="G987" t="str">
            <v>-</v>
          </cell>
          <cell r="H987" t="str">
            <v>-</v>
          </cell>
          <cell r="I987" t="str">
            <v>QA</v>
          </cell>
          <cell r="J987" t="str">
            <v>FINAL ASSY</v>
          </cell>
          <cell r="K987" t="str">
            <v>MAZDA 3</v>
          </cell>
          <cell r="L987" t="str">
            <v>MAZDA REAR</v>
          </cell>
          <cell r="M987" t="str">
            <v>CV M01</v>
          </cell>
          <cell r="N987" t="str">
            <v>PJK INSP</v>
          </cell>
          <cell r="O987" t="str">
            <v>RELIEF</v>
          </cell>
          <cell r="P987" t="str">
            <v>B</v>
          </cell>
          <cell r="Q987" t="str">
            <v>PI</v>
          </cell>
          <cell r="R987" t="str">
            <v>PERMANENT</v>
          </cell>
          <cell r="S987" t="str">
            <v>PRM</v>
          </cell>
          <cell r="T987" t="str">
            <v>PJK</v>
          </cell>
          <cell r="U987" t="str">
            <v>-</v>
          </cell>
          <cell r="V987" t="str">
            <v>P</v>
          </cell>
          <cell r="W987">
            <v>31</v>
          </cell>
        </row>
        <row r="988">
          <cell r="A988">
            <v>17149</v>
          </cell>
          <cell r="B988" t="str">
            <v>017149</v>
          </cell>
          <cell r="C988" t="str">
            <v>SERLI FARDELINA</v>
          </cell>
          <cell r="D988" t="str">
            <v>SAMI</v>
          </cell>
          <cell r="E988" t="str">
            <v>OPT-439</v>
          </cell>
          <cell r="F988">
            <v>41758</v>
          </cell>
          <cell r="G988" t="str">
            <v>-</v>
          </cell>
          <cell r="H988" t="str">
            <v>-</v>
          </cell>
          <cell r="I988" t="str">
            <v>PRD</v>
          </cell>
          <cell r="J988" t="str">
            <v>FINAL ASSY</v>
          </cell>
          <cell r="K988" t="str">
            <v>TOYOTA HV</v>
          </cell>
          <cell r="L988" t="str">
            <v>HV TOYOTA 858W 874W BBM</v>
          </cell>
          <cell r="M988" t="str">
            <v>CV HV 15</v>
          </cell>
          <cell r="N988" t="str">
            <v>LQC</v>
          </cell>
          <cell r="O988" t="str">
            <v>RELIEF</v>
          </cell>
          <cell r="P988" t="str">
            <v>A</v>
          </cell>
          <cell r="Q988" t="str">
            <v>PI</v>
          </cell>
          <cell r="R988" t="str">
            <v>PERMANENT</v>
          </cell>
          <cell r="S988" t="str">
            <v>PRM</v>
          </cell>
          <cell r="T988" t="str">
            <v>PJK</v>
          </cell>
          <cell r="U988" t="str">
            <v>-</v>
          </cell>
          <cell r="V988" t="str">
            <v>P</v>
          </cell>
          <cell r="W988">
            <v>28</v>
          </cell>
        </row>
        <row r="989">
          <cell r="A989">
            <v>22035</v>
          </cell>
          <cell r="B989" t="str">
            <v>022035</v>
          </cell>
          <cell r="C989" t="str">
            <v>LULUK AFIATUN NIMAH</v>
          </cell>
          <cell r="D989" t="str">
            <v>SAMI</v>
          </cell>
          <cell r="E989" t="str">
            <v>OPT-547</v>
          </cell>
          <cell r="F989">
            <v>43144</v>
          </cell>
          <cell r="G989" t="str">
            <v>-</v>
          </cell>
          <cell r="H989" t="str">
            <v>-</v>
          </cell>
          <cell r="I989" t="str">
            <v>PRD</v>
          </cell>
          <cell r="J989" t="str">
            <v>FINAL ASSY</v>
          </cell>
          <cell r="K989" t="str">
            <v>TOYOTA HV</v>
          </cell>
          <cell r="L989" t="str">
            <v>HV TOYOTA 858W 874W BBM</v>
          </cell>
          <cell r="M989" t="str">
            <v>CV HV 15</v>
          </cell>
          <cell r="N989" t="str">
            <v>FBBO</v>
          </cell>
          <cell r="O989" t="str">
            <v>WFAP 2.2</v>
          </cell>
          <cell r="P989" t="str">
            <v>A</v>
          </cell>
          <cell r="Q989" t="str">
            <v>DL</v>
          </cell>
          <cell r="R989" t="str">
            <v>PERMANENT</v>
          </cell>
          <cell r="S989" t="str">
            <v>PRM</v>
          </cell>
          <cell r="T989" t="str">
            <v>OPT</v>
          </cell>
          <cell r="U989" t="str">
            <v>-</v>
          </cell>
          <cell r="V989" t="str">
            <v>P</v>
          </cell>
          <cell r="W989">
            <v>25</v>
          </cell>
        </row>
        <row r="990">
          <cell r="A990">
            <v>277</v>
          </cell>
          <cell r="B990" t="str">
            <v>000277</v>
          </cell>
          <cell r="C990" t="str">
            <v>TITI KURNIAWATI</v>
          </cell>
          <cell r="D990" t="str">
            <v>SAMI</v>
          </cell>
          <cell r="E990" t="str">
            <v>OPT-8</v>
          </cell>
          <cell r="F990">
            <v>37718</v>
          </cell>
          <cell r="G990" t="str">
            <v>-</v>
          </cell>
          <cell r="H990" t="str">
            <v>-</v>
          </cell>
          <cell r="I990" t="str">
            <v>PRD</v>
          </cell>
          <cell r="J990" t="str">
            <v>FINAL ASSY</v>
          </cell>
          <cell r="K990" t="str">
            <v>MAZDA 3</v>
          </cell>
          <cell r="L990" t="str">
            <v>MAZDA REAR</v>
          </cell>
          <cell r="M990" t="str">
            <v>CV M01</v>
          </cell>
          <cell r="N990" t="str">
            <v>CHECKER A/B</v>
          </cell>
          <cell r="O990" t="str">
            <v>ELECTRICAL INSPECTION</v>
          </cell>
          <cell r="P990" t="str">
            <v>A</v>
          </cell>
          <cell r="Q990" t="str">
            <v>DL</v>
          </cell>
          <cell r="R990" t="str">
            <v>PERMANENT</v>
          </cell>
          <cell r="S990" t="str">
            <v>PRM</v>
          </cell>
          <cell r="T990" t="str">
            <v>OPT</v>
          </cell>
          <cell r="U990" t="str">
            <v>-</v>
          </cell>
          <cell r="V990" t="str">
            <v>P</v>
          </cell>
          <cell r="W990">
            <v>42</v>
          </cell>
        </row>
        <row r="991">
          <cell r="A991">
            <v>11584</v>
          </cell>
          <cell r="B991" t="str">
            <v>011584</v>
          </cell>
          <cell r="C991" t="str">
            <v>NUR AINI</v>
          </cell>
          <cell r="D991" t="str">
            <v>SAMI</v>
          </cell>
          <cell r="E991" t="str">
            <v>OPT-307</v>
          </cell>
          <cell r="F991">
            <v>40707</v>
          </cell>
          <cell r="G991" t="str">
            <v>-</v>
          </cell>
          <cell r="H991" t="str">
            <v>-</v>
          </cell>
          <cell r="I991" t="str">
            <v>PRD</v>
          </cell>
          <cell r="J991" t="str">
            <v>FINAL ASSY</v>
          </cell>
          <cell r="K991" t="str">
            <v>HONDA NES</v>
          </cell>
          <cell r="L991" t="str">
            <v>HONDA NES HEV PET ENGINE</v>
          </cell>
          <cell r="M991" t="str">
            <v>CV H03</v>
          </cell>
          <cell r="N991" t="str">
            <v>VISUAL 1.1</v>
          </cell>
          <cell r="O991" t="str">
            <v>VISUAL INSPECTION</v>
          </cell>
          <cell r="P991" t="str">
            <v>B</v>
          </cell>
          <cell r="Q991" t="str">
            <v>DL</v>
          </cell>
          <cell r="R991" t="str">
            <v>PERMANENT</v>
          </cell>
          <cell r="S991" t="str">
            <v>PRM</v>
          </cell>
          <cell r="T991" t="str">
            <v>OPT</v>
          </cell>
          <cell r="U991" t="str">
            <v>-</v>
          </cell>
          <cell r="V991" t="str">
            <v>P</v>
          </cell>
          <cell r="W991">
            <v>33</v>
          </cell>
        </row>
        <row r="992">
          <cell r="A992">
            <v>1190</v>
          </cell>
          <cell r="B992" t="str">
            <v>001190</v>
          </cell>
          <cell r="C992" t="str">
            <v>RATNA MARGARAHAYU</v>
          </cell>
          <cell r="D992" t="str">
            <v>SAMI</v>
          </cell>
          <cell r="E992" t="str">
            <v>OPT-29</v>
          </cell>
          <cell r="F992">
            <v>37907</v>
          </cell>
          <cell r="G992" t="str">
            <v>-</v>
          </cell>
          <cell r="H992" t="str">
            <v>-</v>
          </cell>
          <cell r="I992" t="str">
            <v>PRD</v>
          </cell>
          <cell r="J992" t="str">
            <v>FINAL ASSY</v>
          </cell>
          <cell r="K992" t="str">
            <v>MAZDA 3</v>
          </cell>
          <cell r="L992" t="str">
            <v>MAZDA REAR</v>
          </cell>
          <cell r="M992" t="str">
            <v>CV M01</v>
          </cell>
          <cell r="N992" t="str">
            <v>SUB LINE CHO</v>
          </cell>
          <cell r="O992" t="str">
            <v>GL</v>
          </cell>
          <cell r="P992" t="str">
            <v>A</v>
          </cell>
          <cell r="Q992" t="str">
            <v>PI</v>
          </cell>
          <cell r="R992" t="str">
            <v>PERMANENT</v>
          </cell>
          <cell r="S992" t="str">
            <v>PRM</v>
          </cell>
          <cell r="T992" t="str">
            <v>SLC</v>
          </cell>
          <cell r="U992" t="str">
            <v>-</v>
          </cell>
          <cell r="V992" t="str">
            <v>P</v>
          </cell>
          <cell r="W992">
            <v>39</v>
          </cell>
        </row>
        <row r="993">
          <cell r="A993">
            <v>5254</v>
          </cell>
          <cell r="B993" t="str">
            <v>005254</v>
          </cell>
          <cell r="C993" t="str">
            <v>SITI BIYARTI</v>
          </cell>
          <cell r="D993" t="str">
            <v>SAMI</v>
          </cell>
          <cell r="E993" t="str">
            <v>OPT-125</v>
          </cell>
          <cell r="F993">
            <v>38961</v>
          </cell>
          <cell r="G993" t="str">
            <v>-</v>
          </cell>
          <cell r="H993" t="str">
            <v>-</v>
          </cell>
          <cell r="I993" t="str">
            <v>PRD</v>
          </cell>
          <cell r="J993" t="str">
            <v>FINAL ASSY</v>
          </cell>
          <cell r="K993" t="str">
            <v>MAZDA 3</v>
          </cell>
          <cell r="L993" t="str">
            <v>MAZDA REAR</v>
          </cell>
          <cell r="M993" t="str">
            <v>CV M01</v>
          </cell>
          <cell r="N993" t="str">
            <v>PRD LINE CHO</v>
          </cell>
          <cell r="O993" t="str">
            <v>FPI LL</v>
          </cell>
          <cell r="P993" t="str">
            <v>A</v>
          </cell>
          <cell r="Q993" t="str">
            <v>PI</v>
          </cell>
          <cell r="R993" t="str">
            <v>PERMANENT</v>
          </cell>
          <cell r="S993" t="str">
            <v>PRM</v>
          </cell>
          <cell r="T993" t="str">
            <v>LC</v>
          </cell>
          <cell r="U993" t="str">
            <v>-</v>
          </cell>
          <cell r="V993" t="str">
            <v>P</v>
          </cell>
          <cell r="W993">
            <v>40</v>
          </cell>
        </row>
        <row r="994">
          <cell r="A994">
            <v>11589</v>
          </cell>
          <cell r="B994" t="str">
            <v>011589</v>
          </cell>
          <cell r="C994" t="str">
            <v>NURUL AMALIA</v>
          </cell>
          <cell r="D994" t="str">
            <v>SAMI</v>
          </cell>
          <cell r="E994" t="str">
            <v>OPT-307</v>
          </cell>
          <cell r="F994">
            <v>40707</v>
          </cell>
          <cell r="G994" t="str">
            <v>-</v>
          </cell>
          <cell r="H994" t="str">
            <v>-</v>
          </cell>
          <cell r="I994" t="str">
            <v>PRD</v>
          </cell>
          <cell r="J994" t="str">
            <v>FINAL ASSY</v>
          </cell>
          <cell r="K994" t="str">
            <v>HONDA NES</v>
          </cell>
          <cell r="L994" t="str">
            <v>HONDA NES HEV PET ENGINE</v>
          </cell>
          <cell r="M994" t="str">
            <v>CV H04</v>
          </cell>
          <cell r="N994" t="str">
            <v>LQC</v>
          </cell>
          <cell r="O994" t="str">
            <v>RELIEF</v>
          </cell>
          <cell r="P994" t="str">
            <v>B</v>
          </cell>
          <cell r="Q994" t="str">
            <v>PI</v>
          </cell>
          <cell r="R994" t="str">
            <v>PERMANENT</v>
          </cell>
          <cell r="S994" t="str">
            <v>PRM</v>
          </cell>
          <cell r="T994" t="str">
            <v>PJK</v>
          </cell>
          <cell r="U994" t="str">
            <v>-</v>
          </cell>
          <cell r="V994" t="str">
            <v>P</v>
          </cell>
          <cell r="W994">
            <v>32</v>
          </cell>
        </row>
        <row r="995">
          <cell r="A995">
            <v>11602</v>
          </cell>
          <cell r="B995" t="str">
            <v>011602</v>
          </cell>
          <cell r="C995" t="str">
            <v>RIZKA AWALIA</v>
          </cell>
          <cell r="D995" t="str">
            <v>SAMI</v>
          </cell>
          <cell r="E995" t="str">
            <v>OPT-307</v>
          </cell>
          <cell r="F995">
            <v>40707</v>
          </cell>
          <cell r="G995" t="str">
            <v>-</v>
          </cell>
          <cell r="H995" t="str">
            <v>-</v>
          </cell>
          <cell r="I995" t="str">
            <v>PGA</v>
          </cell>
          <cell r="J995" t="str">
            <v>TRN &amp; MOTO</v>
          </cell>
          <cell r="K995" t="str">
            <v>ALL</v>
          </cell>
          <cell r="L995" t="str">
            <v>ALL</v>
          </cell>
          <cell r="M995" t="str">
            <v>TRN</v>
          </cell>
          <cell r="N995" t="str">
            <v>MOTO, 4M, KAIZEN &amp; QCC</v>
          </cell>
          <cell r="O995" t="str">
            <v>TQM</v>
          </cell>
          <cell r="P995" t="str">
            <v>A (NS)</v>
          </cell>
          <cell r="Q995" t="str">
            <v>PS</v>
          </cell>
          <cell r="R995" t="str">
            <v>PERMANENT</v>
          </cell>
          <cell r="S995" t="str">
            <v>PRM</v>
          </cell>
          <cell r="T995" t="str">
            <v>OPT</v>
          </cell>
          <cell r="U995" t="str">
            <v>-</v>
          </cell>
          <cell r="V995" t="str">
            <v>P</v>
          </cell>
          <cell r="W995">
            <v>31</v>
          </cell>
        </row>
        <row r="996">
          <cell r="A996">
            <v>11608</v>
          </cell>
          <cell r="B996" t="str">
            <v>011608</v>
          </cell>
          <cell r="C996" t="str">
            <v>SELLI WULAN LARASWATI</v>
          </cell>
          <cell r="D996" t="str">
            <v>SAMI</v>
          </cell>
          <cell r="E996" t="str">
            <v>OPT-307</v>
          </cell>
          <cell r="F996">
            <v>40707</v>
          </cell>
          <cell r="G996" t="str">
            <v>-</v>
          </cell>
          <cell r="H996" t="str">
            <v>-</v>
          </cell>
          <cell r="I996" t="str">
            <v>QA</v>
          </cell>
          <cell r="J996" t="str">
            <v>FINAL ASSY</v>
          </cell>
          <cell r="K996" t="str">
            <v>FREED 25M</v>
          </cell>
          <cell r="L996" t="str">
            <v>R-CABIN</v>
          </cell>
          <cell r="M996" t="str">
            <v>CV H05</v>
          </cell>
          <cell r="N996" t="str">
            <v>OJT DC</v>
          </cell>
          <cell r="O996" t="str">
            <v>OTHERS</v>
          </cell>
          <cell r="P996" t="str">
            <v>A (NS)</v>
          </cell>
          <cell r="Q996" t="str">
            <v>PI</v>
          </cell>
          <cell r="R996" t="str">
            <v>PERMANENT</v>
          </cell>
          <cell r="S996" t="str">
            <v>PRM</v>
          </cell>
          <cell r="T996" t="str">
            <v>OPT</v>
          </cell>
          <cell r="U996" t="str">
            <v>-</v>
          </cell>
          <cell r="V996" t="str">
            <v>P</v>
          </cell>
          <cell r="W996">
            <v>31</v>
          </cell>
        </row>
        <row r="997">
          <cell r="A997">
            <v>5415</v>
          </cell>
          <cell r="B997" t="str">
            <v>005415</v>
          </cell>
          <cell r="C997" t="str">
            <v>FITRIYAH</v>
          </cell>
          <cell r="D997" t="str">
            <v>SAMI</v>
          </cell>
          <cell r="E997" t="str">
            <v>OPT-128</v>
          </cell>
          <cell r="F997">
            <v>38991</v>
          </cell>
          <cell r="G997" t="str">
            <v>-</v>
          </cell>
          <cell r="H997" t="str">
            <v>-</v>
          </cell>
          <cell r="I997" t="str">
            <v>PRD</v>
          </cell>
          <cell r="J997" t="str">
            <v>FINAL ASSY</v>
          </cell>
          <cell r="K997" t="str">
            <v>MAZDA 3</v>
          </cell>
          <cell r="L997" t="str">
            <v>MAZDA REAR</v>
          </cell>
          <cell r="M997" t="str">
            <v>CV M01</v>
          </cell>
          <cell r="N997" t="str">
            <v>T/P 4.1</v>
          </cell>
          <cell r="O997" t="str">
            <v>ASSEMBLY</v>
          </cell>
          <cell r="P997" t="str">
            <v>A</v>
          </cell>
          <cell r="Q997" t="str">
            <v>DL</v>
          </cell>
          <cell r="R997" t="str">
            <v>PERMANENT</v>
          </cell>
          <cell r="S997" t="str">
            <v>PRM</v>
          </cell>
          <cell r="T997" t="str">
            <v>OPT</v>
          </cell>
          <cell r="U997" t="str">
            <v>-</v>
          </cell>
          <cell r="V997" t="str">
            <v>P</v>
          </cell>
          <cell r="W997">
            <v>40</v>
          </cell>
        </row>
        <row r="998">
          <cell r="A998">
            <v>11618</v>
          </cell>
          <cell r="B998" t="str">
            <v>011618</v>
          </cell>
          <cell r="C998" t="str">
            <v>SITI MAESAROH</v>
          </cell>
          <cell r="D998" t="str">
            <v>SAMI</v>
          </cell>
          <cell r="E998" t="str">
            <v>OPT-307</v>
          </cell>
          <cell r="F998">
            <v>40707</v>
          </cell>
          <cell r="G998" t="str">
            <v>-</v>
          </cell>
          <cell r="H998" t="str">
            <v>-</v>
          </cell>
          <cell r="I998" t="str">
            <v>PRD</v>
          </cell>
          <cell r="J998" t="str">
            <v>FINAL ASSY</v>
          </cell>
          <cell r="K998" t="str">
            <v>TOYOTA HV</v>
          </cell>
          <cell r="L998" t="str">
            <v>HV TOYOTA 10PL</v>
          </cell>
          <cell r="M998" t="str">
            <v>CV HV 14A</v>
          </cell>
          <cell r="N998" t="str">
            <v>S/A BBM U2-1</v>
          </cell>
          <cell r="O998" t="str">
            <v>SUB ASSY</v>
          </cell>
          <cell r="P998" t="str">
            <v>B</v>
          </cell>
          <cell r="Q998" t="str">
            <v>DL</v>
          </cell>
          <cell r="R998" t="str">
            <v>PERMANENT</v>
          </cell>
          <cell r="S998" t="str">
            <v>PRM</v>
          </cell>
          <cell r="T998" t="str">
            <v>OPT</v>
          </cell>
          <cell r="U998" t="str">
            <v>-</v>
          </cell>
          <cell r="V998" t="str">
            <v>P</v>
          </cell>
          <cell r="W998">
            <v>33</v>
          </cell>
        </row>
        <row r="999">
          <cell r="A999">
            <v>11619</v>
          </cell>
          <cell r="B999" t="str">
            <v>011619</v>
          </cell>
          <cell r="C999" t="str">
            <v>SITI MAFTUKHAH ZULFAH</v>
          </cell>
          <cell r="D999" t="str">
            <v>SAMI</v>
          </cell>
          <cell r="E999" t="str">
            <v>OPT-307</v>
          </cell>
          <cell r="F999">
            <v>40707</v>
          </cell>
          <cell r="G999" t="str">
            <v>-</v>
          </cell>
          <cell r="H999" t="str">
            <v>-</v>
          </cell>
          <cell r="I999" t="str">
            <v>QA</v>
          </cell>
          <cell r="J999" t="str">
            <v>PRE ASSY</v>
          </cell>
          <cell r="K999" t="str">
            <v>HONDA NES</v>
          </cell>
          <cell r="L999" t="str">
            <v>HONDA NES</v>
          </cell>
          <cell r="M999" t="str">
            <v>CPA HONDA NES HEV/PET</v>
          </cell>
          <cell r="N999" t="str">
            <v>INSP TENSILE</v>
          </cell>
          <cell r="O999" t="str">
            <v>TENSILE TEST</v>
          </cell>
          <cell r="P999" t="str">
            <v>A</v>
          </cell>
          <cell r="Q999" t="str">
            <v>PS</v>
          </cell>
          <cell r="R999" t="str">
            <v>PERMANENT</v>
          </cell>
          <cell r="S999" t="str">
            <v>PRM</v>
          </cell>
          <cell r="T999" t="str">
            <v>OPT</v>
          </cell>
          <cell r="U999" t="str">
            <v>-</v>
          </cell>
          <cell r="V999" t="str">
            <v>P</v>
          </cell>
          <cell r="W999">
            <v>34</v>
          </cell>
        </row>
        <row r="1000">
          <cell r="A1000">
            <v>11627</v>
          </cell>
          <cell r="B1000" t="str">
            <v>011627</v>
          </cell>
          <cell r="C1000" t="str">
            <v>SRI LESTARI</v>
          </cell>
          <cell r="D1000" t="str">
            <v>SAMI</v>
          </cell>
          <cell r="E1000" t="str">
            <v>OPT-307</v>
          </cell>
          <cell r="F1000">
            <v>40707</v>
          </cell>
          <cell r="G1000" t="str">
            <v>-</v>
          </cell>
          <cell r="H1000" t="str">
            <v>-</v>
          </cell>
          <cell r="I1000" t="str">
            <v>QA</v>
          </cell>
          <cell r="J1000" t="str">
            <v>PRE ASSY</v>
          </cell>
          <cell r="K1000" t="str">
            <v>MAZDA ATENZA</v>
          </cell>
          <cell r="L1000" t="str">
            <v>MAZDA J71E IPM3</v>
          </cell>
          <cell r="M1000" t="str">
            <v>CPA MAZDA ATENZA</v>
          </cell>
          <cell r="N1000" t="str">
            <v>CROSS SECTION</v>
          </cell>
          <cell r="O1000" t="str">
            <v>CROSS SECT.</v>
          </cell>
          <cell r="P1000" t="str">
            <v>B</v>
          </cell>
          <cell r="Q1000" t="str">
            <v>PS</v>
          </cell>
          <cell r="R1000" t="str">
            <v>PERMANENT</v>
          </cell>
          <cell r="S1000" t="str">
            <v>PRM</v>
          </cell>
          <cell r="T1000" t="str">
            <v>OPT</v>
          </cell>
          <cell r="U1000" t="str">
            <v>-</v>
          </cell>
          <cell r="V1000" t="str">
            <v>P</v>
          </cell>
          <cell r="W1000">
            <v>32</v>
          </cell>
        </row>
        <row r="1001">
          <cell r="A1001">
            <v>11632</v>
          </cell>
          <cell r="B1001" t="str">
            <v>011632</v>
          </cell>
          <cell r="C1001" t="str">
            <v>TAHFIDHUL NI'MAH</v>
          </cell>
          <cell r="D1001" t="str">
            <v>SAMI</v>
          </cell>
          <cell r="E1001" t="str">
            <v>OPT-307</v>
          </cell>
          <cell r="F1001">
            <v>40707</v>
          </cell>
          <cell r="G1001" t="str">
            <v>-</v>
          </cell>
          <cell r="H1001" t="str">
            <v>-</v>
          </cell>
          <cell r="I1001" t="str">
            <v>PRD</v>
          </cell>
          <cell r="J1001" t="str">
            <v>FINAL ASSY</v>
          </cell>
          <cell r="K1001" t="str">
            <v>TOYOTA HV</v>
          </cell>
          <cell r="L1001" t="str">
            <v xml:space="preserve">HV TOYOTA AC </v>
          </cell>
          <cell r="M1001" t="str">
            <v>CV HV 10B</v>
          </cell>
          <cell r="N1001" t="str">
            <v>VISUAL 1</v>
          </cell>
          <cell r="O1001" t="str">
            <v>VISUAL INSPECTION</v>
          </cell>
          <cell r="P1001" t="str">
            <v>B</v>
          </cell>
          <cell r="Q1001" t="str">
            <v>DL</v>
          </cell>
          <cell r="R1001" t="str">
            <v>PERMANENT</v>
          </cell>
          <cell r="S1001" t="str">
            <v>PRM</v>
          </cell>
          <cell r="T1001" t="str">
            <v>OPT</v>
          </cell>
          <cell r="U1001" t="str">
            <v>-</v>
          </cell>
          <cell r="V1001" t="str">
            <v>P</v>
          </cell>
          <cell r="W1001">
            <v>31</v>
          </cell>
        </row>
        <row r="1002">
          <cell r="A1002">
            <v>11633</v>
          </cell>
          <cell r="B1002" t="str">
            <v>011633</v>
          </cell>
          <cell r="C1002" t="str">
            <v>TIKA MAHARANI</v>
          </cell>
          <cell r="D1002" t="str">
            <v>SAMI</v>
          </cell>
          <cell r="E1002" t="str">
            <v>OPT-307</v>
          </cell>
          <cell r="F1002">
            <v>40707</v>
          </cell>
          <cell r="G1002" t="str">
            <v>-</v>
          </cell>
          <cell r="H1002" t="str">
            <v>-</v>
          </cell>
          <cell r="I1002" t="str">
            <v>PRD</v>
          </cell>
          <cell r="J1002" t="str">
            <v>FINAL ASSY</v>
          </cell>
          <cell r="K1002" t="str">
            <v>HONDA NES</v>
          </cell>
          <cell r="L1002" t="str">
            <v>HONDA NES HEV PET ENGINE</v>
          </cell>
          <cell r="M1002" t="str">
            <v>CV H04</v>
          </cell>
          <cell r="N1002" t="str">
            <v>VISUAL 1.4</v>
          </cell>
          <cell r="O1002" t="str">
            <v>VISUAL INSPECTION</v>
          </cell>
          <cell r="P1002" t="str">
            <v>B</v>
          </cell>
          <cell r="Q1002" t="str">
            <v>DL</v>
          </cell>
          <cell r="R1002" t="str">
            <v>PERMANENT</v>
          </cell>
          <cell r="S1002" t="str">
            <v>PRM</v>
          </cell>
          <cell r="T1002" t="str">
            <v>OPT</v>
          </cell>
          <cell r="U1002" t="str">
            <v>-</v>
          </cell>
          <cell r="V1002" t="str">
            <v>P</v>
          </cell>
          <cell r="W1002">
            <v>30</v>
          </cell>
        </row>
        <row r="1003">
          <cell r="A1003">
            <v>11643</v>
          </cell>
          <cell r="B1003" t="str">
            <v>011643</v>
          </cell>
          <cell r="C1003" t="str">
            <v>WARLIN FITRIYANI</v>
          </cell>
          <cell r="D1003" t="str">
            <v>SAMI</v>
          </cell>
          <cell r="E1003" t="str">
            <v>OPT-307</v>
          </cell>
          <cell r="F1003">
            <v>40707</v>
          </cell>
          <cell r="G1003" t="str">
            <v>-</v>
          </cell>
          <cell r="H1003" t="str">
            <v>-</v>
          </cell>
          <cell r="I1003" t="str">
            <v>PRD</v>
          </cell>
          <cell r="J1003" t="str">
            <v>FINAL ASSY</v>
          </cell>
          <cell r="K1003" t="str">
            <v>HONDA NES</v>
          </cell>
          <cell r="L1003" t="str">
            <v>HONDA NES HEV PET ENGINE</v>
          </cell>
          <cell r="M1003" t="str">
            <v>CV H03</v>
          </cell>
          <cell r="N1003" t="str">
            <v>VISUAL 2.2</v>
          </cell>
          <cell r="O1003" t="str">
            <v>VISUAL INSPECTION</v>
          </cell>
          <cell r="P1003" t="str">
            <v>B</v>
          </cell>
          <cell r="Q1003" t="str">
            <v>DL</v>
          </cell>
          <cell r="R1003" t="str">
            <v>PERMANENT</v>
          </cell>
          <cell r="S1003" t="str">
            <v>PRM</v>
          </cell>
          <cell r="T1003" t="str">
            <v>OPT</v>
          </cell>
          <cell r="U1003" t="str">
            <v>-</v>
          </cell>
          <cell r="V1003" t="str">
            <v>P</v>
          </cell>
          <cell r="W1003">
            <v>32</v>
          </cell>
        </row>
        <row r="1004">
          <cell r="A1004">
            <v>5725</v>
          </cell>
          <cell r="B1004" t="str">
            <v>005725</v>
          </cell>
          <cell r="C1004" t="str">
            <v>PUJI MASRURROH</v>
          </cell>
          <cell r="D1004" t="str">
            <v>SAMI</v>
          </cell>
          <cell r="E1004" t="str">
            <v>OPT-134</v>
          </cell>
          <cell r="F1004">
            <v>39098</v>
          </cell>
          <cell r="G1004" t="str">
            <v>-</v>
          </cell>
          <cell r="H1004" t="str">
            <v>-</v>
          </cell>
          <cell r="I1004" t="str">
            <v>PRD</v>
          </cell>
          <cell r="J1004" t="str">
            <v>FINAL ASSY</v>
          </cell>
          <cell r="K1004" t="str">
            <v>MAZDA 3</v>
          </cell>
          <cell r="L1004" t="str">
            <v>MAZDA REAR</v>
          </cell>
          <cell r="M1004" t="str">
            <v>CV M01</v>
          </cell>
          <cell r="N1004" t="str">
            <v>CHECKER 1</v>
          </cell>
          <cell r="O1004" t="str">
            <v>ELECTRICAL INSPECTION</v>
          </cell>
          <cell r="P1004" t="str">
            <v>A</v>
          </cell>
          <cell r="Q1004" t="str">
            <v>DL</v>
          </cell>
          <cell r="R1004" t="str">
            <v>PERMANENT</v>
          </cell>
          <cell r="S1004" t="str">
            <v>PRM</v>
          </cell>
          <cell r="T1004" t="str">
            <v>OPT</v>
          </cell>
          <cell r="U1004" t="str">
            <v>-</v>
          </cell>
          <cell r="V1004" t="str">
            <v>P</v>
          </cell>
          <cell r="W1004">
            <v>38</v>
          </cell>
        </row>
        <row r="1005">
          <cell r="A1005">
            <v>8726</v>
          </cell>
          <cell r="B1005" t="str">
            <v>008726</v>
          </cell>
          <cell r="C1005" t="str">
            <v>AFNI ROCHAYANI</v>
          </cell>
          <cell r="D1005" t="str">
            <v>SAMI</v>
          </cell>
          <cell r="E1005" t="str">
            <v>OPT-192</v>
          </cell>
          <cell r="F1005">
            <v>39904</v>
          </cell>
          <cell r="G1005" t="str">
            <v>-</v>
          </cell>
          <cell r="H1005" t="str">
            <v>-</v>
          </cell>
          <cell r="I1005" t="str">
            <v>PRD</v>
          </cell>
          <cell r="J1005" t="str">
            <v>FINAL ASSY</v>
          </cell>
          <cell r="K1005" t="str">
            <v>MAZDA 3</v>
          </cell>
          <cell r="L1005" t="str">
            <v>MAZDA REAR</v>
          </cell>
          <cell r="M1005" t="str">
            <v>CV M01</v>
          </cell>
          <cell r="N1005" t="str">
            <v>CHECKER CLIP 1</v>
          </cell>
          <cell r="O1005" t="str">
            <v>ELECTRICAL INSPECTION</v>
          </cell>
          <cell r="P1005" t="str">
            <v>A</v>
          </cell>
          <cell r="Q1005" t="str">
            <v>DL</v>
          </cell>
          <cell r="R1005" t="str">
            <v>PERMANENT</v>
          </cell>
          <cell r="S1005" t="str">
            <v>PRM</v>
          </cell>
          <cell r="T1005" t="str">
            <v>OPT</v>
          </cell>
          <cell r="U1005" t="str">
            <v>-</v>
          </cell>
          <cell r="V1005" t="str">
            <v>P</v>
          </cell>
          <cell r="W1005">
            <v>37</v>
          </cell>
        </row>
        <row r="1006">
          <cell r="A1006">
            <v>11648</v>
          </cell>
          <cell r="B1006" t="str">
            <v>011648</v>
          </cell>
          <cell r="C1006" t="str">
            <v>SAKRONI</v>
          </cell>
          <cell r="D1006" t="str">
            <v>SAMI</v>
          </cell>
          <cell r="E1006" t="str">
            <v>TKN-54</v>
          </cell>
          <cell r="F1006">
            <v>40707</v>
          </cell>
          <cell r="G1006" t="str">
            <v>-</v>
          </cell>
          <cell r="H1006" t="str">
            <v>-</v>
          </cell>
          <cell r="I1006" t="str">
            <v>PE</v>
          </cell>
          <cell r="J1006" t="str">
            <v>MTC</v>
          </cell>
          <cell r="K1006" t="str">
            <v>ALL</v>
          </cell>
          <cell r="L1006" t="str">
            <v>ALL</v>
          </cell>
          <cell r="M1006" t="str">
            <v>TPM</v>
          </cell>
          <cell r="N1006" t="str">
            <v>PREVENTIVE</v>
          </cell>
          <cell r="O1006" t="str">
            <v>PROCESS ENG</v>
          </cell>
          <cell r="P1006" t="str">
            <v>A (NS)</v>
          </cell>
          <cell r="Q1006" t="str">
            <v>PS</v>
          </cell>
          <cell r="R1006" t="str">
            <v>PERMANENT</v>
          </cell>
          <cell r="S1006" t="str">
            <v>PRM</v>
          </cell>
          <cell r="T1006" t="str">
            <v>TKN</v>
          </cell>
          <cell r="U1006" t="str">
            <v>-</v>
          </cell>
          <cell r="V1006" t="str">
            <v>L</v>
          </cell>
          <cell r="W1006">
            <v>35</v>
          </cell>
        </row>
        <row r="1007">
          <cell r="A1007">
            <v>11653</v>
          </cell>
          <cell r="B1007" t="str">
            <v>011653</v>
          </cell>
          <cell r="C1007" t="str">
            <v>ANA ULUL AZMI</v>
          </cell>
          <cell r="D1007" t="str">
            <v>SAMI</v>
          </cell>
          <cell r="E1007" t="str">
            <v>OPT-308</v>
          </cell>
          <cell r="F1007">
            <v>40714</v>
          </cell>
          <cell r="G1007" t="str">
            <v>-</v>
          </cell>
          <cell r="H1007" t="str">
            <v>-</v>
          </cell>
          <cell r="I1007" t="str">
            <v>PRD</v>
          </cell>
          <cell r="J1007" t="str">
            <v>PRE ASSY</v>
          </cell>
          <cell r="K1007" t="str">
            <v>HONDA NES</v>
          </cell>
          <cell r="L1007" t="str">
            <v>HONDA NES</v>
          </cell>
          <cell r="M1007" t="str">
            <v>CPA HONDA NES HEV/PET</v>
          </cell>
          <cell r="N1007" t="str">
            <v>INSP DOUBLE CHECK</v>
          </cell>
          <cell r="O1007" t="str">
            <v>P/A INSPECTOR</v>
          </cell>
          <cell r="P1007" t="str">
            <v>B</v>
          </cell>
          <cell r="Q1007" t="str">
            <v>PI</v>
          </cell>
          <cell r="R1007" t="str">
            <v>PERMANENT</v>
          </cell>
          <cell r="S1007" t="str">
            <v>PRM</v>
          </cell>
          <cell r="T1007" t="str">
            <v>OPT</v>
          </cell>
          <cell r="U1007" t="str">
            <v>-</v>
          </cell>
          <cell r="V1007" t="str">
            <v>P</v>
          </cell>
          <cell r="W1007">
            <v>32</v>
          </cell>
        </row>
        <row r="1008">
          <cell r="A1008">
            <v>9200</v>
          </cell>
          <cell r="B1008" t="str">
            <v>009200</v>
          </cell>
          <cell r="C1008" t="str">
            <v>LISTIANA</v>
          </cell>
          <cell r="D1008" t="str">
            <v>SAMI</v>
          </cell>
          <cell r="E1008" t="str">
            <v>OPT-216</v>
          </cell>
          <cell r="F1008">
            <v>40008</v>
          </cell>
          <cell r="G1008" t="str">
            <v>-</v>
          </cell>
          <cell r="H1008" t="str">
            <v>-</v>
          </cell>
          <cell r="I1008" t="str">
            <v>PRD</v>
          </cell>
          <cell r="J1008" t="str">
            <v>FINAL ASSY</v>
          </cell>
          <cell r="K1008" t="str">
            <v>MAZDA 3</v>
          </cell>
          <cell r="L1008" t="str">
            <v>MAZDA REAR</v>
          </cell>
          <cell r="M1008" t="str">
            <v>CV M01</v>
          </cell>
          <cell r="N1008" t="str">
            <v>S/A A/B</v>
          </cell>
          <cell r="O1008" t="str">
            <v>SUB ASSY</v>
          </cell>
          <cell r="P1008" t="str">
            <v>A</v>
          </cell>
          <cell r="Q1008" t="str">
            <v>DL</v>
          </cell>
          <cell r="R1008" t="str">
            <v>PERMANENT</v>
          </cell>
          <cell r="S1008" t="str">
            <v>PRM</v>
          </cell>
          <cell r="T1008" t="str">
            <v>OPT</v>
          </cell>
          <cell r="U1008" t="str">
            <v>-</v>
          </cell>
          <cell r="V1008" t="str">
            <v>P</v>
          </cell>
          <cell r="W1008">
            <v>34</v>
          </cell>
        </row>
        <row r="1009">
          <cell r="A1009">
            <v>9800</v>
          </cell>
          <cell r="B1009" t="str">
            <v>009800</v>
          </cell>
          <cell r="C1009" t="str">
            <v>SITI ANIFAH</v>
          </cell>
          <cell r="D1009" t="str">
            <v>SAMI</v>
          </cell>
          <cell r="E1009" t="str">
            <v>OPT-232</v>
          </cell>
          <cell r="F1009">
            <v>40360</v>
          </cell>
          <cell r="G1009" t="str">
            <v>-</v>
          </cell>
          <cell r="H1009" t="str">
            <v>-</v>
          </cell>
          <cell r="I1009" t="str">
            <v>PRD</v>
          </cell>
          <cell r="J1009" t="str">
            <v>FINAL ASSY</v>
          </cell>
          <cell r="K1009" t="str">
            <v>MAZDA 3</v>
          </cell>
          <cell r="L1009" t="str">
            <v>MAZDA REAR</v>
          </cell>
          <cell r="M1009" t="str">
            <v>CV M01</v>
          </cell>
          <cell r="N1009" t="str">
            <v>LQC</v>
          </cell>
          <cell r="O1009" t="str">
            <v>RELIEF</v>
          </cell>
          <cell r="P1009" t="str">
            <v>A</v>
          </cell>
          <cell r="Q1009" t="str">
            <v>PI</v>
          </cell>
          <cell r="R1009" t="str">
            <v>PERMANENT</v>
          </cell>
          <cell r="S1009" t="str">
            <v>PRM</v>
          </cell>
          <cell r="T1009" t="str">
            <v>GL</v>
          </cell>
          <cell r="U1009" t="str">
            <v>-</v>
          </cell>
          <cell r="V1009" t="str">
            <v>P</v>
          </cell>
          <cell r="W1009">
            <v>35</v>
          </cell>
        </row>
        <row r="1010">
          <cell r="A1010">
            <v>11658</v>
          </cell>
          <cell r="B1010" t="str">
            <v>011658</v>
          </cell>
          <cell r="C1010" t="str">
            <v>ANITA WAHYU Y</v>
          </cell>
          <cell r="D1010" t="str">
            <v>SAMI</v>
          </cell>
          <cell r="E1010" t="str">
            <v>OPT-308</v>
          </cell>
          <cell r="F1010">
            <v>40714</v>
          </cell>
          <cell r="G1010" t="str">
            <v>-</v>
          </cell>
          <cell r="H1010" t="str">
            <v>-</v>
          </cell>
          <cell r="I1010" t="str">
            <v>PRD</v>
          </cell>
          <cell r="J1010" t="str">
            <v>FINAL ASSY</v>
          </cell>
          <cell r="K1010" t="str">
            <v>TOYOTA HV</v>
          </cell>
          <cell r="L1010" t="str">
            <v>HV TOYOTA 10PL</v>
          </cell>
          <cell r="M1010" t="str">
            <v>CV HV 14B</v>
          </cell>
          <cell r="N1010" t="str">
            <v>LQC</v>
          </cell>
          <cell r="O1010" t="str">
            <v>RELIEF</v>
          </cell>
          <cell r="P1010" t="str">
            <v>B</v>
          </cell>
          <cell r="Q1010" t="str">
            <v>PI</v>
          </cell>
          <cell r="R1010" t="str">
            <v>PERMANENT</v>
          </cell>
          <cell r="S1010" t="str">
            <v>PRM</v>
          </cell>
          <cell r="T1010" t="str">
            <v>PJK</v>
          </cell>
          <cell r="U1010" t="str">
            <v>-</v>
          </cell>
          <cell r="V1010" t="str">
            <v>P</v>
          </cell>
          <cell r="W1010">
            <v>31</v>
          </cell>
        </row>
        <row r="1011">
          <cell r="A1011">
            <v>9930</v>
          </cell>
          <cell r="B1011" t="str">
            <v>009930</v>
          </cell>
          <cell r="C1011" t="str">
            <v>FERA INDRIYANI</v>
          </cell>
          <cell r="D1011" t="str">
            <v>SAMI</v>
          </cell>
          <cell r="E1011" t="str">
            <v>OPT-246</v>
          </cell>
          <cell r="F1011">
            <v>40431</v>
          </cell>
          <cell r="G1011" t="str">
            <v>-</v>
          </cell>
          <cell r="H1011" t="str">
            <v>-</v>
          </cell>
          <cell r="I1011" t="str">
            <v>PRD</v>
          </cell>
          <cell r="J1011" t="str">
            <v>FINAL ASSY</v>
          </cell>
          <cell r="K1011" t="str">
            <v>MAZDA 3</v>
          </cell>
          <cell r="L1011" t="str">
            <v>MAZDA REAR</v>
          </cell>
          <cell r="M1011" t="str">
            <v>CV M01</v>
          </cell>
          <cell r="N1011" t="str">
            <v>S/A S/P 1</v>
          </cell>
          <cell r="O1011" t="str">
            <v>SUB ASSY</v>
          </cell>
          <cell r="P1011" t="str">
            <v>A</v>
          </cell>
          <cell r="Q1011" t="str">
            <v>DL</v>
          </cell>
          <cell r="R1011" t="str">
            <v>PERMANENT</v>
          </cell>
          <cell r="S1011" t="str">
            <v>PRM</v>
          </cell>
          <cell r="T1011" t="str">
            <v>OPT</v>
          </cell>
          <cell r="U1011" t="str">
            <v>-</v>
          </cell>
          <cell r="V1011" t="str">
            <v>P</v>
          </cell>
          <cell r="W1011">
            <v>32</v>
          </cell>
        </row>
        <row r="1012">
          <cell r="A1012">
            <v>11680</v>
          </cell>
          <cell r="B1012" t="str">
            <v>011680</v>
          </cell>
          <cell r="C1012" t="str">
            <v>EKA SINTYA DEWI</v>
          </cell>
          <cell r="D1012" t="str">
            <v>SAMI</v>
          </cell>
          <cell r="E1012" t="str">
            <v>OPT-308</v>
          </cell>
          <cell r="F1012">
            <v>40714</v>
          </cell>
          <cell r="G1012" t="str">
            <v>-</v>
          </cell>
          <cell r="H1012" t="str">
            <v>-</v>
          </cell>
          <cell r="I1012" t="str">
            <v>PRD</v>
          </cell>
          <cell r="J1012" t="str">
            <v>FINAL ASSY</v>
          </cell>
          <cell r="K1012" t="str">
            <v>SUZUKI WAGON R</v>
          </cell>
          <cell r="L1012" t="str">
            <v>DOOR/DOOM</v>
          </cell>
          <cell r="M1012" t="str">
            <v>CV S03</v>
          </cell>
          <cell r="N1012" t="str">
            <v>S/A 5</v>
          </cell>
          <cell r="O1012" t="str">
            <v>SUB ASSY</v>
          </cell>
          <cell r="P1012" t="str">
            <v>B</v>
          </cell>
          <cell r="Q1012" t="str">
            <v>DL</v>
          </cell>
          <cell r="R1012" t="str">
            <v>PERMANENT</v>
          </cell>
          <cell r="S1012" t="str">
            <v>PRM</v>
          </cell>
          <cell r="T1012" t="str">
            <v>OPT</v>
          </cell>
          <cell r="U1012" t="str">
            <v>-</v>
          </cell>
          <cell r="V1012" t="str">
            <v>P</v>
          </cell>
          <cell r="W1012">
            <v>32</v>
          </cell>
        </row>
        <row r="1013">
          <cell r="A1013">
            <v>11683</v>
          </cell>
          <cell r="B1013" t="str">
            <v>011683</v>
          </cell>
          <cell r="C1013" t="str">
            <v>ENDRIYANI</v>
          </cell>
          <cell r="D1013" t="str">
            <v>SAMI</v>
          </cell>
          <cell r="E1013" t="str">
            <v>OPT-308</v>
          </cell>
          <cell r="F1013">
            <v>40714</v>
          </cell>
          <cell r="G1013" t="str">
            <v>-</v>
          </cell>
          <cell r="H1013" t="str">
            <v>-</v>
          </cell>
          <cell r="I1013" t="str">
            <v>PRD</v>
          </cell>
          <cell r="J1013" t="str">
            <v>FINAL ASSY</v>
          </cell>
          <cell r="K1013" t="str">
            <v>HONDA BBP</v>
          </cell>
          <cell r="L1013" t="str">
            <v>HV HONDA 5JLA BBP</v>
          </cell>
          <cell r="M1013" t="str">
            <v>CV HV 04B</v>
          </cell>
          <cell r="N1013" t="str">
            <v>CHECKER 141,142,172,173</v>
          </cell>
          <cell r="O1013" t="str">
            <v>ELECTRICAL INSPECTION</v>
          </cell>
          <cell r="P1013" t="str">
            <v>B</v>
          </cell>
          <cell r="Q1013" t="str">
            <v>DL</v>
          </cell>
          <cell r="R1013" t="str">
            <v>PERMANENT</v>
          </cell>
          <cell r="S1013" t="str">
            <v>PRM</v>
          </cell>
          <cell r="T1013" t="str">
            <v>OPT</v>
          </cell>
          <cell r="U1013" t="str">
            <v>-</v>
          </cell>
          <cell r="V1013" t="str">
            <v>P</v>
          </cell>
          <cell r="W1013">
            <v>31</v>
          </cell>
        </row>
        <row r="1014">
          <cell r="A1014">
            <v>9939</v>
          </cell>
          <cell r="B1014" t="str">
            <v>009939</v>
          </cell>
          <cell r="C1014" t="str">
            <v>ITA AYUNINGRUM</v>
          </cell>
          <cell r="D1014" t="str">
            <v>SAMI</v>
          </cell>
          <cell r="E1014" t="str">
            <v>OPT-246</v>
          </cell>
          <cell r="F1014">
            <v>40431</v>
          </cell>
          <cell r="G1014" t="str">
            <v>-</v>
          </cell>
          <cell r="H1014" t="str">
            <v>-</v>
          </cell>
          <cell r="I1014" t="str">
            <v>PRD</v>
          </cell>
          <cell r="J1014" t="str">
            <v>FINAL ASSY</v>
          </cell>
          <cell r="K1014" t="str">
            <v>MAZDA 3</v>
          </cell>
          <cell r="L1014" t="str">
            <v>MAZDA REAR</v>
          </cell>
          <cell r="M1014" t="str">
            <v>CV M01</v>
          </cell>
          <cell r="N1014" t="str">
            <v>VISUAL 1.2</v>
          </cell>
          <cell r="O1014" t="str">
            <v>VISUAL INSPECTION</v>
          </cell>
          <cell r="P1014" t="str">
            <v>A</v>
          </cell>
          <cell r="Q1014" t="str">
            <v>DL</v>
          </cell>
          <cell r="R1014" t="str">
            <v>PERMANENT</v>
          </cell>
          <cell r="S1014" t="str">
            <v>PRM</v>
          </cell>
          <cell r="T1014" t="str">
            <v>OPT</v>
          </cell>
          <cell r="U1014" t="str">
            <v>-</v>
          </cell>
          <cell r="V1014" t="str">
            <v>P</v>
          </cell>
          <cell r="W1014">
            <v>32</v>
          </cell>
        </row>
        <row r="1015">
          <cell r="A1015">
            <v>10234</v>
          </cell>
          <cell r="B1015" t="str">
            <v>010234</v>
          </cell>
          <cell r="C1015" t="str">
            <v>ENDANG NURDIATI</v>
          </cell>
          <cell r="D1015" t="str">
            <v>SAMI</v>
          </cell>
          <cell r="E1015" t="str">
            <v>OPT-259</v>
          </cell>
          <cell r="F1015">
            <v>40489</v>
          </cell>
          <cell r="G1015" t="str">
            <v>-</v>
          </cell>
          <cell r="H1015" t="str">
            <v>-</v>
          </cell>
          <cell r="I1015" t="str">
            <v>PRD</v>
          </cell>
          <cell r="J1015" t="str">
            <v>FINAL ASSY</v>
          </cell>
          <cell r="K1015" t="str">
            <v>MAZDA 3</v>
          </cell>
          <cell r="L1015" t="str">
            <v>MAZDA REAR</v>
          </cell>
          <cell r="M1015" t="str">
            <v>CV M01</v>
          </cell>
          <cell r="N1015" t="str">
            <v>VISUAL 2.2</v>
          </cell>
          <cell r="O1015" t="str">
            <v>VISUAL INSPECTION</v>
          </cell>
          <cell r="P1015" t="str">
            <v>A</v>
          </cell>
          <cell r="Q1015" t="str">
            <v>DL</v>
          </cell>
          <cell r="R1015" t="str">
            <v>PERMANENT</v>
          </cell>
          <cell r="S1015" t="str">
            <v>PRM</v>
          </cell>
          <cell r="T1015" t="str">
            <v>OPT</v>
          </cell>
          <cell r="U1015" t="str">
            <v>-</v>
          </cell>
          <cell r="V1015" t="str">
            <v>P</v>
          </cell>
          <cell r="W1015">
            <v>32</v>
          </cell>
        </row>
        <row r="1016">
          <cell r="A1016">
            <v>10320</v>
          </cell>
          <cell r="B1016" t="str">
            <v>010320</v>
          </cell>
          <cell r="C1016" t="str">
            <v>NAIMATUS SALAFIYAH</v>
          </cell>
          <cell r="D1016" t="str">
            <v>SAMI</v>
          </cell>
          <cell r="E1016" t="str">
            <v>OPT-265</v>
          </cell>
          <cell r="F1016">
            <v>40511</v>
          </cell>
          <cell r="G1016" t="str">
            <v>-</v>
          </cell>
          <cell r="H1016" t="str">
            <v>-</v>
          </cell>
          <cell r="I1016" t="str">
            <v>PRD</v>
          </cell>
          <cell r="J1016" t="str">
            <v>FINAL ASSY</v>
          </cell>
          <cell r="K1016" t="str">
            <v>MAZDA 3</v>
          </cell>
          <cell r="L1016" t="str">
            <v>MAZDA REAR</v>
          </cell>
          <cell r="M1016" t="str">
            <v>CV M01</v>
          </cell>
          <cell r="N1016" t="str">
            <v>VISUAL 1.3</v>
          </cell>
          <cell r="O1016" t="str">
            <v>VISUAL INSPECTION</v>
          </cell>
          <cell r="P1016" t="str">
            <v>A</v>
          </cell>
          <cell r="Q1016" t="str">
            <v>DL</v>
          </cell>
          <cell r="R1016" t="str">
            <v>PERMANENT</v>
          </cell>
          <cell r="S1016" t="str">
            <v>PRM</v>
          </cell>
          <cell r="T1016" t="str">
            <v>OPT</v>
          </cell>
          <cell r="U1016" t="str">
            <v>-</v>
          </cell>
          <cell r="V1016" t="str">
            <v>P</v>
          </cell>
          <cell r="W1016">
            <v>32</v>
          </cell>
        </row>
        <row r="1017">
          <cell r="A1017">
            <v>10850</v>
          </cell>
          <cell r="B1017" t="str">
            <v>010850</v>
          </cell>
          <cell r="C1017" t="str">
            <v>RANY SORAYA</v>
          </cell>
          <cell r="D1017" t="str">
            <v>SAMI</v>
          </cell>
          <cell r="E1017" t="str">
            <v>OPT-283</v>
          </cell>
          <cell r="F1017">
            <v>40572</v>
          </cell>
          <cell r="G1017" t="str">
            <v>-</v>
          </cell>
          <cell r="H1017" t="str">
            <v>-</v>
          </cell>
          <cell r="I1017" t="str">
            <v>PRD</v>
          </cell>
          <cell r="J1017" t="str">
            <v>FINAL ASSY</v>
          </cell>
          <cell r="K1017" t="str">
            <v>MAZDA 3</v>
          </cell>
          <cell r="L1017" t="str">
            <v>MAZDA REAR</v>
          </cell>
          <cell r="M1017" t="str">
            <v>CV M01</v>
          </cell>
          <cell r="N1017" t="str">
            <v>S/T 3.2</v>
          </cell>
          <cell r="O1017" t="str">
            <v>ASSEMBLY</v>
          </cell>
          <cell r="P1017" t="str">
            <v>A</v>
          </cell>
          <cell r="Q1017" t="str">
            <v>DL</v>
          </cell>
          <cell r="R1017" t="str">
            <v>PERMANENT</v>
          </cell>
          <cell r="S1017" t="str">
            <v>PRM</v>
          </cell>
          <cell r="T1017" t="str">
            <v>OPT</v>
          </cell>
          <cell r="U1017" t="str">
            <v>-</v>
          </cell>
          <cell r="V1017" t="str">
            <v>P</v>
          </cell>
          <cell r="W1017">
            <v>35</v>
          </cell>
        </row>
        <row r="1018">
          <cell r="A1018">
            <v>11711</v>
          </cell>
          <cell r="B1018" t="str">
            <v>011711</v>
          </cell>
          <cell r="C1018" t="str">
            <v>IRA AMBARWATI</v>
          </cell>
          <cell r="D1018" t="str">
            <v>SAMI</v>
          </cell>
          <cell r="E1018" t="str">
            <v>OPT-308</v>
          </cell>
          <cell r="F1018">
            <v>40714</v>
          </cell>
          <cell r="G1018" t="str">
            <v>-</v>
          </cell>
          <cell r="H1018" t="str">
            <v>-</v>
          </cell>
          <cell r="I1018" t="str">
            <v>OTHERS</v>
          </cell>
          <cell r="J1018" t="str">
            <v>AT HOME</v>
          </cell>
          <cell r="K1018" t="str">
            <v>ALL</v>
          </cell>
          <cell r="L1018" t="str">
            <v>ALL</v>
          </cell>
          <cell r="M1018" t="str">
            <v>AT HOME</v>
          </cell>
          <cell r="N1018" t="str">
            <v>CUTI DI LUAR TANGGUNGAN</v>
          </cell>
          <cell r="O1018" t="str">
            <v>OTHERS IDL</v>
          </cell>
          <cell r="P1018" t="str">
            <v>-</v>
          </cell>
          <cell r="Q1018" t="str">
            <v>ADM</v>
          </cell>
          <cell r="R1018" t="str">
            <v>PERMANENT</v>
          </cell>
          <cell r="S1018" t="str">
            <v>PRM</v>
          </cell>
          <cell r="T1018" t="str">
            <v>OPT</v>
          </cell>
          <cell r="U1018" t="str">
            <v>-</v>
          </cell>
          <cell r="V1018" t="str">
            <v>P</v>
          </cell>
          <cell r="W1018">
            <v>37</v>
          </cell>
        </row>
        <row r="1019">
          <cell r="A1019">
            <v>11721</v>
          </cell>
          <cell r="B1019" t="str">
            <v>011721</v>
          </cell>
          <cell r="C1019" t="str">
            <v>JUMALIYAH</v>
          </cell>
          <cell r="D1019" t="str">
            <v>SAMI</v>
          </cell>
          <cell r="E1019" t="str">
            <v>OPT-308</v>
          </cell>
          <cell r="F1019">
            <v>40714</v>
          </cell>
          <cell r="G1019" t="str">
            <v>-</v>
          </cell>
          <cell r="H1019" t="str">
            <v>-</v>
          </cell>
          <cell r="I1019" t="str">
            <v>PRD</v>
          </cell>
          <cell r="J1019" t="str">
            <v>FINAL ASSY</v>
          </cell>
          <cell r="K1019" t="str">
            <v>HONDA BBP</v>
          </cell>
          <cell r="L1019" t="str">
            <v>HV HONDA 30B</v>
          </cell>
          <cell r="M1019" t="str">
            <v>CV HV 11B</v>
          </cell>
          <cell r="N1019" t="str">
            <v>CHECKER 131, 132</v>
          </cell>
          <cell r="O1019" t="str">
            <v>ELECTRICAL INSPECTION</v>
          </cell>
          <cell r="P1019" t="str">
            <v>B</v>
          </cell>
          <cell r="Q1019" t="str">
            <v>DL</v>
          </cell>
          <cell r="R1019" t="str">
            <v>PERMANENT</v>
          </cell>
          <cell r="S1019" t="str">
            <v>PRM</v>
          </cell>
          <cell r="T1019" t="str">
            <v>OPT</v>
          </cell>
          <cell r="U1019" t="str">
            <v>-</v>
          </cell>
          <cell r="V1019" t="str">
            <v>P</v>
          </cell>
          <cell r="W1019">
            <v>32</v>
          </cell>
        </row>
        <row r="1020">
          <cell r="A1020">
            <v>11723</v>
          </cell>
          <cell r="B1020" t="str">
            <v>011723</v>
          </cell>
          <cell r="C1020" t="str">
            <v>KHOERUN NISA</v>
          </cell>
          <cell r="D1020" t="str">
            <v>SAMI</v>
          </cell>
          <cell r="E1020" t="str">
            <v>OPT-308</v>
          </cell>
          <cell r="F1020">
            <v>40714</v>
          </cell>
          <cell r="G1020" t="str">
            <v>-</v>
          </cell>
          <cell r="H1020" t="str">
            <v>-</v>
          </cell>
          <cell r="I1020" t="str">
            <v>QA</v>
          </cell>
          <cell r="J1020" t="str">
            <v>FINAL ASSY</v>
          </cell>
          <cell r="K1020" t="str">
            <v>ALL</v>
          </cell>
          <cell r="L1020" t="str">
            <v>ALL</v>
          </cell>
          <cell r="M1020" t="str">
            <v>PROTOTYPE</v>
          </cell>
          <cell r="N1020" t="str">
            <v>INSPECTION</v>
          </cell>
          <cell r="O1020" t="str">
            <v>QA APPROVE</v>
          </cell>
          <cell r="P1020" t="str">
            <v>A (NS)</v>
          </cell>
          <cell r="Q1020" t="str">
            <v>PI</v>
          </cell>
          <cell r="R1020" t="str">
            <v>PERMANENT</v>
          </cell>
          <cell r="S1020" t="str">
            <v>PRM</v>
          </cell>
          <cell r="T1020" t="str">
            <v>OPT</v>
          </cell>
          <cell r="U1020" t="str">
            <v>-</v>
          </cell>
          <cell r="V1020" t="str">
            <v>P</v>
          </cell>
          <cell r="W1020">
            <v>32</v>
          </cell>
        </row>
        <row r="1021">
          <cell r="A1021">
            <v>11496</v>
          </cell>
          <cell r="B1021" t="str">
            <v>011496</v>
          </cell>
          <cell r="C1021" t="str">
            <v>TRI NOVITA SARI</v>
          </cell>
          <cell r="D1021" t="str">
            <v>SAMI</v>
          </cell>
          <cell r="E1021" t="str">
            <v>OPT-306</v>
          </cell>
          <cell r="F1021">
            <v>40701</v>
          </cell>
          <cell r="G1021" t="str">
            <v>-</v>
          </cell>
          <cell r="H1021" t="str">
            <v>-</v>
          </cell>
          <cell r="I1021" t="str">
            <v>PRD</v>
          </cell>
          <cell r="J1021" t="str">
            <v>FINAL ASSY</v>
          </cell>
          <cell r="K1021" t="str">
            <v>MAZDA 3</v>
          </cell>
          <cell r="L1021" t="str">
            <v>MAZDA REAR</v>
          </cell>
          <cell r="M1021" t="str">
            <v>CV M01</v>
          </cell>
          <cell r="N1021" t="str">
            <v>SUB LINE CHO</v>
          </cell>
          <cell r="O1021" t="str">
            <v>GL</v>
          </cell>
          <cell r="P1021" t="str">
            <v>A</v>
          </cell>
          <cell r="Q1021" t="str">
            <v>PI</v>
          </cell>
          <cell r="R1021" t="str">
            <v>PERMANENT</v>
          </cell>
          <cell r="S1021" t="str">
            <v>PRM</v>
          </cell>
          <cell r="T1021" t="str">
            <v>SLC</v>
          </cell>
          <cell r="U1021" t="str">
            <v>-</v>
          </cell>
          <cell r="V1021" t="str">
            <v>P</v>
          </cell>
          <cell r="W1021">
            <v>32</v>
          </cell>
        </row>
        <row r="1022">
          <cell r="A1022">
            <v>11726</v>
          </cell>
          <cell r="B1022" t="str">
            <v>011726</v>
          </cell>
          <cell r="C1022" t="str">
            <v>LAELATUL AROFAH</v>
          </cell>
          <cell r="D1022" t="str">
            <v>SAMI</v>
          </cell>
          <cell r="E1022" t="str">
            <v>OPT-308</v>
          </cell>
          <cell r="F1022">
            <v>40714</v>
          </cell>
          <cell r="G1022" t="str">
            <v>-</v>
          </cell>
          <cell r="H1022" t="str">
            <v>-</v>
          </cell>
          <cell r="I1022" t="str">
            <v>PRD</v>
          </cell>
          <cell r="J1022" t="str">
            <v>FINAL ASSY</v>
          </cell>
          <cell r="K1022" t="str">
            <v>TOYOTA HV</v>
          </cell>
          <cell r="L1022" t="str">
            <v>HV TOYOTA NIKEL</v>
          </cell>
          <cell r="M1022" t="str">
            <v>CV HV 07</v>
          </cell>
          <cell r="N1022" t="str">
            <v>FBB0-02, INTERMEDIATE , ASM BBM</v>
          </cell>
          <cell r="O1022" t="str">
            <v>WFAP 2.2</v>
          </cell>
          <cell r="P1022" t="str">
            <v>B</v>
          </cell>
          <cell r="Q1022" t="str">
            <v>DL</v>
          </cell>
          <cell r="R1022" t="str">
            <v>PERMANENT</v>
          </cell>
          <cell r="S1022" t="str">
            <v>PRM</v>
          </cell>
          <cell r="T1022" t="str">
            <v>OPT</v>
          </cell>
          <cell r="U1022" t="str">
            <v>-</v>
          </cell>
          <cell r="V1022" t="str">
            <v>P</v>
          </cell>
          <cell r="W1022">
            <v>31</v>
          </cell>
        </row>
        <row r="1023">
          <cell r="A1023">
            <v>11729</v>
          </cell>
          <cell r="B1023" t="str">
            <v>011729</v>
          </cell>
          <cell r="C1023" t="str">
            <v>LAILIA NUR ARISTA</v>
          </cell>
          <cell r="D1023" t="str">
            <v>SAMI</v>
          </cell>
          <cell r="E1023" t="str">
            <v>OPT-308</v>
          </cell>
          <cell r="F1023">
            <v>40714</v>
          </cell>
          <cell r="G1023" t="str">
            <v>-</v>
          </cell>
          <cell r="H1023" t="str">
            <v>-</v>
          </cell>
          <cell r="I1023" t="str">
            <v>PRD</v>
          </cell>
          <cell r="J1023" t="str">
            <v>FINAL ASSY</v>
          </cell>
          <cell r="K1023" t="str">
            <v>MAZDA 3</v>
          </cell>
          <cell r="L1023" t="str">
            <v>MAZDA REAR</v>
          </cell>
          <cell r="M1023" t="str">
            <v>CV M01</v>
          </cell>
          <cell r="N1023" t="str">
            <v>VISUAL 1.1</v>
          </cell>
          <cell r="O1023" t="str">
            <v>VISUAL INSPECTION</v>
          </cell>
          <cell r="P1023" t="str">
            <v>A</v>
          </cell>
          <cell r="Q1023" t="str">
            <v>DL</v>
          </cell>
          <cell r="R1023" t="str">
            <v>PERMANENT</v>
          </cell>
          <cell r="S1023" t="str">
            <v>PRM</v>
          </cell>
          <cell r="T1023" t="str">
            <v>OPT</v>
          </cell>
          <cell r="U1023" t="str">
            <v>-</v>
          </cell>
          <cell r="V1023" t="str">
            <v>P</v>
          </cell>
          <cell r="W1023">
            <v>32</v>
          </cell>
        </row>
        <row r="1024">
          <cell r="A1024">
            <v>11783</v>
          </cell>
          <cell r="B1024" t="str">
            <v>011783</v>
          </cell>
          <cell r="C1024" t="str">
            <v>SITI ROKHIMATUL MAULA</v>
          </cell>
          <cell r="D1024" t="str">
            <v>SAMI</v>
          </cell>
          <cell r="E1024" t="str">
            <v>OPT-308</v>
          </cell>
          <cell r="F1024">
            <v>40714</v>
          </cell>
          <cell r="G1024" t="str">
            <v>-</v>
          </cell>
          <cell r="H1024" t="str">
            <v>-</v>
          </cell>
          <cell r="I1024" t="str">
            <v>PRD</v>
          </cell>
          <cell r="J1024" t="str">
            <v>FINAL ASSY</v>
          </cell>
          <cell r="K1024" t="str">
            <v>MAZDA 3</v>
          </cell>
          <cell r="L1024" t="str">
            <v>MAZDA REAR</v>
          </cell>
          <cell r="M1024" t="str">
            <v>CV M01</v>
          </cell>
          <cell r="N1024" t="str">
            <v>LQC</v>
          </cell>
          <cell r="O1024" t="str">
            <v>RELIEF</v>
          </cell>
          <cell r="P1024" t="str">
            <v>A</v>
          </cell>
          <cell r="Q1024" t="str">
            <v>PI</v>
          </cell>
          <cell r="R1024" t="str">
            <v>PERMANENT</v>
          </cell>
          <cell r="S1024" t="str">
            <v>PRM</v>
          </cell>
          <cell r="T1024" t="str">
            <v>PJK</v>
          </cell>
          <cell r="U1024" t="str">
            <v>-</v>
          </cell>
          <cell r="V1024" t="str">
            <v>P</v>
          </cell>
          <cell r="W1024">
            <v>31</v>
          </cell>
        </row>
        <row r="1025">
          <cell r="A1025">
            <v>12339</v>
          </cell>
          <cell r="B1025" t="str">
            <v>012339</v>
          </cell>
          <cell r="C1025" t="str">
            <v>USWATUN KHASANAH</v>
          </cell>
          <cell r="D1025" t="str">
            <v>SAMI</v>
          </cell>
          <cell r="E1025" t="str">
            <v>OPT-316</v>
          </cell>
          <cell r="F1025">
            <v>40805</v>
          </cell>
          <cell r="G1025" t="str">
            <v>-</v>
          </cell>
          <cell r="H1025" t="str">
            <v>-</v>
          </cell>
          <cell r="I1025" t="str">
            <v>PRD</v>
          </cell>
          <cell r="J1025" t="str">
            <v>FINAL ASSY</v>
          </cell>
          <cell r="K1025" t="str">
            <v>MAZDA 3</v>
          </cell>
          <cell r="L1025" t="str">
            <v>MAZDA REAR</v>
          </cell>
          <cell r="M1025" t="str">
            <v>CV M01</v>
          </cell>
          <cell r="N1025" t="str">
            <v>T/P 1.1</v>
          </cell>
          <cell r="O1025" t="str">
            <v>ASSEMBLY</v>
          </cell>
          <cell r="P1025" t="str">
            <v>A</v>
          </cell>
          <cell r="Q1025" t="str">
            <v>DL</v>
          </cell>
          <cell r="R1025" t="str">
            <v>PERMANENT</v>
          </cell>
          <cell r="S1025" t="str">
            <v>PRM</v>
          </cell>
          <cell r="T1025" t="str">
            <v>OPT</v>
          </cell>
          <cell r="U1025" t="str">
            <v>-</v>
          </cell>
          <cell r="V1025" t="str">
            <v>P</v>
          </cell>
          <cell r="W1025">
            <v>31</v>
          </cell>
        </row>
        <row r="1026">
          <cell r="A1026">
            <v>11739</v>
          </cell>
          <cell r="B1026" t="str">
            <v>011739</v>
          </cell>
          <cell r="C1026" t="str">
            <v>MUFARIKHAH</v>
          </cell>
          <cell r="D1026" t="str">
            <v>SAMI</v>
          </cell>
          <cell r="E1026" t="str">
            <v>OPT-308</v>
          </cell>
          <cell r="F1026">
            <v>40714</v>
          </cell>
          <cell r="G1026" t="str">
            <v>-</v>
          </cell>
          <cell r="H1026" t="str">
            <v>-</v>
          </cell>
          <cell r="I1026" t="str">
            <v>QA</v>
          </cell>
          <cell r="J1026" t="str">
            <v>FINAL ASSY</v>
          </cell>
          <cell r="K1026" t="str">
            <v>SUZUKI WAGON R</v>
          </cell>
          <cell r="L1026" t="str">
            <v>DOOR/DOOM</v>
          </cell>
          <cell r="M1026" t="str">
            <v>CV S03</v>
          </cell>
          <cell r="N1026" t="str">
            <v>DC</v>
          </cell>
          <cell r="O1026" t="str">
            <v>DC</v>
          </cell>
          <cell r="P1026" t="str">
            <v>B</v>
          </cell>
          <cell r="Q1026" t="str">
            <v>PI</v>
          </cell>
          <cell r="R1026" t="str">
            <v>PERMANENT</v>
          </cell>
          <cell r="S1026" t="str">
            <v>PRM</v>
          </cell>
          <cell r="T1026" t="str">
            <v>OPT</v>
          </cell>
          <cell r="U1026" t="str">
            <v>-</v>
          </cell>
          <cell r="V1026" t="str">
            <v>P</v>
          </cell>
          <cell r="W1026">
            <v>31</v>
          </cell>
        </row>
        <row r="1027">
          <cell r="A1027">
            <v>11743</v>
          </cell>
          <cell r="B1027" t="str">
            <v>011743</v>
          </cell>
          <cell r="C1027" t="str">
            <v>MUSTHOFIAH</v>
          </cell>
          <cell r="D1027" t="str">
            <v>SAMI</v>
          </cell>
          <cell r="E1027" t="str">
            <v>OPT-308</v>
          </cell>
          <cell r="F1027">
            <v>40714</v>
          </cell>
          <cell r="G1027" t="str">
            <v>-</v>
          </cell>
          <cell r="H1027" t="str">
            <v>-</v>
          </cell>
          <cell r="I1027" t="str">
            <v>PRD</v>
          </cell>
          <cell r="J1027" t="str">
            <v>PRE ASSY</v>
          </cell>
          <cell r="K1027" t="str">
            <v>TOYOTA HV</v>
          </cell>
          <cell r="L1027" t="str">
            <v>HV TOYOTA</v>
          </cell>
          <cell r="M1027" t="str">
            <v>CPA TOYOTA 10 PL</v>
          </cell>
          <cell r="N1027" t="str">
            <v>INSP CUTTING</v>
          </cell>
          <cell r="O1027" t="str">
            <v>P/A INSPECTOR</v>
          </cell>
          <cell r="P1027" t="str">
            <v>B</v>
          </cell>
          <cell r="Q1027" t="str">
            <v>PI</v>
          </cell>
          <cell r="R1027" t="str">
            <v>PERMANENT</v>
          </cell>
          <cell r="S1027" t="str">
            <v>PRM</v>
          </cell>
          <cell r="T1027" t="str">
            <v>OPT</v>
          </cell>
          <cell r="U1027" t="str">
            <v>-</v>
          </cell>
          <cell r="V1027" t="str">
            <v>P</v>
          </cell>
          <cell r="W1027">
            <v>34</v>
          </cell>
        </row>
        <row r="1028">
          <cell r="A1028">
            <v>11755</v>
          </cell>
          <cell r="B1028" t="str">
            <v>011755</v>
          </cell>
          <cell r="C1028" t="str">
            <v>NUR FAIZAH</v>
          </cell>
          <cell r="D1028" t="str">
            <v>SAMI</v>
          </cell>
          <cell r="E1028" t="str">
            <v>OPT-308</v>
          </cell>
          <cell r="F1028">
            <v>40714</v>
          </cell>
          <cell r="G1028" t="str">
            <v>-</v>
          </cell>
          <cell r="H1028" t="str">
            <v>-</v>
          </cell>
          <cell r="I1028" t="str">
            <v>PRD</v>
          </cell>
          <cell r="J1028" t="str">
            <v>FINAL ASSY</v>
          </cell>
          <cell r="K1028" t="str">
            <v>HONDA BBP</v>
          </cell>
          <cell r="L1028" t="str">
            <v>HV HONDA 5JLA BBP</v>
          </cell>
          <cell r="M1028" t="str">
            <v>CV HV 04B</v>
          </cell>
          <cell r="N1028" t="str">
            <v>S/A 142-2, 173-2</v>
          </cell>
          <cell r="O1028" t="str">
            <v>SUB ASSY</v>
          </cell>
          <cell r="P1028" t="str">
            <v>B</v>
          </cell>
          <cell r="Q1028" t="str">
            <v>DL</v>
          </cell>
          <cell r="R1028" t="str">
            <v>PERMANENT</v>
          </cell>
          <cell r="S1028" t="str">
            <v>PRM</v>
          </cell>
          <cell r="T1028" t="str">
            <v>OPT</v>
          </cell>
          <cell r="U1028" t="str">
            <v>-</v>
          </cell>
          <cell r="V1028" t="str">
            <v>P</v>
          </cell>
          <cell r="W1028">
            <v>31</v>
          </cell>
        </row>
        <row r="1029">
          <cell r="A1029">
            <v>11757</v>
          </cell>
          <cell r="B1029" t="str">
            <v>011757</v>
          </cell>
          <cell r="C1029" t="str">
            <v>NUR HIDAYAH</v>
          </cell>
          <cell r="D1029" t="str">
            <v>SAMI</v>
          </cell>
          <cell r="E1029" t="str">
            <v>OPT-308</v>
          </cell>
          <cell r="F1029">
            <v>40714</v>
          </cell>
          <cell r="G1029" t="str">
            <v>-</v>
          </cell>
          <cell r="H1029" t="str">
            <v>-</v>
          </cell>
          <cell r="I1029" t="str">
            <v>QA</v>
          </cell>
          <cell r="J1029" t="str">
            <v>PRE ASSY</v>
          </cell>
          <cell r="K1029" t="str">
            <v>HONDA BBP</v>
          </cell>
          <cell r="L1029" t="str">
            <v>HV HONDA 5JLA BBP</v>
          </cell>
          <cell r="M1029" t="str">
            <v>CPA HONDA HV</v>
          </cell>
          <cell r="N1029" t="str">
            <v>CROSS SECTION</v>
          </cell>
          <cell r="O1029" t="str">
            <v>CROSS SECT.</v>
          </cell>
          <cell r="P1029" t="str">
            <v>A</v>
          </cell>
          <cell r="Q1029" t="str">
            <v>PS</v>
          </cell>
          <cell r="R1029" t="str">
            <v>PERMANENT</v>
          </cell>
          <cell r="S1029" t="str">
            <v>PRM</v>
          </cell>
          <cell r="T1029" t="str">
            <v>OPT</v>
          </cell>
          <cell r="U1029" t="str">
            <v>-</v>
          </cell>
          <cell r="V1029" t="str">
            <v>P</v>
          </cell>
          <cell r="W1029">
            <v>31</v>
          </cell>
        </row>
        <row r="1030">
          <cell r="A1030">
            <v>11759</v>
          </cell>
          <cell r="B1030" t="str">
            <v>011759</v>
          </cell>
          <cell r="C1030" t="str">
            <v>NUR WAHYUNI</v>
          </cell>
          <cell r="D1030" t="str">
            <v>SAMI</v>
          </cell>
          <cell r="E1030" t="str">
            <v>OPT-308</v>
          </cell>
          <cell r="F1030">
            <v>40714</v>
          </cell>
          <cell r="G1030" t="str">
            <v>-</v>
          </cell>
          <cell r="H1030" t="str">
            <v>-</v>
          </cell>
          <cell r="I1030" t="str">
            <v>PRD</v>
          </cell>
          <cell r="J1030" t="str">
            <v>FINAL ASSY</v>
          </cell>
          <cell r="K1030" t="str">
            <v>TOYOTA</v>
          </cell>
          <cell r="L1030" t="str">
            <v>AQUA SIENTA</v>
          </cell>
          <cell r="M1030" t="str">
            <v>CV T01</v>
          </cell>
          <cell r="N1030" t="str">
            <v>OJT S/A 4</v>
          </cell>
          <cell r="O1030" t="str">
            <v>OTHERS</v>
          </cell>
          <cell r="P1030" t="str">
            <v>B</v>
          </cell>
          <cell r="Q1030" t="str">
            <v>PI</v>
          </cell>
          <cell r="R1030" t="str">
            <v>PERMANENT</v>
          </cell>
          <cell r="S1030" t="str">
            <v>PRM</v>
          </cell>
          <cell r="T1030" t="str">
            <v>OPT</v>
          </cell>
          <cell r="U1030" t="str">
            <v>-</v>
          </cell>
          <cell r="V1030" t="str">
            <v>P</v>
          </cell>
          <cell r="W1030">
            <v>32</v>
          </cell>
        </row>
        <row r="1031">
          <cell r="A1031">
            <v>11768</v>
          </cell>
          <cell r="B1031" t="str">
            <v>011768</v>
          </cell>
          <cell r="C1031" t="str">
            <v>RATNA WULANDARI</v>
          </cell>
          <cell r="D1031" t="str">
            <v>SAMI</v>
          </cell>
          <cell r="E1031" t="str">
            <v>OPT-308</v>
          </cell>
          <cell r="F1031">
            <v>40714</v>
          </cell>
          <cell r="G1031" t="str">
            <v>-</v>
          </cell>
          <cell r="H1031" t="str">
            <v>-</v>
          </cell>
          <cell r="I1031" t="str">
            <v>PRD</v>
          </cell>
          <cell r="J1031" t="str">
            <v>FINAL ASSY</v>
          </cell>
          <cell r="K1031" t="str">
            <v>HONDA FREED</v>
          </cell>
          <cell r="L1031" t="str">
            <v>HONDA FREED W/H FLOOR</v>
          </cell>
          <cell r="M1031" t="str">
            <v>CV 4</v>
          </cell>
          <cell r="N1031" t="str">
            <v>S/A AB</v>
          </cell>
          <cell r="O1031" t="str">
            <v>SUB ASSY</v>
          </cell>
          <cell r="P1031" t="str">
            <v>B</v>
          </cell>
          <cell r="Q1031" t="str">
            <v>DL</v>
          </cell>
          <cell r="R1031" t="str">
            <v>PERMANENT</v>
          </cell>
          <cell r="S1031" t="str">
            <v>PRM</v>
          </cell>
          <cell r="T1031" t="str">
            <v>OPT</v>
          </cell>
          <cell r="U1031" t="str">
            <v>-</v>
          </cell>
          <cell r="V1031" t="str">
            <v>P</v>
          </cell>
          <cell r="W1031">
            <v>31</v>
          </cell>
        </row>
        <row r="1032">
          <cell r="A1032">
            <v>12603</v>
          </cell>
          <cell r="B1032" t="str">
            <v>012603</v>
          </cell>
          <cell r="C1032" t="str">
            <v>DWI OCTA LASMIYATI</v>
          </cell>
          <cell r="D1032" t="str">
            <v>SAMI</v>
          </cell>
          <cell r="E1032" t="str">
            <v>OPT-319</v>
          </cell>
          <cell r="F1032">
            <v>40816</v>
          </cell>
          <cell r="G1032" t="str">
            <v>-</v>
          </cell>
          <cell r="H1032" t="str">
            <v>-</v>
          </cell>
          <cell r="I1032" t="str">
            <v>PRD</v>
          </cell>
          <cell r="J1032" t="str">
            <v>FINAL ASSY</v>
          </cell>
          <cell r="K1032" t="str">
            <v>MAZDA 3</v>
          </cell>
          <cell r="L1032" t="str">
            <v>MAZDA REAR</v>
          </cell>
          <cell r="M1032" t="str">
            <v>CV M01</v>
          </cell>
          <cell r="N1032" t="str">
            <v>VISUAL 2.1</v>
          </cell>
          <cell r="O1032" t="str">
            <v>VISUAL INSPECTION</v>
          </cell>
          <cell r="P1032" t="str">
            <v>A</v>
          </cell>
          <cell r="Q1032" t="str">
            <v>DL</v>
          </cell>
          <cell r="R1032" t="str">
            <v>PERMANENT</v>
          </cell>
          <cell r="S1032" t="str">
            <v>PRM</v>
          </cell>
          <cell r="T1032" t="str">
            <v>OPT</v>
          </cell>
          <cell r="U1032" t="str">
            <v>-</v>
          </cell>
          <cell r="V1032" t="str">
            <v>P</v>
          </cell>
          <cell r="W1032">
            <v>32</v>
          </cell>
        </row>
        <row r="1033">
          <cell r="A1033">
            <v>13660</v>
          </cell>
          <cell r="B1033" t="str">
            <v>013660</v>
          </cell>
          <cell r="C1033" t="str">
            <v>ULIF TRIYANTI</v>
          </cell>
          <cell r="D1033" t="str">
            <v>SAMI</v>
          </cell>
          <cell r="E1033" t="str">
            <v>OPT-346</v>
          </cell>
          <cell r="F1033">
            <v>41165</v>
          </cell>
          <cell r="G1033" t="str">
            <v>-</v>
          </cell>
          <cell r="H1033" t="str">
            <v>-</v>
          </cell>
          <cell r="I1033" t="str">
            <v>PRD</v>
          </cell>
          <cell r="J1033" t="str">
            <v>FINAL ASSY</v>
          </cell>
          <cell r="K1033" t="str">
            <v>MAZDA 3</v>
          </cell>
          <cell r="L1033" t="str">
            <v>MAZDA REAR</v>
          </cell>
          <cell r="M1033" t="str">
            <v>CV M01</v>
          </cell>
          <cell r="N1033" t="str">
            <v>S/T 4</v>
          </cell>
          <cell r="O1033" t="str">
            <v>ASSEMBLY</v>
          </cell>
          <cell r="P1033" t="str">
            <v>A</v>
          </cell>
          <cell r="Q1033" t="str">
            <v>DL</v>
          </cell>
          <cell r="R1033" t="str">
            <v>PERMANENT</v>
          </cell>
          <cell r="S1033" t="str">
            <v>PRM</v>
          </cell>
          <cell r="T1033" t="str">
            <v>OPT</v>
          </cell>
          <cell r="U1033" t="str">
            <v>-</v>
          </cell>
          <cell r="V1033" t="str">
            <v>P</v>
          </cell>
          <cell r="W1033">
            <v>30</v>
          </cell>
        </row>
        <row r="1034">
          <cell r="A1034">
            <v>17846</v>
          </cell>
          <cell r="B1034" t="str">
            <v>017846</v>
          </cell>
          <cell r="C1034" t="str">
            <v>EKA AGUSTINA</v>
          </cell>
          <cell r="D1034" t="str">
            <v>SAMI</v>
          </cell>
          <cell r="E1034" t="str">
            <v>OPT-449</v>
          </cell>
          <cell r="F1034">
            <v>41820</v>
          </cell>
          <cell r="G1034" t="str">
            <v>-</v>
          </cell>
          <cell r="H1034" t="str">
            <v>-</v>
          </cell>
          <cell r="I1034" t="str">
            <v>PRD</v>
          </cell>
          <cell r="J1034" t="str">
            <v>FINAL ASSY</v>
          </cell>
          <cell r="K1034" t="str">
            <v>MAZDA 3</v>
          </cell>
          <cell r="L1034" t="str">
            <v>MAZDA REAR</v>
          </cell>
          <cell r="M1034" t="str">
            <v>CV M01</v>
          </cell>
          <cell r="N1034" t="str">
            <v>RELIEF 2</v>
          </cell>
          <cell r="O1034" t="str">
            <v>RELIEF</v>
          </cell>
          <cell r="P1034" t="str">
            <v>A</v>
          </cell>
          <cell r="Q1034" t="str">
            <v>PI</v>
          </cell>
          <cell r="R1034" t="str">
            <v>PERMANENT</v>
          </cell>
          <cell r="S1034" t="str">
            <v>PRM</v>
          </cell>
          <cell r="T1034" t="str">
            <v>OPT</v>
          </cell>
          <cell r="U1034" t="str">
            <v>-</v>
          </cell>
          <cell r="V1034" t="str">
            <v>P</v>
          </cell>
          <cell r="W1034">
            <v>28</v>
          </cell>
        </row>
        <row r="1035">
          <cell r="A1035" t="str">
            <v>B00752</v>
          </cell>
          <cell r="B1035" t="str">
            <v>B00752</v>
          </cell>
          <cell r="C1035" t="str">
            <v>SRI SUGIWATI</v>
          </cell>
          <cell r="D1035" t="str">
            <v>SAMI</v>
          </cell>
          <cell r="E1035" t="str">
            <v>BBF-012</v>
          </cell>
          <cell r="F1035">
            <v>40904</v>
          </cell>
          <cell r="G1035" t="str">
            <v>-</v>
          </cell>
          <cell r="H1035" t="str">
            <v>-</v>
          </cell>
          <cell r="I1035" t="str">
            <v>PRD</v>
          </cell>
          <cell r="J1035" t="str">
            <v>FINAL ASSY</v>
          </cell>
          <cell r="K1035" t="str">
            <v>MAZDA 3</v>
          </cell>
          <cell r="L1035" t="str">
            <v>MAZDA REAR</v>
          </cell>
          <cell r="M1035" t="str">
            <v>CV M01</v>
          </cell>
          <cell r="N1035" t="str">
            <v>CHECKER 3</v>
          </cell>
          <cell r="O1035" t="str">
            <v>ELECTRICAL INSPECTION</v>
          </cell>
          <cell r="P1035" t="str">
            <v>A</v>
          </cell>
          <cell r="Q1035" t="str">
            <v>DL</v>
          </cell>
          <cell r="R1035" t="str">
            <v>PERMANENT</v>
          </cell>
          <cell r="S1035" t="str">
            <v>PRM</v>
          </cell>
          <cell r="T1035" t="str">
            <v>OPT</v>
          </cell>
          <cell r="U1035" t="str">
            <v>-</v>
          </cell>
          <cell r="V1035" t="str">
            <v>P</v>
          </cell>
          <cell r="W1035">
            <v>32</v>
          </cell>
        </row>
        <row r="1036">
          <cell r="A1036">
            <v>11787</v>
          </cell>
          <cell r="B1036" t="str">
            <v>011787</v>
          </cell>
          <cell r="C1036" t="str">
            <v>TRI APRILIANI</v>
          </cell>
          <cell r="D1036" t="str">
            <v>SAMI</v>
          </cell>
          <cell r="E1036" t="str">
            <v>OPT-308</v>
          </cell>
          <cell r="F1036">
            <v>40714</v>
          </cell>
          <cell r="G1036" t="str">
            <v>-</v>
          </cell>
          <cell r="H1036" t="str">
            <v>-</v>
          </cell>
          <cell r="I1036" t="str">
            <v>PP</v>
          </cell>
          <cell r="J1036" t="str">
            <v>SWCT</v>
          </cell>
          <cell r="K1036" t="str">
            <v>ALL</v>
          </cell>
          <cell r="L1036" t="str">
            <v>ALL</v>
          </cell>
          <cell r="M1036" t="str">
            <v>SWCT</v>
          </cell>
          <cell r="N1036" t="str">
            <v>DOKUMEN SWCT</v>
          </cell>
          <cell r="O1036" t="str">
            <v>PROCESS ENG</v>
          </cell>
          <cell r="P1036" t="str">
            <v>A (NS)</v>
          </cell>
          <cell r="Q1036" t="str">
            <v>PS</v>
          </cell>
          <cell r="R1036" t="str">
            <v>PERMANENT</v>
          </cell>
          <cell r="S1036" t="str">
            <v>PRM</v>
          </cell>
          <cell r="T1036" t="str">
            <v>OPT</v>
          </cell>
          <cell r="U1036" t="str">
            <v>-</v>
          </cell>
          <cell r="V1036" t="str">
            <v>P</v>
          </cell>
          <cell r="W1036">
            <v>33</v>
          </cell>
        </row>
        <row r="1037">
          <cell r="A1037">
            <v>11791</v>
          </cell>
          <cell r="B1037" t="str">
            <v>011791</v>
          </cell>
          <cell r="C1037" t="str">
            <v>YULIANA ULFAH HIDAYAH</v>
          </cell>
          <cell r="D1037" t="str">
            <v>SAMI</v>
          </cell>
          <cell r="E1037" t="str">
            <v>OPT-308</v>
          </cell>
          <cell r="F1037">
            <v>40714</v>
          </cell>
          <cell r="G1037" t="str">
            <v>-</v>
          </cell>
          <cell r="H1037" t="str">
            <v>-</v>
          </cell>
          <cell r="I1037" t="str">
            <v>PRD</v>
          </cell>
          <cell r="J1037" t="str">
            <v>FINAL ASSY</v>
          </cell>
          <cell r="K1037" t="str">
            <v>TOYOTA HV</v>
          </cell>
          <cell r="L1037" t="str">
            <v>HV TOYOTA 10PL</v>
          </cell>
          <cell r="M1037" t="str">
            <v>CV HV 14A</v>
          </cell>
          <cell r="N1037" t="str">
            <v>VISUAL U2.2</v>
          </cell>
          <cell r="O1037" t="str">
            <v>VISUAL INSPECTION</v>
          </cell>
          <cell r="P1037" t="str">
            <v>B</v>
          </cell>
          <cell r="Q1037" t="str">
            <v>DL</v>
          </cell>
          <cell r="R1037" t="str">
            <v>PERMANENT</v>
          </cell>
          <cell r="S1037" t="str">
            <v>PRM</v>
          </cell>
          <cell r="T1037" t="str">
            <v>OPT</v>
          </cell>
          <cell r="U1037" t="str">
            <v>-</v>
          </cell>
          <cell r="V1037" t="str">
            <v>P</v>
          </cell>
          <cell r="W1037">
            <v>31</v>
          </cell>
        </row>
        <row r="1038">
          <cell r="A1038">
            <v>11794</v>
          </cell>
          <cell r="B1038" t="str">
            <v>011794</v>
          </cell>
          <cell r="C1038" t="str">
            <v>DEASI ARIYANI</v>
          </cell>
          <cell r="D1038" t="str">
            <v>SAMI</v>
          </cell>
          <cell r="E1038" t="str">
            <v>OPT-309</v>
          </cell>
          <cell r="F1038">
            <v>40721</v>
          </cell>
          <cell r="G1038" t="str">
            <v>-</v>
          </cell>
          <cell r="H1038" t="str">
            <v>-</v>
          </cell>
          <cell r="I1038" t="str">
            <v>PP</v>
          </cell>
          <cell r="J1038" t="str">
            <v>SWCT</v>
          </cell>
          <cell r="K1038" t="str">
            <v>ALL</v>
          </cell>
          <cell r="L1038" t="str">
            <v>ALL</v>
          </cell>
          <cell r="M1038" t="str">
            <v>SWCT</v>
          </cell>
          <cell r="N1038" t="str">
            <v>DOKUMEN SWCT</v>
          </cell>
          <cell r="O1038" t="str">
            <v>PROCESS ENG</v>
          </cell>
          <cell r="P1038" t="str">
            <v>A (NS)</v>
          </cell>
          <cell r="Q1038" t="str">
            <v>PS</v>
          </cell>
          <cell r="R1038" t="str">
            <v>PERMANENT</v>
          </cell>
          <cell r="S1038" t="str">
            <v>PRM</v>
          </cell>
          <cell r="T1038" t="str">
            <v>ADM</v>
          </cell>
          <cell r="U1038" t="str">
            <v>-</v>
          </cell>
          <cell r="V1038" t="str">
            <v>P</v>
          </cell>
          <cell r="W1038">
            <v>31</v>
          </cell>
        </row>
        <row r="1039">
          <cell r="A1039">
            <v>11815</v>
          </cell>
          <cell r="B1039" t="str">
            <v>011815</v>
          </cell>
          <cell r="C1039" t="str">
            <v>KUSPUATI</v>
          </cell>
          <cell r="D1039" t="str">
            <v>SAMI</v>
          </cell>
          <cell r="E1039" t="str">
            <v>OPT-309</v>
          </cell>
          <cell r="F1039">
            <v>40721</v>
          </cell>
          <cell r="G1039" t="str">
            <v>-</v>
          </cell>
          <cell r="H1039" t="str">
            <v>-</v>
          </cell>
          <cell r="I1039" t="str">
            <v>PRD</v>
          </cell>
          <cell r="J1039" t="str">
            <v>FINAL ASSY</v>
          </cell>
          <cell r="K1039" t="str">
            <v>TOYOTA HV</v>
          </cell>
          <cell r="L1039" t="str">
            <v>HV TOYOTA 10PL</v>
          </cell>
          <cell r="M1039" t="str">
            <v>CV HV 14A</v>
          </cell>
          <cell r="N1039" t="str">
            <v>VISUAL T2.2</v>
          </cell>
          <cell r="O1039" t="str">
            <v>VISUAL INSPECTION</v>
          </cell>
          <cell r="P1039" t="str">
            <v>B</v>
          </cell>
          <cell r="Q1039" t="str">
            <v>DL</v>
          </cell>
          <cell r="R1039" t="str">
            <v>PERMANENT</v>
          </cell>
          <cell r="S1039" t="str">
            <v>PRM</v>
          </cell>
          <cell r="T1039" t="str">
            <v>OPT</v>
          </cell>
          <cell r="U1039" t="str">
            <v>-</v>
          </cell>
          <cell r="V1039" t="str">
            <v>P</v>
          </cell>
          <cell r="W1039">
            <v>32</v>
          </cell>
        </row>
        <row r="1040">
          <cell r="A1040" t="str">
            <v>B01144</v>
          </cell>
          <cell r="B1040" t="str">
            <v>B01144</v>
          </cell>
          <cell r="C1040" t="str">
            <v>JAROH DWI HANDAYANI</v>
          </cell>
          <cell r="D1040" t="str">
            <v>SAMI</v>
          </cell>
          <cell r="E1040" t="str">
            <v>BBF-030</v>
          </cell>
          <cell r="F1040">
            <v>41165</v>
          </cell>
          <cell r="G1040" t="str">
            <v>-</v>
          </cell>
          <cell r="H1040" t="str">
            <v>-</v>
          </cell>
          <cell r="I1040" t="str">
            <v>PRD</v>
          </cell>
          <cell r="J1040" t="str">
            <v>FINAL ASSY</v>
          </cell>
          <cell r="K1040" t="str">
            <v>MAZDA 3</v>
          </cell>
          <cell r="L1040" t="str">
            <v>MAZDA REAR</v>
          </cell>
          <cell r="M1040" t="str">
            <v>CV M01</v>
          </cell>
          <cell r="N1040" t="str">
            <v>T/P 2.2</v>
          </cell>
          <cell r="O1040" t="str">
            <v>ASSEMBLY</v>
          </cell>
          <cell r="P1040" t="str">
            <v>A</v>
          </cell>
          <cell r="Q1040" t="str">
            <v>DL</v>
          </cell>
          <cell r="R1040" t="str">
            <v>PERMANENT</v>
          </cell>
          <cell r="S1040" t="str">
            <v>PRM</v>
          </cell>
          <cell r="T1040" t="str">
            <v>OPT</v>
          </cell>
          <cell r="U1040" t="str">
            <v>-</v>
          </cell>
          <cell r="V1040" t="str">
            <v>P</v>
          </cell>
          <cell r="W1040">
            <v>30</v>
          </cell>
        </row>
        <row r="1041">
          <cell r="A1041">
            <v>11824</v>
          </cell>
          <cell r="B1041" t="str">
            <v>011824</v>
          </cell>
          <cell r="C1041" t="str">
            <v>NIKEN RAHAYU</v>
          </cell>
          <cell r="D1041" t="str">
            <v>SAMI</v>
          </cell>
          <cell r="E1041" t="str">
            <v>OPT-309</v>
          </cell>
          <cell r="F1041">
            <v>40721</v>
          </cell>
          <cell r="G1041" t="str">
            <v>-</v>
          </cell>
          <cell r="H1041" t="str">
            <v>-</v>
          </cell>
          <cell r="I1041" t="str">
            <v>PP</v>
          </cell>
          <cell r="J1041" t="str">
            <v>SWCT</v>
          </cell>
          <cell r="K1041" t="str">
            <v>ALL</v>
          </cell>
          <cell r="L1041" t="str">
            <v>ALL</v>
          </cell>
          <cell r="M1041" t="str">
            <v>SWCT</v>
          </cell>
          <cell r="N1041" t="str">
            <v>DOKUMEN SWCT</v>
          </cell>
          <cell r="O1041" t="str">
            <v>PROCESS ENG</v>
          </cell>
          <cell r="P1041" t="str">
            <v>A (NS)</v>
          </cell>
          <cell r="Q1041" t="str">
            <v>PS</v>
          </cell>
          <cell r="R1041" t="str">
            <v>PERMANENT</v>
          </cell>
          <cell r="S1041" t="str">
            <v>PRM</v>
          </cell>
          <cell r="T1041" t="str">
            <v>ADM</v>
          </cell>
          <cell r="U1041" t="str">
            <v>-</v>
          </cell>
          <cell r="V1041" t="str">
            <v>P</v>
          </cell>
          <cell r="W1041">
            <v>31</v>
          </cell>
        </row>
        <row r="1042">
          <cell r="A1042">
            <v>6358</v>
          </cell>
          <cell r="B1042" t="str">
            <v>006358</v>
          </cell>
          <cell r="C1042" t="str">
            <v>ANI MAGHFIROH</v>
          </cell>
          <cell r="D1042" t="str">
            <v>SAMI</v>
          </cell>
          <cell r="E1042" t="str">
            <v>OPT-148</v>
          </cell>
          <cell r="F1042">
            <v>39279</v>
          </cell>
          <cell r="G1042" t="str">
            <v>-</v>
          </cell>
          <cell r="H1042" t="str">
            <v>-</v>
          </cell>
          <cell r="I1042" t="str">
            <v>PRD</v>
          </cell>
          <cell r="J1042" t="str">
            <v>FINAL ASSY</v>
          </cell>
          <cell r="K1042" t="str">
            <v>MAZDA ATENZA</v>
          </cell>
          <cell r="L1042" t="str">
            <v>MAZDA J72A</v>
          </cell>
          <cell r="M1042" t="str">
            <v>CV M03</v>
          </cell>
          <cell r="N1042" t="str">
            <v>BFT</v>
          </cell>
          <cell r="O1042" t="str">
            <v>ASSEMBLY</v>
          </cell>
          <cell r="P1042" t="str">
            <v>A</v>
          </cell>
          <cell r="Q1042" t="str">
            <v>DL</v>
          </cell>
          <cell r="R1042" t="str">
            <v>PERMANENT</v>
          </cell>
          <cell r="S1042" t="str">
            <v>PRM</v>
          </cell>
          <cell r="T1042" t="str">
            <v>OPT</v>
          </cell>
          <cell r="U1042" t="str">
            <v>-</v>
          </cell>
          <cell r="V1042" t="str">
            <v>P</v>
          </cell>
          <cell r="W1042">
            <v>40</v>
          </cell>
        </row>
        <row r="1043">
          <cell r="A1043">
            <v>8779</v>
          </cell>
          <cell r="B1043" t="str">
            <v>008779</v>
          </cell>
          <cell r="C1043" t="str">
            <v>MUJI ASIH</v>
          </cell>
          <cell r="D1043" t="str">
            <v>SAMI</v>
          </cell>
          <cell r="E1043" t="str">
            <v>OPT-194</v>
          </cell>
          <cell r="F1043">
            <v>39931</v>
          </cell>
          <cell r="G1043" t="str">
            <v>-</v>
          </cell>
          <cell r="H1043" t="str">
            <v>-</v>
          </cell>
          <cell r="I1043" t="str">
            <v>PRD</v>
          </cell>
          <cell r="J1043" t="str">
            <v>FINAL ASSY</v>
          </cell>
          <cell r="K1043" t="str">
            <v>MAZDA ATENZA</v>
          </cell>
          <cell r="L1043" t="str">
            <v>MAZDA J72A</v>
          </cell>
          <cell r="M1043" t="str">
            <v>CV M03</v>
          </cell>
          <cell r="N1043" t="str">
            <v>CAMERA FUSE &amp; INSPECT RELAY 2</v>
          </cell>
          <cell r="O1043" t="str">
            <v>VISUAL INSPECTION</v>
          </cell>
          <cell r="P1043" t="str">
            <v>A</v>
          </cell>
          <cell r="Q1043" t="str">
            <v>DL</v>
          </cell>
          <cell r="R1043" t="str">
            <v>PERMANENT</v>
          </cell>
          <cell r="S1043" t="str">
            <v>PRM</v>
          </cell>
          <cell r="T1043" t="str">
            <v>OPT</v>
          </cell>
          <cell r="U1043" t="str">
            <v>-</v>
          </cell>
          <cell r="V1043" t="str">
            <v>P</v>
          </cell>
          <cell r="W1043">
            <v>35</v>
          </cell>
        </row>
        <row r="1044">
          <cell r="A1044">
            <v>9455</v>
          </cell>
          <cell r="B1044" t="str">
            <v>009455</v>
          </cell>
          <cell r="C1044" t="str">
            <v>MUKHLIKHAH AL MAZDKUROH</v>
          </cell>
          <cell r="D1044" t="str">
            <v>SAMI</v>
          </cell>
          <cell r="E1044" t="str">
            <v>OPT-216</v>
          </cell>
          <cell r="F1044">
            <v>40148</v>
          </cell>
          <cell r="G1044" t="str">
            <v>-</v>
          </cell>
          <cell r="H1044" t="str">
            <v>-</v>
          </cell>
          <cell r="I1044" t="str">
            <v>PRD</v>
          </cell>
          <cell r="J1044" t="str">
            <v>FINAL ASSY</v>
          </cell>
          <cell r="K1044" t="str">
            <v>MAZDA ATENZA</v>
          </cell>
          <cell r="L1044" t="str">
            <v>MAZDA J72A</v>
          </cell>
          <cell r="M1044" t="str">
            <v>CV M03</v>
          </cell>
          <cell r="N1044" t="str">
            <v>VISUAL 1.2</v>
          </cell>
          <cell r="O1044" t="str">
            <v>VISUAL INSPECTION</v>
          </cell>
          <cell r="P1044" t="str">
            <v>A</v>
          </cell>
          <cell r="Q1044" t="str">
            <v>DL</v>
          </cell>
          <cell r="R1044" t="str">
            <v>PERMANENT</v>
          </cell>
          <cell r="S1044" t="str">
            <v>PRM</v>
          </cell>
          <cell r="T1044" t="str">
            <v>OPT</v>
          </cell>
          <cell r="U1044" t="str">
            <v>-</v>
          </cell>
          <cell r="V1044" t="str">
            <v>P</v>
          </cell>
          <cell r="W1044">
            <v>33</v>
          </cell>
        </row>
        <row r="1045">
          <cell r="A1045">
            <v>11836</v>
          </cell>
          <cell r="B1045" t="str">
            <v>011836</v>
          </cell>
          <cell r="C1045" t="str">
            <v>SILFIYA ANI YULIANA</v>
          </cell>
          <cell r="D1045" t="str">
            <v>SAMI</v>
          </cell>
          <cell r="E1045" t="str">
            <v>OPT-309</v>
          </cell>
          <cell r="F1045">
            <v>40721</v>
          </cell>
          <cell r="G1045" t="str">
            <v>-</v>
          </cell>
          <cell r="H1045" t="str">
            <v>-</v>
          </cell>
          <cell r="I1045" t="str">
            <v>PRD</v>
          </cell>
          <cell r="J1045" t="str">
            <v>FINAL ASSY</v>
          </cell>
          <cell r="K1045" t="str">
            <v>HONDA NES</v>
          </cell>
          <cell r="L1045" t="str">
            <v>HONDA NES HEV PET ENGINE</v>
          </cell>
          <cell r="M1045" t="str">
            <v>CV H04</v>
          </cell>
          <cell r="N1045" t="str">
            <v>VISUAL 1.2</v>
          </cell>
          <cell r="O1045" t="str">
            <v>VISUAL INSPECTION</v>
          </cell>
          <cell r="P1045" t="str">
            <v>B</v>
          </cell>
          <cell r="Q1045" t="str">
            <v>DL</v>
          </cell>
          <cell r="R1045" t="str">
            <v>PERMANENT</v>
          </cell>
          <cell r="S1045" t="str">
            <v>PRM</v>
          </cell>
          <cell r="T1045" t="str">
            <v>OPT</v>
          </cell>
          <cell r="U1045" t="str">
            <v>-</v>
          </cell>
          <cell r="V1045" t="str">
            <v>P</v>
          </cell>
          <cell r="W1045">
            <v>31</v>
          </cell>
        </row>
        <row r="1046">
          <cell r="A1046">
            <v>11838</v>
          </cell>
          <cell r="B1046" t="str">
            <v>011838</v>
          </cell>
          <cell r="C1046" t="str">
            <v>SITI ANISAH</v>
          </cell>
          <cell r="D1046" t="str">
            <v>SAMI</v>
          </cell>
          <cell r="E1046" t="str">
            <v>OPT-309</v>
          </cell>
          <cell r="F1046">
            <v>40721</v>
          </cell>
          <cell r="G1046" t="str">
            <v>-</v>
          </cell>
          <cell r="H1046" t="str">
            <v>-</v>
          </cell>
          <cell r="I1046" t="str">
            <v>PRD</v>
          </cell>
          <cell r="J1046" t="str">
            <v>FINAL ASSY</v>
          </cell>
          <cell r="K1046" t="str">
            <v>HONDA BBP</v>
          </cell>
          <cell r="L1046" t="str">
            <v>HV HONDA 5JLA BBP</v>
          </cell>
          <cell r="M1046" t="str">
            <v>CV HV 04B</v>
          </cell>
          <cell r="N1046" t="str">
            <v>VISUAL 142, 173</v>
          </cell>
          <cell r="O1046" t="str">
            <v>VISUAL INSPECTION</v>
          </cell>
          <cell r="P1046" t="str">
            <v>B</v>
          </cell>
          <cell r="Q1046" t="str">
            <v>DL</v>
          </cell>
          <cell r="R1046" t="str">
            <v>PERMANENT</v>
          </cell>
          <cell r="S1046" t="str">
            <v>PRM</v>
          </cell>
          <cell r="T1046" t="str">
            <v>OPT</v>
          </cell>
          <cell r="U1046" t="str">
            <v>-</v>
          </cell>
          <cell r="V1046" t="str">
            <v>P</v>
          </cell>
          <cell r="W1046">
            <v>33</v>
          </cell>
        </row>
        <row r="1047">
          <cell r="A1047">
            <v>9591</v>
          </cell>
          <cell r="B1047" t="str">
            <v>009591</v>
          </cell>
          <cell r="C1047" t="str">
            <v>EFA YUNI SETIANI</v>
          </cell>
          <cell r="D1047" t="str">
            <v>SAMI</v>
          </cell>
          <cell r="E1047" t="str">
            <v>OPT-218</v>
          </cell>
          <cell r="F1047">
            <v>40179</v>
          </cell>
          <cell r="G1047" t="str">
            <v>-</v>
          </cell>
          <cell r="H1047" t="str">
            <v>-</v>
          </cell>
          <cell r="I1047" t="str">
            <v>PRD</v>
          </cell>
          <cell r="J1047" t="str">
            <v>FINAL ASSY</v>
          </cell>
          <cell r="K1047" t="str">
            <v>MAZDA ATENZA</v>
          </cell>
          <cell r="L1047" t="str">
            <v>MAZDA J72A</v>
          </cell>
          <cell r="M1047" t="str">
            <v>CV M03</v>
          </cell>
          <cell r="N1047" t="str">
            <v>OFFLINE CLIP 1</v>
          </cell>
          <cell r="O1047" t="str">
            <v>ASSEMBLY</v>
          </cell>
          <cell r="P1047" t="str">
            <v>A</v>
          </cell>
          <cell r="Q1047" t="str">
            <v>DL</v>
          </cell>
          <cell r="R1047" t="str">
            <v>PERMANENT</v>
          </cell>
          <cell r="S1047" t="str">
            <v>PRM</v>
          </cell>
          <cell r="T1047" t="str">
            <v>OPT</v>
          </cell>
          <cell r="U1047" t="str">
            <v>-</v>
          </cell>
          <cell r="V1047" t="str">
            <v>P</v>
          </cell>
          <cell r="W1047">
            <v>34</v>
          </cell>
        </row>
        <row r="1048">
          <cell r="A1048">
            <v>11845</v>
          </cell>
          <cell r="B1048" t="str">
            <v>011845</v>
          </cell>
          <cell r="C1048" t="str">
            <v>SITI ROHANIYAH</v>
          </cell>
          <cell r="D1048" t="str">
            <v>SAMI</v>
          </cell>
          <cell r="E1048" t="str">
            <v>OPT-309</v>
          </cell>
          <cell r="F1048">
            <v>40721</v>
          </cell>
          <cell r="G1048" t="str">
            <v>-</v>
          </cell>
          <cell r="H1048" t="str">
            <v>-</v>
          </cell>
          <cell r="I1048" t="str">
            <v>OTHERS</v>
          </cell>
          <cell r="J1048" t="str">
            <v>AT HOME</v>
          </cell>
          <cell r="K1048" t="str">
            <v>ALL</v>
          </cell>
          <cell r="L1048" t="str">
            <v>ALL</v>
          </cell>
          <cell r="M1048" t="str">
            <v>AT HOME</v>
          </cell>
          <cell r="N1048" t="str">
            <v>MP SAKIT</v>
          </cell>
          <cell r="O1048" t="str">
            <v>OTHERS IDL</v>
          </cell>
          <cell r="P1048" t="str">
            <v>-</v>
          </cell>
          <cell r="Q1048" t="str">
            <v>ADM</v>
          </cell>
          <cell r="R1048" t="str">
            <v>PERMANENT</v>
          </cell>
          <cell r="S1048" t="str">
            <v>PRM</v>
          </cell>
          <cell r="T1048" t="str">
            <v>OPT</v>
          </cell>
          <cell r="U1048" t="str">
            <v>-</v>
          </cell>
          <cell r="V1048" t="str">
            <v>P</v>
          </cell>
          <cell r="W1048">
            <v>31</v>
          </cell>
        </row>
        <row r="1049">
          <cell r="A1049">
            <v>11854</v>
          </cell>
          <cell r="B1049" t="str">
            <v>011854</v>
          </cell>
          <cell r="C1049" t="str">
            <v>SUNDARI</v>
          </cell>
          <cell r="D1049" t="str">
            <v>SAMI</v>
          </cell>
          <cell r="E1049" t="str">
            <v>OPT-309</v>
          </cell>
          <cell r="F1049">
            <v>40721</v>
          </cell>
          <cell r="G1049" t="str">
            <v>-</v>
          </cell>
          <cell r="H1049" t="str">
            <v>-</v>
          </cell>
          <cell r="I1049" t="str">
            <v>QA</v>
          </cell>
          <cell r="J1049" t="str">
            <v>FINAL ASSY</v>
          </cell>
          <cell r="K1049" t="str">
            <v>TOYOTA</v>
          </cell>
          <cell r="L1049" t="str">
            <v>AQUA SIENTA</v>
          </cell>
          <cell r="M1049" t="str">
            <v>CV T02</v>
          </cell>
          <cell r="N1049" t="str">
            <v>OJT DC</v>
          </cell>
          <cell r="O1049" t="str">
            <v>OTHERS</v>
          </cell>
          <cell r="P1049" t="str">
            <v>B</v>
          </cell>
          <cell r="Q1049" t="str">
            <v>PI</v>
          </cell>
          <cell r="R1049" t="str">
            <v>PERMANENT</v>
          </cell>
          <cell r="S1049" t="str">
            <v>PRM</v>
          </cell>
          <cell r="T1049" t="str">
            <v>OPT</v>
          </cell>
          <cell r="U1049" t="str">
            <v>-</v>
          </cell>
          <cell r="V1049" t="str">
            <v>P</v>
          </cell>
          <cell r="W1049">
            <v>32</v>
          </cell>
        </row>
        <row r="1050">
          <cell r="A1050">
            <v>9928</v>
          </cell>
          <cell r="B1050" t="str">
            <v>009928</v>
          </cell>
          <cell r="C1050" t="str">
            <v>ELEN NATANIA MANALU</v>
          </cell>
          <cell r="D1050" t="str">
            <v>SAMI</v>
          </cell>
          <cell r="E1050" t="str">
            <v>OPT-246</v>
          </cell>
          <cell r="F1050">
            <v>40431</v>
          </cell>
          <cell r="G1050" t="str">
            <v>-</v>
          </cell>
          <cell r="H1050" t="str">
            <v>-</v>
          </cell>
          <cell r="I1050" t="str">
            <v>PRD</v>
          </cell>
          <cell r="J1050" t="str">
            <v>FINAL ASSY</v>
          </cell>
          <cell r="K1050" t="str">
            <v>MAZDA ATENZA</v>
          </cell>
          <cell r="L1050" t="str">
            <v>MAZDA J72A</v>
          </cell>
          <cell r="M1050" t="str">
            <v>CV M03</v>
          </cell>
          <cell r="N1050" t="str">
            <v>INSERTION GROUP</v>
          </cell>
          <cell r="O1050" t="str">
            <v>SUB ASSY</v>
          </cell>
          <cell r="P1050" t="str">
            <v>A (NS)</v>
          </cell>
          <cell r="Q1050" t="str">
            <v>DL</v>
          </cell>
          <cell r="R1050" t="str">
            <v>PERMANENT</v>
          </cell>
          <cell r="S1050" t="str">
            <v>PRM</v>
          </cell>
          <cell r="T1050" t="str">
            <v>OPT</v>
          </cell>
          <cell r="U1050" t="str">
            <v>-</v>
          </cell>
          <cell r="V1050" t="str">
            <v>P</v>
          </cell>
          <cell r="W1050">
            <v>33</v>
          </cell>
        </row>
        <row r="1051">
          <cell r="A1051">
            <v>11863</v>
          </cell>
          <cell r="B1051" t="str">
            <v>011863</v>
          </cell>
          <cell r="C1051" t="str">
            <v>UMI LAELIYAH</v>
          </cell>
          <cell r="D1051" t="str">
            <v>SAMI</v>
          </cell>
          <cell r="E1051" t="str">
            <v>OPT-309</v>
          </cell>
          <cell r="F1051">
            <v>40721</v>
          </cell>
          <cell r="G1051" t="str">
            <v>-</v>
          </cell>
          <cell r="H1051" t="str">
            <v>-</v>
          </cell>
          <cell r="I1051" t="str">
            <v>PP</v>
          </cell>
          <cell r="J1051" t="str">
            <v>PP-3</v>
          </cell>
          <cell r="K1051" t="str">
            <v>ALL</v>
          </cell>
          <cell r="L1051" t="str">
            <v>ALL</v>
          </cell>
          <cell r="M1051" t="str">
            <v>PP-3</v>
          </cell>
          <cell r="N1051" t="str">
            <v>ANALISYS</v>
          </cell>
          <cell r="O1051" t="str">
            <v>PROCESS ENG</v>
          </cell>
          <cell r="P1051" t="str">
            <v>A (NS)</v>
          </cell>
          <cell r="Q1051" t="str">
            <v>PS</v>
          </cell>
          <cell r="R1051" t="str">
            <v>PERMANENT</v>
          </cell>
          <cell r="S1051" t="str">
            <v>PRM</v>
          </cell>
          <cell r="T1051" t="str">
            <v>OPT</v>
          </cell>
          <cell r="U1051" t="str">
            <v>-</v>
          </cell>
          <cell r="V1051" t="str">
            <v>P</v>
          </cell>
          <cell r="W1051">
            <v>32</v>
          </cell>
        </row>
        <row r="1052">
          <cell r="A1052">
            <v>10128</v>
          </cell>
          <cell r="B1052" t="str">
            <v>010128</v>
          </cell>
          <cell r="C1052" t="str">
            <v>TURNINGSIH</v>
          </cell>
          <cell r="D1052" t="str">
            <v>SAMI</v>
          </cell>
          <cell r="E1052" t="str">
            <v>OPT-248</v>
          </cell>
          <cell r="F1052">
            <v>40444</v>
          </cell>
          <cell r="G1052" t="str">
            <v>-</v>
          </cell>
          <cell r="H1052" t="str">
            <v>-</v>
          </cell>
          <cell r="I1052" t="str">
            <v>PRD</v>
          </cell>
          <cell r="J1052" t="str">
            <v>FINAL ASSY</v>
          </cell>
          <cell r="K1052" t="str">
            <v>MAZDA ATENZA</v>
          </cell>
          <cell r="L1052" t="str">
            <v>MAZDA J72A</v>
          </cell>
          <cell r="M1052" t="str">
            <v>CV M03</v>
          </cell>
          <cell r="N1052" t="str">
            <v>VISUAL 2.2</v>
          </cell>
          <cell r="O1052" t="str">
            <v>VISUAL INSPECTION</v>
          </cell>
          <cell r="P1052" t="str">
            <v>A</v>
          </cell>
          <cell r="Q1052" t="str">
            <v>DL</v>
          </cell>
          <cell r="R1052" t="str">
            <v>PERMANENT</v>
          </cell>
          <cell r="S1052" t="str">
            <v>PRM</v>
          </cell>
          <cell r="T1052" t="str">
            <v>OPT</v>
          </cell>
          <cell r="U1052" t="str">
            <v>-</v>
          </cell>
          <cell r="V1052" t="str">
            <v>P</v>
          </cell>
          <cell r="W1052">
            <v>35</v>
          </cell>
        </row>
        <row r="1053">
          <cell r="A1053">
            <v>10203</v>
          </cell>
          <cell r="B1053" t="str">
            <v>010203</v>
          </cell>
          <cell r="C1053" t="str">
            <v>SITI NUR HIDAYAH</v>
          </cell>
          <cell r="D1053" t="str">
            <v>SAMI</v>
          </cell>
          <cell r="E1053" t="str">
            <v>OPT-253</v>
          </cell>
          <cell r="F1053">
            <v>40458</v>
          </cell>
          <cell r="G1053" t="str">
            <v>-</v>
          </cell>
          <cell r="H1053" t="str">
            <v>-</v>
          </cell>
          <cell r="I1053" t="str">
            <v>PRD</v>
          </cell>
          <cell r="J1053" t="str">
            <v>FINAL ASSY</v>
          </cell>
          <cell r="K1053" t="str">
            <v>MAZDA ATENZA</v>
          </cell>
          <cell r="L1053" t="str">
            <v>MAZDA J72A</v>
          </cell>
          <cell r="M1053" t="str">
            <v>CV M03</v>
          </cell>
          <cell r="N1053" t="str">
            <v>VISUAL 2.1</v>
          </cell>
          <cell r="O1053" t="str">
            <v>VISUAL INSPECTION</v>
          </cell>
          <cell r="P1053" t="str">
            <v>A</v>
          </cell>
          <cell r="Q1053" t="str">
            <v>DL</v>
          </cell>
          <cell r="R1053" t="str">
            <v>PERMANENT</v>
          </cell>
          <cell r="S1053" t="str">
            <v>PRM</v>
          </cell>
          <cell r="T1053" t="str">
            <v>OPT</v>
          </cell>
          <cell r="U1053" t="str">
            <v>-</v>
          </cell>
          <cell r="V1053" t="str">
            <v>P</v>
          </cell>
          <cell r="W1053">
            <v>32</v>
          </cell>
        </row>
        <row r="1054">
          <cell r="A1054">
            <v>11894</v>
          </cell>
          <cell r="B1054" t="str">
            <v>011894</v>
          </cell>
          <cell r="C1054" t="str">
            <v>SOFIANA QOLBA</v>
          </cell>
          <cell r="D1054" t="str">
            <v>SAMI</v>
          </cell>
          <cell r="E1054" t="str">
            <v>OPT-310</v>
          </cell>
          <cell r="F1054">
            <v>40735</v>
          </cell>
          <cell r="G1054" t="str">
            <v>-</v>
          </cell>
          <cell r="H1054" t="str">
            <v>-</v>
          </cell>
          <cell r="I1054" t="str">
            <v>OTHERS</v>
          </cell>
          <cell r="J1054" t="str">
            <v>AT HOME</v>
          </cell>
          <cell r="K1054" t="str">
            <v>ALL</v>
          </cell>
          <cell r="L1054" t="str">
            <v>ALL</v>
          </cell>
          <cell r="M1054" t="str">
            <v>AT HOME</v>
          </cell>
          <cell r="N1054" t="str">
            <v>CUTI KELAHIRAN</v>
          </cell>
          <cell r="O1054" t="str">
            <v>OTHERS IDL</v>
          </cell>
          <cell r="P1054" t="str">
            <v>-</v>
          </cell>
          <cell r="Q1054" t="str">
            <v>ADM</v>
          </cell>
          <cell r="R1054" t="str">
            <v>PERMANENT</v>
          </cell>
          <cell r="S1054" t="str">
            <v>PRM</v>
          </cell>
          <cell r="T1054" t="str">
            <v>OPT</v>
          </cell>
          <cell r="U1054" t="str">
            <v>-</v>
          </cell>
          <cell r="V1054" t="str">
            <v>P</v>
          </cell>
          <cell r="W1054">
            <v>31</v>
          </cell>
        </row>
        <row r="1055">
          <cell r="A1055">
            <v>10229</v>
          </cell>
          <cell r="B1055" t="str">
            <v>010229</v>
          </cell>
          <cell r="C1055" t="str">
            <v>SITI SUBAEDAH</v>
          </cell>
          <cell r="D1055" t="str">
            <v>SAMI</v>
          </cell>
          <cell r="E1055" t="str">
            <v>OPT-259</v>
          </cell>
          <cell r="F1055">
            <v>40489</v>
          </cell>
          <cell r="G1055" t="str">
            <v>-</v>
          </cell>
          <cell r="H1055" t="str">
            <v>-</v>
          </cell>
          <cell r="I1055" t="str">
            <v>PRD</v>
          </cell>
          <cell r="J1055" t="str">
            <v>FINAL ASSY</v>
          </cell>
          <cell r="K1055" t="str">
            <v>MAZDA ATENZA</v>
          </cell>
          <cell r="L1055" t="str">
            <v>MAZDA J72A</v>
          </cell>
          <cell r="M1055" t="str">
            <v>CV M03</v>
          </cell>
          <cell r="N1055" t="str">
            <v>INSERTION GROUP</v>
          </cell>
          <cell r="O1055" t="str">
            <v>SUB ASSY</v>
          </cell>
          <cell r="P1055" t="str">
            <v>A (NS)</v>
          </cell>
          <cell r="Q1055" t="str">
            <v>DL</v>
          </cell>
          <cell r="R1055" t="str">
            <v>PERMANENT</v>
          </cell>
          <cell r="S1055" t="str">
            <v>PRM</v>
          </cell>
          <cell r="T1055" t="str">
            <v>OPT</v>
          </cell>
          <cell r="U1055" t="str">
            <v>-</v>
          </cell>
          <cell r="V1055" t="str">
            <v>P</v>
          </cell>
          <cell r="W1055">
            <v>33</v>
          </cell>
        </row>
        <row r="1056">
          <cell r="A1056">
            <v>11903</v>
          </cell>
          <cell r="B1056" t="str">
            <v>011903</v>
          </cell>
          <cell r="C1056" t="str">
            <v>USWATUN KHASANAH</v>
          </cell>
          <cell r="D1056" t="str">
            <v>SAMI</v>
          </cell>
          <cell r="E1056" t="str">
            <v>OPT-310</v>
          </cell>
          <cell r="F1056">
            <v>40735</v>
          </cell>
          <cell r="G1056" t="str">
            <v>-</v>
          </cell>
          <cell r="H1056" t="str">
            <v>-</v>
          </cell>
          <cell r="I1056" t="str">
            <v>PRD</v>
          </cell>
          <cell r="J1056" t="str">
            <v>FINAL ASSY</v>
          </cell>
          <cell r="K1056" t="str">
            <v>MAZDA ATENZA</v>
          </cell>
          <cell r="L1056" t="str">
            <v>MAZDA J72A</v>
          </cell>
          <cell r="M1056" t="str">
            <v>CV M03</v>
          </cell>
          <cell r="N1056" t="str">
            <v>VISUAL 2.1</v>
          </cell>
          <cell r="O1056" t="str">
            <v>VISUAL INSPECTION</v>
          </cell>
          <cell r="P1056" t="str">
            <v>B</v>
          </cell>
          <cell r="Q1056" t="str">
            <v>DL</v>
          </cell>
          <cell r="R1056" t="str">
            <v>PERMANENT</v>
          </cell>
          <cell r="S1056" t="str">
            <v>PRM</v>
          </cell>
          <cell r="T1056" t="str">
            <v>OPT</v>
          </cell>
          <cell r="U1056" t="str">
            <v>-</v>
          </cell>
          <cell r="V1056" t="str">
            <v>P</v>
          </cell>
          <cell r="W1056">
            <v>32</v>
          </cell>
        </row>
        <row r="1057">
          <cell r="A1057">
            <v>10536</v>
          </cell>
          <cell r="B1057" t="str">
            <v>010536</v>
          </cell>
          <cell r="C1057" t="str">
            <v>VIKRIANA</v>
          </cell>
          <cell r="D1057" t="str">
            <v>SAMI</v>
          </cell>
          <cell r="E1057" t="str">
            <v>OPT-273</v>
          </cell>
          <cell r="F1057">
            <v>40535</v>
          </cell>
          <cell r="G1057" t="str">
            <v>-</v>
          </cell>
          <cell r="H1057" t="str">
            <v>-</v>
          </cell>
          <cell r="I1057" t="str">
            <v>PRD</v>
          </cell>
          <cell r="J1057" t="str">
            <v>FINAL ASSY</v>
          </cell>
          <cell r="K1057" t="str">
            <v>MAZDA ATENZA</v>
          </cell>
          <cell r="L1057" t="str">
            <v>MAZDA J72A</v>
          </cell>
          <cell r="M1057" t="str">
            <v>CV M03</v>
          </cell>
          <cell r="N1057" t="str">
            <v>S/T 2.1</v>
          </cell>
          <cell r="O1057" t="str">
            <v>ASSEMBLY</v>
          </cell>
          <cell r="P1057" t="str">
            <v>A</v>
          </cell>
          <cell r="Q1057" t="str">
            <v>DL</v>
          </cell>
          <cell r="R1057" t="str">
            <v>PERMANENT</v>
          </cell>
          <cell r="S1057" t="str">
            <v>PRM</v>
          </cell>
          <cell r="T1057" t="str">
            <v>OPT</v>
          </cell>
          <cell r="U1057" t="str">
            <v>-</v>
          </cell>
          <cell r="V1057" t="str">
            <v>P</v>
          </cell>
          <cell r="W1057">
            <v>33</v>
          </cell>
        </row>
        <row r="1058">
          <cell r="A1058">
            <v>11912</v>
          </cell>
          <cell r="B1058" t="str">
            <v>011912</v>
          </cell>
          <cell r="C1058" t="str">
            <v>FATHARANI PUTRI QANITA</v>
          </cell>
          <cell r="D1058" t="str">
            <v>SAMI</v>
          </cell>
          <cell r="E1058" t="str">
            <v>ES-30</v>
          </cell>
          <cell r="F1058">
            <v>40763</v>
          </cell>
          <cell r="G1058" t="str">
            <v>-</v>
          </cell>
          <cell r="H1058" t="str">
            <v>-</v>
          </cell>
          <cell r="I1058" t="str">
            <v>PE</v>
          </cell>
          <cell r="J1058" t="str">
            <v>J/C BP</v>
          </cell>
          <cell r="K1058" t="str">
            <v>ALL</v>
          </cell>
          <cell r="L1058" t="str">
            <v>ALL</v>
          </cell>
          <cell r="M1058" t="str">
            <v>JCP</v>
          </cell>
          <cell r="N1058" t="str">
            <v>INTERPRETER DAN LL ADMINISTRASI</v>
          </cell>
          <cell r="O1058" t="str">
            <v>FPS LL</v>
          </cell>
          <cell r="P1058" t="str">
            <v>A (NS)</v>
          </cell>
          <cell r="Q1058" t="str">
            <v>PS</v>
          </cell>
          <cell r="R1058" t="str">
            <v>PERMANENT</v>
          </cell>
          <cell r="S1058" t="str">
            <v>PRM</v>
          </cell>
          <cell r="T1058" t="str">
            <v>INT</v>
          </cell>
          <cell r="U1058" t="str">
            <v>-</v>
          </cell>
          <cell r="V1058" t="str">
            <v>P</v>
          </cell>
          <cell r="W1058">
            <v>35</v>
          </cell>
        </row>
        <row r="1059">
          <cell r="A1059">
            <v>10585</v>
          </cell>
          <cell r="B1059" t="str">
            <v>010585</v>
          </cell>
          <cell r="C1059" t="str">
            <v>NINA RIA YUNITA</v>
          </cell>
          <cell r="D1059" t="str">
            <v>SAMI</v>
          </cell>
          <cell r="E1059" t="str">
            <v>OPT-276</v>
          </cell>
          <cell r="F1059">
            <v>40544</v>
          </cell>
          <cell r="G1059" t="str">
            <v>-</v>
          </cell>
          <cell r="H1059" t="str">
            <v>-</v>
          </cell>
          <cell r="I1059" t="str">
            <v>PRD</v>
          </cell>
          <cell r="J1059" t="str">
            <v>FINAL ASSY</v>
          </cell>
          <cell r="K1059" t="str">
            <v>MAZDA ATENZA</v>
          </cell>
          <cell r="L1059" t="str">
            <v>MAZDA J72A</v>
          </cell>
          <cell r="M1059" t="str">
            <v>CV M03</v>
          </cell>
          <cell r="N1059" t="str">
            <v>PRD LINE CHO</v>
          </cell>
          <cell r="O1059" t="str">
            <v>FPI LL</v>
          </cell>
          <cell r="P1059" t="str">
            <v>A</v>
          </cell>
          <cell r="Q1059" t="str">
            <v>PI</v>
          </cell>
          <cell r="R1059" t="str">
            <v>PERMANENT</v>
          </cell>
          <cell r="S1059" t="str">
            <v>PRM</v>
          </cell>
          <cell r="T1059" t="str">
            <v>LC</v>
          </cell>
          <cell r="U1059" t="str">
            <v>-</v>
          </cell>
          <cell r="V1059" t="str">
            <v>P</v>
          </cell>
          <cell r="W1059">
            <v>34</v>
          </cell>
        </row>
        <row r="1060">
          <cell r="A1060">
            <v>10949</v>
          </cell>
          <cell r="B1060" t="str">
            <v>010949</v>
          </cell>
          <cell r="C1060" t="str">
            <v>RINI KURNIASIH</v>
          </cell>
          <cell r="D1060" t="str">
            <v>SAMI</v>
          </cell>
          <cell r="E1060" t="str">
            <v>OPT-285</v>
          </cell>
          <cell r="F1060">
            <v>40578</v>
          </cell>
          <cell r="G1060" t="str">
            <v>-</v>
          </cell>
          <cell r="H1060" t="str">
            <v>-</v>
          </cell>
          <cell r="I1060" t="str">
            <v>PRD</v>
          </cell>
          <cell r="J1060" t="str">
            <v>FINAL ASSY</v>
          </cell>
          <cell r="K1060" t="str">
            <v>MAZDA ATENZA</v>
          </cell>
          <cell r="L1060" t="str">
            <v>MAZDA J72A</v>
          </cell>
          <cell r="M1060" t="str">
            <v>CV M03</v>
          </cell>
          <cell r="N1060" t="str">
            <v>VISUAL 1.1</v>
          </cell>
          <cell r="O1060" t="str">
            <v>VISUAL INSPECTION</v>
          </cell>
          <cell r="P1060" t="str">
            <v>A</v>
          </cell>
          <cell r="Q1060" t="str">
            <v>DL</v>
          </cell>
          <cell r="R1060" t="str">
            <v>PERMANENT</v>
          </cell>
          <cell r="S1060" t="str">
            <v>PRM</v>
          </cell>
          <cell r="T1060" t="str">
            <v>OPT</v>
          </cell>
          <cell r="U1060" t="str">
            <v>-</v>
          </cell>
          <cell r="V1060" t="str">
            <v>P</v>
          </cell>
          <cell r="W1060">
            <v>36</v>
          </cell>
        </row>
        <row r="1061">
          <cell r="A1061">
            <v>11930</v>
          </cell>
          <cell r="B1061" t="str">
            <v>011930</v>
          </cell>
          <cell r="C1061" t="str">
            <v>ETY NUOR RICHA</v>
          </cell>
          <cell r="D1061" t="str">
            <v>SAMI</v>
          </cell>
          <cell r="E1061" t="str">
            <v>OPT-311</v>
          </cell>
          <cell r="F1061">
            <v>40770</v>
          </cell>
          <cell r="G1061" t="str">
            <v>-</v>
          </cell>
          <cell r="H1061" t="str">
            <v>-</v>
          </cell>
          <cell r="I1061" t="str">
            <v>PRD</v>
          </cell>
          <cell r="J1061" t="str">
            <v>FINAL ASSY</v>
          </cell>
          <cell r="K1061" t="str">
            <v>MAZDA ATENZA</v>
          </cell>
          <cell r="L1061" t="str">
            <v>MAZDA J72A</v>
          </cell>
          <cell r="M1061" t="str">
            <v>CV M03</v>
          </cell>
          <cell r="N1061" t="str">
            <v>RELIEF 2</v>
          </cell>
          <cell r="O1061" t="str">
            <v>RELIEF</v>
          </cell>
          <cell r="P1061" t="str">
            <v>B</v>
          </cell>
          <cell r="Q1061" t="str">
            <v>PI</v>
          </cell>
          <cell r="R1061" t="str">
            <v>PERMANENT</v>
          </cell>
          <cell r="S1061" t="str">
            <v>PRM</v>
          </cell>
          <cell r="T1061" t="str">
            <v>OPT</v>
          </cell>
          <cell r="U1061" t="str">
            <v>-</v>
          </cell>
          <cell r="V1061" t="str">
            <v>P</v>
          </cell>
          <cell r="W1061">
            <v>31</v>
          </cell>
        </row>
        <row r="1062">
          <cell r="A1062">
            <v>11219</v>
          </cell>
          <cell r="B1062" t="str">
            <v>011219</v>
          </cell>
          <cell r="C1062" t="str">
            <v>OKTAVIANA AMBARSARI</v>
          </cell>
          <cell r="D1062" t="str">
            <v>SAMI</v>
          </cell>
          <cell r="E1062" t="str">
            <v>OPT-293</v>
          </cell>
          <cell r="F1062">
            <v>40609</v>
          </cell>
          <cell r="G1062" t="str">
            <v>-</v>
          </cell>
          <cell r="H1062" t="str">
            <v>-</v>
          </cell>
          <cell r="I1062" t="str">
            <v>PRD</v>
          </cell>
          <cell r="J1062" t="str">
            <v>FINAL ASSY</v>
          </cell>
          <cell r="K1062" t="str">
            <v>MAZDA ATENZA</v>
          </cell>
          <cell r="L1062" t="str">
            <v>MAZDA J72A</v>
          </cell>
          <cell r="M1062" t="str">
            <v>CV M03</v>
          </cell>
          <cell r="N1062" t="str">
            <v>SUB LINE CHO</v>
          </cell>
          <cell r="O1062" t="str">
            <v>GL</v>
          </cell>
          <cell r="P1062" t="str">
            <v>A</v>
          </cell>
          <cell r="Q1062" t="str">
            <v>PI</v>
          </cell>
          <cell r="R1062" t="str">
            <v>PERMANENT</v>
          </cell>
          <cell r="S1062" t="str">
            <v>PRM</v>
          </cell>
          <cell r="T1062" t="str">
            <v>SLC</v>
          </cell>
          <cell r="U1062" t="str">
            <v>-</v>
          </cell>
          <cell r="V1062" t="str">
            <v>P</v>
          </cell>
          <cell r="W1062">
            <v>33</v>
          </cell>
        </row>
        <row r="1063">
          <cell r="A1063">
            <v>11222</v>
          </cell>
          <cell r="B1063" t="str">
            <v>011222</v>
          </cell>
          <cell r="C1063" t="str">
            <v>RIZKY RAHMA SARI</v>
          </cell>
          <cell r="D1063" t="str">
            <v>SAMI</v>
          </cell>
          <cell r="E1063" t="str">
            <v>OPT-293</v>
          </cell>
          <cell r="F1063">
            <v>40609</v>
          </cell>
          <cell r="G1063" t="str">
            <v>-</v>
          </cell>
          <cell r="H1063" t="str">
            <v>-</v>
          </cell>
          <cell r="I1063" t="str">
            <v>PRD</v>
          </cell>
          <cell r="J1063" t="str">
            <v>FINAL ASSY</v>
          </cell>
          <cell r="K1063" t="str">
            <v>MAZDA ATENZA</v>
          </cell>
          <cell r="L1063" t="str">
            <v>MAZDA J72A</v>
          </cell>
          <cell r="M1063" t="str">
            <v>CV M03</v>
          </cell>
          <cell r="N1063" t="str">
            <v>RELIEF 2</v>
          </cell>
          <cell r="O1063" t="str">
            <v>RELIEF</v>
          </cell>
          <cell r="P1063" t="str">
            <v>A</v>
          </cell>
          <cell r="Q1063" t="str">
            <v>PI</v>
          </cell>
          <cell r="R1063" t="str">
            <v>PERMANENT</v>
          </cell>
          <cell r="S1063" t="str">
            <v>PRM</v>
          </cell>
          <cell r="T1063" t="str">
            <v>OPT</v>
          </cell>
          <cell r="U1063" t="str">
            <v>-</v>
          </cell>
          <cell r="V1063" t="str">
            <v>P</v>
          </cell>
          <cell r="W1063">
            <v>33</v>
          </cell>
        </row>
        <row r="1064">
          <cell r="A1064">
            <v>11946</v>
          </cell>
          <cell r="B1064" t="str">
            <v>011946</v>
          </cell>
          <cell r="C1064" t="str">
            <v>NADHIFATUL MAULA</v>
          </cell>
          <cell r="D1064" t="str">
            <v>SAMI</v>
          </cell>
          <cell r="E1064" t="str">
            <v>OPT-311</v>
          </cell>
          <cell r="F1064">
            <v>40770</v>
          </cell>
          <cell r="G1064" t="str">
            <v>-</v>
          </cell>
          <cell r="H1064" t="str">
            <v>-</v>
          </cell>
          <cell r="I1064" t="str">
            <v>PRD</v>
          </cell>
          <cell r="J1064" t="str">
            <v>FINAL ASSY</v>
          </cell>
          <cell r="K1064" t="str">
            <v>HONDA NES</v>
          </cell>
          <cell r="L1064" t="str">
            <v>HONDA NES HEV PET ENGINE</v>
          </cell>
          <cell r="M1064" t="str">
            <v>CV H04</v>
          </cell>
          <cell r="N1064" t="str">
            <v>CHECKER 2</v>
          </cell>
          <cell r="O1064" t="str">
            <v>ELECTRICAL INSPECTION</v>
          </cell>
          <cell r="P1064" t="str">
            <v>B</v>
          </cell>
          <cell r="Q1064" t="str">
            <v>DL</v>
          </cell>
          <cell r="R1064" t="str">
            <v>PERMANENT</v>
          </cell>
          <cell r="S1064" t="str">
            <v>PRM</v>
          </cell>
          <cell r="T1064" t="str">
            <v>OPT</v>
          </cell>
          <cell r="U1064" t="str">
            <v>-</v>
          </cell>
          <cell r="V1064" t="str">
            <v>P</v>
          </cell>
          <cell r="W1064">
            <v>31</v>
          </cell>
        </row>
        <row r="1065">
          <cell r="A1065">
            <v>11947</v>
          </cell>
          <cell r="B1065" t="str">
            <v>011947</v>
          </cell>
          <cell r="C1065" t="str">
            <v>NEILIS SA'ADATUSSANIYAH</v>
          </cell>
          <cell r="D1065" t="str">
            <v>SAMI</v>
          </cell>
          <cell r="E1065" t="str">
            <v>OPT-311</v>
          </cell>
          <cell r="F1065">
            <v>40770</v>
          </cell>
          <cell r="G1065" t="str">
            <v>-</v>
          </cell>
          <cell r="H1065" t="str">
            <v>-</v>
          </cell>
          <cell r="I1065" t="str">
            <v>PRD</v>
          </cell>
          <cell r="J1065" t="str">
            <v>PRE ASSY</v>
          </cell>
          <cell r="K1065" t="str">
            <v>MAZDA ATENZA</v>
          </cell>
          <cell r="L1065" t="str">
            <v>MAZDA J72A</v>
          </cell>
          <cell r="M1065" t="str">
            <v>CPA MAZDA CX-5</v>
          </cell>
          <cell r="N1065" t="str">
            <v>CUTTING AC90-MZD-06</v>
          </cell>
          <cell r="O1065" t="str">
            <v>CUTTING WIRE</v>
          </cell>
          <cell r="P1065" t="str">
            <v>B</v>
          </cell>
          <cell r="Q1065" t="str">
            <v>DL</v>
          </cell>
          <cell r="R1065" t="str">
            <v>PERMANENT</v>
          </cell>
          <cell r="S1065" t="str">
            <v>PRM</v>
          </cell>
          <cell r="T1065" t="str">
            <v>OPT</v>
          </cell>
          <cell r="U1065" t="str">
            <v>-</v>
          </cell>
          <cell r="V1065" t="str">
            <v>P</v>
          </cell>
          <cell r="W1065">
            <v>32</v>
          </cell>
        </row>
        <row r="1066">
          <cell r="A1066">
            <v>11522</v>
          </cell>
          <cell r="B1066" t="str">
            <v>011522</v>
          </cell>
          <cell r="C1066" t="str">
            <v>ANISAH NURUL QOMARIYAH</v>
          </cell>
          <cell r="D1066" t="str">
            <v>SAMI</v>
          </cell>
          <cell r="E1066" t="str">
            <v>OPT-307</v>
          </cell>
          <cell r="F1066">
            <v>40707</v>
          </cell>
          <cell r="G1066" t="str">
            <v>-</v>
          </cell>
          <cell r="H1066" t="str">
            <v>-</v>
          </cell>
          <cell r="I1066" t="str">
            <v>PRD</v>
          </cell>
          <cell r="J1066" t="str">
            <v>FINAL ASSY</v>
          </cell>
          <cell r="K1066" t="str">
            <v>MAZDA ATENZA</v>
          </cell>
          <cell r="L1066" t="str">
            <v>MAZDA J72A</v>
          </cell>
          <cell r="M1066" t="str">
            <v>CV M03</v>
          </cell>
          <cell r="N1066" t="str">
            <v>VISUAL 2.3</v>
          </cell>
          <cell r="O1066" t="str">
            <v>VISUAL INSPECTION</v>
          </cell>
          <cell r="P1066" t="str">
            <v>A</v>
          </cell>
          <cell r="Q1066" t="str">
            <v>DL</v>
          </cell>
          <cell r="R1066" t="str">
            <v>PERMANENT</v>
          </cell>
          <cell r="S1066" t="str">
            <v>PRM</v>
          </cell>
          <cell r="T1066" t="str">
            <v>OPT</v>
          </cell>
          <cell r="U1066" t="str">
            <v>-</v>
          </cell>
          <cell r="V1066" t="str">
            <v>P</v>
          </cell>
          <cell r="W1066">
            <v>36</v>
          </cell>
        </row>
        <row r="1067">
          <cell r="A1067">
            <v>13106</v>
          </cell>
          <cell r="B1067" t="str">
            <v>013106</v>
          </cell>
          <cell r="C1067" t="str">
            <v>SITI ROHMAWATI</v>
          </cell>
          <cell r="D1067" t="str">
            <v>SAMI</v>
          </cell>
          <cell r="E1067" t="str">
            <v>OPT-327</v>
          </cell>
          <cell r="F1067">
            <v>40861</v>
          </cell>
          <cell r="G1067" t="str">
            <v>-</v>
          </cell>
          <cell r="H1067" t="str">
            <v>-</v>
          </cell>
          <cell r="I1067" t="str">
            <v>PRD</v>
          </cell>
          <cell r="J1067" t="str">
            <v>FINAL ASSY</v>
          </cell>
          <cell r="K1067" t="str">
            <v>MAZDA ATENZA</v>
          </cell>
          <cell r="L1067" t="str">
            <v>MAZDA J72A</v>
          </cell>
          <cell r="M1067" t="str">
            <v>CV M03</v>
          </cell>
          <cell r="N1067" t="str">
            <v>INSERT RELAY</v>
          </cell>
          <cell r="O1067" t="str">
            <v>SUB ASSY</v>
          </cell>
          <cell r="P1067" t="str">
            <v>A</v>
          </cell>
          <cell r="Q1067" t="str">
            <v>DL</v>
          </cell>
          <cell r="R1067" t="str">
            <v>PERMANENT</v>
          </cell>
          <cell r="S1067" t="str">
            <v>PRM</v>
          </cell>
          <cell r="T1067" t="str">
            <v>OPT</v>
          </cell>
          <cell r="U1067" t="str">
            <v>-</v>
          </cell>
          <cell r="V1067" t="str">
            <v>P</v>
          </cell>
          <cell r="W1067">
            <v>33</v>
          </cell>
        </row>
        <row r="1068">
          <cell r="A1068">
            <v>19607</v>
          </cell>
          <cell r="B1068" t="str">
            <v>019607</v>
          </cell>
          <cell r="C1068" t="str">
            <v>YASIR EFENDI</v>
          </cell>
          <cell r="D1068" t="str">
            <v>SAMI</v>
          </cell>
          <cell r="E1068" t="str">
            <v>OPT-489</v>
          </cell>
          <cell r="F1068">
            <v>42472</v>
          </cell>
          <cell r="G1068" t="str">
            <v>-</v>
          </cell>
          <cell r="H1068" t="str">
            <v>-</v>
          </cell>
          <cell r="I1068" t="str">
            <v>PRD</v>
          </cell>
          <cell r="J1068" t="str">
            <v>FINAL ASSY</v>
          </cell>
          <cell r="K1068" t="str">
            <v>MAZDA ATENZA</v>
          </cell>
          <cell r="L1068" t="str">
            <v>MAZDA J72A</v>
          </cell>
          <cell r="M1068" t="str">
            <v>CV M03</v>
          </cell>
          <cell r="N1068" t="str">
            <v>SHIAGE 2</v>
          </cell>
          <cell r="O1068" t="str">
            <v>ASSEMBLY</v>
          </cell>
          <cell r="P1068" t="str">
            <v>A</v>
          </cell>
          <cell r="Q1068" t="str">
            <v>DL</v>
          </cell>
          <cell r="R1068" t="str">
            <v>PERMANENT</v>
          </cell>
          <cell r="S1068" t="str">
            <v>PRM</v>
          </cell>
          <cell r="T1068" t="str">
            <v>OPT</v>
          </cell>
          <cell r="U1068" t="str">
            <v>-</v>
          </cell>
          <cell r="V1068" t="str">
            <v>L</v>
          </cell>
          <cell r="W1068">
            <v>28</v>
          </cell>
        </row>
        <row r="1069">
          <cell r="A1069">
            <v>11976</v>
          </cell>
          <cell r="B1069" t="str">
            <v>011976</v>
          </cell>
          <cell r="C1069" t="str">
            <v>ARIN RISMA SARI</v>
          </cell>
          <cell r="D1069" t="str">
            <v>SAMI</v>
          </cell>
          <cell r="E1069" t="str">
            <v>OPT-312</v>
          </cell>
          <cell r="F1069">
            <v>40777</v>
          </cell>
          <cell r="G1069" t="str">
            <v>-</v>
          </cell>
          <cell r="H1069" t="str">
            <v>-</v>
          </cell>
          <cell r="I1069" t="str">
            <v>PRD</v>
          </cell>
          <cell r="J1069" t="str">
            <v>PRE ASSY</v>
          </cell>
          <cell r="K1069" t="str">
            <v>HONDA FIT</v>
          </cell>
          <cell r="L1069" t="str">
            <v>HONDA FIT</v>
          </cell>
          <cell r="M1069" t="str">
            <v>CPA HONDA FIT HEV/PET</v>
          </cell>
          <cell r="N1069" t="str">
            <v>INSP SILICON</v>
          </cell>
          <cell r="O1069" t="str">
            <v>P/A INSPECTOR</v>
          </cell>
          <cell r="P1069" t="str">
            <v>B</v>
          </cell>
          <cell r="Q1069" t="str">
            <v>PI</v>
          </cell>
          <cell r="R1069" t="str">
            <v>PERMANENT</v>
          </cell>
          <cell r="S1069" t="str">
            <v>PRM</v>
          </cell>
          <cell r="T1069" t="str">
            <v>OPT</v>
          </cell>
          <cell r="U1069" t="str">
            <v>-</v>
          </cell>
          <cell r="V1069" t="str">
            <v>P</v>
          </cell>
          <cell r="W1069">
            <v>31</v>
          </cell>
        </row>
        <row r="1070">
          <cell r="A1070">
            <v>11984</v>
          </cell>
          <cell r="B1070" t="str">
            <v>011984</v>
          </cell>
          <cell r="C1070" t="str">
            <v>DYAH SUSILOWATI</v>
          </cell>
          <cell r="D1070" t="str">
            <v>SAMI</v>
          </cell>
          <cell r="E1070" t="str">
            <v>OPT-312</v>
          </cell>
          <cell r="F1070">
            <v>40777</v>
          </cell>
          <cell r="G1070" t="str">
            <v>-</v>
          </cell>
          <cell r="H1070" t="str">
            <v>-</v>
          </cell>
          <cell r="I1070" t="str">
            <v>QA</v>
          </cell>
          <cell r="J1070" t="str">
            <v>FINAL ASSY</v>
          </cell>
          <cell r="K1070" t="str">
            <v>TOYOTA</v>
          </cell>
          <cell r="L1070" t="str">
            <v>AQUA SIENTA</v>
          </cell>
          <cell r="M1070" t="str">
            <v>CV T01</v>
          </cell>
          <cell r="N1070" t="str">
            <v>OJT DC</v>
          </cell>
          <cell r="O1070" t="str">
            <v>OTHERS</v>
          </cell>
          <cell r="P1070" t="str">
            <v>B</v>
          </cell>
          <cell r="Q1070" t="str">
            <v>PI</v>
          </cell>
          <cell r="R1070" t="str">
            <v>PERMANENT</v>
          </cell>
          <cell r="S1070" t="str">
            <v>PRM</v>
          </cell>
          <cell r="T1070" t="str">
            <v>OPT</v>
          </cell>
          <cell r="U1070" t="str">
            <v>-</v>
          </cell>
          <cell r="V1070" t="str">
            <v>P</v>
          </cell>
          <cell r="W1070">
            <v>31</v>
          </cell>
        </row>
        <row r="1071">
          <cell r="A1071">
            <v>19866</v>
          </cell>
          <cell r="B1071" t="str">
            <v>019866</v>
          </cell>
          <cell r="C1071" t="str">
            <v>ARI EGASAPUTRA</v>
          </cell>
          <cell r="D1071" t="str">
            <v>SAMI</v>
          </cell>
          <cell r="E1071" t="str">
            <v>OPT-493</v>
          </cell>
          <cell r="F1071">
            <v>42506</v>
          </cell>
          <cell r="G1071" t="str">
            <v>-</v>
          </cell>
          <cell r="H1071" t="str">
            <v>-</v>
          </cell>
          <cell r="I1071" t="str">
            <v>PRD</v>
          </cell>
          <cell r="J1071" t="str">
            <v>FINAL ASSY</v>
          </cell>
          <cell r="K1071" t="str">
            <v>MAZDA ATENZA</v>
          </cell>
          <cell r="L1071" t="str">
            <v>MAZDA J72A</v>
          </cell>
          <cell r="M1071" t="str">
            <v>CV M03</v>
          </cell>
          <cell r="N1071" t="str">
            <v>CHECKER 2</v>
          </cell>
          <cell r="O1071" t="str">
            <v>ELECTRICAL INSPECTION</v>
          </cell>
          <cell r="P1071" t="str">
            <v>A</v>
          </cell>
          <cell r="Q1071" t="str">
            <v>DL</v>
          </cell>
          <cell r="R1071" t="str">
            <v>PERMANENT</v>
          </cell>
          <cell r="S1071" t="str">
            <v>PRM</v>
          </cell>
          <cell r="T1071" t="str">
            <v>OPT</v>
          </cell>
          <cell r="U1071" t="str">
            <v>-</v>
          </cell>
          <cell r="V1071" t="str">
            <v>L</v>
          </cell>
          <cell r="W1071">
            <v>32</v>
          </cell>
        </row>
        <row r="1072">
          <cell r="A1072">
            <v>12026</v>
          </cell>
          <cell r="B1072" t="str">
            <v>012026</v>
          </cell>
          <cell r="C1072" t="str">
            <v>BAMBANG DILTA YULIANTO</v>
          </cell>
          <cell r="D1072" t="str">
            <v>SAMI</v>
          </cell>
          <cell r="E1072" t="str">
            <v>TKN-55</v>
          </cell>
          <cell r="F1072">
            <v>40777</v>
          </cell>
          <cell r="G1072" t="str">
            <v>-</v>
          </cell>
          <cell r="H1072" t="str">
            <v>-</v>
          </cell>
          <cell r="I1072" t="str">
            <v>PE</v>
          </cell>
          <cell r="J1072" t="str">
            <v>MTC</v>
          </cell>
          <cell r="K1072" t="str">
            <v>ALL</v>
          </cell>
          <cell r="L1072" t="str">
            <v>ALL</v>
          </cell>
          <cell r="M1072" t="str">
            <v>BREAKDOWN</v>
          </cell>
          <cell r="N1072" t="str">
            <v>BREAKDOWN</v>
          </cell>
          <cell r="O1072" t="str">
            <v>MTC</v>
          </cell>
          <cell r="P1072" t="str">
            <v>B</v>
          </cell>
          <cell r="Q1072" t="str">
            <v>PI</v>
          </cell>
          <cell r="R1072" t="str">
            <v>PERMANENT</v>
          </cell>
          <cell r="S1072" t="str">
            <v>PRM</v>
          </cell>
          <cell r="T1072" t="str">
            <v>TKN</v>
          </cell>
          <cell r="U1072" t="str">
            <v>-</v>
          </cell>
          <cell r="V1072" t="str">
            <v>L</v>
          </cell>
          <cell r="W1072">
            <v>39</v>
          </cell>
        </row>
        <row r="1073">
          <cell r="A1073">
            <v>12027</v>
          </cell>
          <cell r="B1073" t="str">
            <v>012027</v>
          </cell>
          <cell r="C1073" t="str">
            <v>AGIL ZHEGA PRASETYA</v>
          </cell>
          <cell r="D1073" t="str">
            <v>SAMI</v>
          </cell>
          <cell r="E1073" t="str">
            <v>SPV UP</v>
          </cell>
          <cell r="F1073">
            <v>40791</v>
          </cell>
          <cell r="G1073" t="str">
            <v>-</v>
          </cell>
          <cell r="H1073" t="str">
            <v>-</v>
          </cell>
          <cell r="I1073" t="str">
            <v>QA</v>
          </cell>
          <cell r="J1073" t="str">
            <v>NON LINE</v>
          </cell>
          <cell r="K1073" t="str">
            <v>ALL</v>
          </cell>
          <cell r="L1073" t="str">
            <v>ALL</v>
          </cell>
          <cell r="M1073" t="str">
            <v>SUPERVISOR</v>
          </cell>
          <cell r="N1073" t="str">
            <v>RCV, PPAP, ALAT UKUR , PREPARATION &amp; PROTO</v>
          </cell>
          <cell r="O1073" t="str">
            <v>FPS SPV</v>
          </cell>
          <cell r="P1073" t="str">
            <v>A (NS)</v>
          </cell>
          <cell r="Q1073" t="str">
            <v>PS</v>
          </cell>
          <cell r="R1073" t="str">
            <v>PERMANENT</v>
          </cell>
          <cell r="S1073" t="str">
            <v>PRM</v>
          </cell>
          <cell r="T1073" t="str">
            <v>SPV</v>
          </cell>
          <cell r="U1073" t="str">
            <v>-</v>
          </cell>
          <cell r="V1073" t="str">
            <v>L</v>
          </cell>
          <cell r="W1073">
            <v>37</v>
          </cell>
        </row>
        <row r="1074">
          <cell r="A1074">
            <v>12028</v>
          </cell>
          <cell r="B1074" t="str">
            <v>012028</v>
          </cell>
          <cell r="C1074" t="str">
            <v>ARDI RISDIANTO</v>
          </cell>
          <cell r="D1074" t="str">
            <v>SAMI</v>
          </cell>
          <cell r="E1074" t="str">
            <v>SPV UP</v>
          </cell>
          <cell r="F1074">
            <v>40791</v>
          </cell>
          <cell r="G1074" t="str">
            <v>-</v>
          </cell>
          <cell r="H1074" t="str">
            <v>-</v>
          </cell>
          <cell r="I1074" t="str">
            <v>PRD</v>
          </cell>
          <cell r="J1074" t="str">
            <v>FINAL ASSY</v>
          </cell>
          <cell r="K1074" t="str">
            <v>ALL</v>
          </cell>
          <cell r="L1074" t="str">
            <v>ALL</v>
          </cell>
          <cell r="M1074" t="str">
            <v>SUPERVISOR FA</v>
          </cell>
          <cell r="N1074" t="str">
            <v>MAZDA FA, HONDA CRV FA</v>
          </cell>
          <cell r="O1074" t="str">
            <v>FPI SPV</v>
          </cell>
          <cell r="P1074" t="str">
            <v>B</v>
          </cell>
          <cell r="Q1074" t="str">
            <v>PI</v>
          </cell>
          <cell r="R1074" t="str">
            <v>PERMANENT</v>
          </cell>
          <cell r="S1074" t="str">
            <v>PRM</v>
          </cell>
          <cell r="T1074" t="str">
            <v>SPV</v>
          </cell>
          <cell r="U1074" t="str">
            <v>-</v>
          </cell>
          <cell r="V1074" t="str">
            <v>L</v>
          </cell>
          <cell r="W1074">
            <v>37</v>
          </cell>
        </row>
        <row r="1075">
          <cell r="A1075">
            <v>12029</v>
          </cell>
          <cell r="B1075" t="str">
            <v>012029</v>
          </cell>
          <cell r="C1075" t="str">
            <v>HARIS NURIDHO</v>
          </cell>
          <cell r="D1075" t="str">
            <v>SAMI</v>
          </cell>
          <cell r="E1075" t="str">
            <v>SPV UP</v>
          </cell>
          <cell r="F1075">
            <v>40791</v>
          </cell>
          <cell r="G1075" t="str">
            <v>-</v>
          </cell>
          <cell r="H1075" t="str">
            <v>-</v>
          </cell>
          <cell r="I1075" t="str">
            <v>PE</v>
          </cell>
          <cell r="J1075" t="str">
            <v>J/C BP</v>
          </cell>
          <cell r="K1075" t="str">
            <v>ALL</v>
          </cell>
          <cell r="L1075" t="str">
            <v>ALL</v>
          </cell>
          <cell r="M1075" t="str">
            <v>JCP</v>
          </cell>
          <cell r="N1075" t="str">
            <v>SUPERVISOR</v>
          </cell>
          <cell r="O1075" t="str">
            <v>FPS SPV</v>
          </cell>
          <cell r="P1075" t="str">
            <v>A (NS)</v>
          </cell>
          <cell r="Q1075" t="str">
            <v>PS</v>
          </cell>
          <cell r="R1075" t="str">
            <v>PERMANENT</v>
          </cell>
          <cell r="S1075" t="str">
            <v>PRM</v>
          </cell>
          <cell r="T1075" t="str">
            <v>SPV</v>
          </cell>
          <cell r="U1075" t="str">
            <v>-</v>
          </cell>
          <cell r="V1075" t="str">
            <v>L</v>
          </cell>
          <cell r="W1075">
            <v>37</v>
          </cell>
        </row>
        <row r="1076">
          <cell r="A1076">
            <v>20699</v>
          </cell>
          <cell r="B1076" t="str">
            <v>020699</v>
          </cell>
          <cell r="C1076" t="str">
            <v>ARINA KHAQ</v>
          </cell>
          <cell r="D1076" t="str">
            <v>SAMI</v>
          </cell>
          <cell r="E1076" t="str">
            <v>OPT-506</v>
          </cell>
          <cell r="F1076">
            <v>42642</v>
          </cell>
          <cell r="G1076" t="str">
            <v>-</v>
          </cell>
          <cell r="H1076" t="str">
            <v>-</v>
          </cell>
          <cell r="I1076" t="str">
            <v>PRD</v>
          </cell>
          <cell r="J1076" t="str">
            <v>FINAL ASSY</v>
          </cell>
          <cell r="K1076" t="str">
            <v>MAZDA ATENZA</v>
          </cell>
          <cell r="L1076" t="str">
            <v>MAZDA J72A</v>
          </cell>
          <cell r="M1076" t="str">
            <v>CV M03</v>
          </cell>
          <cell r="N1076" t="str">
            <v>CHECKER 1</v>
          </cell>
          <cell r="O1076" t="str">
            <v>ELECTRICAL INSPECTION</v>
          </cell>
          <cell r="P1076" t="str">
            <v>A</v>
          </cell>
          <cell r="Q1076" t="str">
            <v>DL</v>
          </cell>
          <cell r="R1076" t="str">
            <v>PERMANENT</v>
          </cell>
          <cell r="S1076" t="str">
            <v>PRM</v>
          </cell>
          <cell r="T1076" t="str">
            <v>OPT</v>
          </cell>
          <cell r="U1076" t="str">
            <v>-</v>
          </cell>
          <cell r="V1076" t="str">
            <v>P</v>
          </cell>
          <cell r="W1076">
            <v>25</v>
          </cell>
        </row>
        <row r="1077">
          <cell r="A1077">
            <v>12040</v>
          </cell>
          <cell r="B1077" t="str">
            <v>012040</v>
          </cell>
          <cell r="C1077" t="str">
            <v>ATIK ROMADANI</v>
          </cell>
          <cell r="D1077" t="str">
            <v>SAMI</v>
          </cell>
          <cell r="E1077" t="str">
            <v>OPT-313</v>
          </cell>
          <cell r="F1077">
            <v>40792</v>
          </cell>
          <cell r="G1077" t="str">
            <v>-</v>
          </cell>
          <cell r="H1077" t="str">
            <v>-</v>
          </cell>
          <cell r="I1077" t="str">
            <v>PRD</v>
          </cell>
          <cell r="J1077" t="str">
            <v>FINAL ASSY</v>
          </cell>
          <cell r="K1077" t="str">
            <v>TOYOTA HV</v>
          </cell>
          <cell r="L1077" t="str">
            <v>HV TOYOTA 10PL</v>
          </cell>
          <cell r="M1077" t="str">
            <v>CV HV 14B</v>
          </cell>
          <cell r="N1077" t="str">
            <v>SUB LINE CHO</v>
          </cell>
          <cell r="O1077" t="str">
            <v>GL</v>
          </cell>
          <cell r="P1077" t="str">
            <v>B</v>
          </cell>
          <cell r="Q1077" t="str">
            <v>PI</v>
          </cell>
          <cell r="R1077" t="str">
            <v>PERMANENT</v>
          </cell>
          <cell r="S1077" t="str">
            <v>PRM</v>
          </cell>
          <cell r="T1077" t="str">
            <v>SLC</v>
          </cell>
          <cell r="U1077" t="str">
            <v>-</v>
          </cell>
          <cell r="V1077" t="str">
            <v>P</v>
          </cell>
          <cell r="W1077">
            <v>33</v>
          </cell>
        </row>
        <row r="1078">
          <cell r="A1078">
            <v>12044</v>
          </cell>
          <cell r="B1078" t="str">
            <v>012044</v>
          </cell>
          <cell r="C1078" t="str">
            <v>MAYA CAHYA NINGSIH</v>
          </cell>
          <cell r="D1078" t="str">
            <v>SAMI</v>
          </cell>
          <cell r="E1078" t="str">
            <v>OPT-313</v>
          </cell>
          <cell r="F1078">
            <v>40792</v>
          </cell>
          <cell r="G1078" t="str">
            <v>-</v>
          </cell>
          <cell r="H1078" t="str">
            <v>-</v>
          </cell>
          <cell r="I1078" t="str">
            <v>PRD</v>
          </cell>
          <cell r="J1078" t="str">
            <v>PRE ASSY</v>
          </cell>
          <cell r="K1078" t="str">
            <v>HONDA EXPORT</v>
          </cell>
          <cell r="L1078" t="str">
            <v>HONDA EXPORT</v>
          </cell>
          <cell r="M1078" t="str">
            <v>CPA HONDA EXPORT</v>
          </cell>
          <cell r="N1078" t="str">
            <v>INSPECT CUTTING</v>
          </cell>
          <cell r="O1078" t="str">
            <v>P/A INSPECTOR</v>
          </cell>
          <cell r="P1078" t="str">
            <v>B</v>
          </cell>
          <cell r="Q1078" t="str">
            <v>PI</v>
          </cell>
          <cell r="R1078" t="str">
            <v>PERMANENT</v>
          </cell>
          <cell r="S1078" t="str">
            <v>PRM</v>
          </cell>
          <cell r="T1078" t="str">
            <v>OPT</v>
          </cell>
          <cell r="U1078" t="str">
            <v>-</v>
          </cell>
          <cell r="V1078" t="str">
            <v>P</v>
          </cell>
          <cell r="W1078">
            <v>30</v>
          </cell>
        </row>
        <row r="1079">
          <cell r="A1079" t="str">
            <v>B00487</v>
          </cell>
          <cell r="B1079" t="str">
            <v>B00487</v>
          </cell>
          <cell r="C1079" t="str">
            <v>TOPAN SAPUTRO</v>
          </cell>
          <cell r="D1079" t="str">
            <v>SAMI</v>
          </cell>
          <cell r="E1079" t="str">
            <v>BBF-007</v>
          </cell>
          <cell r="F1079">
            <v>40868</v>
          </cell>
          <cell r="G1079" t="str">
            <v>-</v>
          </cell>
          <cell r="H1079" t="str">
            <v>-</v>
          </cell>
          <cell r="I1079" t="str">
            <v>PRD</v>
          </cell>
          <cell r="J1079" t="str">
            <v>FINAL ASSY</v>
          </cell>
          <cell r="K1079" t="str">
            <v>MAZDA ATENZA</v>
          </cell>
          <cell r="L1079" t="str">
            <v>MAZDA J72A</v>
          </cell>
          <cell r="M1079" t="str">
            <v>CV M03</v>
          </cell>
          <cell r="N1079" t="str">
            <v>LQC</v>
          </cell>
          <cell r="O1079" t="str">
            <v>RELIEF</v>
          </cell>
          <cell r="P1079" t="str">
            <v>A</v>
          </cell>
          <cell r="Q1079" t="str">
            <v>PI</v>
          </cell>
          <cell r="R1079" t="str">
            <v>PERMANENT</v>
          </cell>
          <cell r="S1079" t="str">
            <v>PRM</v>
          </cell>
          <cell r="T1079" t="str">
            <v>PJK</v>
          </cell>
          <cell r="U1079" t="str">
            <v>-</v>
          </cell>
          <cell r="V1079" t="str">
            <v>L</v>
          </cell>
          <cell r="W1079">
            <v>31</v>
          </cell>
        </row>
        <row r="1080">
          <cell r="A1080">
            <v>12073</v>
          </cell>
          <cell r="B1080" t="str">
            <v>012073</v>
          </cell>
          <cell r="C1080" t="str">
            <v>ASKONAH</v>
          </cell>
          <cell r="D1080" t="str">
            <v>SAMI</v>
          </cell>
          <cell r="E1080" t="str">
            <v>OPT-314</v>
          </cell>
          <cell r="F1080">
            <v>40798</v>
          </cell>
          <cell r="G1080" t="str">
            <v>-</v>
          </cell>
          <cell r="H1080" t="str">
            <v>-</v>
          </cell>
          <cell r="I1080" t="str">
            <v>PRD</v>
          </cell>
          <cell r="J1080" t="str">
            <v>PRE ASSY</v>
          </cell>
          <cell r="K1080" t="str">
            <v>HONDA NES</v>
          </cell>
          <cell r="L1080" t="str">
            <v>HONDA NES</v>
          </cell>
          <cell r="M1080" t="str">
            <v>CPA HONDA NES HEV/PET</v>
          </cell>
          <cell r="N1080" t="str">
            <v>BFT</v>
          </cell>
          <cell r="O1080" t="str">
            <v>WFAP 2.1</v>
          </cell>
          <cell r="P1080" t="str">
            <v>B</v>
          </cell>
          <cell r="Q1080" t="str">
            <v>DL</v>
          </cell>
          <cell r="R1080" t="str">
            <v>PERMANENT</v>
          </cell>
          <cell r="S1080" t="str">
            <v>PRM</v>
          </cell>
          <cell r="T1080" t="str">
            <v>OPT</v>
          </cell>
          <cell r="U1080" t="str">
            <v>-</v>
          </cell>
          <cell r="V1080" t="str">
            <v>P</v>
          </cell>
          <cell r="W1080">
            <v>35</v>
          </cell>
        </row>
        <row r="1081">
          <cell r="A1081">
            <v>79</v>
          </cell>
          <cell r="B1081" t="str">
            <v>000079</v>
          </cell>
          <cell r="C1081" t="str">
            <v>ARIL KHOMAH</v>
          </cell>
          <cell r="D1081" t="str">
            <v>SAMI</v>
          </cell>
          <cell r="E1081" t="str">
            <v>OPT-3</v>
          </cell>
          <cell r="F1081">
            <v>37627</v>
          </cell>
          <cell r="G1081" t="str">
            <v>-</v>
          </cell>
          <cell r="H1081" t="str">
            <v>-</v>
          </cell>
          <cell r="I1081" t="str">
            <v>PRD</v>
          </cell>
          <cell r="J1081" t="str">
            <v>FINAL ASSY</v>
          </cell>
          <cell r="K1081" t="str">
            <v>MAZDA ATENZA</v>
          </cell>
          <cell r="L1081" t="str">
            <v>MAZDA J71E IPM3</v>
          </cell>
          <cell r="M1081" t="str">
            <v>CV M04</v>
          </cell>
          <cell r="N1081" t="str">
            <v>PRD LINE CHO</v>
          </cell>
          <cell r="O1081" t="str">
            <v>FPI LL</v>
          </cell>
          <cell r="P1081" t="str">
            <v>A (NS)</v>
          </cell>
          <cell r="Q1081" t="str">
            <v>PI</v>
          </cell>
          <cell r="R1081" t="str">
            <v>PERMANENT</v>
          </cell>
          <cell r="S1081" t="str">
            <v>PRM</v>
          </cell>
          <cell r="T1081" t="str">
            <v>LC</v>
          </cell>
          <cell r="U1081" t="str">
            <v>-</v>
          </cell>
          <cell r="V1081" t="str">
            <v>P</v>
          </cell>
          <cell r="W1081">
            <v>41</v>
          </cell>
        </row>
        <row r="1082">
          <cell r="A1082">
            <v>9872</v>
          </cell>
          <cell r="B1082" t="str">
            <v>009872</v>
          </cell>
          <cell r="C1082" t="str">
            <v>SIFA'UL MUYASSAROH</v>
          </cell>
          <cell r="D1082" t="str">
            <v>SAMI</v>
          </cell>
          <cell r="E1082" t="str">
            <v>OPT-240</v>
          </cell>
          <cell r="F1082">
            <v>40411</v>
          </cell>
          <cell r="G1082" t="str">
            <v>-</v>
          </cell>
          <cell r="H1082" t="str">
            <v>-</v>
          </cell>
          <cell r="I1082" t="str">
            <v>PRD</v>
          </cell>
          <cell r="J1082" t="str">
            <v>FINAL ASSY</v>
          </cell>
          <cell r="K1082" t="str">
            <v>MAZDA ATENZA</v>
          </cell>
          <cell r="L1082" t="str">
            <v>MAZDA J71E IPM3</v>
          </cell>
          <cell r="M1082" t="str">
            <v>CV M04</v>
          </cell>
          <cell r="N1082" t="str">
            <v>VISUAL 1</v>
          </cell>
          <cell r="O1082" t="str">
            <v>VISUAL INSPECTION</v>
          </cell>
          <cell r="P1082" t="str">
            <v>A (NS)</v>
          </cell>
          <cell r="Q1082" t="str">
            <v>DL</v>
          </cell>
          <cell r="R1082" t="str">
            <v>PERMANENT</v>
          </cell>
          <cell r="S1082" t="str">
            <v>PRM</v>
          </cell>
          <cell r="T1082" t="str">
            <v>OPT</v>
          </cell>
          <cell r="U1082" t="str">
            <v>-</v>
          </cell>
          <cell r="V1082" t="str">
            <v>P</v>
          </cell>
          <cell r="W1082">
            <v>33</v>
          </cell>
        </row>
        <row r="1083">
          <cell r="A1083">
            <v>9926</v>
          </cell>
          <cell r="B1083" t="str">
            <v>009926</v>
          </cell>
          <cell r="C1083" t="str">
            <v>DWI SULISTYOWATI</v>
          </cell>
          <cell r="D1083" t="str">
            <v>SAMI</v>
          </cell>
          <cell r="E1083" t="str">
            <v>OPT-246</v>
          </cell>
          <cell r="F1083">
            <v>40431</v>
          </cell>
          <cell r="G1083" t="str">
            <v>-</v>
          </cell>
          <cell r="H1083" t="str">
            <v>-</v>
          </cell>
          <cell r="I1083" t="str">
            <v>PRD</v>
          </cell>
          <cell r="J1083" t="str">
            <v>FINAL ASSY</v>
          </cell>
          <cell r="K1083" t="str">
            <v>MAZDA ATENZA</v>
          </cell>
          <cell r="L1083" t="str">
            <v>MAZDA J71E IPM3</v>
          </cell>
          <cell r="M1083" t="str">
            <v>CV M04</v>
          </cell>
          <cell r="N1083" t="str">
            <v>VISUAL 2</v>
          </cell>
          <cell r="O1083" t="str">
            <v>VISUAL INSPECTION</v>
          </cell>
          <cell r="P1083" t="str">
            <v>A (NS)</v>
          </cell>
          <cell r="Q1083" t="str">
            <v>DL</v>
          </cell>
          <cell r="R1083" t="str">
            <v>PERMANENT</v>
          </cell>
          <cell r="S1083" t="str">
            <v>PRM</v>
          </cell>
          <cell r="T1083" t="str">
            <v>OPT</v>
          </cell>
          <cell r="U1083" t="str">
            <v>-</v>
          </cell>
          <cell r="V1083" t="str">
            <v>P</v>
          </cell>
          <cell r="W1083">
            <v>32</v>
          </cell>
        </row>
        <row r="1084">
          <cell r="A1084">
            <v>12100</v>
          </cell>
          <cell r="B1084" t="str">
            <v>012100</v>
          </cell>
          <cell r="C1084" t="str">
            <v>FITRIA HANDAHAYANI</v>
          </cell>
          <cell r="D1084" t="str">
            <v>SAMI</v>
          </cell>
          <cell r="E1084" t="str">
            <v>OPT-314</v>
          </cell>
          <cell r="F1084">
            <v>40798</v>
          </cell>
          <cell r="G1084" t="str">
            <v>-</v>
          </cell>
          <cell r="H1084" t="str">
            <v>-</v>
          </cell>
          <cell r="I1084" t="str">
            <v>PRD</v>
          </cell>
          <cell r="J1084" t="str">
            <v>PRE ASSY</v>
          </cell>
          <cell r="K1084" t="str">
            <v>HONDA NES</v>
          </cell>
          <cell r="L1084" t="str">
            <v>HONDA NES</v>
          </cell>
          <cell r="M1084" t="str">
            <v>CPA HONDA NES HEV/PET</v>
          </cell>
          <cell r="N1084" t="str">
            <v>INSP SILICON</v>
          </cell>
          <cell r="O1084" t="str">
            <v>P/A INSPECTOR</v>
          </cell>
          <cell r="P1084" t="str">
            <v>B</v>
          </cell>
          <cell r="Q1084" t="str">
            <v>PI</v>
          </cell>
          <cell r="R1084" t="str">
            <v>PERMANENT</v>
          </cell>
          <cell r="S1084" t="str">
            <v>PRM</v>
          </cell>
          <cell r="T1084" t="str">
            <v>OPT</v>
          </cell>
          <cell r="U1084" t="str">
            <v>-</v>
          </cell>
          <cell r="V1084" t="str">
            <v>P</v>
          </cell>
          <cell r="W1084">
            <v>32</v>
          </cell>
        </row>
        <row r="1085">
          <cell r="A1085">
            <v>12113</v>
          </cell>
          <cell r="B1085" t="str">
            <v>012113</v>
          </cell>
          <cell r="C1085" t="str">
            <v>LILIK FATULIYAH</v>
          </cell>
          <cell r="D1085" t="str">
            <v>SAMI</v>
          </cell>
          <cell r="E1085" t="str">
            <v>OPT-314</v>
          </cell>
          <cell r="F1085">
            <v>40798</v>
          </cell>
          <cell r="G1085" t="str">
            <v>-</v>
          </cell>
          <cell r="H1085" t="str">
            <v>-</v>
          </cell>
          <cell r="I1085" t="str">
            <v>PRD</v>
          </cell>
          <cell r="J1085" t="str">
            <v>PRE ASSY</v>
          </cell>
          <cell r="K1085" t="str">
            <v>HONDA NES</v>
          </cell>
          <cell r="L1085" t="str">
            <v>HONDA NES</v>
          </cell>
          <cell r="M1085" t="str">
            <v>CPA HONDA NES HEV/PET</v>
          </cell>
          <cell r="N1085" t="str">
            <v>RELIEF 2</v>
          </cell>
          <cell r="O1085" t="str">
            <v>RELIEF</v>
          </cell>
          <cell r="P1085" t="str">
            <v>B</v>
          </cell>
          <cell r="Q1085" t="str">
            <v>PI</v>
          </cell>
          <cell r="R1085" t="str">
            <v>PERMANENT</v>
          </cell>
          <cell r="S1085" t="str">
            <v>PRM</v>
          </cell>
          <cell r="T1085" t="str">
            <v>OPT</v>
          </cell>
          <cell r="U1085" t="str">
            <v>-</v>
          </cell>
          <cell r="V1085" t="str">
            <v>P</v>
          </cell>
          <cell r="W1085">
            <v>31</v>
          </cell>
        </row>
        <row r="1086">
          <cell r="A1086">
            <v>12117</v>
          </cell>
          <cell r="B1086" t="str">
            <v>012117</v>
          </cell>
          <cell r="C1086" t="str">
            <v>MAHMUDAH</v>
          </cell>
          <cell r="D1086" t="str">
            <v>SAMI</v>
          </cell>
          <cell r="E1086" t="str">
            <v>OPT-314</v>
          </cell>
          <cell r="F1086">
            <v>40798</v>
          </cell>
          <cell r="G1086" t="str">
            <v>-</v>
          </cell>
          <cell r="H1086" t="str">
            <v>-</v>
          </cell>
          <cell r="I1086" t="str">
            <v>PRD</v>
          </cell>
          <cell r="J1086" t="str">
            <v>PRE ASSY</v>
          </cell>
          <cell r="K1086" t="str">
            <v>HONDA EXPORT</v>
          </cell>
          <cell r="L1086" t="str">
            <v>HONDA EXPORT</v>
          </cell>
          <cell r="M1086" t="str">
            <v>CPA HONDA EXPORT</v>
          </cell>
          <cell r="N1086" t="str">
            <v>CUTTING AC90-HDA-16</v>
          </cell>
          <cell r="O1086" t="str">
            <v>CUTTING WIRE</v>
          </cell>
          <cell r="P1086" t="str">
            <v>B</v>
          </cell>
          <cell r="Q1086" t="str">
            <v>DL</v>
          </cell>
          <cell r="R1086" t="str">
            <v>PERMANENT</v>
          </cell>
          <cell r="S1086" t="str">
            <v>PRM</v>
          </cell>
          <cell r="T1086" t="str">
            <v>OPT</v>
          </cell>
          <cell r="U1086" t="str">
            <v>-</v>
          </cell>
          <cell r="V1086" t="str">
            <v>P</v>
          </cell>
          <cell r="W1086">
            <v>32</v>
          </cell>
        </row>
        <row r="1087">
          <cell r="A1087">
            <v>12138</v>
          </cell>
          <cell r="B1087" t="str">
            <v>012138</v>
          </cell>
          <cell r="C1087" t="str">
            <v>ROUDLOTUN NI'MAH</v>
          </cell>
          <cell r="D1087" t="str">
            <v>SAMI</v>
          </cell>
          <cell r="E1087" t="str">
            <v>OPT-314</v>
          </cell>
          <cell r="F1087">
            <v>40798</v>
          </cell>
          <cell r="G1087" t="str">
            <v>-</v>
          </cell>
          <cell r="H1087" t="str">
            <v>-</v>
          </cell>
          <cell r="I1087" t="str">
            <v>PP</v>
          </cell>
          <cell r="J1087" t="str">
            <v>PP-3</v>
          </cell>
          <cell r="K1087" t="str">
            <v>ALL</v>
          </cell>
          <cell r="L1087" t="str">
            <v>ALL</v>
          </cell>
          <cell r="M1087" t="str">
            <v>PP-3</v>
          </cell>
          <cell r="N1087" t="str">
            <v>ANALISYS</v>
          </cell>
          <cell r="O1087" t="str">
            <v>PROCESS ENG</v>
          </cell>
          <cell r="P1087" t="str">
            <v>A (NS)</v>
          </cell>
          <cell r="Q1087" t="str">
            <v>PS</v>
          </cell>
          <cell r="R1087" t="str">
            <v>PERMANENT</v>
          </cell>
          <cell r="S1087" t="str">
            <v>PRM</v>
          </cell>
          <cell r="T1087" t="str">
            <v>OPT</v>
          </cell>
          <cell r="U1087" t="str">
            <v>-</v>
          </cell>
          <cell r="V1087" t="str">
            <v>P</v>
          </cell>
          <cell r="W1087">
            <v>31</v>
          </cell>
        </row>
        <row r="1088">
          <cell r="A1088">
            <v>10466</v>
          </cell>
          <cell r="B1088" t="str">
            <v>010466</v>
          </cell>
          <cell r="C1088" t="str">
            <v>NUR CHOLIDAH</v>
          </cell>
          <cell r="D1088" t="str">
            <v>SAMI</v>
          </cell>
          <cell r="E1088" t="str">
            <v>OPT-270</v>
          </cell>
          <cell r="F1088">
            <v>40524</v>
          </cell>
          <cell r="G1088" t="str">
            <v>-</v>
          </cell>
          <cell r="H1088" t="str">
            <v>-</v>
          </cell>
          <cell r="I1088" t="str">
            <v>PRD</v>
          </cell>
          <cell r="J1088" t="str">
            <v>FINAL ASSY</v>
          </cell>
          <cell r="K1088" t="str">
            <v>MAZDA ATENZA</v>
          </cell>
          <cell r="L1088" t="str">
            <v>MAZDA J71E IPM3</v>
          </cell>
          <cell r="M1088" t="str">
            <v>CV M04</v>
          </cell>
          <cell r="N1088" t="str">
            <v>LQC</v>
          </cell>
          <cell r="O1088" t="str">
            <v>RELIEF</v>
          </cell>
          <cell r="P1088" t="str">
            <v>A (NS)</v>
          </cell>
          <cell r="Q1088" t="str">
            <v>PI</v>
          </cell>
          <cell r="R1088" t="str">
            <v>PERMANENT</v>
          </cell>
          <cell r="S1088" t="str">
            <v>PRM</v>
          </cell>
          <cell r="T1088" t="str">
            <v>PJK</v>
          </cell>
          <cell r="U1088" t="str">
            <v>-</v>
          </cell>
          <cell r="V1088" t="str">
            <v>P</v>
          </cell>
          <cell r="W1088">
            <v>32</v>
          </cell>
        </row>
        <row r="1089">
          <cell r="A1089">
            <v>10616</v>
          </cell>
          <cell r="B1089" t="str">
            <v>010616</v>
          </cell>
          <cell r="C1089" t="str">
            <v>TITIK IKAWATI</v>
          </cell>
          <cell r="D1089" t="str">
            <v>SAMI</v>
          </cell>
          <cell r="E1089" t="str">
            <v>OPT-276</v>
          </cell>
          <cell r="F1089">
            <v>40544</v>
          </cell>
          <cell r="G1089" t="str">
            <v>-</v>
          </cell>
          <cell r="H1089" t="str">
            <v>-</v>
          </cell>
          <cell r="I1089" t="str">
            <v>PRD</v>
          </cell>
          <cell r="J1089" t="str">
            <v>FINAL ASSY</v>
          </cell>
          <cell r="K1089" t="str">
            <v>MAZDA ATENZA</v>
          </cell>
          <cell r="L1089" t="str">
            <v>MAZDA J71E IPM3</v>
          </cell>
          <cell r="M1089" t="str">
            <v>CV M04</v>
          </cell>
          <cell r="N1089" t="str">
            <v>SUB LINE CHO</v>
          </cell>
          <cell r="O1089" t="str">
            <v>GL</v>
          </cell>
          <cell r="P1089" t="str">
            <v>A (NS)</v>
          </cell>
          <cell r="Q1089" t="str">
            <v>PI</v>
          </cell>
          <cell r="R1089" t="str">
            <v>PERMANENT</v>
          </cell>
          <cell r="S1089" t="str">
            <v>PRM</v>
          </cell>
          <cell r="T1089" t="str">
            <v>SLC</v>
          </cell>
          <cell r="U1089" t="str">
            <v>-</v>
          </cell>
          <cell r="V1089" t="str">
            <v>P</v>
          </cell>
          <cell r="W1089">
            <v>35</v>
          </cell>
        </row>
        <row r="1090">
          <cell r="A1090">
            <v>12080</v>
          </cell>
          <cell r="B1090" t="str">
            <v>012080</v>
          </cell>
          <cell r="C1090" t="str">
            <v>DESI APRIYANI</v>
          </cell>
          <cell r="D1090" t="str">
            <v>SAMI</v>
          </cell>
          <cell r="E1090" t="str">
            <v>OPT-314</v>
          </cell>
          <cell r="F1090">
            <v>40798</v>
          </cell>
          <cell r="G1090" t="str">
            <v>-</v>
          </cell>
          <cell r="H1090" t="str">
            <v>-</v>
          </cell>
          <cell r="I1090" t="str">
            <v>PRD</v>
          </cell>
          <cell r="J1090" t="str">
            <v>FINAL ASSY</v>
          </cell>
          <cell r="K1090" t="str">
            <v>MAZDA ATENZA</v>
          </cell>
          <cell r="L1090" t="str">
            <v>MAZDA J71E IPM3</v>
          </cell>
          <cell r="M1090" t="str">
            <v>CV M04</v>
          </cell>
          <cell r="N1090" t="str">
            <v>S/T SP</v>
          </cell>
          <cell r="O1090" t="str">
            <v>ASSEMBLY</v>
          </cell>
          <cell r="P1090" t="str">
            <v>A (NS)</v>
          </cell>
          <cell r="Q1090" t="str">
            <v>DL</v>
          </cell>
          <cell r="R1090" t="str">
            <v>PERMANENT</v>
          </cell>
          <cell r="S1090" t="str">
            <v>PRM</v>
          </cell>
          <cell r="T1090" t="str">
            <v>OPT</v>
          </cell>
          <cell r="U1090" t="str">
            <v>-</v>
          </cell>
          <cell r="V1090" t="str">
            <v>P</v>
          </cell>
          <cell r="W1090">
            <v>32</v>
          </cell>
        </row>
        <row r="1091">
          <cell r="A1091">
            <v>12163</v>
          </cell>
          <cell r="B1091" t="str">
            <v>012163</v>
          </cell>
          <cell r="C1091" t="str">
            <v>OKI DIDI GUNAWAN</v>
          </cell>
          <cell r="D1091" t="str">
            <v>SAMI</v>
          </cell>
          <cell r="E1091" t="str">
            <v>TKN-57</v>
          </cell>
          <cell r="F1091">
            <v>40802</v>
          </cell>
          <cell r="G1091" t="str">
            <v>-</v>
          </cell>
          <cell r="H1091" t="str">
            <v>-</v>
          </cell>
          <cell r="I1091" t="str">
            <v>PE</v>
          </cell>
          <cell r="J1091" t="str">
            <v>J/C BP</v>
          </cell>
          <cell r="K1091" t="str">
            <v>ALL</v>
          </cell>
          <cell r="L1091" t="str">
            <v>ALL</v>
          </cell>
          <cell r="M1091" t="str">
            <v>NIP</v>
          </cell>
          <cell r="N1091" t="str">
            <v>PROGRAMER NAVIGATION SYSTEM</v>
          </cell>
          <cell r="O1091" t="str">
            <v>CBP</v>
          </cell>
          <cell r="P1091" t="str">
            <v>A</v>
          </cell>
          <cell r="Q1091" t="str">
            <v>PS</v>
          </cell>
          <cell r="R1091" t="str">
            <v>PERMANENT</v>
          </cell>
          <cell r="S1091" t="str">
            <v>PRM</v>
          </cell>
          <cell r="T1091" t="str">
            <v>TKN</v>
          </cell>
          <cell r="U1091" t="str">
            <v>-</v>
          </cell>
          <cell r="V1091" t="str">
            <v>L</v>
          </cell>
          <cell r="W1091">
            <v>33</v>
          </cell>
        </row>
        <row r="1092">
          <cell r="A1092">
            <v>12175</v>
          </cell>
          <cell r="B1092" t="str">
            <v>012175</v>
          </cell>
          <cell r="C1092" t="str">
            <v>EKA PUJI LESTARI</v>
          </cell>
          <cell r="D1092" t="str">
            <v>SAMI</v>
          </cell>
          <cell r="E1092" t="str">
            <v>OPT-315</v>
          </cell>
          <cell r="F1092">
            <v>40802</v>
          </cell>
          <cell r="G1092" t="str">
            <v>-</v>
          </cell>
          <cell r="H1092" t="str">
            <v>-</v>
          </cell>
          <cell r="I1092" t="str">
            <v>PRD</v>
          </cell>
          <cell r="J1092" t="str">
            <v>FINAL ASSY</v>
          </cell>
          <cell r="K1092" t="str">
            <v>TOYOTA HV</v>
          </cell>
          <cell r="L1092" t="str">
            <v xml:space="preserve">HV TOYOTA AC </v>
          </cell>
          <cell r="M1092" t="str">
            <v>CV HV 10B</v>
          </cell>
          <cell r="N1092" t="str">
            <v>SUB LINE CHO</v>
          </cell>
          <cell r="O1092" t="str">
            <v>GL</v>
          </cell>
          <cell r="P1092" t="str">
            <v>B</v>
          </cell>
          <cell r="Q1092" t="str">
            <v>PI</v>
          </cell>
          <cell r="R1092" t="str">
            <v>PERMANENT</v>
          </cell>
          <cell r="S1092" t="str">
            <v>PRM</v>
          </cell>
          <cell r="T1092" t="str">
            <v>SLC</v>
          </cell>
          <cell r="U1092" t="str">
            <v>-</v>
          </cell>
          <cell r="V1092" t="str">
            <v>P</v>
          </cell>
          <cell r="W1092">
            <v>32</v>
          </cell>
        </row>
        <row r="1093">
          <cell r="A1093">
            <v>12185</v>
          </cell>
          <cell r="B1093" t="str">
            <v>012185</v>
          </cell>
          <cell r="C1093" t="str">
            <v>KHOERINA</v>
          </cell>
          <cell r="D1093" t="str">
            <v>SAMI</v>
          </cell>
          <cell r="E1093" t="str">
            <v>OPT-315</v>
          </cell>
          <cell r="F1093">
            <v>40802</v>
          </cell>
          <cell r="G1093" t="str">
            <v>-</v>
          </cell>
          <cell r="H1093" t="str">
            <v>-</v>
          </cell>
          <cell r="I1093" t="str">
            <v>PRD</v>
          </cell>
          <cell r="J1093" t="str">
            <v>FINAL ASSY</v>
          </cell>
          <cell r="K1093" t="str">
            <v>TOYOTA HV</v>
          </cell>
          <cell r="L1093" t="str">
            <v>HV TOYOTA 10PL</v>
          </cell>
          <cell r="M1093" t="str">
            <v>CV HV 14A</v>
          </cell>
          <cell r="N1093" t="str">
            <v>LQC</v>
          </cell>
          <cell r="O1093" t="str">
            <v>RELIEF</v>
          </cell>
          <cell r="P1093" t="str">
            <v>B</v>
          </cell>
          <cell r="Q1093" t="str">
            <v>PI</v>
          </cell>
          <cell r="R1093" t="str">
            <v>PERMANENT</v>
          </cell>
          <cell r="S1093" t="str">
            <v>PRM</v>
          </cell>
          <cell r="T1093" t="str">
            <v>OPT</v>
          </cell>
          <cell r="U1093" t="str">
            <v>-</v>
          </cell>
          <cell r="V1093" t="str">
            <v>P</v>
          </cell>
          <cell r="W1093">
            <v>30</v>
          </cell>
        </row>
        <row r="1094">
          <cell r="A1094">
            <v>12187</v>
          </cell>
          <cell r="B1094" t="str">
            <v>012187</v>
          </cell>
          <cell r="C1094" t="str">
            <v>KIKI TRI NUR CAHYO L.</v>
          </cell>
          <cell r="D1094" t="str">
            <v>SAMI</v>
          </cell>
          <cell r="E1094" t="str">
            <v>OPT-315</v>
          </cell>
          <cell r="F1094">
            <v>40802</v>
          </cell>
          <cell r="G1094" t="str">
            <v>-</v>
          </cell>
          <cell r="H1094" t="str">
            <v>-</v>
          </cell>
          <cell r="I1094" t="str">
            <v>LOG</v>
          </cell>
          <cell r="J1094" t="str">
            <v>PPIC</v>
          </cell>
          <cell r="K1094" t="str">
            <v>ALL</v>
          </cell>
          <cell r="L1094" t="str">
            <v>ALL</v>
          </cell>
          <cell r="M1094" t="str">
            <v>PPIC</v>
          </cell>
          <cell r="N1094" t="str">
            <v>OPT ORDERING</v>
          </cell>
          <cell r="O1094" t="str">
            <v>IC</v>
          </cell>
          <cell r="P1094" t="str">
            <v>A (NS)</v>
          </cell>
          <cell r="Q1094" t="str">
            <v>PS</v>
          </cell>
          <cell r="R1094" t="str">
            <v>PERMANENT</v>
          </cell>
          <cell r="S1094" t="str">
            <v>PRM</v>
          </cell>
          <cell r="T1094" t="str">
            <v>OPT</v>
          </cell>
          <cell r="U1094" t="str">
            <v>-</v>
          </cell>
          <cell r="V1094" t="str">
            <v>P</v>
          </cell>
          <cell r="W1094">
            <v>31</v>
          </cell>
        </row>
        <row r="1095">
          <cell r="A1095" t="str">
            <v>B00220</v>
          </cell>
          <cell r="B1095" t="str">
            <v>B00220</v>
          </cell>
          <cell r="C1095" t="str">
            <v>RAFI TIA WATI</v>
          </cell>
          <cell r="D1095" t="str">
            <v>SAMI</v>
          </cell>
          <cell r="E1095" t="str">
            <v>BBF-004</v>
          </cell>
          <cell r="F1095">
            <v>40847</v>
          </cell>
          <cell r="G1095" t="str">
            <v>-</v>
          </cell>
          <cell r="H1095" t="str">
            <v>-</v>
          </cell>
          <cell r="I1095" t="str">
            <v>PRD</v>
          </cell>
          <cell r="J1095" t="str">
            <v>FINAL ASSY</v>
          </cell>
          <cell r="K1095" t="str">
            <v>MAZDA ATENZA</v>
          </cell>
          <cell r="L1095" t="str">
            <v>MAZDA J71E IPM3</v>
          </cell>
          <cell r="M1095" t="str">
            <v>CV M04</v>
          </cell>
          <cell r="N1095" t="str">
            <v>S/A 1.1, S/A 1.2</v>
          </cell>
          <cell r="O1095" t="str">
            <v>SUB ASSY</v>
          </cell>
          <cell r="P1095" t="str">
            <v>A (NS)</v>
          </cell>
          <cell r="Q1095" t="str">
            <v>DL</v>
          </cell>
          <cell r="R1095" t="str">
            <v>PERMANENT</v>
          </cell>
          <cell r="S1095" t="str">
            <v>PRM</v>
          </cell>
          <cell r="T1095" t="str">
            <v>OPT</v>
          </cell>
          <cell r="U1095" t="str">
            <v>-</v>
          </cell>
          <cell r="V1095" t="str">
            <v>P</v>
          </cell>
          <cell r="W1095">
            <v>31</v>
          </cell>
        </row>
        <row r="1096">
          <cell r="A1096" t="str">
            <v>B00483</v>
          </cell>
          <cell r="B1096" t="str">
            <v>B00483</v>
          </cell>
          <cell r="C1096" t="str">
            <v>SITI ROKHAYATI</v>
          </cell>
          <cell r="D1096" t="str">
            <v>SAMI</v>
          </cell>
          <cell r="E1096" t="str">
            <v>BBF-007</v>
          </cell>
          <cell r="F1096">
            <v>40868</v>
          </cell>
          <cell r="G1096" t="str">
            <v>-</v>
          </cell>
          <cell r="H1096" t="str">
            <v>-</v>
          </cell>
          <cell r="I1096" t="str">
            <v>PRD</v>
          </cell>
          <cell r="J1096" t="str">
            <v>FINAL ASSY</v>
          </cell>
          <cell r="K1096" t="str">
            <v>MAZDA ATENZA</v>
          </cell>
          <cell r="L1096" t="str">
            <v>MAZDA J71E IPM3</v>
          </cell>
          <cell r="M1096" t="str">
            <v>CV M04</v>
          </cell>
          <cell r="N1096" t="str">
            <v>S/A 8, S/A 9</v>
          </cell>
          <cell r="O1096" t="str">
            <v>SUB ASSY</v>
          </cell>
          <cell r="P1096" t="str">
            <v>A (NS)</v>
          </cell>
          <cell r="Q1096" t="str">
            <v>DL</v>
          </cell>
          <cell r="R1096" t="str">
            <v>PERMANENT</v>
          </cell>
          <cell r="S1096" t="str">
            <v>PRM</v>
          </cell>
          <cell r="T1096" t="str">
            <v>OPT</v>
          </cell>
          <cell r="U1096" t="str">
            <v>-</v>
          </cell>
          <cell r="V1096" t="str">
            <v>P</v>
          </cell>
          <cell r="W1096">
            <v>33</v>
          </cell>
        </row>
        <row r="1097">
          <cell r="A1097">
            <v>8638</v>
          </cell>
          <cell r="B1097" t="str">
            <v>008638</v>
          </cell>
          <cell r="C1097" t="str">
            <v>DIAN PURWANTARI</v>
          </cell>
          <cell r="D1097" t="str">
            <v>SAMI</v>
          </cell>
          <cell r="E1097" t="str">
            <v>OPT-189</v>
          </cell>
          <cell r="F1097">
            <v>39878</v>
          </cell>
          <cell r="G1097" t="str">
            <v>-</v>
          </cell>
          <cell r="H1097" t="str">
            <v>-</v>
          </cell>
          <cell r="I1097" t="str">
            <v>PRD</v>
          </cell>
          <cell r="J1097" t="str">
            <v>FINAL ASSY</v>
          </cell>
          <cell r="K1097" t="str">
            <v>SUZUKI WAGON R</v>
          </cell>
          <cell r="L1097" t="str">
            <v>SUZUKI YW0</v>
          </cell>
          <cell r="M1097" t="str">
            <v>CV S01</v>
          </cell>
          <cell r="N1097" t="str">
            <v>LQC</v>
          </cell>
          <cell r="O1097" t="str">
            <v>RELIEF</v>
          </cell>
          <cell r="P1097" t="str">
            <v>A</v>
          </cell>
          <cell r="Q1097" t="str">
            <v>PI</v>
          </cell>
          <cell r="R1097" t="str">
            <v>PERMANENT</v>
          </cell>
          <cell r="S1097" t="str">
            <v>PRM</v>
          </cell>
          <cell r="T1097" t="str">
            <v>PJK</v>
          </cell>
          <cell r="U1097" t="str">
            <v>-</v>
          </cell>
          <cell r="V1097" t="str">
            <v>P</v>
          </cell>
          <cell r="W1097">
            <v>34</v>
          </cell>
        </row>
        <row r="1098">
          <cell r="A1098">
            <v>12203</v>
          </cell>
          <cell r="B1098" t="str">
            <v>012203</v>
          </cell>
          <cell r="C1098" t="str">
            <v>PUJI TRISNIATI</v>
          </cell>
          <cell r="D1098" t="str">
            <v>SAMI</v>
          </cell>
          <cell r="E1098" t="str">
            <v>OPT-315</v>
          </cell>
          <cell r="F1098">
            <v>40802</v>
          </cell>
          <cell r="G1098" t="str">
            <v>-</v>
          </cell>
          <cell r="H1098" t="str">
            <v>-</v>
          </cell>
          <cell r="I1098" t="str">
            <v>PRD</v>
          </cell>
          <cell r="J1098" t="str">
            <v>FINAL ASSY</v>
          </cell>
          <cell r="K1098" t="str">
            <v>SUZUKI WAGON R</v>
          </cell>
          <cell r="L1098" t="str">
            <v>DOOR/DOOM</v>
          </cell>
          <cell r="M1098" t="str">
            <v>CV S03</v>
          </cell>
          <cell r="N1098" t="str">
            <v>VISUAL 2.1</v>
          </cell>
          <cell r="O1098" t="str">
            <v>VISUAL INSPECTION</v>
          </cell>
          <cell r="P1098" t="str">
            <v>B</v>
          </cell>
          <cell r="Q1098" t="str">
            <v>DL</v>
          </cell>
          <cell r="R1098" t="str">
            <v>PERMANENT</v>
          </cell>
          <cell r="S1098" t="str">
            <v>PRM</v>
          </cell>
          <cell r="T1098" t="str">
            <v>OPT</v>
          </cell>
          <cell r="U1098" t="str">
            <v>-</v>
          </cell>
          <cell r="V1098" t="str">
            <v>P</v>
          </cell>
          <cell r="W1098">
            <v>35</v>
          </cell>
        </row>
        <row r="1099">
          <cell r="A1099">
            <v>12204</v>
          </cell>
          <cell r="B1099" t="str">
            <v>012204</v>
          </cell>
          <cell r="C1099" t="str">
            <v>RIF'ATUL LAILI HIDAYATI</v>
          </cell>
          <cell r="D1099" t="str">
            <v>SAMI</v>
          </cell>
          <cell r="E1099" t="str">
            <v>OPT-315</v>
          </cell>
          <cell r="F1099">
            <v>40802</v>
          </cell>
          <cell r="G1099" t="str">
            <v>-</v>
          </cell>
          <cell r="H1099" t="str">
            <v>-</v>
          </cell>
          <cell r="I1099" t="str">
            <v>PRD</v>
          </cell>
          <cell r="J1099" t="str">
            <v>FINAL ASSY</v>
          </cell>
          <cell r="K1099" t="str">
            <v>TOYOTA HV</v>
          </cell>
          <cell r="L1099" t="str">
            <v>HV TOYOTA NIKEL</v>
          </cell>
          <cell r="M1099" t="str">
            <v>CV HV 07</v>
          </cell>
          <cell r="N1099" t="str">
            <v>LQC</v>
          </cell>
          <cell r="O1099" t="str">
            <v>RELIEF</v>
          </cell>
          <cell r="P1099" t="str">
            <v>B</v>
          </cell>
          <cell r="Q1099" t="str">
            <v>PI</v>
          </cell>
          <cell r="R1099" t="str">
            <v>PERMANENT</v>
          </cell>
          <cell r="S1099" t="str">
            <v>PRM</v>
          </cell>
          <cell r="T1099" t="str">
            <v>SLC</v>
          </cell>
          <cell r="U1099" t="str">
            <v>-</v>
          </cell>
          <cell r="V1099" t="str">
            <v>P</v>
          </cell>
          <cell r="W1099">
            <v>32</v>
          </cell>
        </row>
        <row r="1100">
          <cell r="A1100">
            <v>9857</v>
          </cell>
          <cell r="B1100" t="str">
            <v>009857</v>
          </cell>
          <cell r="C1100" t="str">
            <v>NILNAL MINAH</v>
          </cell>
          <cell r="D1100" t="str">
            <v>SAMI</v>
          </cell>
          <cell r="E1100" t="str">
            <v>OPT-240</v>
          </cell>
          <cell r="F1100">
            <v>40411</v>
          </cell>
          <cell r="G1100" t="str">
            <v>-</v>
          </cell>
          <cell r="H1100" t="str">
            <v>-</v>
          </cell>
          <cell r="I1100" t="str">
            <v>PRD</v>
          </cell>
          <cell r="J1100" t="str">
            <v>FINAL ASSY</v>
          </cell>
          <cell r="K1100" t="str">
            <v>SUZUKI WAGON R</v>
          </cell>
          <cell r="L1100" t="str">
            <v>SUZUKI YW0</v>
          </cell>
          <cell r="M1100" t="str">
            <v>CV S01</v>
          </cell>
          <cell r="N1100" t="str">
            <v>CHECKER ARUS 2</v>
          </cell>
          <cell r="O1100" t="str">
            <v>ELECTRICAL INSPECTION</v>
          </cell>
          <cell r="P1100" t="str">
            <v>A</v>
          </cell>
          <cell r="Q1100" t="str">
            <v>DL</v>
          </cell>
          <cell r="R1100" t="str">
            <v>PERMANENT</v>
          </cell>
          <cell r="S1100" t="str">
            <v>PRM</v>
          </cell>
          <cell r="T1100" t="str">
            <v>OPT</v>
          </cell>
          <cell r="U1100" t="str">
            <v>-</v>
          </cell>
          <cell r="V1100" t="str">
            <v>P</v>
          </cell>
          <cell r="W1100">
            <v>35</v>
          </cell>
        </row>
        <row r="1101">
          <cell r="A1101">
            <v>9935</v>
          </cell>
          <cell r="B1101" t="str">
            <v>009935</v>
          </cell>
          <cell r="C1101" t="str">
            <v>INDAH WIDYASTUTI</v>
          </cell>
          <cell r="D1101" t="str">
            <v>SAMI</v>
          </cell>
          <cell r="E1101" t="str">
            <v>OPT-246</v>
          </cell>
          <cell r="F1101">
            <v>40431</v>
          </cell>
          <cell r="G1101" t="str">
            <v>-</v>
          </cell>
          <cell r="H1101" t="str">
            <v>-</v>
          </cell>
          <cell r="I1101" t="str">
            <v>PRD</v>
          </cell>
          <cell r="J1101" t="str">
            <v>FINAL ASSY</v>
          </cell>
          <cell r="K1101" t="str">
            <v>SUZUKI WAGON R</v>
          </cell>
          <cell r="L1101" t="str">
            <v>SUZUKI YW0</v>
          </cell>
          <cell r="M1101" t="str">
            <v>CV S01</v>
          </cell>
          <cell r="N1101" t="str">
            <v>SUB LINE CHO</v>
          </cell>
          <cell r="O1101" t="str">
            <v>GL</v>
          </cell>
          <cell r="P1101" t="str">
            <v>A</v>
          </cell>
          <cell r="Q1101" t="str">
            <v>PI</v>
          </cell>
          <cell r="R1101" t="str">
            <v>PERMANENT</v>
          </cell>
          <cell r="S1101" t="str">
            <v>PRM</v>
          </cell>
          <cell r="T1101" t="str">
            <v>SLC</v>
          </cell>
          <cell r="U1101" t="str">
            <v>-</v>
          </cell>
          <cell r="V1101" t="str">
            <v>P</v>
          </cell>
          <cell r="W1101">
            <v>34</v>
          </cell>
        </row>
        <row r="1102">
          <cell r="A1102">
            <v>12224</v>
          </cell>
          <cell r="B1102" t="str">
            <v>012224</v>
          </cell>
          <cell r="C1102" t="str">
            <v>UMI NIHLAH</v>
          </cell>
          <cell r="D1102" t="str">
            <v>SAMI</v>
          </cell>
          <cell r="E1102" t="str">
            <v>OPT-315</v>
          </cell>
          <cell r="F1102">
            <v>40802</v>
          </cell>
          <cell r="G1102" t="str">
            <v>-</v>
          </cell>
          <cell r="H1102" t="str">
            <v>-</v>
          </cell>
          <cell r="I1102" t="str">
            <v>PRD</v>
          </cell>
          <cell r="J1102" t="str">
            <v>FINAL ASSY</v>
          </cell>
          <cell r="K1102" t="str">
            <v>HONDA NES</v>
          </cell>
          <cell r="L1102" t="str">
            <v>HONDA NES HEV PET ENGINE</v>
          </cell>
          <cell r="M1102" t="str">
            <v>CV H03</v>
          </cell>
          <cell r="N1102" t="str">
            <v>VISUAL 1.2</v>
          </cell>
          <cell r="O1102" t="str">
            <v>VISUAL INSPECTION</v>
          </cell>
          <cell r="P1102" t="str">
            <v>B</v>
          </cell>
          <cell r="Q1102" t="str">
            <v>DL</v>
          </cell>
          <cell r="R1102" t="str">
            <v>PERMANENT</v>
          </cell>
          <cell r="S1102" t="str">
            <v>PRM</v>
          </cell>
          <cell r="T1102" t="str">
            <v>OPT</v>
          </cell>
          <cell r="U1102" t="str">
            <v>-</v>
          </cell>
          <cell r="V1102" t="str">
            <v>P</v>
          </cell>
          <cell r="W1102">
            <v>34</v>
          </cell>
        </row>
        <row r="1103">
          <cell r="A1103">
            <v>12227</v>
          </cell>
          <cell r="B1103" t="str">
            <v>012227</v>
          </cell>
          <cell r="C1103" t="str">
            <v>YULIYANTI</v>
          </cell>
          <cell r="D1103" t="str">
            <v>SAMI</v>
          </cell>
          <cell r="E1103" t="str">
            <v>OPT-315</v>
          </cell>
          <cell r="F1103">
            <v>40802</v>
          </cell>
          <cell r="G1103" t="str">
            <v>-</v>
          </cell>
          <cell r="H1103" t="str">
            <v>-</v>
          </cell>
          <cell r="I1103" t="str">
            <v>LOG</v>
          </cell>
          <cell r="J1103" t="str">
            <v>L. DOCK</v>
          </cell>
          <cell r="K1103" t="str">
            <v>ALL</v>
          </cell>
          <cell r="L1103" t="str">
            <v>ALL</v>
          </cell>
          <cell r="M1103" t="str">
            <v>L. DOCK</v>
          </cell>
          <cell r="N1103" t="str">
            <v>SUPPORT LD</v>
          </cell>
          <cell r="O1103" t="str">
            <v>LD</v>
          </cell>
          <cell r="P1103" t="str">
            <v>A (NS)</v>
          </cell>
          <cell r="Q1103" t="str">
            <v>PS</v>
          </cell>
          <cell r="R1103" t="str">
            <v>PERMANENT</v>
          </cell>
          <cell r="S1103" t="str">
            <v>PRM</v>
          </cell>
          <cell r="T1103" t="str">
            <v>OPT</v>
          </cell>
          <cell r="U1103" t="str">
            <v>-</v>
          </cell>
          <cell r="V1103" t="str">
            <v>P</v>
          </cell>
          <cell r="W1103">
            <v>37</v>
          </cell>
        </row>
        <row r="1104">
          <cell r="A1104">
            <v>12230</v>
          </cell>
          <cell r="B1104" t="str">
            <v>012230</v>
          </cell>
          <cell r="C1104" t="str">
            <v>CHOLIT MAWARDI</v>
          </cell>
          <cell r="D1104" t="str">
            <v>SAMI</v>
          </cell>
          <cell r="E1104" t="str">
            <v>TKN-58</v>
          </cell>
          <cell r="F1104">
            <v>40805</v>
          </cell>
          <cell r="G1104" t="str">
            <v>-</v>
          </cell>
          <cell r="H1104" t="str">
            <v>-</v>
          </cell>
          <cell r="I1104" t="str">
            <v>PE</v>
          </cell>
          <cell r="J1104" t="str">
            <v>PrE</v>
          </cell>
          <cell r="K1104" t="str">
            <v>ALL</v>
          </cell>
          <cell r="L1104" t="str">
            <v>ALL</v>
          </cell>
          <cell r="M1104" t="str">
            <v>PrE</v>
          </cell>
          <cell r="N1104" t="str">
            <v>IMPROVEMENT &amp; LAYOUT</v>
          </cell>
          <cell r="O1104" t="str">
            <v>KAIZEN</v>
          </cell>
          <cell r="P1104" t="str">
            <v>A (NS)</v>
          </cell>
          <cell r="Q1104" t="str">
            <v>PS</v>
          </cell>
          <cell r="R1104" t="str">
            <v>PERMANENT</v>
          </cell>
          <cell r="S1104" t="str">
            <v>PRM</v>
          </cell>
          <cell r="T1104" t="str">
            <v>TKN</v>
          </cell>
          <cell r="U1104" t="str">
            <v>-</v>
          </cell>
          <cell r="V1104" t="str">
            <v>L</v>
          </cell>
          <cell r="W1104">
            <v>34</v>
          </cell>
        </row>
        <row r="1105">
          <cell r="A1105">
            <v>12233</v>
          </cell>
          <cell r="B1105" t="str">
            <v>012233</v>
          </cell>
          <cell r="C1105" t="str">
            <v>AGUS SAPUTRA</v>
          </cell>
          <cell r="D1105" t="str">
            <v>SAMI</v>
          </cell>
          <cell r="E1105" t="str">
            <v>OPT-316</v>
          </cell>
          <cell r="F1105">
            <v>40805</v>
          </cell>
          <cell r="G1105" t="str">
            <v>-</v>
          </cell>
          <cell r="H1105" t="str">
            <v>-</v>
          </cell>
          <cell r="I1105" t="str">
            <v>QA</v>
          </cell>
          <cell r="J1105" t="str">
            <v>NON LINE</v>
          </cell>
          <cell r="K1105" t="str">
            <v>ALL</v>
          </cell>
          <cell r="L1105" t="str">
            <v>ALL</v>
          </cell>
          <cell r="M1105" t="str">
            <v>OTHERS (BUFFER)</v>
          </cell>
          <cell r="N1105" t="str">
            <v>SUPPORT PREPARATION</v>
          </cell>
          <cell r="O1105" t="str">
            <v>GL</v>
          </cell>
          <cell r="P1105" t="str">
            <v>A (NS)</v>
          </cell>
          <cell r="Q1105" t="str">
            <v>PI</v>
          </cell>
          <cell r="R1105" t="str">
            <v>PERMANENT</v>
          </cell>
          <cell r="S1105" t="str">
            <v>PRM</v>
          </cell>
          <cell r="T1105" t="str">
            <v>GL</v>
          </cell>
          <cell r="U1105" t="str">
            <v>-</v>
          </cell>
          <cell r="V1105" t="str">
            <v>L</v>
          </cell>
          <cell r="W1105">
            <v>33</v>
          </cell>
        </row>
        <row r="1106">
          <cell r="A1106">
            <v>12234</v>
          </cell>
          <cell r="B1106" t="str">
            <v>012234</v>
          </cell>
          <cell r="C1106" t="str">
            <v>AHMAD ABDUL GHOFUR</v>
          </cell>
          <cell r="D1106" t="str">
            <v>SAMI</v>
          </cell>
          <cell r="E1106" t="str">
            <v>OPT-316</v>
          </cell>
          <cell r="F1106">
            <v>40805</v>
          </cell>
          <cell r="G1106" t="str">
            <v>-</v>
          </cell>
          <cell r="H1106" t="str">
            <v>-</v>
          </cell>
          <cell r="I1106" t="str">
            <v>PRD</v>
          </cell>
          <cell r="J1106" t="str">
            <v>FINAL ASSY</v>
          </cell>
          <cell r="K1106" t="str">
            <v>MAZDA ATENZA</v>
          </cell>
          <cell r="L1106" t="str">
            <v>MAZDA J72A</v>
          </cell>
          <cell r="M1106" t="str">
            <v>CV M03</v>
          </cell>
          <cell r="N1106" t="str">
            <v>SHIAGE 2</v>
          </cell>
          <cell r="O1106" t="str">
            <v>ASSEMBLY</v>
          </cell>
          <cell r="P1106" t="str">
            <v>B</v>
          </cell>
          <cell r="Q1106" t="str">
            <v>DL</v>
          </cell>
          <cell r="R1106" t="str">
            <v>PERMANENT</v>
          </cell>
          <cell r="S1106" t="str">
            <v>PRM</v>
          </cell>
          <cell r="T1106" t="str">
            <v>OPT</v>
          </cell>
          <cell r="U1106" t="str">
            <v>-</v>
          </cell>
          <cell r="V1106" t="str">
            <v>L</v>
          </cell>
          <cell r="W1106">
            <v>32</v>
          </cell>
        </row>
        <row r="1107">
          <cell r="A1107">
            <v>10118</v>
          </cell>
          <cell r="B1107" t="str">
            <v>010118</v>
          </cell>
          <cell r="C1107" t="str">
            <v>SITI MUCHASANAH</v>
          </cell>
          <cell r="D1107" t="str">
            <v>SAMI</v>
          </cell>
          <cell r="E1107" t="str">
            <v>OPT-248</v>
          </cell>
          <cell r="F1107">
            <v>40444</v>
          </cell>
          <cell r="G1107" t="str">
            <v>-</v>
          </cell>
          <cell r="H1107" t="str">
            <v>-</v>
          </cell>
          <cell r="I1107" t="str">
            <v>PRD</v>
          </cell>
          <cell r="J1107" t="str">
            <v>FINAL ASSY</v>
          </cell>
          <cell r="K1107" t="str">
            <v>SUZUKI WAGON R</v>
          </cell>
          <cell r="L1107" t="str">
            <v>SUZUKI YW0</v>
          </cell>
          <cell r="M1107" t="str">
            <v>CV S01</v>
          </cell>
          <cell r="N1107" t="str">
            <v>CHECKER CLIP 1</v>
          </cell>
          <cell r="O1107" t="str">
            <v>ELECTRICAL INSPECTION</v>
          </cell>
          <cell r="P1107" t="str">
            <v>A</v>
          </cell>
          <cell r="Q1107" t="str">
            <v>DL</v>
          </cell>
          <cell r="R1107" t="str">
            <v>PERMANENT</v>
          </cell>
          <cell r="S1107" t="str">
            <v>PRM</v>
          </cell>
          <cell r="T1107" t="str">
            <v>OPT</v>
          </cell>
          <cell r="U1107" t="str">
            <v>-</v>
          </cell>
          <cell r="V1107" t="str">
            <v>P</v>
          </cell>
          <cell r="W1107">
            <v>32</v>
          </cell>
        </row>
        <row r="1108">
          <cell r="A1108">
            <v>12254</v>
          </cell>
          <cell r="B1108" t="str">
            <v>012254</v>
          </cell>
          <cell r="C1108" t="str">
            <v>DIAH PONCORINI</v>
          </cell>
          <cell r="D1108" t="str">
            <v>SAMI</v>
          </cell>
          <cell r="E1108" t="str">
            <v>OPT-316</v>
          </cell>
          <cell r="F1108">
            <v>40805</v>
          </cell>
          <cell r="G1108" t="str">
            <v>-</v>
          </cell>
          <cell r="H1108" t="str">
            <v>-</v>
          </cell>
          <cell r="I1108" t="str">
            <v>QA</v>
          </cell>
          <cell r="J1108" t="str">
            <v>PRE ASSY</v>
          </cell>
          <cell r="K1108" t="str">
            <v>HONDA NES</v>
          </cell>
          <cell r="L1108" t="str">
            <v>HONDA NES</v>
          </cell>
          <cell r="M1108" t="str">
            <v>CPA HONDA NES HEV/PET</v>
          </cell>
          <cell r="N1108" t="str">
            <v>INSP TENSILE</v>
          </cell>
          <cell r="O1108" t="str">
            <v>TENSILE TEST</v>
          </cell>
          <cell r="P1108" t="str">
            <v>B</v>
          </cell>
          <cell r="Q1108" t="str">
            <v>PS</v>
          </cell>
          <cell r="R1108" t="str">
            <v>PERMANENT</v>
          </cell>
          <cell r="S1108" t="str">
            <v>PRM</v>
          </cell>
          <cell r="T1108" t="str">
            <v>OPT</v>
          </cell>
          <cell r="U1108" t="str">
            <v>-</v>
          </cell>
          <cell r="V1108" t="str">
            <v>P</v>
          </cell>
          <cell r="W1108">
            <v>39</v>
          </cell>
        </row>
        <row r="1109">
          <cell r="A1109">
            <v>12266</v>
          </cell>
          <cell r="B1109" t="str">
            <v>012266</v>
          </cell>
          <cell r="C1109" t="str">
            <v>ENI ISTIKOMAH</v>
          </cell>
          <cell r="D1109" t="str">
            <v>SAMI</v>
          </cell>
          <cell r="E1109" t="str">
            <v>OPT-316</v>
          </cell>
          <cell r="F1109">
            <v>40805</v>
          </cell>
          <cell r="G1109" t="str">
            <v>-</v>
          </cell>
          <cell r="H1109" t="str">
            <v>-</v>
          </cell>
          <cell r="I1109" t="str">
            <v>PRD</v>
          </cell>
          <cell r="J1109" t="str">
            <v>FINAL ASSY</v>
          </cell>
          <cell r="K1109" t="str">
            <v>TOYOTA HV</v>
          </cell>
          <cell r="L1109" t="str">
            <v xml:space="preserve">HV TOYOTA AC </v>
          </cell>
          <cell r="M1109" t="str">
            <v>CV HV 10B</v>
          </cell>
          <cell r="N1109" t="str">
            <v>LQC</v>
          </cell>
          <cell r="O1109" t="str">
            <v>RELIEF</v>
          </cell>
          <cell r="P1109" t="str">
            <v>B</v>
          </cell>
          <cell r="Q1109" t="str">
            <v>PI</v>
          </cell>
          <cell r="R1109" t="str">
            <v>PERMANENT</v>
          </cell>
          <cell r="S1109" t="str">
            <v>PRM</v>
          </cell>
          <cell r="T1109" t="str">
            <v>PJK</v>
          </cell>
          <cell r="U1109" t="str">
            <v>-</v>
          </cell>
          <cell r="V1109" t="str">
            <v>P</v>
          </cell>
          <cell r="W1109">
            <v>31</v>
          </cell>
        </row>
        <row r="1110">
          <cell r="A1110">
            <v>12270</v>
          </cell>
          <cell r="B1110" t="str">
            <v>012270</v>
          </cell>
          <cell r="C1110" t="str">
            <v>FARCHA NOR DINA</v>
          </cell>
          <cell r="D1110" t="str">
            <v>SAMI</v>
          </cell>
          <cell r="E1110" t="str">
            <v>OPT-316</v>
          </cell>
          <cell r="F1110">
            <v>40805</v>
          </cell>
          <cell r="G1110" t="str">
            <v>-</v>
          </cell>
          <cell r="H1110" t="str">
            <v>-</v>
          </cell>
          <cell r="I1110" t="str">
            <v>PE</v>
          </cell>
          <cell r="J1110" t="str">
            <v>MTP</v>
          </cell>
          <cell r="K1110" t="str">
            <v>ALL</v>
          </cell>
          <cell r="L1110" t="str">
            <v>ALL</v>
          </cell>
          <cell r="M1110" t="str">
            <v>MTP</v>
          </cell>
          <cell r="N1110" t="str">
            <v>ADMINISTRASI</v>
          </cell>
          <cell r="O1110" t="str">
            <v>DATA &amp; ORDERING</v>
          </cell>
          <cell r="P1110" t="str">
            <v>A (NS)</v>
          </cell>
          <cell r="Q1110" t="str">
            <v>PS</v>
          </cell>
          <cell r="R1110" t="str">
            <v>PERMANENT</v>
          </cell>
          <cell r="S1110" t="str">
            <v>PRM</v>
          </cell>
          <cell r="T1110" t="str">
            <v>OPT</v>
          </cell>
          <cell r="U1110" t="str">
            <v>-</v>
          </cell>
          <cell r="V1110" t="str">
            <v>P</v>
          </cell>
          <cell r="W1110">
            <v>31</v>
          </cell>
        </row>
        <row r="1111">
          <cell r="A1111">
            <v>10361</v>
          </cell>
          <cell r="B1111" t="str">
            <v>010361</v>
          </cell>
          <cell r="C1111" t="str">
            <v>DARMINI</v>
          </cell>
          <cell r="D1111" t="str">
            <v>SAMI</v>
          </cell>
          <cell r="E1111" t="str">
            <v>OPT-267</v>
          </cell>
          <cell r="F1111">
            <v>40513</v>
          </cell>
          <cell r="G1111" t="str">
            <v>-</v>
          </cell>
          <cell r="H1111" t="str">
            <v>-</v>
          </cell>
          <cell r="I1111" t="str">
            <v>PRD</v>
          </cell>
          <cell r="J1111" t="str">
            <v>FINAL ASSY</v>
          </cell>
          <cell r="K1111" t="str">
            <v>SUZUKI WAGON R</v>
          </cell>
          <cell r="L1111" t="str">
            <v>SUZUKI YW0</v>
          </cell>
          <cell r="M1111" t="str">
            <v>CV S01</v>
          </cell>
          <cell r="N1111" t="str">
            <v>PRD LINE CHO</v>
          </cell>
          <cell r="O1111" t="str">
            <v>FPI LL</v>
          </cell>
          <cell r="P1111" t="str">
            <v>A</v>
          </cell>
          <cell r="Q1111" t="str">
            <v>PI</v>
          </cell>
          <cell r="R1111" t="str">
            <v>PERMANENT</v>
          </cell>
          <cell r="S1111" t="str">
            <v>PRM</v>
          </cell>
          <cell r="T1111" t="str">
            <v>LC</v>
          </cell>
          <cell r="U1111" t="str">
            <v>-</v>
          </cell>
          <cell r="V1111" t="str">
            <v>P</v>
          </cell>
          <cell r="W1111">
            <v>34</v>
          </cell>
        </row>
        <row r="1112">
          <cell r="A1112">
            <v>12273</v>
          </cell>
          <cell r="B1112" t="str">
            <v>012273</v>
          </cell>
          <cell r="C1112" t="str">
            <v>FARIDOTUS SOLIKHAH</v>
          </cell>
          <cell r="D1112" t="str">
            <v>SAMI</v>
          </cell>
          <cell r="E1112" t="str">
            <v>OPT-316</v>
          </cell>
          <cell r="F1112">
            <v>40805</v>
          </cell>
          <cell r="G1112" t="str">
            <v>-</v>
          </cell>
          <cell r="H1112" t="str">
            <v>-</v>
          </cell>
          <cell r="I1112" t="str">
            <v>PRD</v>
          </cell>
          <cell r="J1112" t="str">
            <v>FINAL ASSY</v>
          </cell>
          <cell r="K1112" t="str">
            <v>HONDA NES</v>
          </cell>
          <cell r="L1112" t="str">
            <v>HONDA NES HEV PET ENGINE</v>
          </cell>
          <cell r="M1112" t="str">
            <v>CV H03</v>
          </cell>
          <cell r="N1112" t="str">
            <v>RELIEF 2</v>
          </cell>
          <cell r="O1112" t="str">
            <v>RELIEF</v>
          </cell>
          <cell r="P1112" t="str">
            <v>B</v>
          </cell>
          <cell r="Q1112" t="str">
            <v>PI</v>
          </cell>
          <cell r="R1112" t="str">
            <v>PERMANENT</v>
          </cell>
          <cell r="S1112" t="str">
            <v>PRM</v>
          </cell>
          <cell r="T1112" t="str">
            <v>OPT</v>
          </cell>
          <cell r="U1112" t="str">
            <v>-</v>
          </cell>
          <cell r="V1112" t="str">
            <v>P</v>
          </cell>
          <cell r="W1112">
            <v>31</v>
          </cell>
        </row>
        <row r="1113">
          <cell r="A1113">
            <v>10936</v>
          </cell>
          <cell r="B1113" t="str">
            <v>010936</v>
          </cell>
          <cell r="C1113" t="str">
            <v>NENSI WIDYAWATI</v>
          </cell>
          <cell r="D1113" t="str">
            <v>SAMI</v>
          </cell>
          <cell r="E1113" t="str">
            <v>OPT-285</v>
          </cell>
          <cell r="F1113">
            <v>40578</v>
          </cell>
          <cell r="G1113" t="str">
            <v>-</v>
          </cell>
          <cell r="H1113" t="str">
            <v>-</v>
          </cell>
          <cell r="I1113" t="str">
            <v>PRD</v>
          </cell>
          <cell r="J1113" t="str">
            <v>FINAL ASSY</v>
          </cell>
          <cell r="K1113" t="str">
            <v>SUZUKI WAGON R</v>
          </cell>
          <cell r="L1113" t="str">
            <v>SUZUKI YW0</v>
          </cell>
          <cell r="M1113" t="str">
            <v>CV S01</v>
          </cell>
          <cell r="N1113" t="str">
            <v>MATERIAL SUPPLY 1</v>
          </cell>
          <cell r="O1113" t="str">
            <v>MATERIAL SUPPLY</v>
          </cell>
          <cell r="P1113" t="str">
            <v>A</v>
          </cell>
          <cell r="Q1113" t="str">
            <v>PI</v>
          </cell>
          <cell r="R1113" t="str">
            <v>PERMANENT</v>
          </cell>
          <cell r="S1113" t="str">
            <v>PRM</v>
          </cell>
          <cell r="T1113" t="str">
            <v>OPT</v>
          </cell>
          <cell r="U1113" t="str">
            <v>-</v>
          </cell>
          <cell r="V1113" t="str">
            <v>P</v>
          </cell>
          <cell r="W1113">
            <v>32</v>
          </cell>
        </row>
        <row r="1114">
          <cell r="A1114">
            <v>12285</v>
          </cell>
          <cell r="B1114" t="str">
            <v>012285</v>
          </cell>
          <cell r="C1114" t="str">
            <v>INAYAH</v>
          </cell>
          <cell r="D1114" t="str">
            <v>SAMI</v>
          </cell>
          <cell r="E1114" t="str">
            <v>OPT-316</v>
          </cell>
          <cell r="F1114">
            <v>40805</v>
          </cell>
          <cell r="G1114" t="str">
            <v>-</v>
          </cell>
          <cell r="H1114" t="str">
            <v>-</v>
          </cell>
          <cell r="I1114" t="str">
            <v>PRD</v>
          </cell>
          <cell r="J1114" t="str">
            <v>PRE ASSY</v>
          </cell>
          <cell r="K1114" t="str">
            <v>TOYOTA HV</v>
          </cell>
          <cell r="L1114" t="str">
            <v>HV TOYOTA</v>
          </cell>
          <cell r="M1114" t="str">
            <v>CPA TOYOTA 10 PL</v>
          </cell>
          <cell r="N1114" t="str">
            <v>INSP CUTTING</v>
          </cell>
          <cell r="O1114" t="str">
            <v>P/A INSPECTOR</v>
          </cell>
          <cell r="P1114" t="str">
            <v>B</v>
          </cell>
          <cell r="Q1114" t="str">
            <v>PI</v>
          </cell>
          <cell r="R1114" t="str">
            <v>PERMANENT</v>
          </cell>
          <cell r="S1114" t="str">
            <v>PRM</v>
          </cell>
          <cell r="T1114" t="str">
            <v>OPT</v>
          </cell>
          <cell r="U1114" t="str">
            <v>-</v>
          </cell>
          <cell r="V1114" t="str">
            <v>P</v>
          </cell>
          <cell r="W1114">
            <v>33</v>
          </cell>
        </row>
        <row r="1115">
          <cell r="A1115">
            <v>12336</v>
          </cell>
          <cell r="B1115" t="str">
            <v>012336</v>
          </cell>
          <cell r="C1115" t="str">
            <v>UMUL BADRIYAH</v>
          </cell>
          <cell r="D1115" t="str">
            <v>SAMI</v>
          </cell>
          <cell r="E1115" t="str">
            <v>OPT-316</v>
          </cell>
          <cell r="F1115">
            <v>40805</v>
          </cell>
          <cell r="G1115" t="str">
            <v>-</v>
          </cell>
          <cell r="H1115" t="str">
            <v>-</v>
          </cell>
          <cell r="I1115" t="str">
            <v>PRD</v>
          </cell>
          <cell r="J1115" t="str">
            <v>FINAL ASSY</v>
          </cell>
          <cell r="K1115" t="str">
            <v>HONDA NES</v>
          </cell>
          <cell r="L1115" t="str">
            <v>HONDA NES HEV PET ENGINE</v>
          </cell>
          <cell r="M1115" t="str">
            <v>CV H04</v>
          </cell>
          <cell r="N1115" t="str">
            <v>S/A 14</v>
          </cell>
          <cell r="O1115" t="str">
            <v>SUB ASSY</v>
          </cell>
          <cell r="P1115" t="str">
            <v>B</v>
          </cell>
          <cell r="Q1115" t="str">
            <v>DL</v>
          </cell>
          <cell r="R1115" t="str">
            <v>PERMANENT</v>
          </cell>
          <cell r="S1115" t="str">
            <v>PRM</v>
          </cell>
          <cell r="T1115" t="str">
            <v>OPT</v>
          </cell>
          <cell r="U1115" t="str">
            <v>-</v>
          </cell>
          <cell r="V1115" t="str">
            <v>P</v>
          </cell>
          <cell r="W1115">
            <v>33</v>
          </cell>
        </row>
        <row r="1116">
          <cell r="A1116">
            <v>11830</v>
          </cell>
          <cell r="B1116" t="str">
            <v>011830</v>
          </cell>
          <cell r="C1116" t="str">
            <v>RIZKI YULIANTI PUTRI</v>
          </cell>
          <cell r="D1116" t="str">
            <v>SAMI</v>
          </cell>
          <cell r="E1116" t="str">
            <v>OPT-309</v>
          </cell>
          <cell r="F1116">
            <v>40721</v>
          </cell>
          <cell r="G1116" t="str">
            <v>-</v>
          </cell>
          <cell r="H1116" t="str">
            <v>-</v>
          </cell>
          <cell r="I1116" t="str">
            <v>PRD</v>
          </cell>
          <cell r="J1116" t="str">
            <v>FINAL ASSY</v>
          </cell>
          <cell r="K1116" t="str">
            <v>SUZUKI WAGON R</v>
          </cell>
          <cell r="L1116" t="str">
            <v>SUZUKI YW0</v>
          </cell>
          <cell r="M1116" t="str">
            <v>CV S01</v>
          </cell>
          <cell r="N1116" t="str">
            <v>VISUAL 1.2</v>
          </cell>
          <cell r="O1116" t="str">
            <v>VISUAL INSPECTION</v>
          </cell>
          <cell r="P1116" t="str">
            <v>A</v>
          </cell>
          <cell r="Q1116" t="str">
            <v>DL</v>
          </cell>
          <cell r="R1116" t="str">
            <v>PERMANENT</v>
          </cell>
          <cell r="S1116" t="str">
            <v>PRM</v>
          </cell>
          <cell r="T1116" t="str">
            <v>OPT</v>
          </cell>
          <cell r="U1116" t="str">
            <v>-</v>
          </cell>
          <cell r="V1116" t="str">
            <v>P</v>
          </cell>
          <cell r="W1116">
            <v>31</v>
          </cell>
        </row>
        <row r="1117">
          <cell r="A1117">
            <v>12348</v>
          </cell>
          <cell r="B1117" t="str">
            <v>012348</v>
          </cell>
          <cell r="C1117" t="str">
            <v>AGUSTINA WIJIATI</v>
          </cell>
          <cell r="D1117" t="str">
            <v>SAMI</v>
          </cell>
          <cell r="E1117" t="str">
            <v>OPT-317</v>
          </cell>
          <cell r="F1117">
            <v>40809</v>
          </cell>
          <cell r="G1117" t="str">
            <v>-</v>
          </cell>
          <cell r="H1117" t="str">
            <v>-</v>
          </cell>
          <cell r="I1117" t="str">
            <v>PRD</v>
          </cell>
          <cell r="J1117" t="str">
            <v>PRE ASSY</v>
          </cell>
          <cell r="K1117" t="str">
            <v>MAZDA 3</v>
          </cell>
          <cell r="L1117" t="str">
            <v>MAZDA REAR</v>
          </cell>
          <cell r="M1117" t="str">
            <v>CPA MAZDA J03</v>
          </cell>
          <cell r="N1117" t="str">
            <v>CUTTING AC90-J03-02</v>
          </cell>
          <cell r="O1117" t="str">
            <v>CUTTING WIRE</v>
          </cell>
          <cell r="P1117" t="str">
            <v>B</v>
          </cell>
          <cell r="Q1117" t="str">
            <v>DL</v>
          </cell>
          <cell r="R1117" t="str">
            <v>PERMANENT</v>
          </cell>
          <cell r="S1117" t="str">
            <v>PRM</v>
          </cell>
          <cell r="T1117" t="str">
            <v>OPT</v>
          </cell>
          <cell r="U1117" t="str">
            <v>-</v>
          </cell>
          <cell r="V1117" t="str">
            <v>P</v>
          </cell>
          <cell r="W1117">
            <v>34</v>
          </cell>
        </row>
        <row r="1118">
          <cell r="A1118">
            <v>12154</v>
          </cell>
          <cell r="B1118" t="str">
            <v>012154</v>
          </cell>
          <cell r="C1118" t="str">
            <v>TRI INDAH SARI</v>
          </cell>
          <cell r="D1118" t="str">
            <v>SAMI</v>
          </cell>
          <cell r="E1118" t="str">
            <v>OPT-314</v>
          </cell>
          <cell r="F1118">
            <v>40798</v>
          </cell>
          <cell r="G1118" t="str">
            <v>-</v>
          </cell>
          <cell r="H1118" t="str">
            <v>-</v>
          </cell>
          <cell r="I1118" t="str">
            <v>PRD</v>
          </cell>
          <cell r="J1118" t="str">
            <v>FINAL ASSY</v>
          </cell>
          <cell r="K1118" t="str">
            <v>SUZUKI WAGON R</v>
          </cell>
          <cell r="L1118" t="str">
            <v>SUZUKI YW0</v>
          </cell>
          <cell r="M1118" t="str">
            <v>CV S01</v>
          </cell>
          <cell r="N1118" t="str">
            <v>RELIEF 2</v>
          </cell>
          <cell r="O1118" t="str">
            <v>RELIEF</v>
          </cell>
          <cell r="P1118" t="str">
            <v>A</v>
          </cell>
          <cell r="Q1118" t="str">
            <v>PI</v>
          </cell>
          <cell r="R1118" t="str">
            <v>PERMANENT</v>
          </cell>
          <cell r="S1118" t="str">
            <v>PRM</v>
          </cell>
          <cell r="T1118" t="str">
            <v>OPT</v>
          </cell>
          <cell r="U1118" t="str">
            <v>-</v>
          </cell>
          <cell r="V1118" t="str">
            <v>P</v>
          </cell>
          <cell r="W1118">
            <v>32</v>
          </cell>
        </row>
        <row r="1119">
          <cell r="A1119">
            <v>12387</v>
          </cell>
          <cell r="B1119" t="str">
            <v>012387</v>
          </cell>
          <cell r="C1119" t="str">
            <v>NOVI ANASARI</v>
          </cell>
          <cell r="D1119" t="str">
            <v>SAMI</v>
          </cell>
          <cell r="E1119" t="str">
            <v>OPT-317</v>
          </cell>
          <cell r="F1119">
            <v>40809</v>
          </cell>
          <cell r="G1119" t="str">
            <v>-</v>
          </cell>
          <cell r="H1119" t="str">
            <v>-</v>
          </cell>
          <cell r="I1119" t="str">
            <v>PRD</v>
          </cell>
          <cell r="J1119" t="str">
            <v>FINAL ASSY</v>
          </cell>
          <cell r="K1119" t="str">
            <v>SUZUKI WAGON R</v>
          </cell>
          <cell r="L1119" t="str">
            <v>SUZUKI YW0</v>
          </cell>
          <cell r="M1119" t="str">
            <v>CV S01</v>
          </cell>
          <cell r="N1119" t="str">
            <v>CHECKER CLIP 2</v>
          </cell>
          <cell r="O1119" t="str">
            <v>ELECTRICAL INSPECTION</v>
          </cell>
          <cell r="P1119" t="str">
            <v>A</v>
          </cell>
          <cell r="Q1119" t="str">
            <v>DL</v>
          </cell>
          <cell r="R1119" t="str">
            <v>PERMANENT</v>
          </cell>
          <cell r="S1119" t="str">
            <v>PRM</v>
          </cell>
          <cell r="T1119" t="str">
            <v>OPT</v>
          </cell>
          <cell r="U1119" t="str">
            <v>-</v>
          </cell>
          <cell r="V1119" t="str">
            <v>P</v>
          </cell>
          <cell r="W1119">
            <v>36</v>
          </cell>
        </row>
        <row r="1120">
          <cell r="A1120">
            <v>12372</v>
          </cell>
          <cell r="B1120" t="str">
            <v>012372</v>
          </cell>
          <cell r="C1120" t="str">
            <v>INNAYATUL ROHMANIYAH</v>
          </cell>
          <cell r="D1120" t="str">
            <v>SAMI</v>
          </cell>
          <cell r="E1120" t="str">
            <v>OPT-317</v>
          </cell>
          <cell r="F1120">
            <v>40809</v>
          </cell>
          <cell r="G1120" t="str">
            <v>-</v>
          </cell>
          <cell r="H1120" t="str">
            <v>-</v>
          </cell>
          <cell r="I1120" t="str">
            <v>PRD</v>
          </cell>
          <cell r="J1120" t="str">
            <v>PRE ASSY</v>
          </cell>
          <cell r="K1120" t="str">
            <v>MAZDA 3</v>
          </cell>
          <cell r="L1120" t="str">
            <v>MAZDA REAR</v>
          </cell>
          <cell r="M1120" t="str">
            <v>CPA MAZDA J03</v>
          </cell>
          <cell r="N1120" t="str">
            <v>INSP PRE ASSY</v>
          </cell>
          <cell r="O1120" t="str">
            <v>P/A INSPECTOR</v>
          </cell>
          <cell r="P1120" t="str">
            <v>B</v>
          </cell>
          <cell r="Q1120" t="str">
            <v>PI</v>
          </cell>
          <cell r="R1120" t="str">
            <v>PERMANENT</v>
          </cell>
          <cell r="S1120" t="str">
            <v>PRM</v>
          </cell>
          <cell r="T1120" t="str">
            <v>OPT</v>
          </cell>
          <cell r="U1120" t="str">
            <v>-</v>
          </cell>
          <cell r="V1120" t="str">
            <v>P</v>
          </cell>
          <cell r="W1120">
            <v>31</v>
          </cell>
        </row>
        <row r="1121">
          <cell r="A1121">
            <v>12447</v>
          </cell>
          <cell r="B1121" t="str">
            <v>012447</v>
          </cell>
          <cell r="C1121" t="str">
            <v>ELI DWI ERSANTI</v>
          </cell>
          <cell r="D1121" t="str">
            <v>SAMI</v>
          </cell>
          <cell r="E1121" t="str">
            <v>OPT-318</v>
          </cell>
          <cell r="F1121">
            <v>40812</v>
          </cell>
          <cell r="G1121" t="str">
            <v>-</v>
          </cell>
          <cell r="H1121" t="str">
            <v>-</v>
          </cell>
          <cell r="I1121" t="str">
            <v>PRD</v>
          </cell>
          <cell r="J1121" t="str">
            <v>FINAL ASSY</v>
          </cell>
          <cell r="K1121" t="str">
            <v>SUZUKI WAGON R</v>
          </cell>
          <cell r="L1121" t="str">
            <v>SUZUKI YW0</v>
          </cell>
          <cell r="M1121" t="str">
            <v>CV S01</v>
          </cell>
          <cell r="N1121" t="str">
            <v>CHECKER ARUS 1</v>
          </cell>
          <cell r="O1121" t="str">
            <v>ELECTRICAL INSPECTION</v>
          </cell>
          <cell r="P1121" t="str">
            <v>A</v>
          </cell>
          <cell r="Q1121" t="str">
            <v>DL</v>
          </cell>
          <cell r="R1121" t="str">
            <v>PERMANENT</v>
          </cell>
          <cell r="S1121" t="str">
            <v>PRM</v>
          </cell>
          <cell r="T1121" t="str">
            <v>OPT</v>
          </cell>
          <cell r="U1121" t="str">
            <v>-</v>
          </cell>
          <cell r="V1121" t="str">
            <v>P</v>
          </cell>
          <cell r="W1121">
            <v>34</v>
          </cell>
        </row>
        <row r="1122">
          <cell r="A1122">
            <v>12484</v>
          </cell>
          <cell r="B1122" t="str">
            <v>012484</v>
          </cell>
          <cell r="C1122" t="str">
            <v>LINDA KURNIAWATI</v>
          </cell>
          <cell r="D1122" t="str">
            <v>SAMI</v>
          </cell>
          <cell r="E1122" t="str">
            <v>OPT-318</v>
          </cell>
          <cell r="F1122">
            <v>40812</v>
          </cell>
          <cell r="G1122" t="str">
            <v>-</v>
          </cell>
          <cell r="H1122" t="str">
            <v>-</v>
          </cell>
          <cell r="I1122" t="str">
            <v>PRD</v>
          </cell>
          <cell r="J1122" t="str">
            <v>FINAL ASSY</v>
          </cell>
          <cell r="K1122" t="str">
            <v>SUZUKI WAGON R</v>
          </cell>
          <cell r="L1122" t="str">
            <v>SUZUKI YW0</v>
          </cell>
          <cell r="M1122" t="str">
            <v>CV S01</v>
          </cell>
          <cell r="N1122" t="str">
            <v>T/P 7</v>
          </cell>
          <cell r="O1122" t="str">
            <v>ASSEMBLY</v>
          </cell>
          <cell r="P1122" t="str">
            <v>A</v>
          </cell>
          <cell r="Q1122" t="str">
            <v>DL</v>
          </cell>
          <cell r="R1122" t="str">
            <v>PERMANENT</v>
          </cell>
          <cell r="S1122" t="str">
            <v>PRM</v>
          </cell>
          <cell r="T1122" t="str">
            <v>OPT</v>
          </cell>
          <cell r="U1122" t="str">
            <v>-</v>
          </cell>
          <cell r="V1122" t="str">
            <v>P</v>
          </cell>
          <cell r="W1122">
            <v>32</v>
          </cell>
        </row>
        <row r="1123">
          <cell r="A1123">
            <v>12969</v>
          </cell>
          <cell r="B1123" t="str">
            <v>012969</v>
          </cell>
          <cell r="C1123" t="str">
            <v>CITRA SUSILOWATI</v>
          </cell>
          <cell r="D1123" t="str">
            <v>SAMI</v>
          </cell>
          <cell r="E1123" t="str">
            <v>OPT-323</v>
          </cell>
          <cell r="F1123">
            <v>40840</v>
          </cell>
          <cell r="G1123" t="str">
            <v>-</v>
          </cell>
          <cell r="H1123" t="str">
            <v>-</v>
          </cell>
          <cell r="I1123" t="str">
            <v>PRD</v>
          </cell>
          <cell r="J1123" t="str">
            <v>FINAL ASSY</v>
          </cell>
          <cell r="K1123" t="str">
            <v>SUZUKI WAGON R</v>
          </cell>
          <cell r="L1123" t="str">
            <v>SUZUKI YW0</v>
          </cell>
          <cell r="M1123" t="str">
            <v>CV S01</v>
          </cell>
          <cell r="N1123" t="str">
            <v>VISUAL 1.1</v>
          </cell>
          <cell r="O1123" t="str">
            <v>VISUAL INSPECTION</v>
          </cell>
          <cell r="P1123" t="str">
            <v>A</v>
          </cell>
          <cell r="Q1123" t="str">
            <v>DL</v>
          </cell>
          <cell r="R1123" t="str">
            <v>PERMANENT</v>
          </cell>
          <cell r="S1123" t="str">
            <v>PRM</v>
          </cell>
          <cell r="T1123" t="str">
            <v>OPT</v>
          </cell>
          <cell r="U1123" t="str">
            <v>-</v>
          </cell>
          <cell r="V1123" t="str">
            <v>P</v>
          </cell>
          <cell r="W1123">
            <v>36</v>
          </cell>
        </row>
        <row r="1124">
          <cell r="A1124">
            <v>12418</v>
          </cell>
          <cell r="B1124" t="str">
            <v>012418</v>
          </cell>
          <cell r="C1124" t="str">
            <v>AL KHOIRIYAH</v>
          </cell>
          <cell r="D1124" t="str">
            <v>SAMI</v>
          </cell>
          <cell r="E1124" t="str">
            <v>OPT-318</v>
          </cell>
          <cell r="F1124">
            <v>40812</v>
          </cell>
          <cell r="G1124" t="str">
            <v>-</v>
          </cell>
          <cell r="H1124" t="str">
            <v>-</v>
          </cell>
          <cell r="I1124" t="str">
            <v>PRD</v>
          </cell>
          <cell r="J1124" t="str">
            <v>FINAL ASSY</v>
          </cell>
          <cell r="K1124" t="str">
            <v>TOYOTA HV</v>
          </cell>
          <cell r="L1124" t="str">
            <v>HV TOYOTA 858W 874W BBM</v>
          </cell>
          <cell r="M1124" t="str">
            <v>CV HV 15</v>
          </cell>
          <cell r="N1124" t="str">
            <v>VISUAL 1.2</v>
          </cell>
          <cell r="O1124" t="str">
            <v>VISUAL INSPECTION</v>
          </cell>
          <cell r="P1124" t="str">
            <v>B</v>
          </cell>
          <cell r="Q1124" t="str">
            <v>DL</v>
          </cell>
          <cell r="R1124" t="str">
            <v>PERMANENT</v>
          </cell>
          <cell r="S1124" t="str">
            <v>PRM</v>
          </cell>
          <cell r="T1124" t="str">
            <v>OPT</v>
          </cell>
          <cell r="U1124" t="str">
            <v>-</v>
          </cell>
          <cell r="V1124" t="str">
            <v>P</v>
          </cell>
          <cell r="W1124">
            <v>32</v>
          </cell>
        </row>
        <row r="1125">
          <cell r="A1125">
            <v>12435</v>
          </cell>
          <cell r="B1125" t="str">
            <v>012435</v>
          </cell>
          <cell r="C1125" t="str">
            <v>DIANA MAHARANI S.</v>
          </cell>
          <cell r="D1125" t="str">
            <v>SAMI</v>
          </cell>
          <cell r="E1125" t="str">
            <v>OPT-318</v>
          </cell>
          <cell r="F1125">
            <v>40812</v>
          </cell>
          <cell r="G1125" t="str">
            <v>-</v>
          </cell>
          <cell r="H1125" t="str">
            <v>-</v>
          </cell>
          <cell r="I1125" t="str">
            <v>PRD</v>
          </cell>
          <cell r="J1125" t="str">
            <v>FINAL ASSY</v>
          </cell>
          <cell r="K1125" t="str">
            <v>TOYOTA HV</v>
          </cell>
          <cell r="L1125" t="str">
            <v xml:space="preserve">HV TOYOTA AC </v>
          </cell>
          <cell r="M1125" t="str">
            <v>CV HV 10A</v>
          </cell>
          <cell r="N1125" t="str">
            <v>SUB LINE CHO</v>
          </cell>
          <cell r="O1125" t="str">
            <v>GL</v>
          </cell>
          <cell r="P1125" t="str">
            <v>B</v>
          </cell>
          <cell r="Q1125" t="str">
            <v>PI</v>
          </cell>
          <cell r="R1125" t="str">
            <v>PERMANENT</v>
          </cell>
          <cell r="S1125" t="str">
            <v>PRM</v>
          </cell>
          <cell r="T1125" t="str">
            <v>SLC</v>
          </cell>
          <cell r="U1125" t="str">
            <v>-</v>
          </cell>
          <cell r="V1125" t="str">
            <v>P</v>
          </cell>
          <cell r="W1125">
            <v>31</v>
          </cell>
        </row>
        <row r="1126">
          <cell r="A1126">
            <v>12444</v>
          </cell>
          <cell r="B1126" t="str">
            <v>012444</v>
          </cell>
          <cell r="C1126" t="str">
            <v>EKO PRASETYO</v>
          </cell>
          <cell r="D1126" t="str">
            <v>SAMI</v>
          </cell>
          <cell r="E1126" t="str">
            <v>OPT-318</v>
          </cell>
          <cell r="F1126">
            <v>40812</v>
          </cell>
          <cell r="G1126" t="str">
            <v>-</v>
          </cell>
          <cell r="H1126" t="str">
            <v>-</v>
          </cell>
          <cell r="I1126" t="str">
            <v>PGA</v>
          </cell>
          <cell r="J1126" t="str">
            <v>SHE</v>
          </cell>
          <cell r="K1126" t="str">
            <v>ALL</v>
          </cell>
          <cell r="L1126" t="str">
            <v>ALL</v>
          </cell>
          <cell r="M1126" t="str">
            <v>SHE</v>
          </cell>
          <cell r="N1126" t="str">
            <v>SUPPORT SHE</v>
          </cell>
          <cell r="O1126" t="str">
            <v>SHE</v>
          </cell>
          <cell r="P1126" t="str">
            <v>A (NS)</v>
          </cell>
          <cell r="Q1126" t="str">
            <v>ADM</v>
          </cell>
          <cell r="R1126" t="str">
            <v>PERMANENT</v>
          </cell>
          <cell r="S1126" t="str">
            <v>PRM</v>
          </cell>
          <cell r="T1126" t="str">
            <v>OPT</v>
          </cell>
          <cell r="U1126" t="str">
            <v>-</v>
          </cell>
          <cell r="V1126" t="str">
            <v>L</v>
          </cell>
          <cell r="W1126">
            <v>33</v>
          </cell>
        </row>
        <row r="1127">
          <cell r="A1127" t="str">
            <v>B00927</v>
          </cell>
          <cell r="B1127" t="str">
            <v>B00927</v>
          </cell>
          <cell r="C1127" t="str">
            <v>NURUL ISMILATUN ANISAH</v>
          </cell>
          <cell r="D1127" t="str">
            <v>SAMI</v>
          </cell>
          <cell r="E1127" t="str">
            <v>BBF-020</v>
          </cell>
          <cell r="F1127">
            <v>40955</v>
          </cell>
          <cell r="G1127" t="str">
            <v>-</v>
          </cell>
          <cell r="H1127" t="str">
            <v>-</v>
          </cell>
          <cell r="I1127" t="str">
            <v>PRD</v>
          </cell>
          <cell r="J1127" t="str">
            <v>FINAL ASSY</v>
          </cell>
          <cell r="K1127" t="str">
            <v>SUZUKI WAGON R</v>
          </cell>
          <cell r="L1127" t="str">
            <v>SUZUKI YW0</v>
          </cell>
          <cell r="M1127" t="str">
            <v>CV S01</v>
          </cell>
          <cell r="N1127" t="str">
            <v>VISUAL 2</v>
          </cell>
          <cell r="O1127" t="str">
            <v>VISUAL INSPECTION</v>
          </cell>
          <cell r="P1127" t="str">
            <v>A</v>
          </cell>
          <cell r="Q1127" t="str">
            <v>DL</v>
          </cell>
          <cell r="R1127" t="str">
            <v>PERMANENT</v>
          </cell>
          <cell r="S1127" t="str">
            <v>PRM</v>
          </cell>
          <cell r="T1127" t="str">
            <v>OPT</v>
          </cell>
          <cell r="U1127" t="str">
            <v>-</v>
          </cell>
          <cell r="V1127" t="str">
            <v>P</v>
          </cell>
          <cell r="W1127">
            <v>33</v>
          </cell>
        </row>
        <row r="1128">
          <cell r="A1128">
            <v>12452</v>
          </cell>
          <cell r="B1128" t="str">
            <v>012452</v>
          </cell>
          <cell r="C1128" t="str">
            <v>FAJAR OCTAVIANI</v>
          </cell>
          <cell r="D1128" t="str">
            <v>SAMI</v>
          </cell>
          <cell r="E1128" t="str">
            <v>OPT-318</v>
          </cell>
          <cell r="F1128">
            <v>40812</v>
          </cell>
          <cell r="G1128" t="str">
            <v>-</v>
          </cell>
          <cell r="H1128" t="str">
            <v>-</v>
          </cell>
          <cell r="I1128" t="str">
            <v>PRD</v>
          </cell>
          <cell r="J1128" t="str">
            <v>FINAL ASSY</v>
          </cell>
          <cell r="K1128" t="str">
            <v>HONDA BBP</v>
          </cell>
          <cell r="L1128" t="str">
            <v>HV HONDA 5JLA BBP</v>
          </cell>
          <cell r="M1128" t="str">
            <v>CV HV 04B</v>
          </cell>
          <cell r="N1128" t="str">
            <v>VISUAL 141, 172</v>
          </cell>
          <cell r="O1128" t="str">
            <v>VISUAL INSPECTION</v>
          </cell>
          <cell r="P1128" t="str">
            <v>B</v>
          </cell>
          <cell r="Q1128" t="str">
            <v>DL</v>
          </cell>
          <cell r="R1128" t="str">
            <v>PERMANENT</v>
          </cell>
          <cell r="S1128" t="str">
            <v>PRM</v>
          </cell>
          <cell r="T1128" t="str">
            <v>OPT</v>
          </cell>
          <cell r="U1128" t="str">
            <v>-</v>
          </cell>
          <cell r="V1128" t="str">
            <v>P</v>
          </cell>
          <cell r="W1128">
            <v>31</v>
          </cell>
        </row>
        <row r="1129">
          <cell r="A1129">
            <v>246</v>
          </cell>
          <cell r="B1129" t="str">
            <v>000246</v>
          </cell>
          <cell r="C1129" t="str">
            <v>TUTIK PURWANTI</v>
          </cell>
          <cell r="D1129" t="str">
            <v>SAMI</v>
          </cell>
          <cell r="E1129" t="str">
            <v>OPT-7</v>
          </cell>
          <cell r="F1129">
            <v>37704</v>
          </cell>
          <cell r="G1129" t="str">
            <v>-</v>
          </cell>
          <cell r="H1129" t="str">
            <v>-</v>
          </cell>
          <cell r="I1129" t="str">
            <v>PRD</v>
          </cell>
          <cell r="J1129" t="str">
            <v>FINAL ASSY</v>
          </cell>
          <cell r="K1129" t="str">
            <v>TOYOTA</v>
          </cell>
          <cell r="L1129" t="str">
            <v>AQUA SIENTA</v>
          </cell>
          <cell r="M1129" t="str">
            <v>CV T01</v>
          </cell>
          <cell r="N1129" t="str">
            <v>OJT S/A 3.1</v>
          </cell>
          <cell r="O1129" t="str">
            <v>OTHERS</v>
          </cell>
          <cell r="P1129" t="str">
            <v>A</v>
          </cell>
          <cell r="Q1129" t="str">
            <v>PI</v>
          </cell>
          <cell r="R1129" t="str">
            <v>PERMANENT</v>
          </cell>
          <cell r="S1129" t="str">
            <v>PRM</v>
          </cell>
          <cell r="T1129" t="str">
            <v>OPT</v>
          </cell>
          <cell r="U1129" t="str">
            <v>-</v>
          </cell>
          <cell r="V1129" t="str">
            <v>P</v>
          </cell>
          <cell r="W1129">
            <v>42</v>
          </cell>
        </row>
        <row r="1130">
          <cell r="A1130">
            <v>330</v>
          </cell>
          <cell r="B1130" t="str">
            <v>000330</v>
          </cell>
          <cell r="C1130" t="str">
            <v>NURUL AIN</v>
          </cell>
          <cell r="D1130" t="str">
            <v>SAMI</v>
          </cell>
          <cell r="E1130" t="str">
            <v>OPT-9</v>
          </cell>
          <cell r="F1130">
            <v>37725</v>
          </cell>
          <cell r="G1130" t="str">
            <v>-</v>
          </cell>
          <cell r="H1130" t="str">
            <v>-</v>
          </cell>
          <cell r="I1130" t="str">
            <v>PRD</v>
          </cell>
          <cell r="J1130" t="str">
            <v>FINAL ASSY</v>
          </cell>
          <cell r="K1130" t="str">
            <v>TOYOTA</v>
          </cell>
          <cell r="L1130" t="str">
            <v>AQUA SIENTA</v>
          </cell>
          <cell r="M1130" t="str">
            <v>CV T01</v>
          </cell>
          <cell r="N1130" t="str">
            <v>OJT S/T 2.1</v>
          </cell>
          <cell r="O1130" t="str">
            <v>OTHERS</v>
          </cell>
          <cell r="P1130" t="str">
            <v>A</v>
          </cell>
          <cell r="Q1130" t="str">
            <v>PI</v>
          </cell>
          <cell r="R1130" t="str">
            <v>PERMANENT</v>
          </cell>
          <cell r="S1130" t="str">
            <v>PRM</v>
          </cell>
          <cell r="T1130" t="str">
            <v>OPT</v>
          </cell>
          <cell r="U1130" t="str">
            <v>-</v>
          </cell>
          <cell r="V1130" t="str">
            <v>P</v>
          </cell>
          <cell r="W1130">
            <v>41</v>
          </cell>
        </row>
        <row r="1131">
          <cell r="A1131">
            <v>1037</v>
          </cell>
          <cell r="B1131" t="str">
            <v>001037</v>
          </cell>
          <cell r="C1131" t="str">
            <v>SUKAMTI</v>
          </cell>
          <cell r="D1131" t="str">
            <v>SAMI</v>
          </cell>
          <cell r="E1131" t="str">
            <v>OPT-26</v>
          </cell>
          <cell r="F1131">
            <v>37879</v>
          </cell>
          <cell r="G1131" t="str">
            <v>-</v>
          </cell>
          <cell r="H1131" t="str">
            <v>-</v>
          </cell>
          <cell r="I1131" t="str">
            <v>PRD</v>
          </cell>
          <cell r="J1131" t="str">
            <v>FINAL ASSY</v>
          </cell>
          <cell r="K1131" t="str">
            <v>TOYOTA</v>
          </cell>
          <cell r="L1131" t="str">
            <v>AQUA SIENTA</v>
          </cell>
          <cell r="M1131" t="str">
            <v>CV T01</v>
          </cell>
          <cell r="N1131" t="str">
            <v>OJT VISUAL 1.1</v>
          </cell>
          <cell r="O1131" t="str">
            <v>OTHERS</v>
          </cell>
          <cell r="P1131" t="str">
            <v>A</v>
          </cell>
          <cell r="Q1131" t="str">
            <v>PI</v>
          </cell>
          <cell r="R1131" t="str">
            <v>PERMANENT</v>
          </cell>
          <cell r="S1131" t="str">
            <v>PRM</v>
          </cell>
          <cell r="T1131" t="str">
            <v>OPT</v>
          </cell>
          <cell r="U1131" t="str">
            <v>-</v>
          </cell>
          <cell r="V1131" t="str">
            <v>P</v>
          </cell>
          <cell r="W1131">
            <v>39</v>
          </cell>
        </row>
        <row r="1132">
          <cell r="A1132">
            <v>12470</v>
          </cell>
          <cell r="B1132" t="str">
            <v>012470</v>
          </cell>
          <cell r="C1132" t="str">
            <v>IKKA PRASETIYOWATI</v>
          </cell>
          <cell r="D1132" t="str">
            <v>SAMI</v>
          </cell>
          <cell r="E1132" t="str">
            <v>OPT-318</v>
          </cell>
          <cell r="F1132">
            <v>40812</v>
          </cell>
          <cell r="G1132" t="str">
            <v>-</v>
          </cell>
          <cell r="H1132" t="str">
            <v>-</v>
          </cell>
          <cell r="I1132" t="str">
            <v>PRD</v>
          </cell>
          <cell r="J1132" t="str">
            <v>FINAL ASSY</v>
          </cell>
          <cell r="K1132" t="str">
            <v>HONDA FREED</v>
          </cell>
          <cell r="L1132" t="str">
            <v>HONDA FREED W/H FLOOR</v>
          </cell>
          <cell r="M1132" t="str">
            <v>CV 4</v>
          </cell>
          <cell r="N1132" t="str">
            <v>VISUAL 1.2</v>
          </cell>
          <cell r="O1132" t="str">
            <v>VISUAL INSPECTION</v>
          </cell>
          <cell r="P1132" t="str">
            <v>B</v>
          </cell>
          <cell r="Q1132" t="str">
            <v>DL</v>
          </cell>
          <cell r="R1132" t="str">
            <v>PERMANENT</v>
          </cell>
          <cell r="S1132" t="str">
            <v>PRM</v>
          </cell>
          <cell r="T1132" t="str">
            <v>OPT</v>
          </cell>
          <cell r="U1132" t="str">
            <v>-</v>
          </cell>
          <cell r="V1132" t="str">
            <v>P</v>
          </cell>
          <cell r="W1132">
            <v>33</v>
          </cell>
        </row>
        <row r="1133">
          <cell r="A1133">
            <v>1265</v>
          </cell>
          <cell r="B1133" t="str">
            <v>001265</v>
          </cell>
          <cell r="C1133" t="str">
            <v>TITIK ROKHMAYANTI</v>
          </cell>
          <cell r="D1133" t="str">
            <v>SAMI</v>
          </cell>
          <cell r="E1133" t="str">
            <v>OPT-31</v>
          </cell>
          <cell r="F1133">
            <v>37921</v>
          </cell>
          <cell r="G1133" t="str">
            <v>-</v>
          </cell>
          <cell r="H1133" t="str">
            <v>-</v>
          </cell>
          <cell r="I1133" t="str">
            <v>PRD</v>
          </cell>
          <cell r="J1133" t="str">
            <v>FINAL ASSY</v>
          </cell>
          <cell r="K1133" t="str">
            <v>TOYOTA</v>
          </cell>
          <cell r="L1133" t="str">
            <v>AQUA SIENTA</v>
          </cell>
          <cell r="M1133" t="str">
            <v>CV T01</v>
          </cell>
          <cell r="N1133" t="str">
            <v>OJT VISUAL 2.1</v>
          </cell>
          <cell r="O1133" t="str">
            <v>OTHERS</v>
          </cell>
          <cell r="P1133" t="str">
            <v>A</v>
          </cell>
          <cell r="Q1133" t="str">
            <v>PI</v>
          </cell>
          <cell r="R1133" t="str">
            <v>PERMANENT</v>
          </cell>
          <cell r="S1133" t="str">
            <v>PRM</v>
          </cell>
          <cell r="T1133" t="str">
            <v>OPT</v>
          </cell>
          <cell r="U1133" t="str">
            <v>-</v>
          </cell>
          <cell r="V1133" t="str">
            <v>P</v>
          </cell>
          <cell r="W1133">
            <v>40</v>
          </cell>
        </row>
        <row r="1134">
          <cell r="A1134">
            <v>4401</v>
          </cell>
          <cell r="B1134" t="str">
            <v>004401</v>
          </cell>
          <cell r="C1134" t="str">
            <v>ALVI HERIYANTI</v>
          </cell>
          <cell r="D1134" t="str">
            <v>SAMI</v>
          </cell>
          <cell r="E1134" t="str">
            <v>OPT-108</v>
          </cell>
          <cell r="F1134">
            <v>38754</v>
          </cell>
          <cell r="G1134" t="str">
            <v>-</v>
          </cell>
          <cell r="H1134" t="str">
            <v>-</v>
          </cell>
          <cell r="I1134" t="str">
            <v>PRD</v>
          </cell>
          <cell r="J1134" t="str">
            <v>FINAL ASSY</v>
          </cell>
          <cell r="K1134" t="str">
            <v>TOYOTA</v>
          </cell>
          <cell r="L1134" t="str">
            <v>AQUA SIENTA</v>
          </cell>
          <cell r="M1134" t="str">
            <v>CV T01</v>
          </cell>
          <cell r="N1134" t="str">
            <v>OJT VISUAL 2.2</v>
          </cell>
          <cell r="O1134" t="str">
            <v>OTHERS</v>
          </cell>
          <cell r="P1134" t="str">
            <v>A</v>
          </cell>
          <cell r="Q1134" t="str">
            <v>PI</v>
          </cell>
          <cell r="R1134" t="str">
            <v>PERMANENT</v>
          </cell>
          <cell r="S1134" t="str">
            <v>PRM</v>
          </cell>
          <cell r="T1134" t="str">
            <v>OPT</v>
          </cell>
          <cell r="U1134" t="str">
            <v>-</v>
          </cell>
          <cell r="V1134" t="str">
            <v>P</v>
          </cell>
          <cell r="W1134">
            <v>39</v>
          </cell>
        </row>
        <row r="1135">
          <cell r="A1135">
            <v>5962</v>
          </cell>
          <cell r="B1135" t="str">
            <v>005962</v>
          </cell>
          <cell r="C1135" t="str">
            <v>WARSITI</v>
          </cell>
          <cell r="D1135" t="str">
            <v>SAMI</v>
          </cell>
          <cell r="E1135" t="str">
            <v>OPT-137</v>
          </cell>
          <cell r="F1135">
            <v>39129</v>
          </cell>
          <cell r="G1135" t="str">
            <v>-</v>
          </cell>
          <cell r="H1135" t="str">
            <v>-</v>
          </cell>
          <cell r="I1135" t="str">
            <v>PRD</v>
          </cell>
          <cell r="J1135" t="str">
            <v>FINAL ASSY</v>
          </cell>
          <cell r="K1135" t="str">
            <v>TOYOTA</v>
          </cell>
          <cell r="L1135" t="str">
            <v>AQUA SIENTA</v>
          </cell>
          <cell r="M1135" t="str">
            <v>CV T01</v>
          </cell>
          <cell r="N1135" t="str">
            <v>OJT S/A 2.1</v>
          </cell>
          <cell r="O1135" t="str">
            <v>OTHERS</v>
          </cell>
          <cell r="P1135" t="str">
            <v>A</v>
          </cell>
          <cell r="Q1135" t="str">
            <v>PI</v>
          </cell>
          <cell r="R1135" t="str">
            <v>PERMANENT</v>
          </cell>
          <cell r="S1135" t="str">
            <v>PRM</v>
          </cell>
          <cell r="T1135" t="str">
            <v>OPT</v>
          </cell>
          <cell r="U1135" t="str">
            <v>-</v>
          </cell>
          <cell r="V1135" t="str">
            <v>P</v>
          </cell>
          <cell r="W1135">
            <v>41</v>
          </cell>
        </row>
        <row r="1136">
          <cell r="A1136">
            <v>12483</v>
          </cell>
          <cell r="B1136" t="str">
            <v>012483</v>
          </cell>
          <cell r="C1136" t="str">
            <v>LAYLI NURHAYATI</v>
          </cell>
          <cell r="D1136" t="str">
            <v>SAMI</v>
          </cell>
          <cell r="E1136" t="str">
            <v>OPT-318</v>
          </cell>
          <cell r="F1136">
            <v>40812</v>
          </cell>
          <cell r="G1136" t="str">
            <v>-</v>
          </cell>
          <cell r="H1136" t="str">
            <v>-</v>
          </cell>
          <cell r="I1136" t="str">
            <v>PRD</v>
          </cell>
          <cell r="J1136" t="str">
            <v>FINAL ASSY</v>
          </cell>
          <cell r="K1136" t="str">
            <v>TOYOTA</v>
          </cell>
          <cell r="L1136" t="str">
            <v>AQUA SIENTA</v>
          </cell>
          <cell r="M1136" t="str">
            <v>CV T02</v>
          </cell>
          <cell r="N1136" t="str">
            <v>OJT VISUAL 1.1</v>
          </cell>
          <cell r="O1136" t="str">
            <v>OTHERS</v>
          </cell>
          <cell r="P1136" t="str">
            <v>B</v>
          </cell>
          <cell r="Q1136" t="str">
            <v>PI</v>
          </cell>
          <cell r="R1136" t="str">
            <v>PERMANENT</v>
          </cell>
          <cell r="S1136" t="str">
            <v>PRM</v>
          </cell>
          <cell r="T1136" t="str">
            <v>OPT</v>
          </cell>
          <cell r="U1136" t="str">
            <v>-</v>
          </cell>
          <cell r="V1136" t="str">
            <v>P</v>
          </cell>
          <cell r="W1136">
            <v>35</v>
          </cell>
        </row>
        <row r="1137">
          <cell r="A1137">
            <v>6149</v>
          </cell>
          <cell r="B1137" t="str">
            <v>006149</v>
          </cell>
          <cell r="C1137" t="str">
            <v>NUR CHASANAH</v>
          </cell>
          <cell r="D1137" t="str">
            <v>SAMI</v>
          </cell>
          <cell r="E1137" t="str">
            <v>OPT-140</v>
          </cell>
          <cell r="F1137">
            <v>39157</v>
          </cell>
          <cell r="G1137" t="str">
            <v>-</v>
          </cell>
          <cell r="H1137" t="str">
            <v>-</v>
          </cell>
          <cell r="I1137" t="str">
            <v>PRD</v>
          </cell>
          <cell r="J1137" t="str">
            <v>FINAL ASSY</v>
          </cell>
          <cell r="K1137" t="str">
            <v>TOYOTA</v>
          </cell>
          <cell r="L1137" t="str">
            <v>AQUA SIENTA</v>
          </cell>
          <cell r="M1137" t="str">
            <v>CV T01</v>
          </cell>
          <cell r="N1137" t="str">
            <v>OJT T/P 8</v>
          </cell>
          <cell r="O1137" t="str">
            <v>OTHERS</v>
          </cell>
          <cell r="P1137" t="str">
            <v>A</v>
          </cell>
          <cell r="Q1137" t="str">
            <v>PI</v>
          </cell>
          <cell r="R1137" t="str">
            <v>PERMANENT</v>
          </cell>
          <cell r="S1137" t="str">
            <v>PRM</v>
          </cell>
          <cell r="T1137" t="str">
            <v>OPT</v>
          </cell>
          <cell r="U1137" t="str">
            <v>-</v>
          </cell>
          <cell r="V1137" t="str">
            <v>P</v>
          </cell>
          <cell r="W1137">
            <v>38</v>
          </cell>
        </row>
        <row r="1138">
          <cell r="A1138">
            <v>12485</v>
          </cell>
          <cell r="B1138" t="str">
            <v>012485</v>
          </cell>
          <cell r="C1138" t="str">
            <v>LULUK KUSMAWATI</v>
          </cell>
          <cell r="D1138" t="str">
            <v>SAMI</v>
          </cell>
          <cell r="E1138" t="str">
            <v>OPT-318</v>
          </cell>
          <cell r="F1138">
            <v>40812</v>
          </cell>
          <cell r="G1138" t="str">
            <v>-</v>
          </cell>
          <cell r="H1138" t="str">
            <v>-</v>
          </cell>
          <cell r="I1138" t="str">
            <v>PRD</v>
          </cell>
          <cell r="J1138" t="str">
            <v>FINAL ASSY</v>
          </cell>
          <cell r="K1138" t="str">
            <v>SUZUKI WAGON R</v>
          </cell>
          <cell r="L1138" t="str">
            <v>DOOR/DOOM</v>
          </cell>
          <cell r="M1138" t="str">
            <v>CV S03</v>
          </cell>
          <cell r="N1138" t="str">
            <v>VISUAL 1.2</v>
          </cell>
          <cell r="O1138" t="str">
            <v>VISUAL INSPECTION</v>
          </cell>
          <cell r="P1138" t="str">
            <v>B</v>
          </cell>
          <cell r="Q1138" t="str">
            <v>DL</v>
          </cell>
          <cell r="R1138" t="str">
            <v>PERMANENT</v>
          </cell>
          <cell r="S1138" t="str">
            <v>PRM</v>
          </cell>
          <cell r="T1138" t="str">
            <v>OPT</v>
          </cell>
          <cell r="U1138" t="str">
            <v>-</v>
          </cell>
          <cell r="V1138" t="str">
            <v>P</v>
          </cell>
          <cell r="W1138">
            <v>30</v>
          </cell>
        </row>
        <row r="1139">
          <cell r="A1139">
            <v>12499</v>
          </cell>
          <cell r="B1139" t="str">
            <v>012499</v>
          </cell>
          <cell r="C1139" t="str">
            <v>NOVIA SARI</v>
          </cell>
          <cell r="D1139" t="str">
            <v>SAMI</v>
          </cell>
          <cell r="E1139" t="str">
            <v>OPT-318</v>
          </cell>
          <cell r="F1139">
            <v>40812</v>
          </cell>
          <cell r="G1139" t="str">
            <v>-</v>
          </cell>
          <cell r="H1139" t="str">
            <v>-</v>
          </cell>
          <cell r="I1139" t="str">
            <v>PRD</v>
          </cell>
          <cell r="J1139" t="str">
            <v>FINAL ASSY</v>
          </cell>
          <cell r="K1139" t="str">
            <v>TOYOTA HV</v>
          </cell>
          <cell r="L1139" t="str">
            <v>HV TOYOTA 858W 874W BBM</v>
          </cell>
          <cell r="M1139" t="str">
            <v>CV HV 15</v>
          </cell>
          <cell r="N1139" t="str">
            <v>LQC</v>
          </cell>
          <cell r="O1139" t="str">
            <v>RELIEF</v>
          </cell>
          <cell r="P1139" t="str">
            <v>B</v>
          </cell>
          <cell r="Q1139" t="str">
            <v>PI</v>
          </cell>
          <cell r="R1139" t="str">
            <v>PERMANENT</v>
          </cell>
          <cell r="S1139" t="str">
            <v>PRM</v>
          </cell>
          <cell r="T1139" t="str">
            <v>PJK</v>
          </cell>
          <cell r="U1139" t="str">
            <v>-</v>
          </cell>
          <cell r="V1139" t="str">
            <v>P</v>
          </cell>
          <cell r="W1139">
            <v>32</v>
          </cell>
        </row>
        <row r="1140">
          <cell r="A1140">
            <v>12500</v>
          </cell>
          <cell r="B1140" t="str">
            <v>012500</v>
          </cell>
          <cell r="C1140" t="str">
            <v>NOVIANI ANISA PUTRI</v>
          </cell>
          <cell r="D1140" t="str">
            <v>SAMI</v>
          </cell>
          <cell r="E1140" t="str">
            <v>OPT-318</v>
          </cell>
          <cell r="F1140">
            <v>40812</v>
          </cell>
          <cell r="G1140" t="str">
            <v>-</v>
          </cell>
          <cell r="H1140" t="str">
            <v>-</v>
          </cell>
          <cell r="I1140" t="str">
            <v>OTHERS</v>
          </cell>
          <cell r="J1140" t="str">
            <v>AT HOME</v>
          </cell>
          <cell r="K1140" t="str">
            <v>ALL</v>
          </cell>
          <cell r="L1140" t="str">
            <v>ALL</v>
          </cell>
          <cell r="M1140" t="str">
            <v>AT HOME</v>
          </cell>
          <cell r="N1140" t="str">
            <v>CUTI DI LUAR TANGGUNGAN</v>
          </cell>
          <cell r="O1140" t="str">
            <v>OTHERS IDL</v>
          </cell>
          <cell r="P1140" t="str">
            <v>-</v>
          </cell>
          <cell r="Q1140" t="str">
            <v>ADM</v>
          </cell>
          <cell r="R1140" t="str">
            <v>PERMANENT</v>
          </cell>
          <cell r="S1140" t="str">
            <v>PRM</v>
          </cell>
          <cell r="T1140" t="str">
            <v>OPT</v>
          </cell>
          <cell r="U1140" t="str">
            <v>-</v>
          </cell>
          <cell r="V1140" t="str">
            <v>P</v>
          </cell>
          <cell r="W1140">
            <v>31</v>
          </cell>
        </row>
        <row r="1141">
          <cell r="A1141">
            <v>12506</v>
          </cell>
          <cell r="B1141" t="str">
            <v>012506</v>
          </cell>
          <cell r="C1141" t="str">
            <v>NUR LAILY FARIKHA</v>
          </cell>
          <cell r="D1141" t="str">
            <v>SAMI</v>
          </cell>
          <cell r="E1141" t="str">
            <v>OPT-318</v>
          </cell>
          <cell r="F1141">
            <v>40812</v>
          </cell>
          <cell r="G1141" t="str">
            <v>-</v>
          </cell>
          <cell r="H1141" t="str">
            <v>-</v>
          </cell>
          <cell r="I1141" t="str">
            <v>QA</v>
          </cell>
          <cell r="J1141" t="str">
            <v>FINAL ASSY</v>
          </cell>
          <cell r="K1141" t="str">
            <v>HONDA NES</v>
          </cell>
          <cell r="L1141" t="str">
            <v>HONDA NES HEV PET ENGINE</v>
          </cell>
          <cell r="M1141" t="str">
            <v>CV H03</v>
          </cell>
          <cell r="N1141" t="str">
            <v>DC</v>
          </cell>
          <cell r="O1141" t="str">
            <v>DC</v>
          </cell>
          <cell r="P1141" t="str">
            <v>B</v>
          </cell>
          <cell r="Q1141" t="str">
            <v>PI</v>
          </cell>
          <cell r="R1141" t="str">
            <v>PERMANENT</v>
          </cell>
          <cell r="S1141" t="str">
            <v>PRM</v>
          </cell>
          <cell r="T1141" t="str">
            <v>OPT</v>
          </cell>
          <cell r="U1141" t="str">
            <v>-</v>
          </cell>
          <cell r="V1141" t="str">
            <v>P</v>
          </cell>
          <cell r="W1141">
            <v>31</v>
          </cell>
        </row>
        <row r="1142">
          <cell r="A1142">
            <v>12508</v>
          </cell>
          <cell r="B1142" t="str">
            <v>012508</v>
          </cell>
          <cell r="C1142" t="str">
            <v>NURAENI</v>
          </cell>
          <cell r="D1142" t="str">
            <v>SAMI</v>
          </cell>
          <cell r="E1142" t="str">
            <v>OPT-318</v>
          </cell>
          <cell r="F1142">
            <v>40812</v>
          </cell>
          <cell r="G1142" t="str">
            <v>-</v>
          </cell>
          <cell r="H1142" t="str">
            <v>-</v>
          </cell>
          <cell r="I1142" t="str">
            <v>PRD</v>
          </cell>
          <cell r="J1142" t="str">
            <v>FINAL ASSY</v>
          </cell>
          <cell r="K1142" t="str">
            <v>MAZDA 3</v>
          </cell>
          <cell r="L1142" t="str">
            <v>MAZDA REAR</v>
          </cell>
          <cell r="M1142" t="str">
            <v>CV M01</v>
          </cell>
          <cell r="N1142" t="str">
            <v>RELIEF 2</v>
          </cell>
          <cell r="O1142" t="str">
            <v>RELIEF</v>
          </cell>
          <cell r="P1142" t="str">
            <v>B</v>
          </cell>
          <cell r="Q1142" t="str">
            <v>PI</v>
          </cell>
          <cell r="R1142" t="str">
            <v>PERMANENT</v>
          </cell>
          <cell r="S1142" t="str">
            <v>PRM</v>
          </cell>
          <cell r="T1142" t="str">
            <v>OPT</v>
          </cell>
          <cell r="U1142" t="str">
            <v>-</v>
          </cell>
          <cell r="V1142" t="str">
            <v>P</v>
          </cell>
          <cell r="W1142">
            <v>32</v>
          </cell>
        </row>
        <row r="1143">
          <cell r="A1143">
            <v>12509</v>
          </cell>
          <cell r="B1143" t="str">
            <v>012509</v>
          </cell>
          <cell r="C1143" t="str">
            <v>NURHAYATI</v>
          </cell>
          <cell r="D1143" t="str">
            <v>SAMI</v>
          </cell>
          <cell r="E1143" t="str">
            <v>OPT-318</v>
          </cell>
          <cell r="F1143">
            <v>40812</v>
          </cell>
          <cell r="G1143" t="str">
            <v>-</v>
          </cell>
          <cell r="H1143" t="str">
            <v>-</v>
          </cell>
          <cell r="I1143" t="str">
            <v>PRD</v>
          </cell>
          <cell r="J1143" t="str">
            <v>FINAL ASSY</v>
          </cell>
          <cell r="K1143" t="str">
            <v>TOYOTA HV</v>
          </cell>
          <cell r="L1143" t="str">
            <v xml:space="preserve">HV TOYOTA AC </v>
          </cell>
          <cell r="M1143" t="str">
            <v>CV HV 10A</v>
          </cell>
          <cell r="N1143" t="str">
            <v>BFT 1</v>
          </cell>
          <cell r="O1143" t="str">
            <v>ASSEMBLY</v>
          </cell>
          <cell r="P1143" t="str">
            <v>B</v>
          </cell>
          <cell r="Q1143" t="str">
            <v>DL</v>
          </cell>
          <cell r="R1143" t="str">
            <v>PERMANENT</v>
          </cell>
          <cell r="S1143" t="str">
            <v>PRM</v>
          </cell>
          <cell r="T1143" t="str">
            <v>OPT</v>
          </cell>
          <cell r="U1143" t="str">
            <v>-</v>
          </cell>
          <cell r="V1143" t="str">
            <v>P</v>
          </cell>
          <cell r="W1143">
            <v>31</v>
          </cell>
        </row>
        <row r="1144">
          <cell r="A1144">
            <v>12514</v>
          </cell>
          <cell r="B1144" t="str">
            <v>012514</v>
          </cell>
          <cell r="C1144" t="str">
            <v>OKTAVIA IKA SUDARWATI</v>
          </cell>
          <cell r="D1144" t="str">
            <v>SAMI</v>
          </cell>
          <cell r="E1144" t="str">
            <v>OPT-318</v>
          </cell>
          <cell r="F1144">
            <v>40812</v>
          </cell>
          <cell r="G1144" t="str">
            <v>-</v>
          </cell>
          <cell r="H1144" t="str">
            <v>-</v>
          </cell>
          <cell r="I1144" t="str">
            <v>OTHERS</v>
          </cell>
          <cell r="J1144" t="str">
            <v>TRN @ OVERSEAS</v>
          </cell>
          <cell r="K1144" t="str">
            <v>ALL</v>
          </cell>
          <cell r="L1144" t="str">
            <v>ALL</v>
          </cell>
          <cell r="M1144" t="str">
            <v>TRN @ OVERSEAS - TCS 9</v>
          </cell>
          <cell r="N1144" t="str">
            <v>TRN @ OVERSEAS</v>
          </cell>
          <cell r="O1144" t="str">
            <v>OTHERS IDL</v>
          </cell>
          <cell r="P1144" t="str">
            <v>A (NS)</v>
          </cell>
          <cell r="Q1144" t="str">
            <v>ADM</v>
          </cell>
          <cell r="R1144" t="str">
            <v>PERMANENT</v>
          </cell>
          <cell r="S1144" t="str">
            <v>PRM</v>
          </cell>
          <cell r="T1144" t="str">
            <v>OPT</v>
          </cell>
          <cell r="U1144" t="str">
            <v>-</v>
          </cell>
          <cell r="V1144" t="str">
            <v>P</v>
          </cell>
          <cell r="W1144">
            <v>32</v>
          </cell>
        </row>
        <row r="1145">
          <cell r="A1145">
            <v>12521</v>
          </cell>
          <cell r="B1145" t="str">
            <v>012521</v>
          </cell>
          <cell r="C1145" t="str">
            <v>RITA YULIYANTI</v>
          </cell>
          <cell r="D1145" t="str">
            <v>SAMI</v>
          </cell>
          <cell r="E1145" t="str">
            <v>OPT-318</v>
          </cell>
          <cell r="F1145">
            <v>40812</v>
          </cell>
          <cell r="G1145" t="str">
            <v>-</v>
          </cell>
          <cell r="H1145" t="str">
            <v>-</v>
          </cell>
          <cell r="I1145" t="str">
            <v>PRD</v>
          </cell>
          <cell r="J1145" t="str">
            <v>FINAL ASSY</v>
          </cell>
          <cell r="K1145" t="str">
            <v>HONDA BBP</v>
          </cell>
          <cell r="L1145" t="str">
            <v>HV HONDA 30B</v>
          </cell>
          <cell r="M1145" t="str">
            <v>CV HV 11B</v>
          </cell>
          <cell r="N1145" t="str">
            <v>VISUAL 2 131, 132</v>
          </cell>
          <cell r="O1145" t="str">
            <v>VISUAL INSPECTION</v>
          </cell>
          <cell r="P1145" t="str">
            <v>B</v>
          </cell>
          <cell r="Q1145" t="str">
            <v>DL</v>
          </cell>
          <cell r="R1145" t="str">
            <v>PERMANENT</v>
          </cell>
          <cell r="S1145" t="str">
            <v>PRM</v>
          </cell>
          <cell r="T1145" t="str">
            <v>OPT</v>
          </cell>
          <cell r="U1145" t="str">
            <v>-</v>
          </cell>
          <cell r="V1145" t="str">
            <v>P</v>
          </cell>
          <cell r="W1145">
            <v>32</v>
          </cell>
        </row>
        <row r="1146">
          <cell r="A1146">
            <v>8771</v>
          </cell>
          <cell r="B1146" t="str">
            <v>008771</v>
          </cell>
          <cell r="C1146" t="str">
            <v>JAMINAH</v>
          </cell>
          <cell r="D1146" t="str">
            <v>SAMI</v>
          </cell>
          <cell r="E1146" t="str">
            <v>OPT-194</v>
          </cell>
          <cell r="F1146">
            <v>39931</v>
          </cell>
          <cell r="G1146" t="str">
            <v>-</v>
          </cell>
          <cell r="H1146" t="str">
            <v>-</v>
          </cell>
          <cell r="I1146" t="str">
            <v>PRD</v>
          </cell>
          <cell r="J1146" t="str">
            <v>FINAL ASSY</v>
          </cell>
          <cell r="K1146" t="str">
            <v>TOYOTA</v>
          </cell>
          <cell r="L1146" t="str">
            <v>AQUA SIENTA</v>
          </cell>
          <cell r="M1146" t="str">
            <v>CV T01</v>
          </cell>
          <cell r="N1146" t="str">
            <v>PRD LINE CHO</v>
          </cell>
          <cell r="O1146" t="str">
            <v>FPI LL</v>
          </cell>
          <cell r="P1146" t="str">
            <v>A</v>
          </cell>
          <cell r="Q1146" t="str">
            <v>PI</v>
          </cell>
          <cell r="R1146" t="str">
            <v>PERMANENT</v>
          </cell>
          <cell r="S1146" t="str">
            <v>PRM</v>
          </cell>
          <cell r="T1146" t="str">
            <v>LC</v>
          </cell>
          <cell r="U1146" t="str">
            <v>-</v>
          </cell>
          <cell r="V1146" t="str">
            <v>P</v>
          </cell>
          <cell r="W1146">
            <v>35</v>
          </cell>
        </row>
        <row r="1147">
          <cell r="A1147">
            <v>12530</v>
          </cell>
          <cell r="B1147" t="str">
            <v>012530</v>
          </cell>
          <cell r="C1147" t="str">
            <v>SITI ALIYAH</v>
          </cell>
          <cell r="D1147" t="str">
            <v>SAMI</v>
          </cell>
          <cell r="E1147" t="str">
            <v>OPT-318</v>
          </cell>
          <cell r="F1147">
            <v>40812</v>
          </cell>
          <cell r="G1147" t="str">
            <v>-</v>
          </cell>
          <cell r="H1147" t="str">
            <v>-</v>
          </cell>
          <cell r="I1147" t="str">
            <v>PRD</v>
          </cell>
          <cell r="J1147" t="str">
            <v>PRE ASSY</v>
          </cell>
          <cell r="K1147" t="str">
            <v>HONDA BBP</v>
          </cell>
          <cell r="L1147" t="str">
            <v>HV HONDA 5JLA BBP</v>
          </cell>
          <cell r="M1147" t="str">
            <v>CPA HONDA HV</v>
          </cell>
          <cell r="N1147" t="str">
            <v>INSP CUTTING</v>
          </cell>
          <cell r="O1147" t="str">
            <v>P/A INSPECTOR</v>
          </cell>
          <cell r="P1147" t="str">
            <v>B</v>
          </cell>
          <cell r="Q1147" t="str">
            <v>PI</v>
          </cell>
          <cell r="R1147" t="str">
            <v>PERMANENT</v>
          </cell>
          <cell r="S1147" t="str">
            <v>PRM</v>
          </cell>
          <cell r="T1147" t="str">
            <v>OPT</v>
          </cell>
          <cell r="U1147" t="str">
            <v>-</v>
          </cell>
          <cell r="V1147" t="str">
            <v>P</v>
          </cell>
          <cell r="W1147">
            <v>33</v>
          </cell>
        </row>
        <row r="1148">
          <cell r="A1148">
            <v>12536</v>
          </cell>
          <cell r="B1148" t="str">
            <v>012536</v>
          </cell>
          <cell r="C1148" t="str">
            <v>SITI MUSTOIFAH</v>
          </cell>
          <cell r="D1148" t="str">
            <v>SAMI</v>
          </cell>
          <cell r="E1148" t="str">
            <v>OPT-318</v>
          </cell>
          <cell r="F1148">
            <v>40812</v>
          </cell>
          <cell r="G1148" t="str">
            <v>-</v>
          </cell>
          <cell r="H1148" t="str">
            <v>-</v>
          </cell>
          <cell r="I1148" t="str">
            <v>PRD</v>
          </cell>
          <cell r="J1148" t="str">
            <v>PRE ASSY</v>
          </cell>
          <cell r="K1148" t="str">
            <v>HONDA NES</v>
          </cell>
          <cell r="L1148" t="str">
            <v>HONDA NES</v>
          </cell>
          <cell r="M1148" t="str">
            <v>CPA HONDA NES HEV/PET</v>
          </cell>
          <cell r="N1148" t="str">
            <v>BFT</v>
          </cell>
          <cell r="O1148" t="str">
            <v>WFAP 2.2</v>
          </cell>
          <cell r="P1148" t="str">
            <v>B</v>
          </cell>
          <cell r="Q1148" t="str">
            <v>DL</v>
          </cell>
          <cell r="R1148" t="str">
            <v>PERMANENT</v>
          </cell>
          <cell r="S1148" t="str">
            <v>PRM</v>
          </cell>
          <cell r="T1148" t="str">
            <v>OPT</v>
          </cell>
          <cell r="U1148" t="str">
            <v>-</v>
          </cell>
          <cell r="V1148" t="str">
            <v>P</v>
          </cell>
          <cell r="W1148">
            <v>34</v>
          </cell>
        </row>
        <row r="1149">
          <cell r="A1149">
            <v>12538</v>
          </cell>
          <cell r="B1149" t="str">
            <v>012538</v>
          </cell>
          <cell r="C1149" t="str">
            <v>SITI ROHMATUN</v>
          </cell>
          <cell r="D1149" t="str">
            <v>SAMI</v>
          </cell>
          <cell r="E1149" t="str">
            <v>OPT-318</v>
          </cell>
          <cell r="F1149">
            <v>40812</v>
          </cell>
          <cell r="G1149" t="str">
            <v>-</v>
          </cell>
          <cell r="H1149" t="str">
            <v>-</v>
          </cell>
          <cell r="I1149" t="str">
            <v>PRD</v>
          </cell>
          <cell r="J1149" t="str">
            <v>FINAL ASSY</v>
          </cell>
          <cell r="K1149" t="str">
            <v>HONDA FREED</v>
          </cell>
          <cell r="L1149" t="str">
            <v>HONDA FREED W/H FLOOR</v>
          </cell>
          <cell r="M1149" t="str">
            <v>CV 4</v>
          </cell>
          <cell r="N1149" t="str">
            <v>VISUAL 1.3</v>
          </cell>
          <cell r="O1149" t="str">
            <v>VISUAL INSPECTION</v>
          </cell>
          <cell r="P1149" t="str">
            <v>B</v>
          </cell>
          <cell r="Q1149" t="str">
            <v>DL</v>
          </cell>
          <cell r="R1149" t="str">
            <v>PERMANENT</v>
          </cell>
          <cell r="S1149" t="str">
            <v>PRM</v>
          </cell>
          <cell r="T1149" t="str">
            <v>OPT</v>
          </cell>
          <cell r="U1149" t="str">
            <v>-</v>
          </cell>
          <cell r="V1149" t="str">
            <v>P</v>
          </cell>
          <cell r="W1149">
            <v>31</v>
          </cell>
        </row>
        <row r="1150">
          <cell r="A1150">
            <v>12549</v>
          </cell>
          <cell r="B1150" t="str">
            <v>012549</v>
          </cell>
          <cell r="C1150" t="str">
            <v>SULIFAH</v>
          </cell>
          <cell r="D1150" t="str">
            <v>SAMI</v>
          </cell>
          <cell r="E1150" t="str">
            <v>OPT-318</v>
          </cell>
          <cell r="F1150">
            <v>40812</v>
          </cell>
          <cell r="G1150" t="str">
            <v>-</v>
          </cell>
          <cell r="H1150" t="str">
            <v>-</v>
          </cell>
          <cell r="I1150" t="str">
            <v>PRD</v>
          </cell>
          <cell r="J1150" t="str">
            <v>FINAL ASSY</v>
          </cell>
          <cell r="K1150" t="str">
            <v>HONDA FIT</v>
          </cell>
          <cell r="L1150" t="str">
            <v>HONDA FIT HEV PET ENGINE</v>
          </cell>
          <cell r="M1150" t="str">
            <v>CV H02</v>
          </cell>
          <cell r="N1150" t="str">
            <v>CHECKER 3</v>
          </cell>
          <cell r="O1150" t="str">
            <v>ELECTRICAL INSPECTION</v>
          </cell>
          <cell r="P1150" t="str">
            <v>B</v>
          </cell>
          <cell r="Q1150" t="str">
            <v>DL</v>
          </cell>
          <cell r="R1150" t="str">
            <v>PERMANENT</v>
          </cell>
          <cell r="S1150" t="str">
            <v>PRM</v>
          </cell>
          <cell r="T1150" t="str">
            <v>OPT</v>
          </cell>
          <cell r="U1150" t="str">
            <v>-</v>
          </cell>
          <cell r="V1150" t="str">
            <v>P</v>
          </cell>
          <cell r="W1150">
            <v>37</v>
          </cell>
        </row>
        <row r="1151">
          <cell r="A1151">
            <v>12556</v>
          </cell>
          <cell r="B1151" t="str">
            <v>012556</v>
          </cell>
          <cell r="C1151" t="str">
            <v>TITIK NOVIANTI</v>
          </cell>
          <cell r="D1151" t="str">
            <v>SAMI</v>
          </cell>
          <cell r="E1151" t="str">
            <v>OPT-318</v>
          </cell>
          <cell r="F1151">
            <v>40812</v>
          </cell>
          <cell r="G1151" t="str">
            <v>-</v>
          </cell>
          <cell r="H1151" t="str">
            <v>-</v>
          </cell>
          <cell r="I1151" t="str">
            <v>PRD</v>
          </cell>
          <cell r="J1151" t="str">
            <v>FINAL ASSY</v>
          </cell>
          <cell r="K1151" t="str">
            <v>TOYOTA</v>
          </cell>
          <cell r="L1151" t="str">
            <v>AQUA SIENTA</v>
          </cell>
          <cell r="M1151" t="str">
            <v>CV T01</v>
          </cell>
          <cell r="N1151" t="str">
            <v>LQC</v>
          </cell>
          <cell r="O1151" t="str">
            <v>RELIEF</v>
          </cell>
          <cell r="P1151" t="str">
            <v>B</v>
          </cell>
          <cell r="Q1151" t="str">
            <v>PI</v>
          </cell>
          <cell r="R1151" t="str">
            <v>PERMANENT</v>
          </cell>
          <cell r="S1151" t="str">
            <v>PRM</v>
          </cell>
          <cell r="T1151" t="str">
            <v>PJK</v>
          </cell>
          <cell r="U1151" t="str">
            <v>-</v>
          </cell>
          <cell r="V1151" t="str">
            <v>P</v>
          </cell>
          <cell r="W1151">
            <v>32</v>
          </cell>
        </row>
        <row r="1152">
          <cell r="A1152">
            <v>12562</v>
          </cell>
          <cell r="B1152" t="str">
            <v>012562</v>
          </cell>
          <cell r="C1152" t="str">
            <v>UMMI MUALIFAH</v>
          </cell>
          <cell r="D1152" t="str">
            <v>SAMI</v>
          </cell>
          <cell r="E1152" t="str">
            <v>OPT-318</v>
          </cell>
          <cell r="F1152">
            <v>40812</v>
          </cell>
          <cell r="G1152" t="str">
            <v>-</v>
          </cell>
          <cell r="H1152" t="str">
            <v>-</v>
          </cell>
          <cell r="I1152" t="str">
            <v>PRD</v>
          </cell>
          <cell r="J1152" t="str">
            <v>FINAL ASSY</v>
          </cell>
          <cell r="K1152" t="str">
            <v>MAZDA 3</v>
          </cell>
          <cell r="L1152" t="str">
            <v>MAZDA REAR</v>
          </cell>
          <cell r="M1152" t="str">
            <v>CV M01</v>
          </cell>
          <cell r="N1152" t="str">
            <v>VISUAL 1.1</v>
          </cell>
          <cell r="O1152" t="str">
            <v>VISUAL INSPECTION</v>
          </cell>
          <cell r="P1152" t="str">
            <v>B</v>
          </cell>
          <cell r="Q1152" t="str">
            <v>DL</v>
          </cell>
          <cell r="R1152" t="str">
            <v>PERMANENT</v>
          </cell>
          <cell r="S1152" t="str">
            <v>PRM</v>
          </cell>
          <cell r="T1152" t="str">
            <v>OPT</v>
          </cell>
          <cell r="U1152" t="str">
            <v>-</v>
          </cell>
          <cell r="V1152" t="str">
            <v>P</v>
          </cell>
          <cell r="W1152">
            <v>33</v>
          </cell>
        </row>
        <row r="1153">
          <cell r="A1153">
            <v>12564</v>
          </cell>
          <cell r="B1153" t="str">
            <v>012564</v>
          </cell>
          <cell r="C1153" t="str">
            <v>VITRIANI SETYOWATI</v>
          </cell>
          <cell r="D1153" t="str">
            <v>SAMI</v>
          </cell>
          <cell r="E1153" t="str">
            <v>OPT-318</v>
          </cell>
          <cell r="F1153">
            <v>40812</v>
          </cell>
          <cell r="G1153" t="str">
            <v>-</v>
          </cell>
          <cell r="H1153" t="str">
            <v>-</v>
          </cell>
          <cell r="I1153" t="str">
            <v>PGA</v>
          </cell>
          <cell r="J1153" t="str">
            <v>TRN &amp; MOTO</v>
          </cell>
          <cell r="K1153" t="str">
            <v>ALL</v>
          </cell>
          <cell r="L1153" t="str">
            <v>ALL</v>
          </cell>
          <cell r="M1153" t="str">
            <v>TRN</v>
          </cell>
          <cell r="N1153" t="str">
            <v>TRAINING &amp; 136 RULES</v>
          </cell>
          <cell r="O1153" t="str">
            <v>TRN</v>
          </cell>
          <cell r="P1153" t="str">
            <v>A (NS)</v>
          </cell>
          <cell r="Q1153" t="str">
            <v>ADM</v>
          </cell>
          <cell r="R1153" t="str">
            <v>PERMANENT</v>
          </cell>
          <cell r="S1153" t="str">
            <v>PRM</v>
          </cell>
          <cell r="T1153" t="str">
            <v>GL</v>
          </cell>
          <cell r="U1153" t="str">
            <v>-</v>
          </cell>
          <cell r="V1153" t="str">
            <v>P</v>
          </cell>
          <cell r="W1153">
            <v>33</v>
          </cell>
        </row>
        <row r="1154">
          <cell r="A1154">
            <v>12568</v>
          </cell>
          <cell r="B1154" t="str">
            <v>012568</v>
          </cell>
          <cell r="C1154" t="str">
            <v>WAHYUNINGSIH</v>
          </cell>
          <cell r="D1154" t="str">
            <v>SAMI</v>
          </cell>
          <cell r="E1154" t="str">
            <v>OPT-318</v>
          </cell>
          <cell r="F1154">
            <v>40812</v>
          </cell>
          <cell r="G1154" t="str">
            <v>-</v>
          </cell>
          <cell r="H1154" t="str">
            <v>-</v>
          </cell>
          <cell r="I1154" t="str">
            <v>PRD</v>
          </cell>
          <cell r="J1154" t="str">
            <v>PRE ASSY</v>
          </cell>
          <cell r="K1154" t="str">
            <v>HONDA FIT</v>
          </cell>
          <cell r="L1154" t="str">
            <v>HONDA FIT</v>
          </cell>
          <cell r="M1154" t="str">
            <v>CPA HONDA FIT HEV/PET</v>
          </cell>
          <cell r="N1154" t="str">
            <v>RELIEF 2</v>
          </cell>
          <cell r="O1154" t="str">
            <v>RELIEF</v>
          </cell>
          <cell r="P1154" t="str">
            <v>B</v>
          </cell>
          <cell r="Q1154" t="str">
            <v>PI</v>
          </cell>
          <cell r="R1154" t="str">
            <v>PERMANENT</v>
          </cell>
          <cell r="S1154" t="str">
            <v>PRM</v>
          </cell>
          <cell r="T1154" t="str">
            <v>OPT</v>
          </cell>
          <cell r="U1154" t="str">
            <v>-</v>
          </cell>
          <cell r="V1154" t="str">
            <v>P</v>
          </cell>
          <cell r="W1154">
            <v>37</v>
          </cell>
        </row>
        <row r="1155">
          <cell r="A1155">
            <v>12569</v>
          </cell>
          <cell r="B1155" t="str">
            <v>012569</v>
          </cell>
          <cell r="C1155" t="str">
            <v>WARTINAH</v>
          </cell>
          <cell r="D1155" t="str">
            <v>SAMI</v>
          </cell>
          <cell r="E1155" t="str">
            <v>OPT-318</v>
          </cell>
          <cell r="F1155">
            <v>40812</v>
          </cell>
          <cell r="G1155" t="str">
            <v>-</v>
          </cell>
          <cell r="H1155" t="str">
            <v>-</v>
          </cell>
          <cell r="I1155" t="str">
            <v>PRD</v>
          </cell>
          <cell r="J1155" t="str">
            <v>FINAL ASSY</v>
          </cell>
          <cell r="K1155" t="str">
            <v>MAZDA 3</v>
          </cell>
          <cell r="L1155" t="str">
            <v>MAZDA REAR</v>
          </cell>
          <cell r="M1155" t="str">
            <v>CV M01</v>
          </cell>
          <cell r="N1155" t="str">
            <v>T/P 1.1</v>
          </cell>
          <cell r="O1155" t="str">
            <v>ASSEMBLY</v>
          </cell>
          <cell r="P1155" t="str">
            <v>B</v>
          </cell>
          <cell r="Q1155" t="str">
            <v>DL</v>
          </cell>
          <cell r="R1155" t="str">
            <v>PERMANENT</v>
          </cell>
          <cell r="S1155" t="str">
            <v>PRM</v>
          </cell>
          <cell r="T1155" t="str">
            <v>OPT</v>
          </cell>
          <cell r="U1155" t="str">
            <v>-</v>
          </cell>
          <cell r="V1155" t="str">
            <v>P</v>
          </cell>
          <cell r="W1155">
            <v>32</v>
          </cell>
        </row>
        <row r="1156">
          <cell r="A1156">
            <v>9212</v>
          </cell>
          <cell r="B1156" t="str">
            <v>009212</v>
          </cell>
          <cell r="C1156" t="str">
            <v>SARAS NURAENI</v>
          </cell>
          <cell r="D1156" t="str">
            <v>SAMI</v>
          </cell>
          <cell r="E1156" t="str">
            <v>OPT-216</v>
          </cell>
          <cell r="F1156">
            <v>40008</v>
          </cell>
          <cell r="G1156" t="str">
            <v>-</v>
          </cell>
          <cell r="H1156" t="str">
            <v>-</v>
          </cell>
          <cell r="I1156" t="str">
            <v>PRD</v>
          </cell>
          <cell r="J1156" t="str">
            <v>FINAL ASSY</v>
          </cell>
          <cell r="K1156" t="str">
            <v>TOYOTA</v>
          </cell>
          <cell r="L1156" t="str">
            <v>AQUA SIENTA</v>
          </cell>
          <cell r="M1156" t="str">
            <v>CV T01</v>
          </cell>
          <cell r="N1156" t="str">
            <v>LQC</v>
          </cell>
          <cell r="O1156" t="str">
            <v>RELIEF</v>
          </cell>
          <cell r="P1156" t="str">
            <v>A</v>
          </cell>
          <cell r="Q1156" t="str">
            <v>PI</v>
          </cell>
          <cell r="R1156" t="str">
            <v>PERMANENT</v>
          </cell>
          <cell r="S1156" t="str">
            <v>PRM</v>
          </cell>
          <cell r="T1156" t="str">
            <v>PJK</v>
          </cell>
          <cell r="U1156" t="str">
            <v>-</v>
          </cell>
          <cell r="V1156" t="str">
            <v>P</v>
          </cell>
          <cell r="W1156">
            <v>34</v>
          </cell>
        </row>
        <row r="1157">
          <cell r="A1157">
            <v>12577</v>
          </cell>
          <cell r="B1157" t="str">
            <v>012577</v>
          </cell>
          <cell r="C1157" t="str">
            <v>YUNI RAHMAWATI</v>
          </cell>
          <cell r="D1157" t="str">
            <v>SAMI</v>
          </cell>
          <cell r="E1157" t="str">
            <v>OPT-318</v>
          </cell>
          <cell r="F1157">
            <v>40812</v>
          </cell>
          <cell r="G1157" t="str">
            <v>-</v>
          </cell>
          <cell r="H1157" t="str">
            <v>-</v>
          </cell>
          <cell r="I1157" t="str">
            <v>PRD</v>
          </cell>
          <cell r="J1157" t="str">
            <v>PRE ASSY</v>
          </cell>
          <cell r="K1157" t="str">
            <v>HONDA EXPORT</v>
          </cell>
          <cell r="L1157" t="str">
            <v>HONDA EXPORT</v>
          </cell>
          <cell r="M1157" t="str">
            <v>CPA HONDA EXPORT</v>
          </cell>
          <cell r="N1157" t="str">
            <v>OJT CUTTING SCH-02</v>
          </cell>
          <cell r="O1157" t="str">
            <v>OTHERS</v>
          </cell>
          <cell r="P1157" t="str">
            <v>B</v>
          </cell>
          <cell r="Q1157" t="str">
            <v>PI</v>
          </cell>
          <cell r="R1157" t="str">
            <v>PERMANENT</v>
          </cell>
          <cell r="S1157" t="str">
            <v>PRM</v>
          </cell>
          <cell r="T1157" t="str">
            <v>OPT</v>
          </cell>
          <cell r="U1157" t="str">
            <v>-</v>
          </cell>
          <cell r="V1157" t="str">
            <v>P</v>
          </cell>
          <cell r="W1157">
            <v>31</v>
          </cell>
        </row>
        <row r="1158">
          <cell r="A1158">
            <v>12580</v>
          </cell>
          <cell r="B1158" t="str">
            <v>012580</v>
          </cell>
          <cell r="C1158" t="str">
            <v>YUNITA FITRIANI</v>
          </cell>
          <cell r="D1158" t="str">
            <v>SAMI</v>
          </cell>
          <cell r="E1158" t="str">
            <v>OPT-318</v>
          </cell>
          <cell r="F1158">
            <v>40812</v>
          </cell>
          <cell r="G1158" t="str">
            <v>-</v>
          </cell>
          <cell r="H1158" t="str">
            <v>-</v>
          </cell>
          <cell r="I1158" t="str">
            <v>PRD</v>
          </cell>
          <cell r="J1158" t="str">
            <v>FINAL ASSY</v>
          </cell>
          <cell r="K1158" t="str">
            <v>SUZUKI WAGON R</v>
          </cell>
          <cell r="L1158" t="str">
            <v>SUZUKI YW0</v>
          </cell>
          <cell r="M1158" t="str">
            <v>CV S01</v>
          </cell>
          <cell r="N1158" t="str">
            <v>SUB LINE CHO</v>
          </cell>
          <cell r="O1158" t="str">
            <v>GL</v>
          </cell>
          <cell r="P1158" t="str">
            <v>B</v>
          </cell>
          <cell r="Q1158" t="str">
            <v>PI</v>
          </cell>
          <cell r="R1158" t="str">
            <v>PERMANENT</v>
          </cell>
          <cell r="S1158" t="str">
            <v>PRM</v>
          </cell>
          <cell r="T1158" t="str">
            <v>SLC</v>
          </cell>
          <cell r="U1158" t="str">
            <v>-</v>
          </cell>
          <cell r="V1158" t="str">
            <v>P</v>
          </cell>
          <cell r="W1158">
            <v>38</v>
          </cell>
        </row>
        <row r="1159">
          <cell r="A1159">
            <v>12582</v>
          </cell>
          <cell r="B1159" t="str">
            <v>012582</v>
          </cell>
          <cell r="C1159" t="str">
            <v>AMBARWATI</v>
          </cell>
          <cell r="D1159" t="str">
            <v>SAMI</v>
          </cell>
          <cell r="E1159" t="str">
            <v>OPT-319</v>
          </cell>
          <cell r="F1159">
            <v>40816</v>
          </cell>
          <cell r="G1159" t="str">
            <v>-</v>
          </cell>
          <cell r="H1159" t="str">
            <v>-</v>
          </cell>
          <cell r="I1159" t="str">
            <v>OTHERS</v>
          </cell>
          <cell r="J1159" t="str">
            <v>AT HOME</v>
          </cell>
          <cell r="K1159" t="str">
            <v>ALL</v>
          </cell>
          <cell r="L1159" t="str">
            <v>ALL</v>
          </cell>
          <cell r="M1159" t="str">
            <v>AT HOME</v>
          </cell>
          <cell r="N1159" t="str">
            <v>CUTI DI LUAR TANGGUNGAN</v>
          </cell>
          <cell r="O1159" t="str">
            <v>OTHERS IDL</v>
          </cell>
          <cell r="P1159" t="str">
            <v>-</v>
          </cell>
          <cell r="Q1159" t="str">
            <v>ADM</v>
          </cell>
          <cell r="R1159" t="str">
            <v>PERMANENT</v>
          </cell>
          <cell r="S1159" t="str">
            <v>PRM</v>
          </cell>
          <cell r="T1159" t="str">
            <v>OPT</v>
          </cell>
          <cell r="U1159" t="str">
            <v>-</v>
          </cell>
          <cell r="V1159" t="str">
            <v>P</v>
          </cell>
          <cell r="W1159">
            <v>31</v>
          </cell>
        </row>
        <row r="1160">
          <cell r="A1160">
            <v>10329</v>
          </cell>
          <cell r="B1160" t="str">
            <v>010329</v>
          </cell>
          <cell r="C1160" t="str">
            <v>RESA REGAL LESTA</v>
          </cell>
          <cell r="D1160" t="str">
            <v>SAMI</v>
          </cell>
          <cell r="E1160" t="str">
            <v>OPT-265</v>
          </cell>
          <cell r="F1160">
            <v>40511</v>
          </cell>
          <cell r="G1160" t="str">
            <v>-</v>
          </cell>
          <cell r="H1160" t="str">
            <v>-</v>
          </cell>
          <cell r="I1160" t="str">
            <v>PRD</v>
          </cell>
          <cell r="J1160" t="str">
            <v>FINAL ASSY</v>
          </cell>
          <cell r="K1160" t="str">
            <v>TOYOTA</v>
          </cell>
          <cell r="L1160" t="str">
            <v>AQUA SIENTA</v>
          </cell>
          <cell r="M1160" t="str">
            <v>CV T01</v>
          </cell>
          <cell r="N1160" t="str">
            <v>OJT S/A 1.1</v>
          </cell>
          <cell r="O1160" t="str">
            <v>OTHERS</v>
          </cell>
          <cell r="P1160" t="str">
            <v>A</v>
          </cell>
          <cell r="Q1160" t="str">
            <v>PI</v>
          </cell>
          <cell r="R1160" t="str">
            <v>PERMANENT</v>
          </cell>
          <cell r="S1160" t="str">
            <v>PRM</v>
          </cell>
          <cell r="T1160" t="str">
            <v>OPT</v>
          </cell>
          <cell r="U1160" t="str">
            <v>-</v>
          </cell>
          <cell r="V1160" t="str">
            <v>P</v>
          </cell>
          <cell r="W1160">
            <v>31</v>
          </cell>
        </row>
        <row r="1161">
          <cell r="A1161">
            <v>10430</v>
          </cell>
          <cell r="B1161" t="str">
            <v>010430</v>
          </cell>
          <cell r="C1161" t="str">
            <v>USWATUN KHASANAH</v>
          </cell>
          <cell r="D1161" t="str">
            <v>SAMI</v>
          </cell>
          <cell r="E1161" t="str">
            <v>OPT-268</v>
          </cell>
          <cell r="F1161">
            <v>40518</v>
          </cell>
          <cell r="G1161" t="str">
            <v>-</v>
          </cell>
          <cell r="H1161" t="str">
            <v>-</v>
          </cell>
          <cell r="I1161" t="str">
            <v>PRD</v>
          </cell>
          <cell r="J1161" t="str">
            <v>FINAL ASSY</v>
          </cell>
          <cell r="K1161" t="str">
            <v>TOYOTA</v>
          </cell>
          <cell r="L1161" t="str">
            <v>AQUA SIENTA</v>
          </cell>
          <cell r="M1161" t="str">
            <v>CV T01</v>
          </cell>
          <cell r="N1161" t="str">
            <v>OJT T/P S/P 2.1</v>
          </cell>
          <cell r="O1161" t="str">
            <v>OTHERS</v>
          </cell>
          <cell r="P1161" t="str">
            <v>A</v>
          </cell>
          <cell r="Q1161" t="str">
            <v>PI</v>
          </cell>
          <cell r="R1161" t="str">
            <v>PERMANENT</v>
          </cell>
          <cell r="S1161" t="str">
            <v>PRM</v>
          </cell>
          <cell r="T1161" t="str">
            <v>OPT</v>
          </cell>
          <cell r="U1161" t="str">
            <v>-</v>
          </cell>
          <cell r="V1161" t="str">
            <v>P</v>
          </cell>
          <cell r="W1161">
            <v>32</v>
          </cell>
        </row>
        <row r="1162">
          <cell r="A1162">
            <v>10560</v>
          </cell>
          <cell r="B1162" t="str">
            <v>010560</v>
          </cell>
          <cell r="C1162" t="str">
            <v>SITI CHOMSATUN</v>
          </cell>
          <cell r="D1162" t="str">
            <v>SAMI</v>
          </cell>
          <cell r="E1162" t="str">
            <v>OPT-275</v>
          </cell>
          <cell r="F1162">
            <v>40542</v>
          </cell>
          <cell r="G1162" t="str">
            <v>-</v>
          </cell>
          <cell r="H1162" t="str">
            <v>-</v>
          </cell>
          <cell r="I1162" t="str">
            <v>PRD</v>
          </cell>
          <cell r="J1162" t="str">
            <v>FINAL ASSY</v>
          </cell>
          <cell r="K1162" t="str">
            <v>TOYOTA</v>
          </cell>
          <cell r="L1162" t="str">
            <v>AQUA SIENTA</v>
          </cell>
          <cell r="M1162" t="str">
            <v>CV T01</v>
          </cell>
          <cell r="N1162" t="str">
            <v>OJT CHECKER 3</v>
          </cell>
          <cell r="O1162" t="str">
            <v>OTHERS</v>
          </cell>
          <cell r="P1162" t="str">
            <v>A</v>
          </cell>
          <cell r="Q1162" t="str">
            <v>PI</v>
          </cell>
          <cell r="R1162" t="str">
            <v>PERMANENT</v>
          </cell>
          <cell r="S1162" t="str">
            <v>PRM</v>
          </cell>
          <cell r="T1162" t="str">
            <v>OPT</v>
          </cell>
          <cell r="U1162" t="str">
            <v>-</v>
          </cell>
          <cell r="V1162" t="str">
            <v>P</v>
          </cell>
          <cell r="W1162">
            <v>34</v>
          </cell>
        </row>
        <row r="1163">
          <cell r="A1163">
            <v>12079</v>
          </cell>
          <cell r="B1163" t="str">
            <v>012079</v>
          </cell>
          <cell r="C1163" t="str">
            <v>CHOIRUN NIKMAH</v>
          </cell>
          <cell r="D1163" t="str">
            <v>SAMI</v>
          </cell>
          <cell r="E1163" t="str">
            <v>OPT-314</v>
          </cell>
          <cell r="F1163">
            <v>40798</v>
          </cell>
          <cell r="G1163" t="str">
            <v>-</v>
          </cell>
          <cell r="H1163" t="str">
            <v>-</v>
          </cell>
          <cell r="I1163" t="str">
            <v>PRD</v>
          </cell>
          <cell r="J1163" t="str">
            <v>FINAL ASSY</v>
          </cell>
          <cell r="K1163" t="str">
            <v>TOYOTA</v>
          </cell>
          <cell r="L1163" t="str">
            <v>AQUA SIENTA</v>
          </cell>
          <cell r="M1163" t="str">
            <v>CV T01</v>
          </cell>
          <cell r="N1163" t="str">
            <v>RELIEF 2</v>
          </cell>
          <cell r="O1163" t="str">
            <v>RELIEF</v>
          </cell>
          <cell r="P1163" t="str">
            <v>A</v>
          </cell>
          <cell r="Q1163" t="str">
            <v>PI</v>
          </cell>
          <cell r="R1163" t="str">
            <v>PERMANENT</v>
          </cell>
          <cell r="S1163" t="str">
            <v>PRM</v>
          </cell>
          <cell r="T1163" t="str">
            <v>OPT</v>
          </cell>
          <cell r="U1163" t="str">
            <v>-</v>
          </cell>
          <cell r="V1163" t="str">
            <v>P</v>
          </cell>
          <cell r="W1163">
            <v>32</v>
          </cell>
        </row>
        <row r="1164">
          <cell r="A1164">
            <v>12370</v>
          </cell>
          <cell r="B1164" t="str">
            <v>012370</v>
          </cell>
          <cell r="C1164" t="str">
            <v>IDA BANGUN</v>
          </cell>
          <cell r="D1164" t="str">
            <v>SAMI</v>
          </cell>
          <cell r="E1164" t="str">
            <v>OPT-317</v>
          </cell>
          <cell r="F1164">
            <v>40809</v>
          </cell>
          <cell r="G1164" t="str">
            <v>-</v>
          </cell>
          <cell r="H1164" t="str">
            <v>-</v>
          </cell>
          <cell r="I1164" t="str">
            <v>PRD</v>
          </cell>
          <cell r="J1164" t="str">
            <v>FINAL ASSY</v>
          </cell>
          <cell r="K1164" t="str">
            <v>TOYOTA</v>
          </cell>
          <cell r="L1164" t="str">
            <v>AQUA SIENTA</v>
          </cell>
          <cell r="M1164" t="str">
            <v>CV T01</v>
          </cell>
          <cell r="N1164" t="str">
            <v>OJT VISUAL 1.2</v>
          </cell>
          <cell r="O1164" t="str">
            <v>OTHERS</v>
          </cell>
          <cell r="P1164" t="str">
            <v>A</v>
          </cell>
          <cell r="Q1164" t="str">
            <v>PI</v>
          </cell>
          <cell r="R1164" t="str">
            <v>PERMANENT</v>
          </cell>
          <cell r="S1164" t="str">
            <v>PRM</v>
          </cell>
          <cell r="T1164" t="str">
            <v>OPT</v>
          </cell>
          <cell r="U1164" t="str">
            <v>-</v>
          </cell>
          <cell r="V1164" t="str">
            <v>P</v>
          </cell>
          <cell r="W1164">
            <v>36</v>
          </cell>
        </row>
        <row r="1165">
          <cell r="A1165">
            <v>12615</v>
          </cell>
          <cell r="B1165" t="str">
            <v>012615</v>
          </cell>
          <cell r="C1165" t="str">
            <v>IKA FATMAWATI</v>
          </cell>
          <cell r="D1165" t="str">
            <v>SAMI</v>
          </cell>
          <cell r="E1165" t="str">
            <v>OPT-319</v>
          </cell>
          <cell r="F1165">
            <v>40816</v>
          </cell>
          <cell r="G1165" t="str">
            <v>-</v>
          </cell>
          <cell r="H1165" t="str">
            <v>-</v>
          </cell>
          <cell r="I1165" t="str">
            <v>QA</v>
          </cell>
          <cell r="J1165" t="str">
            <v>NON LINE</v>
          </cell>
          <cell r="K1165" t="str">
            <v>ALL</v>
          </cell>
          <cell r="L1165" t="str">
            <v>ALL</v>
          </cell>
          <cell r="M1165" t="str">
            <v>PPAP</v>
          </cell>
          <cell r="N1165" t="str">
            <v>HDR - ES TEST</v>
          </cell>
          <cell r="O1165" t="str">
            <v>PPAP</v>
          </cell>
          <cell r="P1165" t="str">
            <v>B</v>
          </cell>
          <cell r="Q1165" t="str">
            <v>PS</v>
          </cell>
          <cell r="R1165" t="str">
            <v>PERMANENT</v>
          </cell>
          <cell r="S1165" t="str">
            <v>PRM</v>
          </cell>
          <cell r="T1165" t="str">
            <v>OPT</v>
          </cell>
          <cell r="U1165" t="str">
            <v>-</v>
          </cell>
          <cell r="V1165" t="str">
            <v>P</v>
          </cell>
          <cell r="W1165">
            <v>31</v>
          </cell>
        </row>
        <row r="1166">
          <cell r="A1166">
            <v>12629</v>
          </cell>
          <cell r="B1166" t="str">
            <v>012629</v>
          </cell>
          <cell r="C1166" t="str">
            <v>ANA MAFTUKHAH</v>
          </cell>
          <cell r="D1166" t="str">
            <v>SAMI</v>
          </cell>
          <cell r="E1166" t="str">
            <v>OPT-320</v>
          </cell>
          <cell r="F1166">
            <v>40819</v>
          </cell>
          <cell r="G1166" t="str">
            <v>-</v>
          </cell>
          <cell r="H1166" t="str">
            <v>-</v>
          </cell>
          <cell r="I1166" t="str">
            <v>PRD</v>
          </cell>
          <cell r="J1166" t="str">
            <v>PRE ASSY</v>
          </cell>
          <cell r="K1166" t="str">
            <v>SUZUKI WAGON R/HUSTLER</v>
          </cell>
          <cell r="L1166" t="str">
            <v>SUZUKI YW0/Y0C/YEV</v>
          </cell>
          <cell r="M1166" t="str">
            <v>CPA SUZUKI</v>
          </cell>
          <cell r="N1166" t="str">
            <v>INSP CUTTING</v>
          </cell>
          <cell r="O1166" t="str">
            <v>P/A INSPECTOR</v>
          </cell>
          <cell r="P1166" t="str">
            <v>B</v>
          </cell>
          <cell r="Q1166" t="str">
            <v>PI</v>
          </cell>
          <cell r="R1166" t="str">
            <v>PERMANENT</v>
          </cell>
          <cell r="S1166" t="str">
            <v>PRM</v>
          </cell>
          <cell r="T1166" t="str">
            <v>OPT</v>
          </cell>
          <cell r="U1166" t="str">
            <v>-</v>
          </cell>
          <cell r="V1166" t="str">
            <v>P</v>
          </cell>
          <cell r="W1166">
            <v>31</v>
          </cell>
        </row>
        <row r="1167">
          <cell r="A1167">
            <v>12611</v>
          </cell>
          <cell r="B1167" t="str">
            <v>012611</v>
          </cell>
          <cell r="C1167" t="str">
            <v>FAJAR SUSILOWATI</v>
          </cell>
          <cell r="D1167" t="str">
            <v>SAMI</v>
          </cell>
          <cell r="E1167" t="str">
            <v>OPT-319</v>
          </cell>
          <cell r="F1167">
            <v>40816</v>
          </cell>
          <cell r="G1167" t="str">
            <v>-</v>
          </cell>
          <cell r="H1167" t="str">
            <v>-</v>
          </cell>
          <cell r="I1167" t="str">
            <v>PRD</v>
          </cell>
          <cell r="J1167" t="str">
            <v>FINAL ASSY</v>
          </cell>
          <cell r="K1167" t="str">
            <v>TOYOTA</v>
          </cell>
          <cell r="L1167" t="str">
            <v>AQUA SIENTA</v>
          </cell>
          <cell r="M1167" t="str">
            <v>CV T01</v>
          </cell>
          <cell r="N1167" t="str">
            <v>OJT T/P 7.2</v>
          </cell>
          <cell r="O1167" t="str">
            <v>OTHERS</v>
          </cell>
          <cell r="P1167" t="str">
            <v>A</v>
          </cell>
          <cell r="Q1167" t="str">
            <v>PI</v>
          </cell>
          <cell r="R1167" t="str">
            <v>PERMANENT</v>
          </cell>
          <cell r="S1167" t="str">
            <v>PRM</v>
          </cell>
          <cell r="T1167" t="str">
            <v>OPT</v>
          </cell>
          <cell r="U1167" t="str">
            <v>-</v>
          </cell>
          <cell r="V1167" t="str">
            <v>P</v>
          </cell>
          <cell r="W1167">
            <v>32</v>
          </cell>
        </row>
        <row r="1168">
          <cell r="A1168">
            <v>12922</v>
          </cell>
          <cell r="B1168" t="str">
            <v>012922</v>
          </cell>
          <cell r="C1168" t="str">
            <v>RETNO BUDIARSIH</v>
          </cell>
          <cell r="D1168" t="str">
            <v>SAMI</v>
          </cell>
          <cell r="E1168" t="str">
            <v>OPT-322</v>
          </cell>
          <cell r="F1168">
            <v>40833</v>
          </cell>
          <cell r="G1168" t="str">
            <v>-</v>
          </cell>
          <cell r="H1168" t="str">
            <v>-</v>
          </cell>
          <cell r="I1168" t="str">
            <v>PRD</v>
          </cell>
          <cell r="J1168" t="str">
            <v>FINAL ASSY</v>
          </cell>
          <cell r="K1168" t="str">
            <v>TOYOTA</v>
          </cell>
          <cell r="L1168" t="str">
            <v>AQUA SIENTA</v>
          </cell>
          <cell r="M1168" t="str">
            <v>CV T01</v>
          </cell>
          <cell r="N1168" t="str">
            <v>SUB LINE CHO</v>
          </cell>
          <cell r="O1168" t="str">
            <v>GL</v>
          </cell>
          <cell r="P1168" t="str">
            <v>A</v>
          </cell>
          <cell r="Q1168" t="str">
            <v>PI</v>
          </cell>
          <cell r="R1168" t="str">
            <v>PERMANENT</v>
          </cell>
          <cell r="S1168" t="str">
            <v>PRM</v>
          </cell>
          <cell r="T1168" t="str">
            <v>SLC</v>
          </cell>
          <cell r="U1168" t="str">
            <v>-</v>
          </cell>
          <cell r="V1168" t="str">
            <v>P</v>
          </cell>
          <cell r="W1168">
            <v>36</v>
          </cell>
        </row>
        <row r="1169">
          <cell r="A1169">
            <v>12979</v>
          </cell>
          <cell r="B1169" t="str">
            <v>012979</v>
          </cell>
          <cell r="C1169" t="str">
            <v>LUPIANA</v>
          </cell>
          <cell r="D1169" t="str">
            <v>SAMI</v>
          </cell>
          <cell r="E1169" t="str">
            <v>OPT-323</v>
          </cell>
          <cell r="F1169">
            <v>40840</v>
          </cell>
          <cell r="G1169" t="str">
            <v>-</v>
          </cell>
          <cell r="H1169" t="str">
            <v>-</v>
          </cell>
          <cell r="I1169" t="str">
            <v>PRD</v>
          </cell>
          <cell r="J1169" t="str">
            <v>FINAL ASSY</v>
          </cell>
          <cell r="K1169" t="str">
            <v>TOYOTA</v>
          </cell>
          <cell r="L1169" t="str">
            <v>AQUA SIENTA</v>
          </cell>
          <cell r="M1169" t="str">
            <v>CV T01</v>
          </cell>
          <cell r="N1169" t="str">
            <v>LQC</v>
          </cell>
          <cell r="O1169" t="str">
            <v>RELIEF</v>
          </cell>
          <cell r="P1169" t="str">
            <v>A</v>
          </cell>
          <cell r="Q1169" t="str">
            <v>PI</v>
          </cell>
          <cell r="R1169" t="str">
            <v>PERMANENT</v>
          </cell>
          <cell r="S1169" t="str">
            <v>PRM</v>
          </cell>
          <cell r="T1169" t="str">
            <v>PJK</v>
          </cell>
          <cell r="U1169" t="str">
            <v>-</v>
          </cell>
          <cell r="V1169" t="str">
            <v>P</v>
          </cell>
          <cell r="W1169">
            <v>32</v>
          </cell>
        </row>
        <row r="1170">
          <cell r="A1170">
            <v>12665</v>
          </cell>
          <cell r="B1170" t="str">
            <v>012665</v>
          </cell>
          <cell r="C1170" t="str">
            <v>LINA LASMITA</v>
          </cell>
          <cell r="D1170" t="str">
            <v>SAMI</v>
          </cell>
          <cell r="E1170" t="str">
            <v>OPT-320</v>
          </cell>
          <cell r="F1170">
            <v>40819</v>
          </cell>
          <cell r="G1170" t="str">
            <v>-</v>
          </cell>
          <cell r="H1170" t="str">
            <v>-</v>
          </cell>
          <cell r="I1170" t="str">
            <v>OTHERS</v>
          </cell>
          <cell r="J1170" t="str">
            <v>AT HOME</v>
          </cell>
          <cell r="K1170" t="str">
            <v>ALL</v>
          </cell>
          <cell r="L1170" t="str">
            <v>ALL</v>
          </cell>
          <cell r="M1170" t="str">
            <v>AT HOME</v>
          </cell>
          <cell r="N1170" t="str">
            <v>CUTI KELAHIRAN</v>
          </cell>
          <cell r="O1170" t="str">
            <v>OTHERS IDL</v>
          </cell>
          <cell r="P1170" t="str">
            <v>-</v>
          </cell>
          <cell r="Q1170" t="str">
            <v>ADM</v>
          </cell>
          <cell r="R1170" t="str">
            <v>PERMANENT</v>
          </cell>
          <cell r="S1170" t="str">
            <v>PRM</v>
          </cell>
          <cell r="T1170" t="str">
            <v>OPT</v>
          </cell>
          <cell r="U1170" t="str">
            <v>-</v>
          </cell>
          <cell r="V1170" t="str">
            <v>P</v>
          </cell>
          <cell r="W1170">
            <v>34</v>
          </cell>
        </row>
        <row r="1171">
          <cell r="A1171">
            <v>13592</v>
          </cell>
          <cell r="B1171" t="str">
            <v>013592</v>
          </cell>
          <cell r="C1171" t="str">
            <v>KIRNA PUJI UTAMI</v>
          </cell>
          <cell r="D1171" t="str">
            <v>SAMI</v>
          </cell>
          <cell r="E1171" t="str">
            <v>OPT-344</v>
          </cell>
          <cell r="F1171">
            <v>40962</v>
          </cell>
          <cell r="G1171" t="str">
            <v>-</v>
          </cell>
          <cell r="H1171" t="str">
            <v>-</v>
          </cell>
          <cell r="I1171" t="str">
            <v>PRD</v>
          </cell>
          <cell r="J1171" t="str">
            <v>FINAL ASSY</v>
          </cell>
          <cell r="K1171" t="str">
            <v>TOYOTA</v>
          </cell>
          <cell r="L1171" t="str">
            <v>AQUA SIENTA</v>
          </cell>
          <cell r="M1171" t="str">
            <v>CV T01</v>
          </cell>
          <cell r="N1171" t="str">
            <v>OJT SHIAGE 1</v>
          </cell>
          <cell r="O1171" t="str">
            <v>OTHERS</v>
          </cell>
          <cell r="P1171" t="str">
            <v>A</v>
          </cell>
          <cell r="Q1171" t="str">
            <v>PI</v>
          </cell>
          <cell r="R1171" t="str">
            <v>PERMANENT</v>
          </cell>
          <cell r="S1171" t="str">
            <v>PRM</v>
          </cell>
          <cell r="T1171" t="str">
            <v>OPT</v>
          </cell>
          <cell r="U1171" t="str">
            <v>-</v>
          </cell>
          <cell r="V1171" t="str">
            <v>P</v>
          </cell>
          <cell r="W1171">
            <v>30</v>
          </cell>
        </row>
        <row r="1172">
          <cell r="A1172">
            <v>17432</v>
          </cell>
          <cell r="B1172" t="str">
            <v>017432</v>
          </cell>
          <cell r="C1172" t="str">
            <v>DINA ANGGUN FUJI RAHAYU</v>
          </cell>
          <cell r="D1172" t="str">
            <v>SAMI</v>
          </cell>
          <cell r="E1172" t="str">
            <v>OPT-443</v>
          </cell>
          <cell r="F1172">
            <v>41778</v>
          </cell>
          <cell r="G1172" t="str">
            <v>-</v>
          </cell>
          <cell r="H1172" t="str">
            <v>-</v>
          </cell>
          <cell r="I1172" t="str">
            <v>PRD</v>
          </cell>
          <cell r="J1172" t="str">
            <v>FINAL ASSY</v>
          </cell>
          <cell r="K1172" t="str">
            <v>TOYOTA</v>
          </cell>
          <cell r="L1172" t="str">
            <v>AQUA SIENTA</v>
          </cell>
          <cell r="M1172" t="str">
            <v>CV T01</v>
          </cell>
          <cell r="N1172" t="str">
            <v>OJT S/A 5.1</v>
          </cell>
          <cell r="O1172" t="str">
            <v>OTHERS</v>
          </cell>
          <cell r="P1172" t="str">
            <v>A</v>
          </cell>
          <cell r="Q1172" t="str">
            <v>PI</v>
          </cell>
          <cell r="R1172" t="str">
            <v>PERMANENT</v>
          </cell>
          <cell r="S1172" t="str">
            <v>PRM</v>
          </cell>
          <cell r="T1172" t="str">
            <v>OPT</v>
          </cell>
          <cell r="U1172" t="str">
            <v>-</v>
          </cell>
          <cell r="V1172" t="str">
            <v>P</v>
          </cell>
          <cell r="W1172">
            <v>29</v>
          </cell>
        </row>
        <row r="1173">
          <cell r="A1173">
            <v>12692</v>
          </cell>
          <cell r="B1173" t="str">
            <v>012692</v>
          </cell>
          <cell r="C1173" t="str">
            <v>NISAUL CHOIRIYAH</v>
          </cell>
          <cell r="D1173" t="str">
            <v>SAMI</v>
          </cell>
          <cell r="E1173" t="str">
            <v>OPT-320</v>
          </cell>
          <cell r="F1173">
            <v>40819</v>
          </cell>
          <cell r="G1173" t="str">
            <v>-</v>
          </cell>
          <cell r="H1173" t="str">
            <v>-</v>
          </cell>
          <cell r="I1173" t="str">
            <v>OTHERS</v>
          </cell>
          <cell r="J1173" t="str">
            <v>AT HOME</v>
          </cell>
          <cell r="K1173" t="str">
            <v>ALL</v>
          </cell>
          <cell r="L1173" t="str">
            <v>ALL</v>
          </cell>
          <cell r="M1173" t="str">
            <v>AT HOME</v>
          </cell>
          <cell r="N1173" t="str">
            <v>CUTI KELAHIRAN</v>
          </cell>
          <cell r="O1173" t="str">
            <v>OTHERS IDL</v>
          </cell>
          <cell r="P1173" t="str">
            <v>-</v>
          </cell>
          <cell r="Q1173" t="str">
            <v>ADM</v>
          </cell>
          <cell r="R1173" t="str">
            <v>PERMANENT</v>
          </cell>
          <cell r="S1173" t="str">
            <v>PRM</v>
          </cell>
          <cell r="T1173" t="str">
            <v>OPT</v>
          </cell>
          <cell r="U1173" t="str">
            <v>-</v>
          </cell>
          <cell r="V1173" t="str">
            <v>P</v>
          </cell>
          <cell r="W1173">
            <v>33</v>
          </cell>
        </row>
        <row r="1174">
          <cell r="A1174">
            <v>12698</v>
          </cell>
          <cell r="B1174" t="str">
            <v>012698</v>
          </cell>
          <cell r="C1174" t="str">
            <v>NUR ALI MUCHLISIN</v>
          </cell>
          <cell r="D1174" t="str">
            <v>SAMI</v>
          </cell>
          <cell r="E1174" t="str">
            <v>OPT-320</v>
          </cell>
          <cell r="F1174">
            <v>40819</v>
          </cell>
          <cell r="G1174" t="str">
            <v>-</v>
          </cell>
          <cell r="H1174" t="str">
            <v>-</v>
          </cell>
          <cell r="I1174" t="str">
            <v>PRD</v>
          </cell>
          <cell r="J1174" t="str">
            <v>FINAL ASSY</v>
          </cell>
          <cell r="K1174" t="str">
            <v>HONDA NES</v>
          </cell>
          <cell r="L1174" t="str">
            <v>HONDA NES HEV PET ENGINE</v>
          </cell>
          <cell r="M1174" t="str">
            <v>CV H04</v>
          </cell>
          <cell r="N1174" t="str">
            <v>SHIAGE 2</v>
          </cell>
          <cell r="O1174" t="str">
            <v>ASSEMBLY</v>
          </cell>
          <cell r="P1174" t="str">
            <v>B</v>
          </cell>
          <cell r="Q1174" t="str">
            <v>DL</v>
          </cell>
          <cell r="R1174" t="str">
            <v>PERMANENT</v>
          </cell>
          <cell r="S1174" t="str">
            <v>PRM</v>
          </cell>
          <cell r="T1174" t="str">
            <v>OPT</v>
          </cell>
          <cell r="U1174" t="str">
            <v>-</v>
          </cell>
          <cell r="V1174" t="str">
            <v>L</v>
          </cell>
          <cell r="W1174">
            <v>31</v>
          </cell>
        </row>
        <row r="1175">
          <cell r="A1175">
            <v>18974</v>
          </cell>
          <cell r="B1175" t="str">
            <v>018974</v>
          </cell>
          <cell r="C1175" t="str">
            <v>NOVIA EKA PUTRI</v>
          </cell>
          <cell r="D1175" t="str">
            <v>SAMI</v>
          </cell>
          <cell r="E1175" t="str">
            <v>OPT-470</v>
          </cell>
          <cell r="F1175">
            <v>42214</v>
          </cell>
          <cell r="G1175" t="str">
            <v>-</v>
          </cell>
          <cell r="H1175" t="str">
            <v>-</v>
          </cell>
          <cell r="I1175" t="str">
            <v>PRD</v>
          </cell>
          <cell r="J1175" t="str">
            <v>FINAL ASSY</v>
          </cell>
          <cell r="K1175" t="str">
            <v>TOYOTA</v>
          </cell>
          <cell r="L1175" t="str">
            <v>AQUA SIENTA</v>
          </cell>
          <cell r="M1175" t="str">
            <v>CV T01</v>
          </cell>
          <cell r="N1175" t="str">
            <v>OJT T/P 6.2</v>
          </cell>
          <cell r="O1175" t="str">
            <v>OTHERS</v>
          </cell>
          <cell r="P1175" t="str">
            <v>A</v>
          </cell>
          <cell r="Q1175" t="str">
            <v>PI</v>
          </cell>
          <cell r="R1175" t="str">
            <v>PERMANENT</v>
          </cell>
          <cell r="S1175" t="str">
            <v>PRM</v>
          </cell>
          <cell r="T1175" t="str">
            <v>OPT</v>
          </cell>
          <cell r="U1175" t="str">
            <v>-</v>
          </cell>
          <cell r="V1175" t="str">
            <v>P</v>
          </cell>
          <cell r="W1175">
            <v>28</v>
          </cell>
        </row>
        <row r="1176">
          <cell r="A1176">
            <v>20914</v>
          </cell>
          <cell r="B1176" t="str">
            <v>020914</v>
          </cell>
          <cell r="C1176" t="str">
            <v>ARIF KURNIA ROCHMAN</v>
          </cell>
          <cell r="D1176" t="str">
            <v>SAMI</v>
          </cell>
          <cell r="E1176" t="str">
            <v>OPT-510</v>
          </cell>
          <cell r="F1176">
            <v>42660</v>
          </cell>
          <cell r="G1176" t="str">
            <v>-</v>
          </cell>
          <cell r="H1176" t="str">
            <v>-</v>
          </cell>
          <cell r="I1176" t="str">
            <v>PRD</v>
          </cell>
          <cell r="J1176" t="str">
            <v>FINAL ASSY</v>
          </cell>
          <cell r="K1176" t="str">
            <v>TOYOTA</v>
          </cell>
          <cell r="L1176" t="str">
            <v>AQUA SIENTA</v>
          </cell>
          <cell r="M1176" t="str">
            <v>CV T01</v>
          </cell>
          <cell r="N1176" t="str">
            <v>OJT SHIAGE 2</v>
          </cell>
          <cell r="O1176" t="str">
            <v>OTHERS</v>
          </cell>
          <cell r="P1176" t="str">
            <v>A</v>
          </cell>
          <cell r="Q1176" t="str">
            <v>PI</v>
          </cell>
          <cell r="R1176" t="str">
            <v>PERMANENT</v>
          </cell>
          <cell r="S1176" t="str">
            <v>PRM</v>
          </cell>
          <cell r="T1176" t="str">
            <v>OPT</v>
          </cell>
          <cell r="U1176" t="str">
            <v>-</v>
          </cell>
          <cell r="V1176" t="str">
            <v>L</v>
          </cell>
          <cell r="W1176">
            <v>26</v>
          </cell>
        </row>
        <row r="1177">
          <cell r="A1177">
            <v>22753</v>
          </cell>
          <cell r="B1177" t="str">
            <v>022753</v>
          </cell>
          <cell r="C1177" t="str">
            <v>NOVA SETYANINGSIH</v>
          </cell>
          <cell r="D1177" t="str">
            <v>SAMI</v>
          </cell>
          <cell r="E1177" t="str">
            <v>OPT-564</v>
          </cell>
          <cell r="F1177">
            <v>43255</v>
          </cell>
          <cell r="G1177" t="str">
            <v>-</v>
          </cell>
          <cell r="H1177" t="str">
            <v>-</v>
          </cell>
          <cell r="I1177" t="str">
            <v>PRD</v>
          </cell>
          <cell r="J1177" t="str">
            <v>FINAL ASSY</v>
          </cell>
          <cell r="K1177" t="str">
            <v>TOYOTA</v>
          </cell>
          <cell r="L1177" t="str">
            <v>AQUA SIENTA</v>
          </cell>
          <cell r="M1177" t="str">
            <v>CV T01</v>
          </cell>
          <cell r="N1177" t="str">
            <v>OJT CHECKER 2</v>
          </cell>
          <cell r="O1177" t="str">
            <v>OTHERS</v>
          </cell>
          <cell r="P1177" t="str">
            <v>A</v>
          </cell>
          <cell r="Q1177" t="str">
            <v>PI</v>
          </cell>
          <cell r="R1177" t="str">
            <v>PERMANENT</v>
          </cell>
          <cell r="S1177" t="str">
            <v>PRM</v>
          </cell>
          <cell r="T1177" t="str">
            <v>OPT</v>
          </cell>
          <cell r="U1177" t="str">
            <v>-</v>
          </cell>
          <cell r="V1177" t="str">
            <v>P</v>
          </cell>
          <cell r="W1177">
            <v>25</v>
          </cell>
        </row>
        <row r="1178">
          <cell r="A1178">
            <v>12728</v>
          </cell>
          <cell r="B1178" t="str">
            <v>012728</v>
          </cell>
          <cell r="C1178" t="str">
            <v>ROMYAN SILNUR</v>
          </cell>
          <cell r="D1178" t="str">
            <v>SAMI</v>
          </cell>
          <cell r="E1178" t="str">
            <v>OPT-320</v>
          </cell>
          <cell r="F1178">
            <v>40819</v>
          </cell>
          <cell r="G1178" t="str">
            <v>-</v>
          </cell>
          <cell r="H1178" t="str">
            <v>-</v>
          </cell>
          <cell r="I1178" t="str">
            <v>PRD</v>
          </cell>
          <cell r="J1178" t="str">
            <v>FINAL ASSY</v>
          </cell>
          <cell r="K1178" t="str">
            <v>TOYOTA HV</v>
          </cell>
          <cell r="L1178" t="str">
            <v>HV TOYOTA 858W 874W BBM</v>
          </cell>
          <cell r="M1178" t="str">
            <v>CV HV 15</v>
          </cell>
          <cell r="N1178" t="str">
            <v>VISUAL 1.1</v>
          </cell>
          <cell r="O1178" t="str">
            <v>VISUAL INSPECTION</v>
          </cell>
          <cell r="P1178" t="str">
            <v>B</v>
          </cell>
          <cell r="Q1178" t="str">
            <v>DL</v>
          </cell>
          <cell r="R1178" t="str">
            <v>PERMANENT</v>
          </cell>
          <cell r="S1178" t="str">
            <v>PRM</v>
          </cell>
          <cell r="T1178" t="str">
            <v>OPT</v>
          </cell>
          <cell r="U1178" t="str">
            <v>-</v>
          </cell>
          <cell r="V1178" t="str">
            <v>P</v>
          </cell>
          <cell r="W1178">
            <v>30</v>
          </cell>
        </row>
        <row r="1179">
          <cell r="A1179">
            <v>12731</v>
          </cell>
          <cell r="B1179" t="str">
            <v>012731</v>
          </cell>
          <cell r="C1179" t="str">
            <v>RUSMIYATI</v>
          </cell>
          <cell r="D1179" t="str">
            <v>SAMI</v>
          </cell>
          <cell r="E1179" t="str">
            <v>OPT-320</v>
          </cell>
          <cell r="F1179">
            <v>40819</v>
          </cell>
          <cell r="G1179" t="str">
            <v>-</v>
          </cell>
          <cell r="H1179" t="str">
            <v>-</v>
          </cell>
          <cell r="I1179" t="str">
            <v>PRD</v>
          </cell>
          <cell r="J1179" t="str">
            <v>FINAL ASSY</v>
          </cell>
          <cell r="K1179" t="str">
            <v>TOYOTA</v>
          </cell>
          <cell r="L1179" t="str">
            <v>AQUA SIENTA</v>
          </cell>
          <cell r="M1179" t="str">
            <v>CV T01</v>
          </cell>
          <cell r="N1179" t="str">
            <v>OJT T/P S/P 3</v>
          </cell>
          <cell r="O1179" t="str">
            <v>OTHERS</v>
          </cell>
          <cell r="P1179" t="str">
            <v>B</v>
          </cell>
          <cell r="Q1179" t="str">
            <v>PI</v>
          </cell>
          <cell r="R1179" t="str">
            <v>PERMANENT</v>
          </cell>
          <cell r="S1179" t="str">
            <v>PRM</v>
          </cell>
          <cell r="T1179" t="str">
            <v>OPT</v>
          </cell>
          <cell r="U1179" t="str">
            <v>-</v>
          </cell>
          <cell r="V1179" t="str">
            <v>P</v>
          </cell>
          <cell r="W1179">
            <v>32</v>
          </cell>
        </row>
        <row r="1180">
          <cell r="A1180" t="str">
            <v>B00202</v>
          </cell>
          <cell r="B1180" t="str">
            <v>B00202</v>
          </cell>
          <cell r="C1180" t="str">
            <v>JUMIATUN</v>
          </cell>
          <cell r="D1180" t="str">
            <v>SAMI</v>
          </cell>
          <cell r="E1180" t="str">
            <v>BBF-004</v>
          </cell>
          <cell r="F1180">
            <v>40847</v>
          </cell>
          <cell r="G1180" t="str">
            <v>-</v>
          </cell>
          <cell r="H1180" t="str">
            <v>-</v>
          </cell>
          <cell r="I1180" t="str">
            <v>PRD</v>
          </cell>
          <cell r="J1180" t="str">
            <v>FINAL ASSY</v>
          </cell>
          <cell r="K1180" t="str">
            <v>TOYOTA</v>
          </cell>
          <cell r="L1180" t="str">
            <v>AQUA SIENTA</v>
          </cell>
          <cell r="M1180" t="str">
            <v>CV T01</v>
          </cell>
          <cell r="N1180" t="str">
            <v>OJT T/P S/P 3</v>
          </cell>
          <cell r="O1180" t="str">
            <v>OTHERS</v>
          </cell>
          <cell r="P1180" t="str">
            <v>A</v>
          </cell>
          <cell r="Q1180" t="str">
            <v>PI</v>
          </cell>
          <cell r="R1180" t="str">
            <v>PERMANENT</v>
          </cell>
          <cell r="S1180" t="str">
            <v>PRM</v>
          </cell>
          <cell r="T1180" t="str">
            <v>OPT</v>
          </cell>
          <cell r="U1180" t="str">
            <v>-</v>
          </cell>
          <cell r="V1180" t="str">
            <v>P</v>
          </cell>
          <cell r="W1180">
            <v>33</v>
          </cell>
        </row>
        <row r="1181">
          <cell r="A1181">
            <v>410</v>
          </cell>
          <cell r="B1181" t="str">
            <v>000410</v>
          </cell>
          <cell r="C1181" t="str">
            <v>UJI UTAMI</v>
          </cell>
          <cell r="D1181" t="str">
            <v>SAMI</v>
          </cell>
          <cell r="E1181" t="str">
            <v>OPT-11</v>
          </cell>
          <cell r="F1181">
            <v>37739</v>
          </cell>
          <cell r="G1181" t="str">
            <v>-</v>
          </cell>
          <cell r="H1181" t="str">
            <v>-</v>
          </cell>
          <cell r="I1181" t="str">
            <v>PRD</v>
          </cell>
          <cell r="J1181" t="str">
            <v>FINAL ASSY</v>
          </cell>
          <cell r="K1181" t="str">
            <v>TOYOTA</v>
          </cell>
          <cell r="L1181" t="str">
            <v>AQUA SIENTA</v>
          </cell>
          <cell r="M1181" t="str">
            <v>CV T02</v>
          </cell>
          <cell r="N1181" t="str">
            <v>PRD LINE CHO</v>
          </cell>
          <cell r="O1181" t="str">
            <v>FPI LL</v>
          </cell>
          <cell r="P1181" t="str">
            <v>A</v>
          </cell>
          <cell r="Q1181" t="str">
            <v>PI</v>
          </cell>
          <cell r="R1181" t="str">
            <v>PERMANENT</v>
          </cell>
          <cell r="S1181" t="str">
            <v>PRM</v>
          </cell>
          <cell r="T1181" t="str">
            <v>LC</v>
          </cell>
          <cell r="U1181" t="str">
            <v>-</v>
          </cell>
          <cell r="V1181" t="str">
            <v>P</v>
          </cell>
          <cell r="W1181">
            <v>43</v>
          </cell>
        </row>
        <row r="1182">
          <cell r="A1182">
            <v>10583</v>
          </cell>
          <cell r="B1182" t="str">
            <v>010583</v>
          </cell>
          <cell r="C1182" t="str">
            <v>LESTARI PUTRI K.</v>
          </cell>
          <cell r="D1182" t="str">
            <v>SAMI</v>
          </cell>
          <cell r="E1182" t="str">
            <v>OPT-276</v>
          </cell>
          <cell r="F1182">
            <v>40544</v>
          </cell>
          <cell r="G1182" t="str">
            <v>-</v>
          </cell>
          <cell r="H1182" t="str">
            <v>-</v>
          </cell>
          <cell r="I1182" t="str">
            <v>PRD</v>
          </cell>
          <cell r="J1182" t="str">
            <v>FINAL ASSY</v>
          </cell>
          <cell r="K1182" t="str">
            <v>TOYOTA</v>
          </cell>
          <cell r="L1182" t="str">
            <v>AQUA SIENTA</v>
          </cell>
          <cell r="M1182" t="str">
            <v>CV T02</v>
          </cell>
          <cell r="N1182" t="str">
            <v>SUB LINE CHO</v>
          </cell>
          <cell r="O1182" t="str">
            <v>GL</v>
          </cell>
          <cell r="P1182" t="str">
            <v>A</v>
          </cell>
          <cell r="Q1182" t="str">
            <v>PI</v>
          </cell>
          <cell r="R1182" t="str">
            <v>PERMANENT</v>
          </cell>
          <cell r="S1182" t="str">
            <v>PRM</v>
          </cell>
          <cell r="T1182" t="str">
            <v>SLC</v>
          </cell>
          <cell r="U1182" t="str">
            <v>-</v>
          </cell>
          <cell r="V1182" t="str">
            <v>P</v>
          </cell>
          <cell r="W1182">
            <v>36</v>
          </cell>
        </row>
        <row r="1183">
          <cell r="A1183">
            <v>12746</v>
          </cell>
          <cell r="B1183" t="str">
            <v>012746</v>
          </cell>
          <cell r="C1183" t="str">
            <v>SITI MUNAYAH</v>
          </cell>
          <cell r="D1183" t="str">
            <v>SAMI</v>
          </cell>
          <cell r="E1183" t="str">
            <v>OPT-320</v>
          </cell>
          <cell r="F1183">
            <v>40819</v>
          </cell>
          <cell r="G1183" t="str">
            <v>-</v>
          </cell>
          <cell r="H1183" t="str">
            <v>-</v>
          </cell>
          <cell r="I1183" t="str">
            <v>PRD</v>
          </cell>
          <cell r="J1183" t="str">
            <v>FINAL ASSY</v>
          </cell>
          <cell r="K1183" t="str">
            <v>TOYOTA HV</v>
          </cell>
          <cell r="L1183" t="str">
            <v>HV TOYOTA 10PL</v>
          </cell>
          <cell r="M1183" t="str">
            <v>CV HV 14B</v>
          </cell>
          <cell r="N1183" t="str">
            <v>VISUAL T2.3</v>
          </cell>
          <cell r="O1183" t="str">
            <v>VISUAL INSPECTION</v>
          </cell>
          <cell r="P1183" t="str">
            <v>B</v>
          </cell>
          <cell r="Q1183" t="str">
            <v>DL</v>
          </cell>
          <cell r="R1183" t="str">
            <v>PERMANENT</v>
          </cell>
          <cell r="S1183" t="str">
            <v>PRM</v>
          </cell>
          <cell r="T1183" t="str">
            <v>OPT</v>
          </cell>
          <cell r="U1183" t="str">
            <v>-</v>
          </cell>
          <cell r="V1183" t="str">
            <v>P</v>
          </cell>
          <cell r="W1183">
            <v>31</v>
          </cell>
        </row>
        <row r="1184">
          <cell r="A1184">
            <v>12748</v>
          </cell>
          <cell r="B1184" t="str">
            <v>012748</v>
          </cell>
          <cell r="C1184" t="str">
            <v>SITI NUR FAIZAH</v>
          </cell>
          <cell r="D1184" t="str">
            <v>SAMI</v>
          </cell>
          <cell r="E1184" t="str">
            <v>OPT-320</v>
          </cell>
          <cell r="F1184">
            <v>40819</v>
          </cell>
          <cell r="G1184" t="str">
            <v>-</v>
          </cell>
          <cell r="H1184" t="str">
            <v>-</v>
          </cell>
          <cell r="I1184" t="str">
            <v>QA</v>
          </cell>
          <cell r="J1184" t="str">
            <v>NON LINE</v>
          </cell>
          <cell r="K1184" t="str">
            <v>ALL</v>
          </cell>
          <cell r="L1184" t="str">
            <v>ALL</v>
          </cell>
          <cell r="M1184" t="str">
            <v>OTHERS (BUFFER)</v>
          </cell>
          <cell r="N1184" t="str">
            <v>SUPPORT CV M01</v>
          </cell>
          <cell r="O1184" t="str">
            <v>OTHERS</v>
          </cell>
          <cell r="P1184" t="str">
            <v>A</v>
          </cell>
          <cell r="Q1184" t="str">
            <v>PI</v>
          </cell>
          <cell r="R1184" t="str">
            <v>PERMANENT</v>
          </cell>
          <cell r="S1184" t="str">
            <v>PRM</v>
          </cell>
          <cell r="T1184" t="str">
            <v>OPT</v>
          </cell>
          <cell r="U1184" t="str">
            <v>-</v>
          </cell>
          <cell r="V1184" t="str">
            <v>P</v>
          </cell>
          <cell r="W1184">
            <v>39</v>
          </cell>
        </row>
        <row r="1185">
          <cell r="A1185">
            <v>10604</v>
          </cell>
          <cell r="B1185" t="str">
            <v>010604</v>
          </cell>
          <cell r="C1185" t="str">
            <v>RETNO WULANDARI</v>
          </cell>
          <cell r="D1185" t="str">
            <v>SAMI</v>
          </cell>
          <cell r="E1185" t="str">
            <v>OPT-276</v>
          </cell>
          <cell r="F1185">
            <v>40544</v>
          </cell>
          <cell r="G1185" t="str">
            <v>-</v>
          </cell>
          <cell r="H1185" t="str">
            <v>-</v>
          </cell>
          <cell r="I1185" t="str">
            <v>PRD</v>
          </cell>
          <cell r="J1185" t="str">
            <v>FINAL ASSY</v>
          </cell>
          <cell r="K1185" t="str">
            <v>TOYOTA</v>
          </cell>
          <cell r="L1185" t="str">
            <v>AQUA SIENTA</v>
          </cell>
          <cell r="M1185" t="str">
            <v>CV T02</v>
          </cell>
          <cell r="N1185" t="str">
            <v>OJT VISUAL 1.2</v>
          </cell>
          <cell r="O1185" t="str">
            <v>OTHERS</v>
          </cell>
          <cell r="P1185" t="str">
            <v>A</v>
          </cell>
          <cell r="Q1185" t="str">
            <v>PI</v>
          </cell>
          <cell r="R1185" t="str">
            <v>PERMANENT</v>
          </cell>
          <cell r="S1185" t="str">
            <v>PRM</v>
          </cell>
          <cell r="T1185" t="str">
            <v>OPT</v>
          </cell>
          <cell r="U1185" t="str">
            <v>-</v>
          </cell>
          <cell r="V1185" t="str">
            <v>P</v>
          </cell>
          <cell r="W1185">
            <v>34</v>
          </cell>
        </row>
        <row r="1186">
          <cell r="A1186">
            <v>12764</v>
          </cell>
          <cell r="B1186" t="str">
            <v>012764</v>
          </cell>
          <cell r="C1186" t="str">
            <v>SUCI AJI MARYASA</v>
          </cell>
          <cell r="D1186" t="str">
            <v>SAMI</v>
          </cell>
          <cell r="E1186" t="str">
            <v>OPT-320</v>
          </cell>
          <cell r="F1186">
            <v>40819</v>
          </cell>
          <cell r="G1186" t="str">
            <v>-</v>
          </cell>
          <cell r="H1186" t="str">
            <v>-</v>
          </cell>
          <cell r="I1186" t="str">
            <v>OTHERS</v>
          </cell>
          <cell r="J1186" t="str">
            <v>AT HOME</v>
          </cell>
          <cell r="K1186" t="str">
            <v>ALL</v>
          </cell>
          <cell r="L1186" t="str">
            <v>ALL</v>
          </cell>
          <cell r="M1186" t="str">
            <v>AT HOME</v>
          </cell>
          <cell r="N1186" t="str">
            <v>CUTI KELAHIRAN</v>
          </cell>
          <cell r="O1186" t="str">
            <v>OTHERS IDL</v>
          </cell>
          <cell r="P1186" t="str">
            <v>-</v>
          </cell>
          <cell r="Q1186" t="str">
            <v>ADM</v>
          </cell>
          <cell r="R1186" t="str">
            <v>PERMANENT</v>
          </cell>
          <cell r="S1186" t="str">
            <v>PRM</v>
          </cell>
          <cell r="T1186" t="str">
            <v>OPT</v>
          </cell>
          <cell r="U1186" t="str">
            <v>-</v>
          </cell>
          <cell r="V1186" t="str">
            <v>P</v>
          </cell>
          <cell r="W1186">
            <v>31</v>
          </cell>
        </row>
        <row r="1187">
          <cell r="A1187">
            <v>12766</v>
          </cell>
          <cell r="B1187" t="str">
            <v>012766</v>
          </cell>
          <cell r="C1187" t="str">
            <v>SULIS TYONINGSIH</v>
          </cell>
          <cell r="D1187" t="str">
            <v>SAMI</v>
          </cell>
          <cell r="E1187" t="str">
            <v>OPT-320</v>
          </cell>
          <cell r="F1187">
            <v>40819</v>
          </cell>
          <cell r="G1187" t="str">
            <v>-</v>
          </cell>
          <cell r="H1187" t="str">
            <v>-</v>
          </cell>
          <cell r="I1187" t="str">
            <v>PRD</v>
          </cell>
          <cell r="J1187" t="str">
            <v>FINAL ASSY</v>
          </cell>
          <cell r="K1187" t="str">
            <v>MAZDA 3</v>
          </cell>
          <cell r="L1187" t="str">
            <v>MAZDA REAR</v>
          </cell>
          <cell r="M1187" t="str">
            <v>CV M01</v>
          </cell>
          <cell r="N1187" t="str">
            <v>T/P 3</v>
          </cell>
          <cell r="O1187" t="str">
            <v>ASSEMBLY</v>
          </cell>
          <cell r="P1187" t="str">
            <v>B</v>
          </cell>
          <cell r="Q1187" t="str">
            <v>DL</v>
          </cell>
          <cell r="R1187" t="str">
            <v>PERMANENT</v>
          </cell>
          <cell r="S1187" t="str">
            <v>PRM</v>
          </cell>
          <cell r="T1187" t="str">
            <v>OPT</v>
          </cell>
          <cell r="U1187" t="str">
            <v>-</v>
          </cell>
          <cell r="V1187" t="str">
            <v>P</v>
          </cell>
          <cell r="W1187">
            <v>35</v>
          </cell>
        </row>
        <row r="1188">
          <cell r="A1188">
            <v>12769</v>
          </cell>
          <cell r="B1188" t="str">
            <v>012769</v>
          </cell>
          <cell r="C1188" t="str">
            <v>SUSIANA</v>
          </cell>
          <cell r="D1188" t="str">
            <v>SAMI</v>
          </cell>
          <cell r="E1188" t="str">
            <v>OPT-320</v>
          </cell>
          <cell r="F1188">
            <v>40819</v>
          </cell>
          <cell r="G1188" t="str">
            <v>-</v>
          </cell>
          <cell r="H1188" t="str">
            <v>-</v>
          </cell>
          <cell r="I1188" t="str">
            <v>PRD</v>
          </cell>
          <cell r="J1188" t="str">
            <v>FINAL ASSY</v>
          </cell>
          <cell r="K1188" t="str">
            <v>SUZUKI WAGON R</v>
          </cell>
          <cell r="L1188" t="str">
            <v>SUZUKI YW0</v>
          </cell>
          <cell r="M1188" t="str">
            <v>CV S01</v>
          </cell>
          <cell r="N1188" t="str">
            <v>CHECKER 1</v>
          </cell>
          <cell r="O1188" t="str">
            <v>ELECTRICAL INSPECTION</v>
          </cell>
          <cell r="P1188" t="str">
            <v>B</v>
          </cell>
          <cell r="Q1188" t="str">
            <v>DL</v>
          </cell>
          <cell r="R1188" t="str">
            <v>PERMANENT</v>
          </cell>
          <cell r="S1188" t="str">
            <v>PRM</v>
          </cell>
          <cell r="T1188" t="str">
            <v>OPT</v>
          </cell>
          <cell r="U1188" t="str">
            <v>-</v>
          </cell>
          <cell r="V1188" t="str">
            <v>P</v>
          </cell>
          <cell r="W1188">
            <v>32</v>
          </cell>
        </row>
        <row r="1189">
          <cell r="A1189">
            <v>12779</v>
          </cell>
          <cell r="B1189" t="str">
            <v>012779</v>
          </cell>
          <cell r="C1189" t="str">
            <v>TUTIK HARIYANTI</v>
          </cell>
          <cell r="D1189" t="str">
            <v>SAMI</v>
          </cell>
          <cell r="E1189" t="str">
            <v>OPT-320</v>
          </cell>
          <cell r="F1189">
            <v>40819</v>
          </cell>
          <cell r="G1189" t="str">
            <v>-</v>
          </cell>
          <cell r="H1189" t="str">
            <v>-</v>
          </cell>
          <cell r="I1189" t="str">
            <v>PRD</v>
          </cell>
          <cell r="J1189" t="str">
            <v>NON LINE</v>
          </cell>
          <cell r="K1189" t="str">
            <v>ALL</v>
          </cell>
          <cell r="L1189" t="str">
            <v>ALL</v>
          </cell>
          <cell r="M1189" t="str">
            <v>TRAINER 2</v>
          </cell>
          <cell r="N1189" t="str">
            <v>KONTROL OJT LINE</v>
          </cell>
          <cell r="O1189" t="str">
            <v>GL</v>
          </cell>
          <cell r="P1189" t="str">
            <v>B</v>
          </cell>
          <cell r="Q1189" t="str">
            <v>PI</v>
          </cell>
          <cell r="R1189" t="str">
            <v>PERMANENT</v>
          </cell>
          <cell r="S1189" t="str">
            <v>PRM</v>
          </cell>
          <cell r="T1189" t="str">
            <v>GL</v>
          </cell>
          <cell r="U1189" t="str">
            <v>-</v>
          </cell>
          <cell r="V1189" t="str">
            <v>P</v>
          </cell>
          <cell r="W1189">
            <v>31</v>
          </cell>
        </row>
        <row r="1190">
          <cell r="A1190">
            <v>12782</v>
          </cell>
          <cell r="B1190" t="str">
            <v>012782</v>
          </cell>
          <cell r="C1190" t="str">
            <v>ULUL AMRIYAH</v>
          </cell>
          <cell r="D1190" t="str">
            <v>SAMI</v>
          </cell>
          <cell r="E1190" t="str">
            <v>OPT-320</v>
          </cell>
          <cell r="F1190">
            <v>40819</v>
          </cell>
          <cell r="G1190" t="str">
            <v>-</v>
          </cell>
          <cell r="H1190" t="str">
            <v>-</v>
          </cell>
          <cell r="I1190" t="str">
            <v>PRD</v>
          </cell>
          <cell r="J1190" t="str">
            <v>FINAL ASSY</v>
          </cell>
          <cell r="K1190" t="str">
            <v>MAZDA ATENZA</v>
          </cell>
          <cell r="L1190" t="str">
            <v>MAZDA J72A</v>
          </cell>
          <cell r="M1190" t="str">
            <v>CV M03</v>
          </cell>
          <cell r="N1190" t="str">
            <v>VISUAL 1.1</v>
          </cell>
          <cell r="O1190" t="str">
            <v>VISUAL INSPECTION</v>
          </cell>
          <cell r="P1190" t="str">
            <v>B</v>
          </cell>
          <cell r="Q1190" t="str">
            <v>DL</v>
          </cell>
          <cell r="R1190" t="str">
            <v>PERMANENT</v>
          </cell>
          <cell r="S1190" t="str">
            <v>PRM</v>
          </cell>
          <cell r="T1190" t="str">
            <v>OPT</v>
          </cell>
          <cell r="U1190" t="str">
            <v>-</v>
          </cell>
          <cell r="V1190" t="str">
            <v>P</v>
          </cell>
          <cell r="W1190">
            <v>31</v>
          </cell>
        </row>
        <row r="1191">
          <cell r="A1191">
            <v>10804</v>
          </cell>
          <cell r="B1191" t="str">
            <v>010804</v>
          </cell>
          <cell r="C1191" t="str">
            <v>SUWANTI</v>
          </cell>
          <cell r="D1191" t="str">
            <v>SAMI</v>
          </cell>
          <cell r="E1191" t="str">
            <v>OPT-282</v>
          </cell>
          <cell r="F1191">
            <v>40567</v>
          </cell>
          <cell r="G1191" t="str">
            <v>-</v>
          </cell>
          <cell r="H1191" t="str">
            <v>-</v>
          </cell>
          <cell r="I1191" t="str">
            <v>PRD</v>
          </cell>
          <cell r="J1191" t="str">
            <v>FINAL ASSY</v>
          </cell>
          <cell r="K1191" t="str">
            <v>TOYOTA</v>
          </cell>
          <cell r="L1191" t="str">
            <v>AQUA SIENTA</v>
          </cell>
          <cell r="M1191" t="str">
            <v>CV T02</v>
          </cell>
          <cell r="N1191" t="str">
            <v>LQC</v>
          </cell>
          <cell r="O1191" t="str">
            <v>RELIEF</v>
          </cell>
          <cell r="P1191" t="str">
            <v>A</v>
          </cell>
          <cell r="Q1191" t="str">
            <v>PI</v>
          </cell>
          <cell r="R1191" t="str">
            <v>PERMANENT</v>
          </cell>
          <cell r="S1191" t="str">
            <v>PRM</v>
          </cell>
          <cell r="T1191" t="str">
            <v>PJK</v>
          </cell>
          <cell r="U1191" t="str">
            <v>-</v>
          </cell>
          <cell r="V1191" t="str">
            <v>P</v>
          </cell>
          <cell r="W1191">
            <v>34</v>
          </cell>
        </row>
        <row r="1192">
          <cell r="A1192">
            <v>11007</v>
          </cell>
          <cell r="B1192" t="str">
            <v>011007</v>
          </cell>
          <cell r="C1192" t="str">
            <v>ISMAWATI</v>
          </cell>
          <cell r="D1192" t="str">
            <v>SAMI</v>
          </cell>
          <cell r="E1192" t="str">
            <v>OPT-287</v>
          </cell>
          <cell r="F1192">
            <v>40585</v>
          </cell>
          <cell r="G1192" t="str">
            <v>-</v>
          </cell>
          <cell r="H1192" t="str">
            <v>-</v>
          </cell>
          <cell r="I1192" t="str">
            <v>PRD</v>
          </cell>
          <cell r="J1192" t="str">
            <v>FINAL ASSY</v>
          </cell>
          <cell r="K1192" t="str">
            <v>TOYOTA</v>
          </cell>
          <cell r="L1192" t="str">
            <v>AQUA SIENTA</v>
          </cell>
          <cell r="M1192" t="str">
            <v>CV T02</v>
          </cell>
          <cell r="N1192" t="str">
            <v>LQC</v>
          </cell>
          <cell r="O1192" t="str">
            <v>RELIEF</v>
          </cell>
          <cell r="P1192" t="str">
            <v>A</v>
          </cell>
          <cell r="Q1192" t="str">
            <v>PI</v>
          </cell>
          <cell r="R1192" t="str">
            <v>PERMANENT</v>
          </cell>
          <cell r="S1192" t="str">
            <v>PRM</v>
          </cell>
          <cell r="T1192" t="str">
            <v>PJK</v>
          </cell>
          <cell r="U1192" t="str">
            <v>-</v>
          </cell>
          <cell r="V1192" t="str">
            <v>P</v>
          </cell>
          <cell r="W1192">
            <v>32</v>
          </cell>
        </row>
        <row r="1193">
          <cell r="A1193">
            <v>12801</v>
          </cell>
          <cell r="B1193" t="str">
            <v>012801</v>
          </cell>
          <cell r="C1193" t="str">
            <v>ANI MARIANI</v>
          </cell>
          <cell r="D1193" t="str">
            <v>SAMI</v>
          </cell>
          <cell r="E1193" t="str">
            <v>OPT-321</v>
          </cell>
          <cell r="F1193">
            <v>40826</v>
          </cell>
          <cell r="G1193" t="str">
            <v>-</v>
          </cell>
          <cell r="H1193" t="str">
            <v>-</v>
          </cell>
          <cell r="I1193" t="str">
            <v>OTHERS</v>
          </cell>
          <cell r="J1193" t="str">
            <v>AT HOME</v>
          </cell>
          <cell r="K1193" t="str">
            <v>ALL</v>
          </cell>
          <cell r="L1193" t="str">
            <v>ALL</v>
          </cell>
          <cell r="M1193" t="str">
            <v>AT HOME</v>
          </cell>
          <cell r="N1193" t="str">
            <v>CUTI DI LUAR TANGGUNGAN</v>
          </cell>
          <cell r="O1193" t="str">
            <v>OTHERS IDL</v>
          </cell>
          <cell r="P1193" t="str">
            <v>-</v>
          </cell>
          <cell r="Q1193" t="str">
            <v>ADM</v>
          </cell>
          <cell r="R1193" t="str">
            <v>PERMANENT</v>
          </cell>
          <cell r="S1193" t="str">
            <v>PRM</v>
          </cell>
          <cell r="T1193" t="str">
            <v>GL</v>
          </cell>
          <cell r="U1193" t="str">
            <v>-</v>
          </cell>
          <cell r="V1193" t="str">
            <v>P</v>
          </cell>
          <cell r="W1193">
            <v>31</v>
          </cell>
        </row>
        <row r="1194">
          <cell r="A1194">
            <v>11053</v>
          </cell>
          <cell r="B1194" t="str">
            <v>011053</v>
          </cell>
          <cell r="C1194" t="str">
            <v>YUMROTUN</v>
          </cell>
          <cell r="D1194" t="str">
            <v>SAMI</v>
          </cell>
          <cell r="E1194" t="str">
            <v>OPT-288</v>
          </cell>
          <cell r="F1194">
            <v>40592</v>
          </cell>
          <cell r="G1194" t="str">
            <v>-</v>
          </cell>
          <cell r="H1194" t="str">
            <v>-</v>
          </cell>
          <cell r="I1194" t="str">
            <v>PRD</v>
          </cell>
          <cell r="J1194" t="str">
            <v>FINAL ASSY</v>
          </cell>
          <cell r="K1194" t="str">
            <v>TOYOTA</v>
          </cell>
          <cell r="L1194" t="str">
            <v>AQUA SIENTA</v>
          </cell>
          <cell r="M1194" t="str">
            <v>CV T02</v>
          </cell>
          <cell r="N1194" t="str">
            <v>RELIEF 2</v>
          </cell>
          <cell r="O1194" t="str">
            <v>RELIEF</v>
          </cell>
          <cell r="P1194" t="str">
            <v>A</v>
          </cell>
          <cell r="Q1194" t="str">
            <v>PI</v>
          </cell>
          <cell r="R1194" t="str">
            <v>PERMANENT</v>
          </cell>
          <cell r="S1194" t="str">
            <v>PRM</v>
          </cell>
          <cell r="T1194" t="str">
            <v>OPT</v>
          </cell>
          <cell r="U1194" t="str">
            <v>-</v>
          </cell>
          <cell r="V1194" t="str">
            <v>P</v>
          </cell>
          <cell r="W1194">
            <v>33</v>
          </cell>
        </row>
        <row r="1195">
          <cell r="A1195">
            <v>12813</v>
          </cell>
          <cell r="B1195" t="str">
            <v>012813</v>
          </cell>
          <cell r="C1195" t="str">
            <v>EKO TRIYONO</v>
          </cell>
          <cell r="D1195" t="str">
            <v>SAMI</v>
          </cell>
          <cell r="E1195" t="str">
            <v>OPT-321</v>
          </cell>
          <cell r="F1195">
            <v>40826</v>
          </cell>
          <cell r="G1195" t="str">
            <v>-</v>
          </cell>
          <cell r="H1195" t="str">
            <v>-</v>
          </cell>
          <cell r="I1195" t="str">
            <v>PRD</v>
          </cell>
          <cell r="J1195" t="str">
            <v>FINAL ASSY</v>
          </cell>
          <cell r="K1195" t="str">
            <v>HONDA FIT</v>
          </cell>
          <cell r="L1195" t="str">
            <v>HONDA FIT HEV PET ENGINE</v>
          </cell>
          <cell r="M1195" t="str">
            <v>CV H02</v>
          </cell>
          <cell r="N1195" t="str">
            <v>SUB LINE CHO</v>
          </cell>
          <cell r="O1195" t="str">
            <v>GL</v>
          </cell>
          <cell r="P1195" t="str">
            <v>B</v>
          </cell>
          <cell r="Q1195" t="str">
            <v>PI</v>
          </cell>
          <cell r="R1195" t="str">
            <v>PERMANENT</v>
          </cell>
          <cell r="S1195" t="str">
            <v>PRM</v>
          </cell>
          <cell r="T1195" t="str">
            <v>SLC</v>
          </cell>
          <cell r="U1195" t="str">
            <v>-</v>
          </cell>
          <cell r="V1195" t="str">
            <v>L</v>
          </cell>
          <cell r="W1195">
            <v>31</v>
          </cell>
        </row>
        <row r="1196">
          <cell r="A1196">
            <v>11106</v>
          </cell>
          <cell r="B1196" t="str">
            <v>011106</v>
          </cell>
          <cell r="C1196" t="str">
            <v>DEVI RINJANI</v>
          </cell>
          <cell r="D1196" t="str">
            <v>SAMI</v>
          </cell>
          <cell r="E1196" t="str">
            <v>OPT-290</v>
          </cell>
          <cell r="F1196">
            <v>40603</v>
          </cell>
          <cell r="G1196" t="str">
            <v>-</v>
          </cell>
          <cell r="H1196" t="str">
            <v>-</v>
          </cell>
          <cell r="I1196" t="str">
            <v>PRD</v>
          </cell>
          <cell r="J1196" t="str">
            <v>FINAL ASSY</v>
          </cell>
          <cell r="K1196" t="str">
            <v>TOYOTA</v>
          </cell>
          <cell r="L1196" t="str">
            <v>AQUA SIENTA</v>
          </cell>
          <cell r="M1196" t="str">
            <v>CV T02</v>
          </cell>
          <cell r="N1196" t="str">
            <v>OJT T/P 8.1</v>
          </cell>
          <cell r="O1196" t="str">
            <v>OTHERS</v>
          </cell>
          <cell r="P1196" t="str">
            <v>A</v>
          </cell>
          <cell r="Q1196" t="str">
            <v>PI</v>
          </cell>
          <cell r="R1196" t="str">
            <v>PERMANENT</v>
          </cell>
          <cell r="S1196" t="str">
            <v>PRM</v>
          </cell>
          <cell r="T1196" t="str">
            <v>OPT</v>
          </cell>
          <cell r="U1196" t="str">
            <v>-</v>
          </cell>
          <cell r="V1196" t="str">
            <v>P</v>
          </cell>
          <cell r="W1196">
            <v>32</v>
          </cell>
        </row>
        <row r="1197">
          <cell r="A1197">
            <v>12842</v>
          </cell>
          <cell r="B1197" t="str">
            <v>012842</v>
          </cell>
          <cell r="C1197" t="str">
            <v>ANDRI SUPRAPTI</v>
          </cell>
          <cell r="D1197" t="str">
            <v>SAMI</v>
          </cell>
          <cell r="E1197" t="str">
            <v>OPT-322</v>
          </cell>
          <cell r="F1197">
            <v>40833</v>
          </cell>
          <cell r="G1197" t="str">
            <v>-</v>
          </cell>
          <cell r="H1197" t="str">
            <v>-</v>
          </cell>
          <cell r="I1197" t="str">
            <v>PRD</v>
          </cell>
          <cell r="J1197" t="str">
            <v>FINAL ASSY</v>
          </cell>
          <cell r="K1197" t="str">
            <v>TOYOTA HV</v>
          </cell>
          <cell r="L1197" t="str">
            <v>HV TOYOTA 10PL</v>
          </cell>
          <cell r="M1197" t="str">
            <v>CV HV 14A</v>
          </cell>
          <cell r="N1197" t="str">
            <v>VISUAL T2.3</v>
          </cell>
          <cell r="O1197" t="str">
            <v>VISUAL INSPECTION</v>
          </cell>
          <cell r="P1197" t="str">
            <v>B</v>
          </cell>
          <cell r="Q1197" t="str">
            <v>DL</v>
          </cell>
          <cell r="R1197" t="str">
            <v>PERMANENT</v>
          </cell>
          <cell r="S1197" t="str">
            <v>PRM</v>
          </cell>
          <cell r="T1197" t="str">
            <v>OPT</v>
          </cell>
          <cell r="U1197" t="str">
            <v>-</v>
          </cell>
          <cell r="V1197" t="str">
            <v>P</v>
          </cell>
          <cell r="W1197">
            <v>33</v>
          </cell>
        </row>
        <row r="1198">
          <cell r="A1198">
            <v>11696</v>
          </cell>
          <cell r="B1198" t="str">
            <v>011696</v>
          </cell>
          <cell r="C1198" t="str">
            <v>HENY RAHMAWATI</v>
          </cell>
          <cell r="D1198" t="str">
            <v>SAMI</v>
          </cell>
          <cell r="E1198" t="str">
            <v>OPT-308</v>
          </cell>
          <cell r="F1198">
            <v>40714</v>
          </cell>
          <cell r="G1198" t="str">
            <v>-</v>
          </cell>
          <cell r="H1198" t="str">
            <v>-</v>
          </cell>
          <cell r="I1198" t="str">
            <v>PRD</v>
          </cell>
          <cell r="J1198" t="str">
            <v>FINAL ASSY</v>
          </cell>
          <cell r="K1198" t="str">
            <v>TOYOTA</v>
          </cell>
          <cell r="L1198" t="str">
            <v>AQUA SIENTA</v>
          </cell>
          <cell r="M1198" t="str">
            <v>CV T02</v>
          </cell>
          <cell r="N1198" t="str">
            <v>OJT VISUAL 2.1</v>
          </cell>
          <cell r="O1198" t="str">
            <v>OTHERS</v>
          </cell>
          <cell r="P1198" t="str">
            <v>A</v>
          </cell>
          <cell r="Q1198" t="str">
            <v>PI</v>
          </cell>
          <cell r="R1198" t="str">
            <v>PERMANENT</v>
          </cell>
          <cell r="S1198" t="str">
            <v>PRM</v>
          </cell>
          <cell r="T1198" t="str">
            <v>OPT</v>
          </cell>
          <cell r="U1198" t="str">
            <v>-</v>
          </cell>
          <cell r="V1198" t="str">
            <v>P</v>
          </cell>
          <cell r="W1198">
            <v>31</v>
          </cell>
        </row>
        <row r="1199">
          <cell r="A1199">
            <v>12858</v>
          </cell>
          <cell r="B1199" t="str">
            <v>012858</v>
          </cell>
          <cell r="C1199" t="str">
            <v>DEWI ANDRIYANI</v>
          </cell>
          <cell r="D1199" t="str">
            <v>SAMI</v>
          </cell>
          <cell r="E1199" t="str">
            <v>OPT-322</v>
          </cell>
          <cell r="F1199">
            <v>40833</v>
          </cell>
          <cell r="G1199" t="str">
            <v>-</v>
          </cell>
          <cell r="H1199" t="str">
            <v>-</v>
          </cell>
          <cell r="I1199" t="str">
            <v>PRD</v>
          </cell>
          <cell r="J1199" t="str">
            <v>FINAL ASSY</v>
          </cell>
          <cell r="K1199" t="str">
            <v>HONDA FIT</v>
          </cell>
          <cell r="L1199" t="str">
            <v>HONDA FIT HEV PET ENGINE</v>
          </cell>
          <cell r="M1199" t="str">
            <v>CV H02</v>
          </cell>
          <cell r="N1199" t="str">
            <v>T/P 7.2</v>
          </cell>
          <cell r="O1199" t="str">
            <v>ASSEMBLY</v>
          </cell>
          <cell r="P1199" t="str">
            <v>B</v>
          </cell>
          <cell r="Q1199" t="str">
            <v>DL</v>
          </cell>
          <cell r="R1199" t="str">
            <v>PERMANENT</v>
          </cell>
          <cell r="S1199" t="str">
            <v>PRM</v>
          </cell>
          <cell r="T1199" t="str">
            <v>OPT</v>
          </cell>
          <cell r="U1199" t="str">
            <v>-</v>
          </cell>
          <cell r="V1199" t="str">
            <v>P</v>
          </cell>
          <cell r="W1199">
            <v>31</v>
          </cell>
        </row>
        <row r="1200">
          <cell r="A1200">
            <v>12859</v>
          </cell>
          <cell r="B1200" t="str">
            <v>012859</v>
          </cell>
          <cell r="C1200" t="str">
            <v>DEWI MARYAM</v>
          </cell>
          <cell r="D1200" t="str">
            <v>SAMI</v>
          </cell>
          <cell r="E1200" t="str">
            <v>OPT-322</v>
          </cell>
          <cell r="F1200">
            <v>40833</v>
          </cell>
          <cell r="G1200" t="str">
            <v>-</v>
          </cell>
          <cell r="H1200" t="str">
            <v>-</v>
          </cell>
          <cell r="I1200" t="str">
            <v>QA</v>
          </cell>
          <cell r="J1200" t="str">
            <v>PRE ASSY</v>
          </cell>
          <cell r="K1200" t="str">
            <v>HONDA EXPORT</v>
          </cell>
          <cell r="L1200" t="str">
            <v>HONDA EXPORT</v>
          </cell>
          <cell r="M1200" t="str">
            <v>CPA HONDA EXPORT</v>
          </cell>
          <cell r="N1200" t="str">
            <v>INSP TENSILE</v>
          </cell>
          <cell r="O1200" t="str">
            <v>TENSILE TEST</v>
          </cell>
          <cell r="P1200" t="str">
            <v>A</v>
          </cell>
          <cell r="Q1200" t="str">
            <v>PS</v>
          </cell>
          <cell r="R1200" t="str">
            <v>PERMANENT</v>
          </cell>
          <cell r="S1200" t="str">
            <v>PRM</v>
          </cell>
          <cell r="T1200" t="str">
            <v>OPT</v>
          </cell>
          <cell r="U1200" t="str">
            <v>-</v>
          </cell>
          <cell r="V1200" t="str">
            <v>P</v>
          </cell>
          <cell r="W1200">
            <v>31</v>
          </cell>
        </row>
        <row r="1201">
          <cell r="A1201">
            <v>12092</v>
          </cell>
          <cell r="B1201" t="str">
            <v>012092</v>
          </cell>
          <cell r="C1201" t="str">
            <v>ENDANG ERNAWATI</v>
          </cell>
          <cell r="D1201" t="str">
            <v>SAMI</v>
          </cell>
          <cell r="E1201" t="str">
            <v>OPT-314</v>
          </cell>
          <cell r="F1201">
            <v>40798</v>
          </cell>
          <cell r="G1201" t="str">
            <v>-</v>
          </cell>
          <cell r="H1201" t="str">
            <v>-</v>
          </cell>
          <cell r="I1201" t="str">
            <v>PRD</v>
          </cell>
          <cell r="J1201" t="str">
            <v>FINAL ASSY</v>
          </cell>
          <cell r="K1201" t="str">
            <v>TOYOTA</v>
          </cell>
          <cell r="L1201" t="str">
            <v>AQUA SIENTA</v>
          </cell>
          <cell r="M1201" t="str">
            <v>CV T02</v>
          </cell>
          <cell r="N1201" t="str">
            <v>OJT VISUAL 1.1</v>
          </cell>
          <cell r="O1201" t="str">
            <v>OTHERS</v>
          </cell>
          <cell r="P1201" t="str">
            <v>A</v>
          </cell>
          <cell r="Q1201" t="str">
            <v>PI</v>
          </cell>
          <cell r="R1201" t="str">
            <v>PERMANENT</v>
          </cell>
          <cell r="S1201" t="str">
            <v>PRM</v>
          </cell>
          <cell r="T1201" t="str">
            <v>OPT</v>
          </cell>
          <cell r="U1201" t="str">
            <v>-</v>
          </cell>
          <cell r="V1201" t="str">
            <v>P</v>
          </cell>
          <cell r="W1201">
            <v>34</v>
          </cell>
        </row>
        <row r="1202">
          <cell r="A1202">
            <v>12878</v>
          </cell>
          <cell r="B1202" t="str">
            <v>012878</v>
          </cell>
          <cell r="C1202" t="str">
            <v>IDA YATI</v>
          </cell>
          <cell r="D1202" t="str">
            <v>SAMI</v>
          </cell>
          <cell r="E1202" t="str">
            <v>OPT-322</v>
          </cell>
          <cell r="F1202">
            <v>40833</v>
          </cell>
          <cell r="G1202" t="str">
            <v>-</v>
          </cell>
          <cell r="H1202" t="str">
            <v>-</v>
          </cell>
          <cell r="I1202" t="str">
            <v>PRD</v>
          </cell>
          <cell r="J1202" t="str">
            <v>PRE ASSY</v>
          </cell>
          <cell r="K1202" t="str">
            <v>HONDA FIT</v>
          </cell>
          <cell r="L1202" t="str">
            <v>HONDA FIT</v>
          </cell>
          <cell r="M1202" t="str">
            <v>CPA HONDA FIT HEV/PET</v>
          </cell>
          <cell r="N1202" t="str">
            <v>CUTTING AC90-HDA-02</v>
          </cell>
          <cell r="O1202" t="str">
            <v>CUTTING WIRE</v>
          </cell>
          <cell r="P1202" t="str">
            <v>B</v>
          </cell>
          <cell r="Q1202" t="str">
            <v>DL</v>
          </cell>
          <cell r="R1202" t="str">
            <v>PERMANENT</v>
          </cell>
          <cell r="S1202" t="str">
            <v>PRM</v>
          </cell>
          <cell r="T1202" t="str">
            <v>OPT</v>
          </cell>
          <cell r="U1202" t="str">
            <v>-</v>
          </cell>
          <cell r="V1202" t="str">
            <v>P</v>
          </cell>
          <cell r="W1202">
            <v>31</v>
          </cell>
        </row>
        <row r="1203">
          <cell r="A1203">
            <v>12879</v>
          </cell>
          <cell r="B1203" t="str">
            <v>012879</v>
          </cell>
          <cell r="C1203" t="str">
            <v>IFTA ASMANIAH</v>
          </cell>
          <cell r="D1203" t="str">
            <v>SAMI</v>
          </cell>
          <cell r="E1203" t="str">
            <v>OPT-322</v>
          </cell>
          <cell r="F1203">
            <v>40833</v>
          </cell>
          <cell r="G1203" t="str">
            <v>-</v>
          </cell>
          <cell r="H1203" t="str">
            <v>-</v>
          </cell>
          <cell r="I1203" t="str">
            <v>PRD</v>
          </cell>
          <cell r="J1203" t="str">
            <v>FINAL ASSY</v>
          </cell>
          <cell r="K1203" t="str">
            <v>HONDA NES</v>
          </cell>
          <cell r="L1203" t="str">
            <v>HONDA NES HEV PET ENGINE</v>
          </cell>
          <cell r="M1203" t="str">
            <v>CV H04</v>
          </cell>
          <cell r="N1203" t="str">
            <v>CHECKER 3</v>
          </cell>
          <cell r="O1203" t="str">
            <v>ELECTRICAL INSPECTION</v>
          </cell>
          <cell r="P1203" t="str">
            <v>B</v>
          </cell>
          <cell r="Q1203" t="str">
            <v>DL</v>
          </cell>
          <cell r="R1203" t="str">
            <v>PERMANENT</v>
          </cell>
          <cell r="S1203" t="str">
            <v>PRM</v>
          </cell>
          <cell r="T1203" t="str">
            <v>OPT</v>
          </cell>
          <cell r="U1203" t="str">
            <v>-</v>
          </cell>
          <cell r="V1203" t="str">
            <v>P</v>
          </cell>
          <cell r="W1203">
            <v>32</v>
          </cell>
        </row>
        <row r="1204">
          <cell r="A1204">
            <v>12883</v>
          </cell>
          <cell r="B1204" t="str">
            <v>012883</v>
          </cell>
          <cell r="C1204" t="str">
            <v>JARIYAH</v>
          </cell>
          <cell r="D1204" t="str">
            <v>SAMI</v>
          </cell>
          <cell r="E1204" t="str">
            <v>OPT-322</v>
          </cell>
          <cell r="F1204">
            <v>40833</v>
          </cell>
          <cell r="G1204" t="str">
            <v>-</v>
          </cell>
          <cell r="H1204" t="str">
            <v>-</v>
          </cell>
          <cell r="I1204" t="str">
            <v>PRD</v>
          </cell>
          <cell r="J1204" t="str">
            <v>FINAL ASSY</v>
          </cell>
          <cell r="K1204" t="str">
            <v>HONDA NES</v>
          </cell>
          <cell r="L1204" t="str">
            <v>HONDA NES HEV PET ENGINE</v>
          </cell>
          <cell r="M1204" t="str">
            <v>CV H03</v>
          </cell>
          <cell r="N1204" t="str">
            <v>VISUAL 1.3</v>
          </cell>
          <cell r="O1204" t="str">
            <v>VISUAL INSPECTION</v>
          </cell>
          <cell r="P1204" t="str">
            <v>B</v>
          </cell>
          <cell r="Q1204" t="str">
            <v>DL</v>
          </cell>
          <cell r="R1204" t="str">
            <v>PERMANENT</v>
          </cell>
          <cell r="S1204" t="str">
            <v>PRM</v>
          </cell>
          <cell r="T1204" t="str">
            <v>OPT</v>
          </cell>
          <cell r="U1204" t="str">
            <v>-</v>
          </cell>
          <cell r="V1204" t="str">
            <v>P</v>
          </cell>
          <cell r="W1204">
            <v>32</v>
          </cell>
        </row>
        <row r="1205">
          <cell r="A1205">
            <v>17230</v>
          </cell>
          <cell r="B1205" t="str">
            <v>017230</v>
          </cell>
          <cell r="C1205" t="str">
            <v>NADYA KURNIA LARAS MITHA</v>
          </cell>
          <cell r="D1205" t="str">
            <v>SAMI</v>
          </cell>
          <cell r="E1205" t="str">
            <v>OPT-440</v>
          </cell>
          <cell r="F1205">
            <v>41764</v>
          </cell>
          <cell r="G1205" t="str">
            <v>-</v>
          </cell>
          <cell r="H1205" t="str">
            <v>-</v>
          </cell>
          <cell r="I1205" t="str">
            <v>PRD</v>
          </cell>
          <cell r="J1205" t="str">
            <v>FINAL ASSY</v>
          </cell>
          <cell r="K1205" t="str">
            <v>TOYOTA</v>
          </cell>
          <cell r="L1205" t="str">
            <v>AQUA SIENTA</v>
          </cell>
          <cell r="M1205" t="str">
            <v>CV T02</v>
          </cell>
          <cell r="N1205" t="str">
            <v>OJT VISUAL 2.2</v>
          </cell>
          <cell r="O1205" t="str">
            <v>OTHERS</v>
          </cell>
          <cell r="P1205" t="str">
            <v>A</v>
          </cell>
          <cell r="Q1205" t="str">
            <v>PI</v>
          </cell>
          <cell r="R1205" t="str">
            <v>PERMANENT</v>
          </cell>
          <cell r="S1205" t="str">
            <v>PRM</v>
          </cell>
          <cell r="T1205" t="str">
            <v>OPT</v>
          </cell>
          <cell r="U1205" t="str">
            <v>-</v>
          </cell>
          <cell r="V1205" t="str">
            <v>P</v>
          </cell>
          <cell r="W1205">
            <v>28</v>
          </cell>
        </row>
        <row r="1206">
          <cell r="A1206">
            <v>12914</v>
          </cell>
          <cell r="B1206" t="str">
            <v>012914</v>
          </cell>
          <cell r="C1206" t="str">
            <v>PUTRI TRAPSILO</v>
          </cell>
          <cell r="D1206" t="str">
            <v>SAMI</v>
          </cell>
          <cell r="E1206" t="str">
            <v>OPT-322</v>
          </cell>
          <cell r="F1206">
            <v>40833</v>
          </cell>
          <cell r="G1206" t="str">
            <v>-</v>
          </cell>
          <cell r="H1206" t="str">
            <v>-</v>
          </cell>
          <cell r="I1206" t="str">
            <v>QA</v>
          </cell>
          <cell r="J1206" t="str">
            <v>NON LINE</v>
          </cell>
          <cell r="K1206" t="str">
            <v>ALL</v>
          </cell>
          <cell r="L1206" t="str">
            <v>ALL</v>
          </cell>
          <cell r="M1206" t="str">
            <v>RCV - TUGU</v>
          </cell>
          <cell r="N1206" t="str">
            <v>SAMPLING &amp; CHECK 100%</v>
          </cell>
          <cell r="O1206" t="str">
            <v>RCV</v>
          </cell>
          <cell r="P1206" t="str">
            <v>A (NS)</v>
          </cell>
          <cell r="Q1206" t="str">
            <v>PS</v>
          </cell>
          <cell r="R1206" t="str">
            <v>PERMANENT</v>
          </cell>
          <cell r="S1206" t="str">
            <v>PRM</v>
          </cell>
          <cell r="T1206" t="str">
            <v>OPT</v>
          </cell>
          <cell r="U1206" t="str">
            <v>-</v>
          </cell>
          <cell r="V1206" t="str">
            <v>P</v>
          </cell>
          <cell r="W1206">
            <v>31</v>
          </cell>
        </row>
        <row r="1207">
          <cell r="A1207">
            <v>1651</v>
          </cell>
          <cell r="B1207" t="str">
            <v>001651</v>
          </cell>
          <cell r="C1207" t="str">
            <v>AHMAD MUBARAK</v>
          </cell>
          <cell r="D1207" t="str">
            <v>SAMI</v>
          </cell>
          <cell r="E1207" t="str">
            <v>SPV UP</v>
          </cell>
          <cell r="F1207">
            <v>38061</v>
          </cell>
          <cell r="G1207" t="str">
            <v>-</v>
          </cell>
          <cell r="H1207" t="str">
            <v>-</v>
          </cell>
          <cell r="I1207" t="str">
            <v>PRD</v>
          </cell>
          <cell r="J1207" t="str">
            <v>MANAGEMENT</v>
          </cell>
          <cell r="K1207" t="str">
            <v>ALL</v>
          </cell>
          <cell r="L1207" t="str">
            <v>ALL</v>
          </cell>
          <cell r="M1207" t="str">
            <v>MANAGEMENT</v>
          </cell>
          <cell r="N1207" t="str">
            <v>MANAGER PRD</v>
          </cell>
          <cell r="O1207" t="str">
            <v>MGR FPI</v>
          </cell>
          <cell r="P1207" t="str">
            <v>A (NS)</v>
          </cell>
          <cell r="Q1207" t="str">
            <v>PI</v>
          </cell>
          <cell r="R1207" t="str">
            <v>PERMANENT</v>
          </cell>
          <cell r="S1207" t="str">
            <v>PRM</v>
          </cell>
          <cell r="T1207" t="str">
            <v>MGR</v>
          </cell>
          <cell r="U1207" t="str">
            <v>-</v>
          </cell>
          <cell r="V1207" t="str">
            <v>L</v>
          </cell>
          <cell r="W1207">
            <v>42</v>
          </cell>
        </row>
        <row r="1208">
          <cell r="A1208">
            <v>12923</v>
          </cell>
          <cell r="B1208" t="str">
            <v>012923</v>
          </cell>
          <cell r="C1208" t="str">
            <v>RETNO KUMALASARI</v>
          </cell>
          <cell r="D1208" t="str">
            <v>SAMI</v>
          </cell>
          <cell r="E1208" t="str">
            <v>OPT-322</v>
          </cell>
          <cell r="F1208">
            <v>40833</v>
          </cell>
          <cell r="G1208" t="str">
            <v>-</v>
          </cell>
          <cell r="H1208" t="str">
            <v>-</v>
          </cell>
          <cell r="I1208" t="str">
            <v>PRD</v>
          </cell>
          <cell r="J1208" t="str">
            <v>FINAL ASSY</v>
          </cell>
          <cell r="K1208" t="str">
            <v>HONDA NES</v>
          </cell>
          <cell r="L1208" t="str">
            <v>HONDA NES HEV PET ENGINE</v>
          </cell>
          <cell r="M1208" t="str">
            <v>CV H03</v>
          </cell>
          <cell r="N1208" t="str">
            <v>S/A 16</v>
          </cell>
          <cell r="O1208" t="str">
            <v>SUB ASSY</v>
          </cell>
          <cell r="P1208" t="str">
            <v>B</v>
          </cell>
          <cell r="Q1208" t="str">
            <v>DL</v>
          </cell>
          <cell r="R1208" t="str">
            <v>PERMANENT</v>
          </cell>
          <cell r="S1208" t="str">
            <v>PRM</v>
          </cell>
          <cell r="T1208" t="str">
            <v>OPT</v>
          </cell>
          <cell r="U1208" t="str">
            <v>-</v>
          </cell>
          <cell r="V1208" t="str">
            <v>P</v>
          </cell>
          <cell r="W1208">
            <v>32</v>
          </cell>
        </row>
        <row r="1209">
          <cell r="A1209">
            <v>12930</v>
          </cell>
          <cell r="B1209" t="str">
            <v>012930</v>
          </cell>
          <cell r="C1209" t="str">
            <v>SETIANINGSIH</v>
          </cell>
          <cell r="D1209" t="str">
            <v>SAMI</v>
          </cell>
          <cell r="E1209" t="str">
            <v>OPT-322</v>
          </cell>
          <cell r="F1209">
            <v>40833</v>
          </cell>
          <cell r="G1209" t="str">
            <v>-</v>
          </cell>
          <cell r="H1209" t="str">
            <v>-</v>
          </cell>
          <cell r="I1209" t="str">
            <v>QA</v>
          </cell>
          <cell r="J1209" t="str">
            <v>FINAL ASSY</v>
          </cell>
          <cell r="K1209" t="str">
            <v>HONDA NES</v>
          </cell>
          <cell r="L1209" t="str">
            <v>HONDA NES HEV PET ENGINE</v>
          </cell>
          <cell r="M1209" t="str">
            <v>CV H03</v>
          </cell>
          <cell r="N1209" t="str">
            <v>DC</v>
          </cell>
          <cell r="O1209" t="str">
            <v>DC</v>
          </cell>
          <cell r="P1209" t="str">
            <v>A</v>
          </cell>
          <cell r="Q1209" t="str">
            <v>PI</v>
          </cell>
          <cell r="R1209" t="str">
            <v>PERMANENT</v>
          </cell>
          <cell r="S1209" t="str">
            <v>PRM</v>
          </cell>
          <cell r="T1209" t="str">
            <v>OPT</v>
          </cell>
          <cell r="U1209" t="str">
            <v>-</v>
          </cell>
          <cell r="V1209" t="str">
            <v>P</v>
          </cell>
          <cell r="W1209">
            <v>32</v>
          </cell>
        </row>
        <row r="1210">
          <cell r="A1210">
            <v>27106</v>
          </cell>
          <cell r="B1210" t="str">
            <v>027106</v>
          </cell>
          <cell r="C1210" t="str">
            <v>YUICHIRO SUZUKI</v>
          </cell>
          <cell r="D1210" t="str">
            <v>SAMI</v>
          </cell>
          <cell r="E1210" t="str">
            <v>SPV UP</v>
          </cell>
          <cell r="F1210">
            <v>44384</v>
          </cell>
          <cell r="G1210" t="str">
            <v>-</v>
          </cell>
          <cell r="H1210" t="str">
            <v>-</v>
          </cell>
          <cell r="I1210" t="str">
            <v>PRD</v>
          </cell>
          <cell r="J1210" t="str">
            <v>MANAGEMENT</v>
          </cell>
          <cell r="K1210" t="str">
            <v>ALL</v>
          </cell>
          <cell r="L1210" t="str">
            <v>ALL</v>
          </cell>
          <cell r="M1210" t="str">
            <v>MANAGEMENT</v>
          </cell>
          <cell r="N1210" t="str">
            <v>SENIOR MANAGER PRD</v>
          </cell>
          <cell r="O1210" t="str">
            <v>MGR FPI</v>
          </cell>
          <cell r="P1210" t="str">
            <v>A (NS)</v>
          </cell>
          <cell r="Q1210" t="str">
            <v>PI</v>
          </cell>
          <cell r="R1210" t="str">
            <v>PERMANENT</v>
          </cell>
          <cell r="S1210" t="str">
            <v>PRM</v>
          </cell>
          <cell r="T1210" t="str">
            <v>SM</v>
          </cell>
          <cell r="U1210" t="str">
            <v>-</v>
          </cell>
          <cell r="V1210" t="str">
            <v>L</v>
          </cell>
          <cell r="W1210">
            <v>43</v>
          </cell>
        </row>
        <row r="1211">
          <cell r="A1211">
            <v>332</v>
          </cell>
          <cell r="B1211" t="str">
            <v>000332</v>
          </cell>
          <cell r="C1211" t="str">
            <v>TRI RETNO SARI</v>
          </cell>
          <cell r="D1211" t="str">
            <v>SAMI</v>
          </cell>
          <cell r="E1211" t="str">
            <v>OPT-9</v>
          </cell>
          <cell r="F1211">
            <v>37725</v>
          </cell>
          <cell r="G1211" t="str">
            <v>-</v>
          </cell>
          <cell r="H1211" t="str">
            <v>-</v>
          </cell>
          <cell r="I1211" t="str">
            <v>PRD</v>
          </cell>
          <cell r="J1211" t="str">
            <v>NON LINE</v>
          </cell>
          <cell r="K1211" t="str">
            <v>ALL</v>
          </cell>
          <cell r="L1211" t="str">
            <v>ALL</v>
          </cell>
          <cell r="M1211" t="str">
            <v>NEW PROJECT</v>
          </cell>
          <cell r="N1211" t="str">
            <v>KEYMAN 39PL</v>
          </cell>
          <cell r="O1211" t="str">
            <v>GL</v>
          </cell>
          <cell r="P1211" t="str">
            <v>A (NS)</v>
          </cell>
          <cell r="Q1211" t="str">
            <v>PI</v>
          </cell>
          <cell r="R1211" t="str">
            <v>PERMANENT</v>
          </cell>
          <cell r="S1211" t="str">
            <v>PRM</v>
          </cell>
          <cell r="T1211" t="str">
            <v>GL</v>
          </cell>
          <cell r="U1211" t="str">
            <v>-</v>
          </cell>
          <cell r="V1211" t="str">
            <v>P</v>
          </cell>
          <cell r="W1211">
            <v>40</v>
          </cell>
        </row>
        <row r="1212">
          <cell r="A1212">
            <v>12950</v>
          </cell>
          <cell r="B1212" t="str">
            <v>012950</v>
          </cell>
          <cell r="C1212" t="str">
            <v>TRI RATIH SETIYAWATI</v>
          </cell>
          <cell r="D1212" t="str">
            <v>SAMI</v>
          </cell>
          <cell r="E1212" t="str">
            <v>OPT-322</v>
          </cell>
          <cell r="F1212">
            <v>40833</v>
          </cell>
          <cell r="G1212" t="str">
            <v>-</v>
          </cell>
          <cell r="H1212" t="str">
            <v>-</v>
          </cell>
          <cell r="I1212" t="str">
            <v>QA</v>
          </cell>
          <cell r="J1212" t="str">
            <v>FINAL ASSY</v>
          </cell>
          <cell r="K1212" t="str">
            <v>HONDA FIT</v>
          </cell>
          <cell r="L1212" t="str">
            <v>HONDA FIT HEV PET ENGINE</v>
          </cell>
          <cell r="M1212" t="str">
            <v>CV H02</v>
          </cell>
          <cell r="N1212" t="str">
            <v>PJK INSP</v>
          </cell>
          <cell r="O1212" t="str">
            <v>RELIEF</v>
          </cell>
          <cell r="P1212" t="str">
            <v>B</v>
          </cell>
          <cell r="Q1212" t="str">
            <v>PI</v>
          </cell>
          <cell r="R1212" t="str">
            <v>PERMANENT</v>
          </cell>
          <cell r="S1212" t="str">
            <v>PRM</v>
          </cell>
          <cell r="T1212" t="str">
            <v>PJK</v>
          </cell>
          <cell r="U1212" t="str">
            <v>-</v>
          </cell>
          <cell r="V1212" t="str">
            <v>P</v>
          </cell>
          <cell r="W1212">
            <v>32</v>
          </cell>
        </row>
        <row r="1213">
          <cell r="A1213">
            <v>421</v>
          </cell>
          <cell r="B1213" t="str">
            <v>000421</v>
          </cell>
          <cell r="C1213" t="str">
            <v>INDAH MARGININGSIH</v>
          </cell>
          <cell r="D1213" t="str">
            <v>SAMI</v>
          </cell>
          <cell r="E1213" t="str">
            <v>OPT-11</v>
          </cell>
          <cell r="F1213">
            <v>37739</v>
          </cell>
          <cell r="G1213" t="str">
            <v>-</v>
          </cell>
          <cell r="H1213" t="str">
            <v>-</v>
          </cell>
          <cell r="I1213" t="str">
            <v>PRD</v>
          </cell>
          <cell r="J1213" t="str">
            <v>NON LINE</v>
          </cell>
          <cell r="K1213" t="str">
            <v>ALL</v>
          </cell>
          <cell r="L1213" t="str">
            <v>ALL</v>
          </cell>
          <cell r="M1213" t="str">
            <v>NEW PROJECT</v>
          </cell>
          <cell r="N1213" t="str">
            <v>KEYMAN 39PL</v>
          </cell>
          <cell r="O1213" t="str">
            <v>GL</v>
          </cell>
          <cell r="P1213" t="str">
            <v>A (NS)</v>
          </cell>
          <cell r="Q1213" t="str">
            <v>PI</v>
          </cell>
          <cell r="R1213" t="str">
            <v>PERMANENT</v>
          </cell>
          <cell r="S1213" t="str">
            <v>PRM</v>
          </cell>
          <cell r="T1213" t="str">
            <v>GL</v>
          </cell>
          <cell r="U1213" t="str">
            <v>-</v>
          </cell>
          <cell r="V1213" t="str">
            <v>P</v>
          </cell>
          <cell r="W1213">
            <v>42</v>
          </cell>
        </row>
        <row r="1214">
          <cell r="A1214">
            <v>12972</v>
          </cell>
          <cell r="B1214" t="str">
            <v>012972</v>
          </cell>
          <cell r="C1214" t="str">
            <v>ERMA SULISTIANINGSIH</v>
          </cell>
          <cell r="D1214" t="str">
            <v>SAMI</v>
          </cell>
          <cell r="E1214" t="str">
            <v>OPT-323</v>
          </cell>
          <cell r="F1214">
            <v>40840</v>
          </cell>
          <cell r="G1214" t="str">
            <v>-</v>
          </cell>
          <cell r="H1214" t="str">
            <v>-</v>
          </cell>
          <cell r="I1214" t="str">
            <v>PRD</v>
          </cell>
          <cell r="J1214" t="str">
            <v>FINAL ASSY</v>
          </cell>
          <cell r="K1214" t="str">
            <v>MAZDA 3</v>
          </cell>
          <cell r="L1214" t="str">
            <v>MAZDA REAR</v>
          </cell>
          <cell r="M1214" t="str">
            <v>CV M01</v>
          </cell>
          <cell r="N1214" t="str">
            <v>CHECKER 1</v>
          </cell>
          <cell r="O1214" t="str">
            <v>ELECTRICAL INSPECTION</v>
          </cell>
          <cell r="P1214" t="str">
            <v>B</v>
          </cell>
          <cell r="Q1214" t="str">
            <v>DL</v>
          </cell>
          <cell r="R1214" t="str">
            <v>PERMANENT</v>
          </cell>
          <cell r="S1214" t="str">
            <v>PRM</v>
          </cell>
          <cell r="T1214" t="str">
            <v>OPT</v>
          </cell>
          <cell r="U1214" t="str">
            <v>-</v>
          </cell>
          <cell r="V1214" t="str">
            <v>P</v>
          </cell>
          <cell r="W1214">
            <v>32</v>
          </cell>
        </row>
        <row r="1215">
          <cell r="A1215">
            <v>5432</v>
          </cell>
          <cell r="B1215" t="str">
            <v>005432</v>
          </cell>
          <cell r="C1215" t="str">
            <v>MOH.FAHRUL IMAM</v>
          </cell>
          <cell r="D1215" t="str">
            <v>SAMI</v>
          </cell>
          <cell r="E1215" t="str">
            <v>OPT-128</v>
          </cell>
          <cell r="F1215">
            <v>38991</v>
          </cell>
          <cell r="G1215" t="str">
            <v>-</v>
          </cell>
          <cell r="H1215" t="str">
            <v>-</v>
          </cell>
          <cell r="I1215" t="str">
            <v>PRD</v>
          </cell>
          <cell r="J1215" t="str">
            <v>NON LINE</v>
          </cell>
          <cell r="K1215" t="str">
            <v>ALL</v>
          </cell>
          <cell r="L1215" t="str">
            <v>ALL</v>
          </cell>
          <cell r="M1215" t="str">
            <v>NEW PROJECT</v>
          </cell>
          <cell r="N1215" t="str">
            <v>KEYMAN 39PL</v>
          </cell>
          <cell r="O1215" t="str">
            <v>GL</v>
          </cell>
          <cell r="P1215" t="str">
            <v>A (NS)</v>
          </cell>
          <cell r="Q1215" t="str">
            <v>PI</v>
          </cell>
          <cell r="R1215" t="str">
            <v>PERMANENT</v>
          </cell>
          <cell r="S1215" t="str">
            <v>PRM</v>
          </cell>
          <cell r="T1215" t="str">
            <v>GL</v>
          </cell>
          <cell r="U1215" t="str">
            <v>-</v>
          </cell>
          <cell r="V1215" t="str">
            <v>L</v>
          </cell>
          <cell r="W1215">
            <v>39</v>
          </cell>
        </row>
        <row r="1216">
          <cell r="A1216">
            <v>12981</v>
          </cell>
          <cell r="B1216" t="str">
            <v>012981</v>
          </cell>
          <cell r="C1216" t="str">
            <v>NIKMATUL HIDAYAH</v>
          </cell>
          <cell r="D1216" t="str">
            <v>SAMI</v>
          </cell>
          <cell r="E1216" t="str">
            <v>OPT-323</v>
          </cell>
          <cell r="F1216">
            <v>40840</v>
          </cell>
          <cell r="G1216" t="str">
            <v>-</v>
          </cell>
          <cell r="H1216" t="str">
            <v>-</v>
          </cell>
          <cell r="I1216" t="str">
            <v>PRD</v>
          </cell>
          <cell r="J1216" t="str">
            <v>FINAL ASSY</v>
          </cell>
          <cell r="K1216" t="str">
            <v>HONDA FREED</v>
          </cell>
          <cell r="L1216" t="str">
            <v>HONDA FREED W/H FLOOR</v>
          </cell>
          <cell r="M1216" t="str">
            <v>CV 4</v>
          </cell>
          <cell r="N1216" t="str">
            <v>VISUAL 1.4</v>
          </cell>
          <cell r="O1216" t="str">
            <v>VISUAL INSPECTION</v>
          </cell>
          <cell r="P1216" t="str">
            <v>B</v>
          </cell>
          <cell r="Q1216" t="str">
            <v>DL</v>
          </cell>
          <cell r="R1216" t="str">
            <v>PERMANENT</v>
          </cell>
          <cell r="S1216" t="str">
            <v>PRM</v>
          </cell>
          <cell r="T1216" t="str">
            <v>OPT</v>
          </cell>
          <cell r="U1216" t="str">
            <v>-</v>
          </cell>
          <cell r="V1216" t="str">
            <v>P</v>
          </cell>
          <cell r="W1216">
            <v>33</v>
          </cell>
        </row>
        <row r="1217">
          <cell r="A1217">
            <v>12986</v>
          </cell>
          <cell r="B1217" t="str">
            <v>012986</v>
          </cell>
          <cell r="C1217" t="str">
            <v>PIPIT FITRIATI</v>
          </cell>
          <cell r="D1217" t="str">
            <v>SAMI</v>
          </cell>
          <cell r="E1217" t="str">
            <v>OPT-323</v>
          </cell>
          <cell r="F1217">
            <v>40840</v>
          </cell>
          <cell r="G1217" t="str">
            <v>-</v>
          </cell>
          <cell r="H1217" t="str">
            <v>-</v>
          </cell>
          <cell r="I1217" t="str">
            <v>OTHERS</v>
          </cell>
          <cell r="J1217" t="str">
            <v>AT HOME</v>
          </cell>
          <cell r="K1217" t="str">
            <v>ALL</v>
          </cell>
          <cell r="L1217" t="str">
            <v>ALL</v>
          </cell>
          <cell r="M1217" t="str">
            <v>AT HOME</v>
          </cell>
          <cell r="N1217" t="str">
            <v>CUTI KELAHIRAN</v>
          </cell>
          <cell r="O1217" t="str">
            <v>OTHERS IDL</v>
          </cell>
          <cell r="P1217" t="str">
            <v>-</v>
          </cell>
          <cell r="Q1217" t="str">
            <v>ADM</v>
          </cell>
          <cell r="R1217" t="str">
            <v>PERMANENT</v>
          </cell>
          <cell r="S1217" t="str">
            <v>PRM</v>
          </cell>
          <cell r="T1217" t="str">
            <v>OPT</v>
          </cell>
          <cell r="U1217" t="str">
            <v>-</v>
          </cell>
          <cell r="V1217" t="str">
            <v>P</v>
          </cell>
          <cell r="W1217">
            <v>31</v>
          </cell>
        </row>
        <row r="1218">
          <cell r="A1218">
            <v>13005</v>
          </cell>
          <cell r="B1218" t="str">
            <v>013005</v>
          </cell>
          <cell r="C1218" t="str">
            <v>CHOLISATUN NI'MAH</v>
          </cell>
          <cell r="D1218" t="str">
            <v>SAMI</v>
          </cell>
          <cell r="E1218" t="str">
            <v>OPT-324</v>
          </cell>
          <cell r="F1218">
            <v>40844</v>
          </cell>
          <cell r="G1218" t="str">
            <v>-</v>
          </cell>
          <cell r="H1218" t="str">
            <v>-</v>
          </cell>
          <cell r="I1218" t="str">
            <v>OTHERS</v>
          </cell>
          <cell r="J1218" t="str">
            <v>AT HOME</v>
          </cell>
          <cell r="K1218" t="str">
            <v>ALL</v>
          </cell>
          <cell r="L1218" t="str">
            <v>ALL</v>
          </cell>
          <cell r="M1218" t="str">
            <v>AT HOME</v>
          </cell>
          <cell r="N1218" t="str">
            <v>CUTI DI LUAR TANGGUNGAN</v>
          </cell>
          <cell r="O1218" t="str">
            <v>OTHERS IDL</v>
          </cell>
          <cell r="P1218" t="str">
            <v>-</v>
          </cell>
          <cell r="Q1218" t="str">
            <v>ADM</v>
          </cell>
          <cell r="R1218" t="str">
            <v>PERMANENT</v>
          </cell>
          <cell r="S1218" t="str">
            <v>PRM</v>
          </cell>
          <cell r="T1218" t="str">
            <v>PJK</v>
          </cell>
          <cell r="U1218" t="str">
            <v>-</v>
          </cell>
          <cell r="V1218" t="str">
            <v>P</v>
          </cell>
          <cell r="W1218">
            <v>31</v>
          </cell>
        </row>
        <row r="1219">
          <cell r="A1219">
            <v>13027</v>
          </cell>
          <cell r="B1219" t="str">
            <v>013027</v>
          </cell>
          <cell r="C1219" t="str">
            <v>KHOMSATUN</v>
          </cell>
          <cell r="D1219" t="str">
            <v>SAMI</v>
          </cell>
          <cell r="E1219" t="str">
            <v>OPT-324</v>
          </cell>
          <cell r="F1219">
            <v>40844</v>
          </cell>
          <cell r="G1219" t="str">
            <v>-</v>
          </cell>
          <cell r="H1219" t="str">
            <v>-</v>
          </cell>
          <cell r="I1219" t="str">
            <v>QA</v>
          </cell>
          <cell r="J1219" t="str">
            <v>NON LINE</v>
          </cell>
          <cell r="K1219" t="str">
            <v>ALL</v>
          </cell>
          <cell r="L1219" t="str">
            <v>ALL</v>
          </cell>
          <cell r="M1219" t="str">
            <v>CALLIBRATION OF TOOL</v>
          </cell>
          <cell r="N1219" t="str">
            <v>ADMINISTRATION</v>
          </cell>
          <cell r="O1219" t="str">
            <v>QS</v>
          </cell>
          <cell r="P1219" t="str">
            <v>A (NS)</v>
          </cell>
          <cell r="Q1219" t="str">
            <v>PS</v>
          </cell>
          <cell r="R1219" t="str">
            <v>PERMANENT</v>
          </cell>
          <cell r="S1219" t="str">
            <v>PRM</v>
          </cell>
          <cell r="T1219" t="str">
            <v>OPT</v>
          </cell>
          <cell r="U1219" t="str">
            <v>-</v>
          </cell>
          <cell r="V1219" t="str">
            <v>P</v>
          </cell>
          <cell r="W1219">
            <v>31</v>
          </cell>
        </row>
        <row r="1220">
          <cell r="A1220">
            <v>13041</v>
          </cell>
          <cell r="B1220" t="str">
            <v>013041</v>
          </cell>
          <cell r="C1220" t="str">
            <v>NURUL CHASANAH</v>
          </cell>
          <cell r="D1220" t="str">
            <v>SAMI</v>
          </cell>
          <cell r="E1220" t="str">
            <v>OPT-324</v>
          </cell>
          <cell r="F1220">
            <v>40844</v>
          </cell>
          <cell r="G1220" t="str">
            <v>-</v>
          </cell>
          <cell r="H1220" t="str">
            <v>-</v>
          </cell>
          <cell r="I1220" t="str">
            <v>PRD</v>
          </cell>
          <cell r="J1220" t="str">
            <v>FINAL ASSY</v>
          </cell>
          <cell r="K1220" t="str">
            <v>TOYOTA HV</v>
          </cell>
          <cell r="L1220" t="str">
            <v>HV TOYOTA UNDERFLOOR</v>
          </cell>
          <cell r="M1220" t="str">
            <v>CV HV 09</v>
          </cell>
          <cell r="N1220" t="str">
            <v>PRD LINE CHO</v>
          </cell>
          <cell r="O1220" t="str">
            <v>FPI LL</v>
          </cell>
          <cell r="P1220" t="str">
            <v>B</v>
          </cell>
          <cell r="Q1220" t="str">
            <v>PI</v>
          </cell>
          <cell r="R1220" t="str">
            <v>PERMANENT</v>
          </cell>
          <cell r="S1220" t="str">
            <v>PRM</v>
          </cell>
          <cell r="T1220" t="str">
            <v>LC</v>
          </cell>
          <cell r="U1220" t="str">
            <v>-</v>
          </cell>
          <cell r="V1220" t="str">
            <v>P</v>
          </cell>
          <cell r="W1220">
            <v>33</v>
          </cell>
        </row>
        <row r="1221">
          <cell r="A1221">
            <v>5546</v>
          </cell>
          <cell r="B1221" t="str">
            <v>005546</v>
          </cell>
          <cell r="C1221" t="str">
            <v>MOHAMAD ISTAQORI</v>
          </cell>
          <cell r="D1221" t="str">
            <v>SAMI</v>
          </cell>
          <cell r="E1221" t="str">
            <v>OPT-130</v>
          </cell>
          <cell r="F1221">
            <v>39052</v>
          </cell>
          <cell r="G1221" t="str">
            <v>-</v>
          </cell>
          <cell r="H1221" t="str">
            <v>-</v>
          </cell>
          <cell r="I1221" t="str">
            <v>PRD</v>
          </cell>
          <cell r="J1221" t="str">
            <v>NON LINE</v>
          </cell>
          <cell r="K1221" t="str">
            <v>ALL</v>
          </cell>
          <cell r="L1221" t="str">
            <v>ALL</v>
          </cell>
          <cell r="M1221" t="str">
            <v>NEW PROJECT</v>
          </cell>
          <cell r="N1221" t="str">
            <v>KEYMAN 39PL</v>
          </cell>
          <cell r="O1221" t="str">
            <v>GL</v>
          </cell>
          <cell r="P1221" t="str">
            <v>A (NS)</v>
          </cell>
          <cell r="Q1221" t="str">
            <v>PI</v>
          </cell>
          <cell r="R1221" t="str">
            <v>PERMANENT</v>
          </cell>
          <cell r="S1221" t="str">
            <v>PRM</v>
          </cell>
          <cell r="T1221" t="str">
            <v>GL</v>
          </cell>
          <cell r="U1221" t="str">
            <v>-</v>
          </cell>
          <cell r="V1221" t="str">
            <v>L</v>
          </cell>
          <cell r="W1221">
            <v>41</v>
          </cell>
        </row>
        <row r="1222">
          <cell r="A1222">
            <v>13052</v>
          </cell>
          <cell r="B1222" t="str">
            <v>013052</v>
          </cell>
          <cell r="C1222" t="str">
            <v>UMI AZIZAH</v>
          </cell>
          <cell r="D1222" t="str">
            <v>SAMI</v>
          </cell>
          <cell r="E1222" t="str">
            <v>OPT-324</v>
          </cell>
          <cell r="F1222">
            <v>40844</v>
          </cell>
          <cell r="G1222" t="str">
            <v>-</v>
          </cell>
          <cell r="H1222" t="str">
            <v>-</v>
          </cell>
          <cell r="I1222" t="str">
            <v>QA</v>
          </cell>
          <cell r="J1222" t="str">
            <v>FINAL ASSY</v>
          </cell>
          <cell r="K1222" t="str">
            <v>TOYOTA</v>
          </cell>
          <cell r="L1222" t="str">
            <v>AQUA SIENTA</v>
          </cell>
          <cell r="M1222" t="str">
            <v>CV T01</v>
          </cell>
          <cell r="N1222" t="str">
            <v>OJT DC</v>
          </cell>
          <cell r="O1222" t="str">
            <v>OTHERS</v>
          </cell>
          <cell r="P1222" t="str">
            <v>B</v>
          </cell>
          <cell r="Q1222" t="str">
            <v>PI</v>
          </cell>
          <cell r="R1222" t="str">
            <v>PERMANENT</v>
          </cell>
          <cell r="S1222" t="str">
            <v>PRM</v>
          </cell>
          <cell r="T1222" t="str">
            <v>OPT</v>
          </cell>
          <cell r="U1222" t="str">
            <v>-</v>
          </cell>
          <cell r="V1222" t="str">
            <v>P</v>
          </cell>
          <cell r="W1222">
            <v>32</v>
          </cell>
        </row>
        <row r="1223">
          <cell r="A1223">
            <v>13059</v>
          </cell>
          <cell r="B1223" t="str">
            <v>013059</v>
          </cell>
          <cell r="C1223" t="str">
            <v>AHMAD MAHBUB</v>
          </cell>
          <cell r="D1223" t="str">
            <v>SAMI</v>
          </cell>
          <cell r="E1223" t="str">
            <v>OPT-325</v>
          </cell>
          <cell r="F1223">
            <v>40847</v>
          </cell>
          <cell r="G1223" t="str">
            <v>-</v>
          </cell>
          <cell r="H1223" t="str">
            <v>-</v>
          </cell>
          <cell r="I1223" t="str">
            <v>LOG</v>
          </cell>
          <cell r="J1223" t="str">
            <v>PPIC</v>
          </cell>
          <cell r="K1223" t="str">
            <v>ALL</v>
          </cell>
          <cell r="L1223" t="str">
            <v>ALL</v>
          </cell>
          <cell r="M1223" t="str">
            <v>PPIC</v>
          </cell>
          <cell r="N1223" t="str">
            <v>Line Leader (PS) - Planner Masspro &amp; Leader LD</v>
          </cell>
          <cell r="O1223" t="str">
            <v>FPS LL</v>
          </cell>
          <cell r="P1223" t="str">
            <v>A (NS)</v>
          </cell>
          <cell r="Q1223" t="str">
            <v>PS</v>
          </cell>
          <cell r="R1223" t="str">
            <v>PERMANENT</v>
          </cell>
          <cell r="S1223" t="str">
            <v>PRM</v>
          </cell>
          <cell r="T1223" t="str">
            <v>LL</v>
          </cell>
          <cell r="U1223" t="str">
            <v>-</v>
          </cell>
          <cell r="V1223" t="str">
            <v>L</v>
          </cell>
          <cell r="W1223">
            <v>36</v>
          </cell>
        </row>
        <row r="1224">
          <cell r="A1224">
            <v>13060</v>
          </cell>
          <cell r="B1224" t="str">
            <v>013060</v>
          </cell>
          <cell r="C1224" t="str">
            <v>ANDRIANA WIDYASTUTI</v>
          </cell>
          <cell r="D1224" t="str">
            <v>SAMI</v>
          </cell>
          <cell r="E1224" t="str">
            <v>ES-32</v>
          </cell>
          <cell r="F1224">
            <v>40848</v>
          </cell>
          <cell r="G1224" t="str">
            <v>-</v>
          </cell>
          <cell r="H1224" t="str">
            <v>-</v>
          </cell>
          <cell r="I1224" t="str">
            <v>LOG</v>
          </cell>
          <cell r="J1224" t="str">
            <v>PPIC</v>
          </cell>
          <cell r="K1224" t="str">
            <v>ALL</v>
          </cell>
          <cell r="L1224" t="str">
            <v>ALL</v>
          </cell>
          <cell r="M1224" t="str">
            <v>PPIC</v>
          </cell>
          <cell r="N1224" t="str">
            <v>Line Leader (PS) - Planner Masspro</v>
          </cell>
          <cell r="O1224" t="str">
            <v>FPS LL</v>
          </cell>
          <cell r="P1224" t="str">
            <v>A (NS)</v>
          </cell>
          <cell r="Q1224" t="str">
            <v>PS</v>
          </cell>
          <cell r="R1224" t="str">
            <v>PERMANENT</v>
          </cell>
          <cell r="S1224" t="str">
            <v>PRM</v>
          </cell>
          <cell r="T1224" t="str">
            <v>INT</v>
          </cell>
          <cell r="U1224" t="str">
            <v>-</v>
          </cell>
          <cell r="V1224" t="str">
            <v>P</v>
          </cell>
          <cell r="W1224">
            <v>35</v>
          </cell>
        </row>
        <row r="1225">
          <cell r="A1225">
            <v>13063</v>
          </cell>
          <cell r="B1225" t="str">
            <v>013063</v>
          </cell>
          <cell r="C1225" t="str">
            <v>EDWIN NUR FAEZAR</v>
          </cell>
          <cell r="D1225" t="str">
            <v>SAMI</v>
          </cell>
          <cell r="E1225" t="str">
            <v>OPT-326</v>
          </cell>
          <cell r="F1225">
            <v>40854</v>
          </cell>
          <cell r="G1225" t="str">
            <v>-</v>
          </cell>
          <cell r="H1225" t="str">
            <v>-</v>
          </cell>
          <cell r="I1225" t="str">
            <v>PE</v>
          </cell>
          <cell r="J1225" t="str">
            <v>MTP</v>
          </cell>
          <cell r="K1225" t="str">
            <v>ALL</v>
          </cell>
          <cell r="L1225" t="str">
            <v>ALL</v>
          </cell>
          <cell r="M1225" t="str">
            <v>MTP</v>
          </cell>
          <cell r="N1225" t="str">
            <v>WEAR &amp; TEAR STOCK CONTROL</v>
          </cell>
          <cell r="O1225" t="str">
            <v>DATA &amp; ORDERING</v>
          </cell>
          <cell r="P1225" t="str">
            <v>A</v>
          </cell>
          <cell r="Q1225" t="str">
            <v>PS</v>
          </cell>
          <cell r="R1225" t="str">
            <v>PERMANENT</v>
          </cell>
          <cell r="S1225" t="str">
            <v>PRM</v>
          </cell>
          <cell r="T1225" t="str">
            <v>OPT</v>
          </cell>
          <cell r="U1225" t="str">
            <v>-</v>
          </cell>
          <cell r="V1225" t="str">
            <v>L</v>
          </cell>
          <cell r="W1225">
            <v>36</v>
          </cell>
        </row>
        <row r="1226">
          <cell r="A1226">
            <v>5824</v>
          </cell>
          <cell r="B1226" t="str">
            <v>005824</v>
          </cell>
          <cell r="C1226" t="str">
            <v>SUNARTO</v>
          </cell>
          <cell r="D1226" t="str">
            <v>SAMI</v>
          </cell>
          <cell r="E1226" t="str">
            <v>OPT-135</v>
          </cell>
          <cell r="F1226">
            <v>39114</v>
          </cell>
          <cell r="G1226" t="str">
            <v>-</v>
          </cell>
          <cell r="H1226" t="str">
            <v>-</v>
          </cell>
          <cell r="I1226" t="str">
            <v>PRD</v>
          </cell>
          <cell r="J1226" t="str">
            <v>NON LINE</v>
          </cell>
          <cell r="K1226" t="str">
            <v>ALL</v>
          </cell>
          <cell r="L1226" t="str">
            <v>ALL</v>
          </cell>
          <cell r="M1226" t="str">
            <v>NEW PROJECT</v>
          </cell>
          <cell r="N1226" t="str">
            <v>KEYMAN 39PL</v>
          </cell>
          <cell r="O1226" t="str">
            <v>FPI LL</v>
          </cell>
          <cell r="P1226" t="str">
            <v>A (NS)</v>
          </cell>
          <cell r="Q1226" t="str">
            <v>PI</v>
          </cell>
          <cell r="R1226" t="str">
            <v>PERMANENT</v>
          </cell>
          <cell r="S1226" t="str">
            <v>PRM</v>
          </cell>
          <cell r="T1226" t="str">
            <v>LL</v>
          </cell>
          <cell r="U1226" t="str">
            <v>-</v>
          </cell>
          <cell r="V1226" t="str">
            <v>L</v>
          </cell>
          <cell r="W1226">
            <v>41</v>
          </cell>
        </row>
        <row r="1227">
          <cell r="A1227">
            <v>6137</v>
          </cell>
          <cell r="B1227" t="str">
            <v>006137</v>
          </cell>
          <cell r="C1227" t="str">
            <v>FEPTI CATUR WULANDARI</v>
          </cell>
          <cell r="D1227" t="str">
            <v>SAMI</v>
          </cell>
          <cell r="E1227" t="str">
            <v>OPT-140</v>
          </cell>
          <cell r="F1227">
            <v>39157</v>
          </cell>
          <cell r="G1227" t="str">
            <v>-</v>
          </cell>
          <cell r="H1227" t="str">
            <v>-</v>
          </cell>
          <cell r="I1227" t="str">
            <v>PRD</v>
          </cell>
          <cell r="J1227" t="str">
            <v>NON LINE</v>
          </cell>
          <cell r="K1227" t="str">
            <v>ALL</v>
          </cell>
          <cell r="L1227" t="str">
            <v>ALL</v>
          </cell>
          <cell r="M1227" t="str">
            <v>NEW PROJECT</v>
          </cell>
          <cell r="N1227" t="str">
            <v>KEYMAN 39PL</v>
          </cell>
          <cell r="O1227" t="str">
            <v>FPI LL</v>
          </cell>
          <cell r="P1227" t="str">
            <v>A (NS)</v>
          </cell>
          <cell r="Q1227" t="str">
            <v>PI</v>
          </cell>
          <cell r="R1227" t="str">
            <v>PERMANENT</v>
          </cell>
          <cell r="S1227" t="str">
            <v>PRM</v>
          </cell>
          <cell r="T1227" t="str">
            <v>LL</v>
          </cell>
          <cell r="U1227" t="str">
            <v>-</v>
          </cell>
          <cell r="V1227" t="str">
            <v>P</v>
          </cell>
          <cell r="W1227">
            <v>38</v>
          </cell>
        </row>
        <row r="1228">
          <cell r="A1228">
            <v>8685</v>
          </cell>
          <cell r="B1228" t="str">
            <v>008685</v>
          </cell>
          <cell r="C1228" t="str">
            <v>INA MUFLICHAH</v>
          </cell>
          <cell r="D1228" t="str">
            <v>SAMI</v>
          </cell>
          <cell r="E1228" t="str">
            <v>OPT-190</v>
          </cell>
          <cell r="F1228">
            <v>39888</v>
          </cell>
          <cell r="G1228" t="str">
            <v>-</v>
          </cell>
          <cell r="H1228" t="str">
            <v>-</v>
          </cell>
          <cell r="I1228" t="str">
            <v>PRD</v>
          </cell>
          <cell r="J1228" t="str">
            <v>NON LINE</v>
          </cell>
          <cell r="K1228" t="str">
            <v>ALL</v>
          </cell>
          <cell r="L1228" t="str">
            <v>ALL</v>
          </cell>
          <cell r="M1228" t="str">
            <v>NEW PROJECT</v>
          </cell>
          <cell r="N1228" t="str">
            <v>KEYMAN 39PL</v>
          </cell>
          <cell r="O1228" t="str">
            <v>OTHERS</v>
          </cell>
          <cell r="P1228" t="str">
            <v>A (NS)</v>
          </cell>
          <cell r="Q1228" t="str">
            <v>PI</v>
          </cell>
          <cell r="R1228" t="str">
            <v>PERMANENT</v>
          </cell>
          <cell r="S1228" t="str">
            <v>PRM</v>
          </cell>
          <cell r="T1228" t="str">
            <v>GL</v>
          </cell>
          <cell r="U1228" t="str">
            <v>-</v>
          </cell>
          <cell r="V1228" t="str">
            <v>P</v>
          </cell>
          <cell r="W1228">
            <v>34</v>
          </cell>
        </row>
        <row r="1229">
          <cell r="A1229">
            <v>13113</v>
          </cell>
          <cell r="B1229" t="str">
            <v>013113</v>
          </cell>
          <cell r="C1229" t="str">
            <v>AGUNG WIRANTO</v>
          </cell>
          <cell r="D1229" t="str">
            <v>SAMI</v>
          </cell>
          <cell r="E1229" t="str">
            <v>ES-34</v>
          </cell>
          <cell r="F1229">
            <v>40868</v>
          </cell>
          <cell r="G1229" t="str">
            <v>-</v>
          </cell>
          <cell r="H1229" t="str">
            <v>-</v>
          </cell>
          <cell r="I1229" t="str">
            <v>LOG</v>
          </cell>
          <cell r="J1229" t="str">
            <v>LIS</v>
          </cell>
          <cell r="K1229" t="str">
            <v>ALL</v>
          </cell>
          <cell r="L1229" t="str">
            <v>ALL</v>
          </cell>
          <cell r="M1229" t="str">
            <v>LOG. INVENTORY SYSTEM</v>
          </cell>
          <cell r="N1229" t="str">
            <v>LEADER</v>
          </cell>
          <cell r="O1229" t="str">
            <v>FPS LL</v>
          </cell>
          <cell r="P1229" t="str">
            <v>A (NS)</v>
          </cell>
          <cell r="Q1229" t="str">
            <v>PS</v>
          </cell>
          <cell r="R1229" t="str">
            <v>PERMANENT</v>
          </cell>
          <cell r="S1229" t="str">
            <v>PRM</v>
          </cell>
          <cell r="T1229" t="str">
            <v>ES</v>
          </cell>
          <cell r="U1229" t="str">
            <v>-</v>
          </cell>
          <cell r="V1229" t="str">
            <v>L</v>
          </cell>
          <cell r="W1229">
            <v>37</v>
          </cell>
        </row>
        <row r="1230">
          <cell r="A1230">
            <v>13135</v>
          </cell>
          <cell r="B1230" t="str">
            <v>013135</v>
          </cell>
          <cell r="C1230" t="str">
            <v>ROBIATUN</v>
          </cell>
          <cell r="D1230" t="str">
            <v>SAMI</v>
          </cell>
          <cell r="E1230" t="str">
            <v>OPT-330</v>
          </cell>
          <cell r="F1230">
            <v>40882</v>
          </cell>
          <cell r="G1230" t="str">
            <v>-</v>
          </cell>
          <cell r="H1230" t="str">
            <v>-</v>
          </cell>
          <cell r="I1230" t="str">
            <v>PRD</v>
          </cell>
          <cell r="J1230" t="str">
            <v>FINAL ASSY</v>
          </cell>
          <cell r="K1230" t="str">
            <v>HONDA NES</v>
          </cell>
          <cell r="L1230" t="str">
            <v>HONDA NES HEV PET ENGINE</v>
          </cell>
          <cell r="M1230" t="str">
            <v>CV H03</v>
          </cell>
          <cell r="N1230" t="str">
            <v>VISUAL 2.1</v>
          </cell>
          <cell r="O1230" t="str">
            <v>VISUAL INSPECTION</v>
          </cell>
          <cell r="P1230" t="str">
            <v>B</v>
          </cell>
          <cell r="Q1230" t="str">
            <v>DL</v>
          </cell>
          <cell r="R1230" t="str">
            <v>PERMANENT</v>
          </cell>
          <cell r="S1230" t="str">
            <v>PRM</v>
          </cell>
          <cell r="T1230" t="str">
            <v>OPT</v>
          </cell>
          <cell r="U1230" t="str">
            <v>-</v>
          </cell>
          <cell r="V1230" t="str">
            <v>P</v>
          </cell>
          <cell r="W1230">
            <v>33</v>
          </cell>
        </row>
        <row r="1231">
          <cell r="A1231">
            <v>13138</v>
          </cell>
          <cell r="B1231" t="str">
            <v>013138</v>
          </cell>
          <cell r="C1231" t="str">
            <v>MUCHAMAD ROSYID</v>
          </cell>
          <cell r="D1231" t="str">
            <v>SAMI</v>
          </cell>
          <cell r="E1231" t="str">
            <v>TKN-60</v>
          </cell>
          <cell r="F1231">
            <v>40882</v>
          </cell>
          <cell r="G1231" t="str">
            <v>-</v>
          </cell>
          <cell r="H1231" t="str">
            <v>-</v>
          </cell>
          <cell r="I1231" t="str">
            <v>PGA</v>
          </cell>
          <cell r="J1231" t="str">
            <v>GA</v>
          </cell>
          <cell r="K1231" t="str">
            <v>ALL</v>
          </cell>
          <cell r="L1231" t="str">
            <v>ALL</v>
          </cell>
          <cell r="M1231" t="str">
            <v>GA</v>
          </cell>
          <cell r="N1231" t="str">
            <v>BUILDING MAINTENANCE</v>
          </cell>
          <cell r="O1231" t="str">
            <v>BDM</v>
          </cell>
          <cell r="P1231" t="str">
            <v>B</v>
          </cell>
          <cell r="Q1231" t="str">
            <v>ADM</v>
          </cell>
          <cell r="R1231" t="str">
            <v>PERMANENT</v>
          </cell>
          <cell r="S1231" t="str">
            <v>PRM</v>
          </cell>
          <cell r="T1231" t="str">
            <v>PGA</v>
          </cell>
          <cell r="U1231" t="str">
            <v>-</v>
          </cell>
          <cell r="V1231" t="str">
            <v>L</v>
          </cell>
          <cell r="W1231">
            <v>33</v>
          </cell>
        </row>
        <row r="1232">
          <cell r="A1232">
            <v>13139</v>
          </cell>
          <cell r="B1232" t="str">
            <v>013139</v>
          </cell>
          <cell r="C1232" t="str">
            <v>ANGKI FITRA ADITYA</v>
          </cell>
          <cell r="D1232" t="str">
            <v>SAMI</v>
          </cell>
          <cell r="E1232" t="str">
            <v>ADM-54</v>
          </cell>
          <cell r="F1232">
            <v>40883</v>
          </cell>
          <cell r="G1232" t="str">
            <v>-</v>
          </cell>
          <cell r="H1232" t="str">
            <v>-</v>
          </cell>
          <cell r="I1232" t="str">
            <v>LOG</v>
          </cell>
          <cell r="J1232" t="str">
            <v>EXIM</v>
          </cell>
          <cell r="K1232" t="str">
            <v>ALL</v>
          </cell>
          <cell r="L1232" t="str">
            <v>ALL</v>
          </cell>
          <cell r="M1232" t="str">
            <v>EXIM - CANDI</v>
          </cell>
          <cell r="N1232" t="str">
            <v>GL EXPORT</v>
          </cell>
          <cell r="O1232" t="str">
            <v>EXIM</v>
          </cell>
          <cell r="P1232" t="str">
            <v>A</v>
          </cell>
          <cell r="Q1232" t="str">
            <v>PS</v>
          </cell>
          <cell r="R1232" t="str">
            <v>PERMANENT</v>
          </cell>
          <cell r="S1232" t="str">
            <v>PRM</v>
          </cell>
          <cell r="T1232" t="str">
            <v>GL</v>
          </cell>
          <cell r="U1232" t="str">
            <v>-</v>
          </cell>
          <cell r="V1232" t="str">
            <v>L</v>
          </cell>
          <cell r="W1232">
            <v>33</v>
          </cell>
        </row>
        <row r="1233">
          <cell r="A1233">
            <v>10640</v>
          </cell>
          <cell r="B1233" t="str">
            <v>010640</v>
          </cell>
          <cell r="C1233" t="str">
            <v>VARIDA KUSTIYANI</v>
          </cell>
          <cell r="D1233" t="str">
            <v>SAMI</v>
          </cell>
          <cell r="E1233" t="str">
            <v>OPT-278</v>
          </cell>
          <cell r="F1233">
            <v>40549</v>
          </cell>
          <cell r="G1233" t="str">
            <v>-</v>
          </cell>
          <cell r="H1233" t="str">
            <v>-</v>
          </cell>
          <cell r="I1233" t="str">
            <v>PRD</v>
          </cell>
          <cell r="J1233" t="str">
            <v>NON LINE</v>
          </cell>
          <cell r="K1233" t="str">
            <v>ALL</v>
          </cell>
          <cell r="L1233" t="str">
            <v>ALL</v>
          </cell>
          <cell r="M1233" t="str">
            <v>NEW PROJECT</v>
          </cell>
          <cell r="N1233" t="str">
            <v>KEYMAN 39PL</v>
          </cell>
          <cell r="O1233" t="str">
            <v>OTHERS</v>
          </cell>
          <cell r="P1233" t="str">
            <v>A (NS)</v>
          </cell>
          <cell r="Q1233" t="str">
            <v>PI</v>
          </cell>
          <cell r="R1233" t="str">
            <v>PERMANENT</v>
          </cell>
          <cell r="S1233" t="str">
            <v>PRM</v>
          </cell>
          <cell r="T1233" t="str">
            <v>PJK</v>
          </cell>
          <cell r="U1233" t="str">
            <v>-</v>
          </cell>
          <cell r="V1233" t="str">
            <v>P</v>
          </cell>
          <cell r="W1233">
            <v>31</v>
          </cell>
        </row>
        <row r="1234">
          <cell r="A1234">
            <v>10848</v>
          </cell>
          <cell r="B1234" t="str">
            <v>010848</v>
          </cell>
          <cell r="C1234" t="str">
            <v>PUJI LESTARI</v>
          </cell>
          <cell r="D1234" t="str">
            <v>SAMI</v>
          </cell>
          <cell r="E1234" t="str">
            <v>OPT-283</v>
          </cell>
          <cell r="F1234">
            <v>40572</v>
          </cell>
          <cell r="G1234" t="str">
            <v>-</v>
          </cell>
          <cell r="H1234" t="str">
            <v>-</v>
          </cell>
          <cell r="I1234" t="str">
            <v>PRD</v>
          </cell>
          <cell r="J1234" t="str">
            <v>NON LINE</v>
          </cell>
          <cell r="K1234" t="str">
            <v>ALL</v>
          </cell>
          <cell r="L1234" t="str">
            <v>ALL</v>
          </cell>
          <cell r="M1234" t="str">
            <v>NEW PROJECT</v>
          </cell>
          <cell r="N1234" t="str">
            <v>KEYMAN 39PL</v>
          </cell>
          <cell r="O1234" t="str">
            <v>OTHERS</v>
          </cell>
          <cell r="P1234" t="str">
            <v>A (NS)</v>
          </cell>
          <cell r="Q1234" t="str">
            <v>PI</v>
          </cell>
          <cell r="R1234" t="str">
            <v>PERMANENT</v>
          </cell>
          <cell r="S1234" t="str">
            <v>PRM</v>
          </cell>
          <cell r="T1234" t="str">
            <v>GL</v>
          </cell>
          <cell r="U1234" t="str">
            <v>-</v>
          </cell>
          <cell r="V1234" t="str">
            <v>P</v>
          </cell>
          <cell r="W1234">
            <v>33</v>
          </cell>
        </row>
        <row r="1235">
          <cell r="A1235">
            <v>13194</v>
          </cell>
          <cell r="B1235" t="str">
            <v>013194</v>
          </cell>
          <cell r="C1235" t="str">
            <v>YULLY DWITIANTI</v>
          </cell>
          <cell r="D1235" t="str">
            <v>SAMI</v>
          </cell>
          <cell r="E1235" t="str">
            <v>OPT-333</v>
          </cell>
          <cell r="F1235">
            <v>40904</v>
          </cell>
          <cell r="G1235" t="str">
            <v>-</v>
          </cell>
          <cell r="H1235" t="str">
            <v>-</v>
          </cell>
          <cell r="I1235" t="str">
            <v>PRD</v>
          </cell>
          <cell r="J1235" t="str">
            <v>FINAL ASSY</v>
          </cell>
          <cell r="K1235" t="str">
            <v>NISSAN HV</v>
          </cell>
          <cell r="L1235" t="str">
            <v>HV NISSAN</v>
          </cell>
          <cell r="M1235" t="str">
            <v>CV HV 05A</v>
          </cell>
          <cell r="N1235" t="str">
            <v>S/A 2</v>
          </cell>
          <cell r="O1235" t="str">
            <v>SUB ASSY</v>
          </cell>
          <cell r="P1235" t="str">
            <v>B</v>
          </cell>
          <cell r="Q1235" t="str">
            <v>DL</v>
          </cell>
          <cell r="R1235" t="str">
            <v>PERMANENT</v>
          </cell>
          <cell r="S1235" t="str">
            <v>PRM</v>
          </cell>
          <cell r="T1235" t="str">
            <v>OPT</v>
          </cell>
          <cell r="U1235" t="str">
            <v>-</v>
          </cell>
          <cell r="V1235" t="str">
            <v>P</v>
          </cell>
          <cell r="W1235">
            <v>32</v>
          </cell>
        </row>
        <row r="1236">
          <cell r="A1236">
            <v>13249</v>
          </cell>
          <cell r="B1236" t="str">
            <v>013249</v>
          </cell>
          <cell r="C1236" t="str">
            <v>NASEHAH</v>
          </cell>
          <cell r="D1236" t="str">
            <v>SAMI</v>
          </cell>
          <cell r="E1236" t="str">
            <v>OPT-335</v>
          </cell>
          <cell r="F1236">
            <v>40917</v>
          </cell>
          <cell r="G1236" t="str">
            <v>-</v>
          </cell>
          <cell r="H1236" t="str">
            <v>-</v>
          </cell>
          <cell r="I1236" t="str">
            <v>PRD</v>
          </cell>
          <cell r="J1236" t="str">
            <v>PRE ASSY</v>
          </cell>
          <cell r="K1236" t="str">
            <v>MAZDA 3</v>
          </cell>
          <cell r="L1236" t="str">
            <v>MAZDA REAR</v>
          </cell>
          <cell r="M1236" t="str">
            <v>CPA MAZDA J03</v>
          </cell>
          <cell r="N1236" t="str">
            <v>INSP CUTTING</v>
          </cell>
          <cell r="O1236" t="str">
            <v>P/A INSPECTOR</v>
          </cell>
          <cell r="P1236" t="str">
            <v>B</v>
          </cell>
          <cell r="Q1236" t="str">
            <v>PI</v>
          </cell>
          <cell r="R1236" t="str">
            <v>PERMANENT</v>
          </cell>
          <cell r="S1236" t="str">
            <v>PRM</v>
          </cell>
          <cell r="T1236" t="str">
            <v>OPT</v>
          </cell>
          <cell r="U1236" t="str">
            <v>-</v>
          </cell>
          <cell r="V1236" t="str">
            <v>P</v>
          </cell>
          <cell r="W1236">
            <v>32</v>
          </cell>
        </row>
        <row r="1237">
          <cell r="A1237">
            <v>13251</v>
          </cell>
          <cell r="B1237" t="str">
            <v>013251</v>
          </cell>
          <cell r="C1237" t="str">
            <v>NIKMATUL MAGHFIROH</v>
          </cell>
          <cell r="D1237" t="str">
            <v>SAMI</v>
          </cell>
          <cell r="E1237" t="str">
            <v>OPT-335</v>
          </cell>
          <cell r="F1237">
            <v>40917</v>
          </cell>
          <cell r="G1237" t="str">
            <v>-</v>
          </cell>
          <cell r="H1237" t="str">
            <v>-</v>
          </cell>
          <cell r="I1237" t="str">
            <v>PRD</v>
          </cell>
          <cell r="J1237" t="str">
            <v>FINAL ASSY</v>
          </cell>
          <cell r="K1237" t="str">
            <v>HONDA FREED</v>
          </cell>
          <cell r="L1237" t="str">
            <v>HONDA FREED W/H FLOOR</v>
          </cell>
          <cell r="M1237" t="str">
            <v>CV 4</v>
          </cell>
          <cell r="N1237" t="str">
            <v>VISUAL 2.1</v>
          </cell>
          <cell r="O1237" t="str">
            <v>VISUAL INSPECTION</v>
          </cell>
          <cell r="P1237" t="str">
            <v>B</v>
          </cell>
          <cell r="Q1237" t="str">
            <v>DL</v>
          </cell>
          <cell r="R1237" t="str">
            <v>PERMANENT</v>
          </cell>
          <cell r="S1237" t="str">
            <v>PRM</v>
          </cell>
          <cell r="T1237" t="str">
            <v>OPT</v>
          </cell>
          <cell r="U1237" t="str">
            <v>-</v>
          </cell>
          <cell r="V1237" t="str">
            <v>P</v>
          </cell>
          <cell r="W1237">
            <v>31</v>
          </cell>
        </row>
        <row r="1238">
          <cell r="A1238">
            <v>13268</v>
          </cell>
          <cell r="B1238" t="str">
            <v>013268</v>
          </cell>
          <cell r="C1238" t="str">
            <v>SITI AF'IDAH</v>
          </cell>
          <cell r="D1238" t="str">
            <v>SAMI</v>
          </cell>
          <cell r="E1238" t="str">
            <v>OPT-335</v>
          </cell>
          <cell r="F1238">
            <v>40917</v>
          </cell>
          <cell r="G1238" t="str">
            <v>-</v>
          </cell>
          <cell r="H1238" t="str">
            <v>-</v>
          </cell>
          <cell r="I1238" t="str">
            <v>PRD</v>
          </cell>
          <cell r="J1238" t="str">
            <v>PRE ASSY</v>
          </cell>
          <cell r="K1238" t="str">
            <v>HONDA BBP</v>
          </cell>
          <cell r="L1238" t="str">
            <v>HV HONDA 5JLA BBP</v>
          </cell>
          <cell r="M1238" t="str">
            <v>CPA HONDA HV</v>
          </cell>
          <cell r="N1238" t="str">
            <v>INSP CUTTING</v>
          </cell>
          <cell r="O1238" t="str">
            <v>P/A INSPECTOR</v>
          </cell>
          <cell r="P1238" t="str">
            <v>B</v>
          </cell>
          <cell r="Q1238" t="str">
            <v>PI</v>
          </cell>
          <cell r="R1238" t="str">
            <v>PERMANENT</v>
          </cell>
          <cell r="S1238" t="str">
            <v>PRM</v>
          </cell>
          <cell r="T1238" t="str">
            <v>OPT</v>
          </cell>
          <cell r="U1238" t="str">
            <v>-</v>
          </cell>
          <cell r="V1238" t="str">
            <v>P</v>
          </cell>
          <cell r="W1238">
            <v>35</v>
          </cell>
        </row>
        <row r="1239">
          <cell r="A1239">
            <v>5428</v>
          </cell>
          <cell r="B1239" t="str">
            <v>005428</v>
          </cell>
          <cell r="C1239" t="str">
            <v>LASTRI</v>
          </cell>
          <cell r="D1239" t="str">
            <v>SAMI</v>
          </cell>
          <cell r="E1239" t="str">
            <v>OPT-128</v>
          </cell>
          <cell r="F1239">
            <v>38991</v>
          </cell>
          <cell r="G1239" t="str">
            <v>-</v>
          </cell>
          <cell r="H1239" t="str">
            <v>-</v>
          </cell>
          <cell r="I1239" t="str">
            <v>PRD</v>
          </cell>
          <cell r="J1239" t="str">
            <v>PRE ASSY</v>
          </cell>
          <cell r="K1239" t="str">
            <v>LSPO</v>
          </cell>
          <cell r="L1239" t="str">
            <v>LSPO</v>
          </cell>
          <cell r="M1239" t="str">
            <v>PART &amp; SERVICE CPA</v>
          </cell>
          <cell r="N1239" t="str">
            <v>CUTTING AC81-P/S-01</v>
          </cell>
          <cell r="O1239" t="str">
            <v>CUTTING WIRE</v>
          </cell>
          <cell r="P1239" t="str">
            <v>A (NS)</v>
          </cell>
          <cell r="Q1239" t="str">
            <v>DL</v>
          </cell>
          <cell r="R1239" t="str">
            <v>PERMANENT</v>
          </cell>
          <cell r="S1239" t="str">
            <v>PRM</v>
          </cell>
          <cell r="T1239" t="str">
            <v>OPT</v>
          </cell>
          <cell r="U1239" t="str">
            <v>-</v>
          </cell>
          <cell r="V1239" t="str">
            <v>P</v>
          </cell>
          <cell r="W1239">
            <v>40</v>
          </cell>
        </row>
        <row r="1240">
          <cell r="A1240">
            <v>13287</v>
          </cell>
          <cell r="B1240" t="str">
            <v>013287</v>
          </cell>
          <cell r="C1240" t="str">
            <v>ANA TRISNANINGSIH</v>
          </cell>
          <cell r="D1240" t="str">
            <v>SAMI</v>
          </cell>
          <cell r="E1240" t="str">
            <v>OPT-336</v>
          </cell>
          <cell r="F1240">
            <v>40924</v>
          </cell>
          <cell r="G1240" t="str">
            <v>-</v>
          </cell>
          <cell r="H1240" t="str">
            <v>-</v>
          </cell>
          <cell r="I1240" t="str">
            <v>PRD</v>
          </cell>
          <cell r="J1240" t="str">
            <v>FINAL ASSY</v>
          </cell>
          <cell r="K1240" t="str">
            <v>MAZDA 3</v>
          </cell>
          <cell r="L1240" t="str">
            <v>MAZDA REAR</v>
          </cell>
          <cell r="M1240" t="str">
            <v>CV M01</v>
          </cell>
          <cell r="N1240" t="str">
            <v>CHECKER A/B</v>
          </cell>
          <cell r="O1240" t="str">
            <v>ELECTRICAL INSPECTION</v>
          </cell>
          <cell r="P1240" t="str">
            <v>B</v>
          </cell>
          <cell r="Q1240" t="str">
            <v>DL</v>
          </cell>
          <cell r="R1240" t="str">
            <v>PERMANENT</v>
          </cell>
          <cell r="S1240" t="str">
            <v>PRM</v>
          </cell>
          <cell r="T1240" t="str">
            <v>OPT</v>
          </cell>
          <cell r="U1240" t="str">
            <v>-</v>
          </cell>
          <cell r="V1240" t="str">
            <v>P</v>
          </cell>
          <cell r="W1240">
            <v>31</v>
          </cell>
        </row>
        <row r="1241">
          <cell r="A1241">
            <v>13330</v>
          </cell>
          <cell r="B1241" t="str">
            <v>013330</v>
          </cell>
          <cell r="C1241" t="str">
            <v>ARIF DWI SETYAWAN</v>
          </cell>
          <cell r="D1241" t="str">
            <v>SAMI</v>
          </cell>
          <cell r="E1241" t="str">
            <v>TKN-63</v>
          </cell>
          <cell r="F1241">
            <v>40924</v>
          </cell>
          <cell r="G1241" t="str">
            <v>-</v>
          </cell>
          <cell r="H1241" t="str">
            <v>-</v>
          </cell>
          <cell r="I1241" t="str">
            <v>PE</v>
          </cell>
          <cell r="J1241" t="str">
            <v>J/C BP</v>
          </cell>
          <cell r="K1241" t="str">
            <v>ALL</v>
          </cell>
          <cell r="L1241" t="str">
            <v>ALL</v>
          </cell>
          <cell r="M1241" t="str">
            <v>JCN</v>
          </cell>
          <cell r="N1241" t="str">
            <v>BREAKDOWN FA</v>
          </cell>
          <cell r="O1241" t="str">
            <v>MTC</v>
          </cell>
          <cell r="P1241" t="str">
            <v>A</v>
          </cell>
          <cell r="Q1241" t="str">
            <v>PI</v>
          </cell>
          <cell r="R1241" t="str">
            <v>PERMANENT</v>
          </cell>
          <cell r="S1241" t="str">
            <v>PRM</v>
          </cell>
          <cell r="T1241" t="str">
            <v>TKN</v>
          </cell>
          <cell r="U1241" t="str">
            <v>-</v>
          </cell>
          <cell r="V1241" t="str">
            <v>L</v>
          </cell>
          <cell r="W1241">
            <v>37</v>
          </cell>
        </row>
        <row r="1242">
          <cell r="A1242">
            <v>13331</v>
          </cell>
          <cell r="B1242" t="str">
            <v>013331</v>
          </cell>
          <cell r="C1242" t="str">
            <v>BAMBANG LADIYO</v>
          </cell>
          <cell r="D1242" t="str">
            <v>SAMI</v>
          </cell>
          <cell r="E1242" t="str">
            <v>TKN-63</v>
          </cell>
          <cell r="F1242">
            <v>40924</v>
          </cell>
          <cell r="G1242" t="str">
            <v>-</v>
          </cell>
          <cell r="H1242" t="str">
            <v>-</v>
          </cell>
          <cell r="I1242" t="str">
            <v>PE</v>
          </cell>
          <cell r="J1242" t="str">
            <v>J/C BP</v>
          </cell>
          <cell r="K1242" t="str">
            <v>ALL</v>
          </cell>
          <cell r="L1242" t="str">
            <v>ALL</v>
          </cell>
          <cell r="M1242" t="str">
            <v>JCN</v>
          </cell>
          <cell r="N1242" t="str">
            <v>BREAKDOWN FA</v>
          </cell>
          <cell r="O1242" t="str">
            <v>MTC</v>
          </cell>
          <cell r="P1242" t="str">
            <v>B</v>
          </cell>
          <cell r="Q1242" t="str">
            <v>PI</v>
          </cell>
          <cell r="R1242" t="str">
            <v>PERMANENT</v>
          </cell>
          <cell r="S1242" t="str">
            <v>PRM</v>
          </cell>
          <cell r="T1242" t="str">
            <v>TKN</v>
          </cell>
          <cell r="U1242" t="str">
            <v>-</v>
          </cell>
          <cell r="V1242" t="str">
            <v>L</v>
          </cell>
          <cell r="W1242">
            <v>35</v>
          </cell>
        </row>
        <row r="1243">
          <cell r="A1243">
            <v>13335</v>
          </cell>
          <cell r="B1243" t="str">
            <v>013335</v>
          </cell>
          <cell r="C1243" t="str">
            <v>INDRA DWI MAULANA</v>
          </cell>
          <cell r="D1243" t="str">
            <v>SAMI</v>
          </cell>
          <cell r="E1243" t="str">
            <v>TKN-63</v>
          </cell>
          <cell r="F1243">
            <v>40924</v>
          </cell>
          <cell r="G1243" t="str">
            <v>-</v>
          </cell>
          <cell r="H1243" t="str">
            <v>-</v>
          </cell>
          <cell r="I1243" t="str">
            <v>PE</v>
          </cell>
          <cell r="J1243" t="str">
            <v>J/C BP</v>
          </cell>
          <cell r="K1243" t="str">
            <v>ALL</v>
          </cell>
          <cell r="L1243" t="str">
            <v>ALL</v>
          </cell>
          <cell r="M1243" t="str">
            <v>JBP</v>
          </cell>
          <cell r="N1243" t="str">
            <v>DRAFTER JIG BOARD</v>
          </cell>
          <cell r="O1243" t="str">
            <v>JBP</v>
          </cell>
          <cell r="P1243" t="str">
            <v>A</v>
          </cell>
          <cell r="Q1243" t="str">
            <v>PS</v>
          </cell>
          <cell r="R1243" t="str">
            <v>PERMANENT</v>
          </cell>
          <cell r="S1243" t="str">
            <v>PRM</v>
          </cell>
          <cell r="T1243" t="str">
            <v>TKN</v>
          </cell>
          <cell r="U1243" t="str">
            <v>-</v>
          </cell>
          <cell r="V1243" t="str">
            <v>L</v>
          </cell>
          <cell r="W1243">
            <v>34</v>
          </cell>
        </row>
        <row r="1244">
          <cell r="A1244">
            <v>13338</v>
          </cell>
          <cell r="B1244" t="str">
            <v>013338</v>
          </cell>
          <cell r="C1244" t="str">
            <v>LUCKY APRIYANTO</v>
          </cell>
          <cell r="D1244" t="str">
            <v>SAMI</v>
          </cell>
          <cell r="E1244" t="str">
            <v>TKN-63</v>
          </cell>
          <cell r="F1244">
            <v>40924</v>
          </cell>
          <cell r="G1244" t="str">
            <v>-</v>
          </cell>
          <cell r="H1244" t="str">
            <v>-</v>
          </cell>
          <cell r="I1244" t="str">
            <v>PE</v>
          </cell>
          <cell r="J1244" t="str">
            <v>J/C BP</v>
          </cell>
          <cell r="K1244" t="str">
            <v>ALL</v>
          </cell>
          <cell r="L1244" t="str">
            <v>ALL</v>
          </cell>
          <cell r="M1244" t="str">
            <v>NIP</v>
          </cell>
          <cell r="N1244" t="str">
            <v>NAVIGATION SYSTEM FABRICATION</v>
          </cell>
          <cell r="O1244" t="str">
            <v>CBP</v>
          </cell>
          <cell r="P1244" t="str">
            <v>A (NS)</v>
          </cell>
          <cell r="Q1244" t="str">
            <v>PS</v>
          </cell>
          <cell r="R1244" t="str">
            <v>PERMANENT</v>
          </cell>
          <cell r="S1244" t="str">
            <v>PRM</v>
          </cell>
          <cell r="T1244" t="str">
            <v>TKN</v>
          </cell>
          <cell r="U1244" t="str">
            <v>-</v>
          </cell>
          <cell r="V1244" t="str">
            <v>L</v>
          </cell>
          <cell r="W1244">
            <v>35</v>
          </cell>
        </row>
        <row r="1245">
          <cell r="A1245">
            <v>13341</v>
          </cell>
          <cell r="B1245" t="str">
            <v>013341</v>
          </cell>
          <cell r="C1245" t="str">
            <v>NANANG SETIAWAN</v>
          </cell>
          <cell r="D1245" t="str">
            <v>SAMI</v>
          </cell>
          <cell r="E1245" t="str">
            <v>TKN-63</v>
          </cell>
          <cell r="F1245">
            <v>40924</v>
          </cell>
          <cell r="G1245" t="str">
            <v>-</v>
          </cell>
          <cell r="H1245" t="str">
            <v>-</v>
          </cell>
          <cell r="I1245" t="str">
            <v>PE</v>
          </cell>
          <cell r="J1245" t="str">
            <v>J/C BP</v>
          </cell>
          <cell r="K1245" t="str">
            <v>ALL</v>
          </cell>
          <cell r="L1245" t="str">
            <v>ALL</v>
          </cell>
          <cell r="M1245" t="str">
            <v>JCN</v>
          </cell>
          <cell r="N1245" t="str">
            <v>BREAKDOWN FA</v>
          </cell>
          <cell r="O1245" t="str">
            <v>MTC</v>
          </cell>
          <cell r="P1245" t="str">
            <v>A</v>
          </cell>
          <cell r="Q1245" t="str">
            <v>PI</v>
          </cell>
          <cell r="R1245" t="str">
            <v>PERMANENT</v>
          </cell>
          <cell r="S1245" t="str">
            <v>PRM</v>
          </cell>
          <cell r="T1245" t="str">
            <v>TKN</v>
          </cell>
          <cell r="U1245" t="str">
            <v>-</v>
          </cell>
          <cell r="V1245" t="str">
            <v>L</v>
          </cell>
          <cell r="W1245">
            <v>34</v>
          </cell>
        </row>
        <row r="1246">
          <cell r="A1246">
            <v>13344</v>
          </cell>
          <cell r="B1246" t="str">
            <v>013344</v>
          </cell>
          <cell r="C1246" t="str">
            <v>RIZKI RIADI PUTRANTO</v>
          </cell>
          <cell r="D1246" t="str">
            <v>SAMI</v>
          </cell>
          <cell r="E1246" t="str">
            <v>TKN-63</v>
          </cell>
          <cell r="F1246">
            <v>40924</v>
          </cell>
          <cell r="G1246" t="str">
            <v>-</v>
          </cell>
          <cell r="H1246" t="str">
            <v>-</v>
          </cell>
          <cell r="I1246" t="str">
            <v>PE</v>
          </cell>
          <cell r="J1246" t="str">
            <v>J/C BP</v>
          </cell>
          <cell r="K1246" t="str">
            <v>ALL</v>
          </cell>
          <cell r="L1246" t="str">
            <v>ALL</v>
          </cell>
          <cell r="M1246" t="str">
            <v>JCN</v>
          </cell>
          <cell r="N1246" t="str">
            <v>BREAKDOWN FA</v>
          </cell>
          <cell r="O1246" t="str">
            <v>MTC</v>
          </cell>
          <cell r="P1246" t="str">
            <v>B</v>
          </cell>
          <cell r="Q1246" t="str">
            <v>PI</v>
          </cell>
          <cell r="R1246" t="str">
            <v>PERMANENT</v>
          </cell>
          <cell r="S1246" t="str">
            <v>PRM</v>
          </cell>
          <cell r="T1246" t="str">
            <v>TKN</v>
          </cell>
          <cell r="U1246" t="str">
            <v>-</v>
          </cell>
          <cell r="V1246" t="str">
            <v>L</v>
          </cell>
          <cell r="W1246">
            <v>35</v>
          </cell>
        </row>
        <row r="1247">
          <cell r="A1247">
            <v>13346</v>
          </cell>
          <cell r="B1247" t="str">
            <v>013346</v>
          </cell>
          <cell r="C1247" t="str">
            <v>SUROKO</v>
          </cell>
          <cell r="D1247" t="str">
            <v>SAMI</v>
          </cell>
          <cell r="E1247" t="str">
            <v>TKN-63</v>
          </cell>
          <cell r="F1247">
            <v>40924</v>
          </cell>
          <cell r="G1247" t="str">
            <v>-</v>
          </cell>
          <cell r="H1247" t="str">
            <v>-</v>
          </cell>
          <cell r="I1247" t="str">
            <v>PE</v>
          </cell>
          <cell r="J1247" t="str">
            <v>J/C BP</v>
          </cell>
          <cell r="K1247" t="str">
            <v>ALL</v>
          </cell>
          <cell r="L1247" t="str">
            <v>ALL</v>
          </cell>
          <cell r="M1247" t="str">
            <v>JCN</v>
          </cell>
          <cell r="N1247" t="str">
            <v>LL REPLACEMENT PIN</v>
          </cell>
          <cell r="O1247" t="str">
            <v>FPS LL</v>
          </cell>
          <cell r="P1247" t="str">
            <v>A (NS)</v>
          </cell>
          <cell r="Q1247" t="str">
            <v>PS</v>
          </cell>
          <cell r="R1247" t="str">
            <v>PERMANENT</v>
          </cell>
          <cell r="S1247" t="str">
            <v>PRM</v>
          </cell>
          <cell r="T1247" t="str">
            <v>LL</v>
          </cell>
          <cell r="U1247" t="str">
            <v>-</v>
          </cell>
          <cell r="V1247" t="str">
            <v>L</v>
          </cell>
          <cell r="W1247">
            <v>40</v>
          </cell>
        </row>
        <row r="1248">
          <cell r="A1248">
            <v>13349</v>
          </cell>
          <cell r="B1248" t="str">
            <v>013349</v>
          </cell>
          <cell r="C1248" t="str">
            <v>WIRATNO</v>
          </cell>
          <cell r="D1248" t="str">
            <v>SAMI</v>
          </cell>
          <cell r="E1248" t="str">
            <v>TKN-63</v>
          </cell>
          <cell r="F1248">
            <v>40924</v>
          </cell>
          <cell r="G1248" t="str">
            <v>-</v>
          </cell>
          <cell r="H1248" t="str">
            <v>-</v>
          </cell>
          <cell r="I1248" t="str">
            <v>PE</v>
          </cell>
          <cell r="J1248" t="str">
            <v>J/C BP</v>
          </cell>
          <cell r="K1248" t="str">
            <v>ALL</v>
          </cell>
          <cell r="L1248" t="str">
            <v>ALL</v>
          </cell>
          <cell r="M1248" t="str">
            <v>CBP</v>
          </cell>
          <cell r="N1248" t="str">
            <v>REPLACEMENT PIN CHECKER FIXTURE, PREPARE DAN CONTROL TEMPORARY CHECKER PART, PREPARE MORENSHO DAN NCDR</v>
          </cell>
          <cell r="O1248" t="str">
            <v>CBP</v>
          </cell>
          <cell r="P1248" t="str">
            <v>A (NS)</v>
          </cell>
          <cell r="Q1248" t="str">
            <v>PS</v>
          </cell>
          <cell r="R1248" t="str">
            <v>PERMANENT</v>
          </cell>
          <cell r="S1248" t="str">
            <v>PRM</v>
          </cell>
          <cell r="T1248" t="str">
            <v>TKN</v>
          </cell>
          <cell r="U1248" t="str">
            <v>-</v>
          </cell>
          <cell r="V1248" t="str">
            <v>L</v>
          </cell>
          <cell r="W1248">
            <v>31</v>
          </cell>
        </row>
        <row r="1249">
          <cell r="A1249">
            <v>13353</v>
          </cell>
          <cell r="B1249" t="str">
            <v>013353</v>
          </cell>
          <cell r="C1249" t="str">
            <v>TEGUH MULYANTO</v>
          </cell>
          <cell r="D1249" t="str">
            <v>SAMI</v>
          </cell>
          <cell r="E1249" t="str">
            <v>TKN-63</v>
          </cell>
          <cell r="F1249">
            <v>40924</v>
          </cell>
          <cell r="G1249" t="str">
            <v>-</v>
          </cell>
          <cell r="H1249" t="str">
            <v>-</v>
          </cell>
          <cell r="I1249" t="str">
            <v>PGA</v>
          </cell>
          <cell r="J1249" t="str">
            <v>GA</v>
          </cell>
          <cell r="K1249" t="str">
            <v>ALL</v>
          </cell>
          <cell r="L1249" t="str">
            <v>ALL</v>
          </cell>
          <cell r="M1249" t="str">
            <v>GA</v>
          </cell>
          <cell r="N1249" t="str">
            <v>BUILDING MAINTENANCE</v>
          </cell>
          <cell r="O1249" t="str">
            <v>BDM</v>
          </cell>
          <cell r="P1249" t="str">
            <v>A</v>
          </cell>
          <cell r="Q1249" t="str">
            <v>ADM</v>
          </cell>
          <cell r="R1249" t="str">
            <v>PERMANENT</v>
          </cell>
          <cell r="S1249" t="str">
            <v>PRM</v>
          </cell>
          <cell r="T1249" t="str">
            <v>PGA</v>
          </cell>
          <cell r="U1249" t="str">
            <v>-</v>
          </cell>
          <cell r="V1249" t="str">
            <v>L</v>
          </cell>
          <cell r="W1249">
            <v>39</v>
          </cell>
        </row>
        <row r="1250">
          <cell r="A1250">
            <v>13369</v>
          </cell>
          <cell r="B1250" t="str">
            <v>013369</v>
          </cell>
          <cell r="C1250" t="str">
            <v>ENI PUJI LESTARI</v>
          </cell>
          <cell r="D1250" t="str">
            <v>SAMI</v>
          </cell>
          <cell r="E1250" t="str">
            <v>OPT-337</v>
          </cell>
          <cell r="F1250">
            <v>40932</v>
          </cell>
          <cell r="G1250" t="str">
            <v>-</v>
          </cell>
          <cell r="H1250" t="str">
            <v>-</v>
          </cell>
          <cell r="I1250" t="str">
            <v>PRD</v>
          </cell>
          <cell r="J1250" t="str">
            <v>FINAL ASSY</v>
          </cell>
          <cell r="K1250" t="str">
            <v>TOYOTA</v>
          </cell>
          <cell r="L1250" t="str">
            <v>AQUA SIENTA</v>
          </cell>
          <cell r="M1250" t="str">
            <v>CV T01</v>
          </cell>
          <cell r="N1250" t="str">
            <v>OJT T/P 8</v>
          </cell>
          <cell r="O1250" t="str">
            <v>OTHERS</v>
          </cell>
          <cell r="P1250" t="str">
            <v>B</v>
          </cell>
          <cell r="Q1250" t="str">
            <v>PI</v>
          </cell>
          <cell r="R1250" t="str">
            <v>PERMANENT</v>
          </cell>
          <cell r="S1250" t="str">
            <v>PRM</v>
          </cell>
          <cell r="T1250" t="str">
            <v>OPT</v>
          </cell>
          <cell r="U1250" t="str">
            <v>-</v>
          </cell>
          <cell r="V1250" t="str">
            <v>P</v>
          </cell>
          <cell r="W1250">
            <v>34</v>
          </cell>
        </row>
        <row r="1251">
          <cell r="A1251">
            <v>13376</v>
          </cell>
          <cell r="B1251" t="str">
            <v>013376</v>
          </cell>
          <cell r="C1251" t="str">
            <v>FITRI IRAWATI</v>
          </cell>
          <cell r="D1251" t="str">
            <v>SAMI</v>
          </cell>
          <cell r="E1251" t="str">
            <v>OPT-337</v>
          </cell>
          <cell r="F1251">
            <v>40932</v>
          </cell>
          <cell r="G1251" t="str">
            <v>-</v>
          </cell>
          <cell r="H1251" t="str">
            <v>-</v>
          </cell>
          <cell r="I1251" t="str">
            <v>PRD</v>
          </cell>
          <cell r="J1251" t="str">
            <v>FINAL ASSY</v>
          </cell>
          <cell r="K1251" t="str">
            <v>HONDA NES</v>
          </cell>
          <cell r="L1251" t="str">
            <v>HONDA NES HEV PET ENGINE</v>
          </cell>
          <cell r="M1251" t="str">
            <v>CV H04</v>
          </cell>
          <cell r="N1251" t="str">
            <v>S/A AB</v>
          </cell>
          <cell r="O1251" t="str">
            <v>SUB ASSY</v>
          </cell>
          <cell r="P1251" t="str">
            <v>B</v>
          </cell>
          <cell r="Q1251" t="str">
            <v>DL</v>
          </cell>
          <cell r="R1251" t="str">
            <v>PERMANENT</v>
          </cell>
          <cell r="S1251" t="str">
            <v>PRM</v>
          </cell>
          <cell r="T1251" t="str">
            <v>OPT</v>
          </cell>
          <cell r="U1251" t="str">
            <v>-</v>
          </cell>
          <cell r="V1251" t="str">
            <v>P</v>
          </cell>
          <cell r="W1251">
            <v>32</v>
          </cell>
        </row>
        <row r="1252">
          <cell r="A1252">
            <v>13418</v>
          </cell>
          <cell r="B1252" t="str">
            <v>013418</v>
          </cell>
          <cell r="C1252" t="str">
            <v>ACHMAD NOOR RIYADI</v>
          </cell>
          <cell r="D1252" t="str">
            <v>SAMI</v>
          </cell>
          <cell r="E1252" t="str">
            <v>TKN-64</v>
          </cell>
          <cell r="F1252">
            <v>40932</v>
          </cell>
          <cell r="G1252" t="str">
            <v>-</v>
          </cell>
          <cell r="H1252" t="str">
            <v>-</v>
          </cell>
          <cell r="I1252" t="str">
            <v>PE</v>
          </cell>
          <cell r="J1252" t="str">
            <v>MTC</v>
          </cell>
          <cell r="K1252" t="str">
            <v>ALL</v>
          </cell>
          <cell r="L1252" t="str">
            <v>ALL</v>
          </cell>
          <cell r="M1252" t="str">
            <v>BREAKDOWN</v>
          </cell>
          <cell r="N1252" t="str">
            <v>BREAKDOWN</v>
          </cell>
          <cell r="O1252" t="str">
            <v>MTC</v>
          </cell>
          <cell r="P1252" t="str">
            <v>B</v>
          </cell>
          <cell r="Q1252" t="str">
            <v>PI</v>
          </cell>
          <cell r="R1252" t="str">
            <v>PERMANENT</v>
          </cell>
          <cell r="S1252" t="str">
            <v>PRM</v>
          </cell>
          <cell r="T1252" t="str">
            <v>TKN</v>
          </cell>
          <cell r="U1252" t="str">
            <v>-</v>
          </cell>
          <cell r="V1252" t="str">
            <v>L</v>
          </cell>
          <cell r="W1252">
            <v>31</v>
          </cell>
        </row>
        <row r="1253">
          <cell r="A1253">
            <v>13422</v>
          </cell>
          <cell r="B1253" t="str">
            <v>013422</v>
          </cell>
          <cell r="C1253" t="str">
            <v>AHMAT SLAMET RIYADI</v>
          </cell>
          <cell r="D1253" t="str">
            <v>SAMI</v>
          </cell>
          <cell r="E1253" t="str">
            <v>TKN-64</v>
          </cell>
          <cell r="F1253">
            <v>40932</v>
          </cell>
          <cell r="G1253" t="str">
            <v>-</v>
          </cell>
          <cell r="H1253" t="str">
            <v>-</v>
          </cell>
          <cell r="I1253" t="str">
            <v>PE</v>
          </cell>
          <cell r="J1253" t="str">
            <v>J/C BP</v>
          </cell>
          <cell r="K1253" t="str">
            <v>ALL</v>
          </cell>
          <cell r="L1253" t="str">
            <v>ALL</v>
          </cell>
          <cell r="M1253" t="str">
            <v>JBP</v>
          </cell>
          <cell r="N1253" t="str">
            <v>DRAFTER JIG BOARD</v>
          </cell>
          <cell r="O1253" t="str">
            <v>JBP</v>
          </cell>
          <cell r="P1253" t="str">
            <v>B</v>
          </cell>
          <cell r="Q1253" t="str">
            <v>PS</v>
          </cell>
          <cell r="R1253" t="str">
            <v>PERMANENT</v>
          </cell>
          <cell r="S1253" t="str">
            <v>PRM</v>
          </cell>
          <cell r="T1253" t="str">
            <v>TKN</v>
          </cell>
          <cell r="U1253" t="str">
            <v>-</v>
          </cell>
          <cell r="V1253" t="str">
            <v>L</v>
          </cell>
          <cell r="W1253">
            <v>38</v>
          </cell>
        </row>
        <row r="1254">
          <cell r="A1254">
            <v>13423</v>
          </cell>
          <cell r="B1254" t="str">
            <v>013423</v>
          </cell>
          <cell r="C1254" t="str">
            <v>BUDHY PRASETIYO</v>
          </cell>
          <cell r="D1254" t="str">
            <v>SAMI</v>
          </cell>
          <cell r="E1254" t="str">
            <v>TKN-64</v>
          </cell>
          <cell r="F1254">
            <v>40932</v>
          </cell>
          <cell r="G1254" t="str">
            <v>-</v>
          </cell>
          <cell r="H1254" t="str">
            <v>-</v>
          </cell>
          <cell r="I1254" t="str">
            <v>PE</v>
          </cell>
          <cell r="J1254" t="str">
            <v>MTC</v>
          </cell>
          <cell r="K1254" t="str">
            <v>ALL</v>
          </cell>
          <cell r="L1254" t="str">
            <v>ALL</v>
          </cell>
          <cell r="M1254" t="str">
            <v>BREAKDOWN</v>
          </cell>
          <cell r="N1254" t="str">
            <v>BREAKDOWN</v>
          </cell>
          <cell r="O1254" t="str">
            <v>MTC</v>
          </cell>
          <cell r="P1254" t="str">
            <v>B</v>
          </cell>
          <cell r="Q1254" t="str">
            <v>PI</v>
          </cell>
          <cell r="R1254" t="str">
            <v>PERMANENT</v>
          </cell>
          <cell r="S1254" t="str">
            <v>PRM</v>
          </cell>
          <cell r="T1254" t="str">
            <v>TKN</v>
          </cell>
          <cell r="U1254" t="str">
            <v>-</v>
          </cell>
          <cell r="V1254" t="str">
            <v>L</v>
          </cell>
          <cell r="W1254">
            <v>38</v>
          </cell>
        </row>
        <row r="1255">
          <cell r="A1255">
            <v>13424</v>
          </cell>
          <cell r="B1255" t="str">
            <v>013424</v>
          </cell>
          <cell r="C1255" t="str">
            <v>EKA WAHYUDI</v>
          </cell>
          <cell r="D1255" t="str">
            <v>SAMI</v>
          </cell>
          <cell r="E1255" t="str">
            <v>TKN-64</v>
          </cell>
          <cell r="F1255">
            <v>40932</v>
          </cell>
          <cell r="G1255" t="str">
            <v>-</v>
          </cell>
          <cell r="H1255" t="str">
            <v>-</v>
          </cell>
          <cell r="I1255" t="str">
            <v>PE</v>
          </cell>
          <cell r="J1255" t="str">
            <v>MTC</v>
          </cell>
          <cell r="K1255" t="str">
            <v>ALL</v>
          </cell>
          <cell r="L1255" t="str">
            <v>ALL</v>
          </cell>
          <cell r="M1255" t="str">
            <v>BREAKDOWN</v>
          </cell>
          <cell r="N1255" t="str">
            <v>BREAKDOWN</v>
          </cell>
          <cell r="O1255" t="str">
            <v>MTC</v>
          </cell>
          <cell r="P1255" t="str">
            <v>A</v>
          </cell>
          <cell r="Q1255" t="str">
            <v>PI</v>
          </cell>
          <cell r="R1255" t="str">
            <v>PERMANENT</v>
          </cell>
          <cell r="S1255" t="str">
            <v>PRM</v>
          </cell>
          <cell r="T1255" t="str">
            <v>TKN</v>
          </cell>
          <cell r="U1255" t="str">
            <v>-</v>
          </cell>
          <cell r="V1255" t="str">
            <v>L</v>
          </cell>
          <cell r="W1255">
            <v>37</v>
          </cell>
        </row>
        <row r="1256">
          <cell r="A1256">
            <v>13425</v>
          </cell>
          <cell r="B1256" t="str">
            <v>013425</v>
          </cell>
          <cell r="C1256" t="str">
            <v>MOCH. MUSTOFA</v>
          </cell>
          <cell r="D1256" t="str">
            <v>SAMI</v>
          </cell>
          <cell r="E1256" t="str">
            <v>TKN-64</v>
          </cell>
          <cell r="F1256">
            <v>40932</v>
          </cell>
          <cell r="G1256" t="str">
            <v>-</v>
          </cell>
          <cell r="H1256" t="str">
            <v>-</v>
          </cell>
          <cell r="I1256" t="str">
            <v>PE</v>
          </cell>
          <cell r="J1256" t="str">
            <v>MTC</v>
          </cell>
          <cell r="K1256" t="str">
            <v>ALL</v>
          </cell>
          <cell r="L1256" t="str">
            <v>ALL</v>
          </cell>
          <cell r="M1256" t="str">
            <v>MODIF</v>
          </cell>
          <cell r="N1256" t="str">
            <v>PREPARATION, OVER HOUL, IMPROVEMENT</v>
          </cell>
          <cell r="O1256" t="str">
            <v>CRIMP STD</v>
          </cell>
          <cell r="P1256" t="str">
            <v>A (NS)</v>
          </cell>
          <cell r="Q1256" t="str">
            <v>PS</v>
          </cell>
          <cell r="R1256" t="str">
            <v>PERMANENT</v>
          </cell>
          <cell r="S1256" t="str">
            <v>PRM</v>
          </cell>
          <cell r="T1256" t="str">
            <v>TKN</v>
          </cell>
          <cell r="U1256" t="str">
            <v>-</v>
          </cell>
          <cell r="V1256" t="str">
            <v>L</v>
          </cell>
          <cell r="W1256">
            <v>32</v>
          </cell>
        </row>
        <row r="1257">
          <cell r="A1257">
            <v>13429</v>
          </cell>
          <cell r="B1257" t="str">
            <v>013429</v>
          </cell>
          <cell r="C1257" t="str">
            <v>RANDY MARDITYO</v>
          </cell>
          <cell r="D1257" t="str">
            <v>SAMI</v>
          </cell>
          <cell r="E1257" t="str">
            <v>TKN-64</v>
          </cell>
          <cell r="F1257">
            <v>40932</v>
          </cell>
          <cell r="G1257" t="str">
            <v>-</v>
          </cell>
          <cell r="H1257" t="str">
            <v>-</v>
          </cell>
          <cell r="I1257" t="str">
            <v>PE</v>
          </cell>
          <cell r="J1257" t="str">
            <v>PrE</v>
          </cell>
          <cell r="K1257" t="str">
            <v>ALL</v>
          </cell>
          <cell r="L1257" t="str">
            <v>ALL</v>
          </cell>
          <cell r="M1257" t="str">
            <v>PrE</v>
          </cell>
          <cell r="N1257" t="str">
            <v>DRAWING EQP, LAYOUT &amp; IMPROVEMENT</v>
          </cell>
          <cell r="O1257" t="str">
            <v>PROCESS ENG</v>
          </cell>
          <cell r="P1257" t="str">
            <v>A (NS)</v>
          </cell>
          <cell r="Q1257" t="str">
            <v>PS</v>
          </cell>
          <cell r="R1257" t="str">
            <v>PERMANENT</v>
          </cell>
          <cell r="S1257" t="str">
            <v>PRM</v>
          </cell>
          <cell r="T1257" t="str">
            <v>TKN</v>
          </cell>
          <cell r="U1257" t="str">
            <v>-</v>
          </cell>
          <cell r="V1257" t="str">
            <v>L</v>
          </cell>
          <cell r="W1257">
            <v>32</v>
          </cell>
        </row>
        <row r="1258">
          <cell r="A1258">
            <v>13437</v>
          </cell>
          <cell r="B1258" t="str">
            <v>013437</v>
          </cell>
          <cell r="C1258" t="str">
            <v>YAHYA PRAYITNO</v>
          </cell>
          <cell r="D1258" t="str">
            <v>SAMI</v>
          </cell>
          <cell r="E1258" t="str">
            <v>TKN-65</v>
          </cell>
          <cell r="F1258">
            <v>40938</v>
          </cell>
          <cell r="G1258" t="str">
            <v>-</v>
          </cell>
          <cell r="H1258" t="str">
            <v>-</v>
          </cell>
          <cell r="I1258" t="str">
            <v>PE</v>
          </cell>
          <cell r="J1258" t="str">
            <v>MTC</v>
          </cell>
          <cell r="K1258" t="str">
            <v>ALL</v>
          </cell>
          <cell r="L1258" t="str">
            <v>ALL</v>
          </cell>
          <cell r="M1258" t="str">
            <v>TPM</v>
          </cell>
          <cell r="N1258" t="str">
            <v>PREVENTIVE</v>
          </cell>
          <cell r="O1258" t="str">
            <v>PROCESS ENG</v>
          </cell>
          <cell r="P1258" t="str">
            <v>A (NS)</v>
          </cell>
          <cell r="Q1258" t="str">
            <v>PS</v>
          </cell>
          <cell r="R1258" t="str">
            <v>PERMANENT</v>
          </cell>
          <cell r="S1258" t="str">
            <v>PRM</v>
          </cell>
          <cell r="T1258" t="str">
            <v>TKN</v>
          </cell>
          <cell r="U1258" t="str">
            <v>-</v>
          </cell>
          <cell r="V1258" t="str">
            <v>L</v>
          </cell>
          <cell r="W1258">
            <v>34</v>
          </cell>
        </row>
        <row r="1259">
          <cell r="A1259">
            <v>13439</v>
          </cell>
          <cell r="B1259" t="str">
            <v>013439</v>
          </cell>
          <cell r="C1259" t="str">
            <v>ARIS SETIAWAN</v>
          </cell>
          <cell r="D1259" t="str">
            <v>SAMI</v>
          </cell>
          <cell r="E1259" t="str">
            <v>OPT-338</v>
          </cell>
          <cell r="F1259">
            <v>40938</v>
          </cell>
          <cell r="G1259" t="str">
            <v>-</v>
          </cell>
          <cell r="H1259" t="str">
            <v>-</v>
          </cell>
          <cell r="I1259" t="str">
            <v>PRD</v>
          </cell>
          <cell r="J1259" t="str">
            <v>FINAL ASSY</v>
          </cell>
          <cell r="K1259" t="str">
            <v>HONDA NES</v>
          </cell>
          <cell r="L1259" t="str">
            <v>HONDA NES HEV PET ENGINE</v>
          </cell>
          <cell r="M1259" t="str">
            <v>CV H04</v>
          </cell>
          <cell r="N1259" t="str">
            <v>CHECKER 1</v>
          </cell>
          <cell r="O1259" t="str">
            <v>ELECTRICAL INSPECTION</v>
          </cell>
          <cell r="P1259" t="str">
            <v>B</v>
          </cell>
          <cell r="Q1259" t="str">
            <v>DL</v>
          </cell>
          <cell r="R1259" t="str">
            <v>PERMANENT</v>
          </cell>
          <cell r="S1259" t="str">
            <v>PRM</v>
          </cell>
          <cell r="T1259" t="str">
            <v>OPT</v>
          </cell>
          <cell r="U1259" t="str">
            <v>-</v>
          </cell>
          <cell r="V1259" t="str">
            <v>L</v>
          </cell>
          <cell r="W1259">
            <v>32</v>
          </cell>
        </row>
        <row r="1260">
          <cell r="A1260">
            <v>13451</v>
          </cell>
          <cell r="B1260" t="str">
            <v>013451</v>
          </cell>
          <cell r="C1260" t="str">
            <v>LANNY ANGGITA SARI</v>
          </cell>
          <cell r="D1260" t="str">
            <v>SAMI</v>
          </cell>
          <cell r="E1260" t="str">
            <v>OPT-338</v>
          </cell>
          <cell r="F1260">
            <v>40938</v>
          </cell>
          <cell r="G1260" t="str">
            <v>-</v>
          </cell>
          <cell r="H1260" t="str">
            <v>-</v>
          </cell>
          <cell r="I1260" t="str">
            <v>OTHERS</v>
          </cell>
          <cell r="J1260" t="str">
            <v>AT HOME</v>
          </cell>
          <cell r="K1260" t="str">
            <v>ALL</v>
          </cell>
          <cell r="L1260" t="str">
            <v>ALL</v>
          </cell>
          <cell r="M1260" t="str">
            <v>AT HOME</v>
          </cell>
          <cell r="N1260" t="str">
            <v>CUTI DI LUAR TANGGUNGAN</v>
          </cell>
          <cell r="O1260" t="str">
            <v>OTHERS IDL</v>
          </cell>
          <cell r="P1260" t="str">
            <v>-</v>
          </cell>
          <cell r="Q1260" t="str">
            <v>ADM</v>
          </cell>
          <cell r="R1260" t="str">
            <v>PERMANENT</v>
          </cell>
          <cell r="S1260" t="str">
            <v>PRM</v>
          </cell>
          <cell r="T1260" t="str">
            <v>OPT</v>
          </cell>
          <cell r="U1260" t="str">
            <v>-</v>
          </cell>
          <cell r="V1260" t="str">
            <v>P</v>
          </cell>
          <cell r="W1260">
            <v>31</v>
          </cell>
        </row>
        <row r="1261">
          <cell r="A1261">
            <v>5892</v>
          </cell>
          <cell r="B1261" t="str">
            <v>005892</v>
          </cell>
          <cell r="C1261" t="str">
            <v>DWI WAHYUNINGSIH</v>
          </cell>
          <cell r="D1261" t="str">
            <v>SAMI</v>
          </cell>
          <cell r="E1261" t="str">
            <v>OPT-137</v>
          </cell>
          <cell r="F1261">
            <v>39129</v>
          </cell>
          <cell r="G1261" t="str">
            <v>-</v>
          </cell>
          <cell r="H1261" t="str">
            <v>-</v>
          </cell>
          <cell r="I1261" t="str">
            <v>PRD</v>
          </cell>
          <cell r="J1261" t="str">
            <v>PRE ASSY</v>
          </cell>
          <cell r="K1261" t="str">
            <v>LSPO</v>
          </cell>
          <cell r="L1261" t="str">
            <v>LSPO</v>
          </cell>
          <cell r="M1261" t="str">
            <v>PART &amp; SERVICE CPA</v>
          </cell>
          <cell r="N1261" t="str">
            <v>GL</v>
          </cell>
          <cell r="O1261" t="str">
            <v>GL</v>
          </cell>
          <cell r="P1261" t="str">
            <v>A (NS)</v>
          </cell>
          <cell r="Q1261" t="str">
            <v>PI</v>
          </cell>
          <cell r="R1261" t="str">
            <v>PERMANENT</v>
          </cell>
          <cell r="S1261" t="str">
            <v>PRM</v>
          </cell>
          <cell r="T1261" t="str">
            <v>GL</v>
          </cell>
          <cell r="U1261" t="str">
            <v>-</v>
          </cell>
          <cell r="V1261" t="str">
            <v>P</v>
          </cell>
          <cell r="W1261">
            <v>41</v>
          </cell>
        </row>
        <row r="1262">
          <cell r="A1262">
            <v>13490</v>
          </cell>
          <cell r="B1262" t="str">
            <v>013490</v>
          </cell>
          <cell r="C1262" t="str">
            <v>FATIHAH</v>
          </cell>
          <cell r="D1262" t="str">
            <v>SAMI</v>
          </cell>
          <cell r="E1262" t="str">
            <v>OPT-339</v>
          </cell>
          <cell r="F1262">
            <v>40945</v>
          </cell>
          <cell r="G1262" t="str">
            <v>-</v>
          </cell>
          <cell r="H1262" t="str">
            <v>-</v>
          </cell>
          <cell r="I1262" t="str">
            <v>QA</v>
          </cell>
          <cell r="J1262" t="str">
            <v>FINAL ASSY</v>
          </cell>
          <cell r="K1262" t="str">
            <v>ALL</v>
          </cell>
          <cell r="L1262" t="str">
            <v>ALL</v>
          </cell>
          <cell r="M1262" t="str">
            <v>PROTOTYPE</v>
          </cell>
          <cell r="N1262" t="str">
            <v>INSPECTION</v>
          </cell>
          <cell r="O1262" t="str">
            <v>QA APPROVE</v>
          </cell>
          <cell r="P1262" t="str">
            <v>A (NS)</v>
          </cell>
          <cell r="Q1262" t="str">
            <v>PI</v>
          </cell>
          <cell r="R1262" t="str">
            <v>PERMANENT</v>
          </cell>
          <cell r="S1262" t="str">
            <v>PRM</v>
          </cell>
          <cell r="T1262" t="str">
            <v>OPT</v>
          </cell>
          <cell r="U1262" t="str">
            <v>-</v>
          </cell>
          <cell r="V1262" t="str">
            <v>P</v>
          </cell>
          <cell r="W1262">
            <v>33</v>
          </cell>
        </row>
        <row r="1263">
          <cell r="A1263">
            <v>13504</v>
          </cell>
          <cell r="B1263" t="str">
            <v>013504</v>
          </cell>
          <cell r="C1263" t="str">
            <v>NAILATUL MAHMUDAH</v>
          </cell>
          <cell r="D1263" t="str">
            <v>SAMI</v>
          </cell>
          <cell r="E1263" t="str">
            <v>OPT-339</v>
          </cell>
          <cell r="F1263">
            <v>40945</v>
          </cell>
          <cell r="G1263" t="str">
            <v>-</v>
          </cell>
          <cell r="H1263" t="str">
            <v>-</v>
          </cell>
          <cell r="I1263" t="str">
            <v>QA</v>
          </cell>
          <cell r="J1263" t="str">
            <v>PRE ASSY</v>
          </cell>
          <cell r="K1263" t="str">
            <v>MAZDA ATENZA</v>
          </cell>
          <cell r="L1263" t="str">
            <v>MAZDA J71E IPM3</v>
          </cell>
          <cell r="M1263" t="str">
            <v>CPA MAZDA ATENZA</v>
          </cell>
          <cell r="N1263" t="str">
            <v>CROSS SECTION</v>
          </cell>
          <cell r="O1263" t="str">
            <v>CROSS SECT.</v>
          </cell>
          <cell r="P1263" t="str">
            <v>A</v>
          </cell>
          <cell r="Q1263" t="str">
            <v>PS</v>
          </cell>
          <cell r="R1263" t="str">
            <v>PERMANENT</v>
          </cell>
          <cell r="S1263" t="str">
            <v>PRM</v>
          </cell>
          <cell r="T1263" t="str">
            <v>OPT</v>
          </cell>
          <cell r="U1263" t="str">
            <v>-</v>
          </cell>
          <cell r="V1263" t="str">
            <v>P</v>
          </cell>
          <cell r="W1263">
            <v>32</v>
          </cell>
        </row>
        <row r="1264">
          <cell r="A1264">
            <v>9689</v>
          </cell>
          <cell r="B1264" t="str">
            <v>009689</v>
          </cell>
          <cell r="C1264" t="str">
            <v>NURKHAYATI</v>
          </cell>
          <cell r="D1264" t="str">
            <v>SAMI</v>
          </cell>
          <cell r="E1264" t="str">
            <v>OPT-222</v>
          </cell>
          <cell r="F1264">
            <v>40297</v>
          </cell>
          <cell r="G1264" t="str">
            <v>-</v>
          </cell>
          <cell r="H1264" t="str">
            <v>-</v>
          </cell>
          <cell r="I1264" t="str">
            <v>PRD</v>
          </cell>
          <cell r="J1264" t="str">
            <v>PRE ASSY</v>
          </cell>
          <cell r="K1264" t="str">
            <v>LSPO</v>
          </cell>
          <cell r="L1264" t="str">
            <v>LSPO</v>
          </cell>
          <cell r="M1264" t="str">
            <v>PART &amp; SERVICE CPA</v>
          </cell>
          <cell r="N1264" t="str">
            <v>TWS, MC</v>
          </cell>
          <cell r="O1264" t="str">
            <v>WFAP 2.2</v>
          </cell>
          <cell r="P1264" t="str">
            <v>A (NS)</v>
          </cell>
          <cell r="Q1264" t="str">
            <v>DL</v>
          </cell>
          <cell r="R1264" t="str">
            <v>PERMANENT</v>
          </cell>
          <cell r="S1264" t="str">
            <v>PRM</v>
          </cell>
          <cell r="T1264" t="str">
            <v>OPT</v>
          </cell>
          <cell r="U1264" t="str">
            <v>-</v>
          </cell>
          <cell r="V1264" t="str">
            <v>P</v>
          </cell>
          <cell r="W1264">
            <v>34</v>
          </cell>
        </row>
        <row r="1265">
          <cell r="A1265">
            <v>11913</v>
          </cell>
          <cell r="B1265" t="str">
            <v>011913</v>
          </cell>
          <cell r="C1265" t="str">
            <v>ADHE IRMAWATI</v>
          </cell>
          <cell r="D1265" t="str">
            <v>SAMI</v>
          </cell>
          <cell r="E1265" t="str">
            <v>OPT-311</v>
          </cell>
          <cell r="F1265">
            <v>40770</v>
          </cell>
          <cell r="G1265" t="str">
            <v>-</v>
          </cell>
          <cell r="H1265" t="str">
            <v>-</v>
          </cell>
          <cell r="I1265" t="str">
            <v>PRD</v>
          </cell>
          <cell r="J1265" t="str">
            <v>PRE ASSY</v>
          </cell>
          <cell r="K1265" t="str">
            <v>DAIHATSU</v>
          </cell>
          <cell r="L1265" t="str">
            <v>LSPO</v>
          </cell>
          <cell r="M1265" t="str">
            <v>PART &amp; SERVICE CPA</v>
          </cell>
          <cell r="N1265" t="str">
            <v>BONDER</v>
          </cell>
          <cell r="O1265" t="str">
            <v>BONDER</v>
          </cell>
          <cell r="P1265" t="str">
            <v>A (NS)</v>
          </cell>
          <cell r="Q1265" t="str">
            <v>DL</v>
          </cell>
          <cell r="R1265" t="str">
            <v>PERMANENT</v>
          </cell>
          <cell r="S1265" t="str">
            <v>PRM</v>
          </cell>
          <cell r="T1265" t="str">
            <v>OPT</v>
          </cell>
          <cell r="U1265" t="str">
            <v>-</v>
          </cell>
          <cell r="V1265" t="str">
            <v>P</v>
          </cell>
          <cell r="W1265">
            <v>31</v>
          </cell>
        </row>
        <row r="1266">
          <cell r="A1266">
            <v>13587</v>
          </cell>
          <cell r="B1266" t="str">
            <v>013587</v>
          </cell>
          <cell r="C1266" t="str">
            <v>AFIT RIYANI</v>
          </cell>
          <cell r="D1266" t="str">
            <v>SAMI</v>
          </cell>
          <cell r="E1266" t="str">
            <v>OPT-344</v>
          </cell>
          <cell r="F1266">
            <v>40962</v>
          </cell>
          <cell r="G1266" t="str">
            <v>-</v>
          </cell>
          <cell r="H1266" t="str">
            <v>-</v>
          </cell>
          <cell r="I1266" t="str">
            <v>PP</v>
          </cell>
          <cell r="J1266" t="str">
            <v>SWCT</v>
          </cell>
          <cell r="K1266" t="str">
            <v>ALL</v>
          </cell>
          <cell r="L1266" t="str">
            <v>ALL</v>
          </cell>
          <cell r="M1266" t="str">
            <v>SWCT</v>
          </cell>
          <cell r="N1266" t="str">
            <v>DOKUMEN SWCT</v>
          </cell>
          <cell r="O1266" t="str">
            <v>PROCESS ENG</v>
          </cell>
          <cell r="P1266" t="str">
            <v>A (NS)</v>
          </cell>
          <cell r="Q1266" t="str">
            <v>PS</v>
          </cell>
          <cell r="R1266" t="str">
            <v>PERMANENT</v>
          </cell>
          <cell r="S1266" t="str">
            <v>PRM</v>
          </cell>
          <cell r="T1266" t="str">
            <v>ADM</v>
          </cell>
          <cell r="U1266" t="str">
            <v>-</v>
          </cell>
          <cell r="V1266" t="str">
            <v>P</v>
          </cell>
          <cell r="W1266">
            <v>30</v>
          </cell>
        </row>
        <row r="1267">
          <cell r="A1267">
            <v>1091</v>
          </cell>
          <cell r="B1267" t="str">
            <v>001091</v>
          </cell>
          <cell r="C1267" t="str">
            <v>MALIKAH</v>
          </cell>
          <cell r="D1267" t="str">
            <v>SAMI</v>
          </cell>
          <cell r="E1267" t="str">
            <v>OPT-27</v>
          </cell>
          <cell r="F1267">
            <v>37887</v>
          </cell>
          <cell r="G1267" t="str">
            <v>-</v>
          </cell>
          <cell r="H1267" t="str">
            <v>-</v>
          </cell>
          <cell r="I1267" t="str">
            <v>PRD</v>
          </cell>
          <cell r="J1267" t="str">
            <v>FINAL ASSY</v>
          </cell>
          <cell r="K1267" t="str">
            <v>LSPO</v>
          </cell>
          <cell r="L1267" t="str">
            <v>LSPO</v>
          </cell>
          <cell r="M1267" t="str">
            <v>PART &amp; SERVICE FA</v>
          </cell>
          <cell r="N1267" t="str">
            <v>T/P</v>
          </cell>
          <cell r="O1267" t="str">
            <v>ASSEMBLY</v>
          </cell>
          <cell r="P1267" t="str">
            <v>A (NS)</v>
          </cell>
          <cell r="Q1267" t="str">
            <v>DL</v>
          </cell>
          <cell r="R1267" t="str">
            <v>PERMANENT</v>
          </cell>
          <cell r="S1267" t="str">
            <v>PRM</v>
          </cell>
          <cell r="T1267" t="str">
            <v>OPT</v>
          </cell>
          <cell r="U1267" t="str">
            <v>-</v>
          </cell>
          <cell r="V1267" t="str">
            <v>P</v>
          </cell>
          <cell r="W1267">
            <v>40</v>
          </cell>
        </row>
        <row r="1268">
          <cell r="A1268">
            <v>13604</v>
          </cell>
          <cell r="B1268" t="str">
            <v>013604</v>
          </cell>
          <cell r="C1268" t="str">
            <v>ANDI EKO VIRGO S.</v>
          </cell>
          <cell r="D1268" t="str">
            <v>SAMI</v>
          </cell>
          <cell r="E1268" t="str">
            <v>TKN-67</v>
          </cell>
          <cell r="F1268">
            <v>40966</v>
          </cell>
          <cell r="G1268" t="str">
            <v>-</v>
          </cell>
          <cell r="H1268" t="str">
            <v>-</v>
          </cell>
          <cell r="I1268" t="str">
            <v>QA</v>
          </cell>
          <cell r="J1268" t="str">
            <v>NON LINE</v>
          </cell>
          <cell r="K1268" t="str">
            <v>ALL</v>
          </cell>
          <cell r="L1268" t="str">
            <v>ALL</v>
          </cell>
          <cell r="M1268" t="str">
            <v>CALLIBRATION OF TOOL</v>
          </cell>
          <cell r="N1268" t="str">
            <v>ADMINISTRATION</v>
          </cell>
          <cell r="O1268" t="str">
            <v>QS</v>
          </cell>
          <cell r="P1268" t="str">
            <v>A (NS)</v>
          </cell>
          <cell r="Q1268" t="str">
            <v>PS</v>
          </cell>
          <cell r="R1268" t="str">
            <v>PERMANENT</v>
          </cell>
          <cell r="S1268" t="str">
            <v>PRM</v>
          </cell>
          <cell r="T1268" t="str">
            <v>TKN</v>
          </cell>
          <cell r="U1268" t="str">
            <v>-</v>
          </cell>
          <cell r="V1268" t="str">
            <v>L</v>
          </cell>
          <cell r="W1268">
            <v>31</v>
          </cell>
        </row>
        <row r="1269">
          <cell r="A1269">
            <v>13627</v>
          </cell>
          <cell r="B1269" t="str">
            <v>013627</v>
          </cell>
          <cell r="C1269" t="str">
            <v>TAUFIK RAMA FARADISA</v>
          </cell>
          <cell r="D1269" t="str">
            <v>SAMI</v>
          </cell>
          <cell r="E1269" t="str">
            <v>TKN-68</v>
          </cell>
          <cell r="F1269">
            <v>40973</v>
          </cell>
          <cell r="G1269" t="str">
            <v>-</v>
          </cell>
          <cell r="H1269" t="str">
            <v>-</v>
          </cell>
          <cell r="I1269" t="str">
            <v>PE</v>
          </cell>
          <cell r="J1269" t="str">
            <v>MTC</v>
          </cell>
          <cell r="K1269" t="str">
            <v>ALL</v>
          </cell>
          <cell r="L1269" t="str">
            <v>ALL</v>
          </cell>
          <cell r="M1269" t="str">
            <v>BREAKDOWN</v>
          </cell>
          <cell r="N1269" t="str">
            <v>BREAKDOWN</v>
          </cell>
          <cell r="O1269" t="str">
            <v>MTC</v>
          </cell>
          <cell r="P1269" t="str">
            <v>A</v>
          </cell>
          <cell r="Q1269" t="str">
            <v>PI</v>
          </cell>
          <cell r="R1269" t="str">
            <v>PERMANENT</v>
          </cell>
          <cell r="S1269" t="str">
            <v>PRM</v>
          </cell>
          <cell r="T1269" t="str">
            <v>TKN</v>
          </cell>
          <cell r="U1269" t="str">
            <v>-</v>
          </cell>
          <cell r="V1269" t="str">
            <v>L</v>
          </cell>
          <cell r="W1269">
            <v>32</v>
          </cell>
        </row>
        <row r="1270">
          <cell r="A1270">
            <v>13630</v>
          </cell>
          <cell r="B1270" t="str">
            <v>013630</v>
          </cell>
          <cell r="C1270" t="str">
            <v>IFNU ANGGRAITO</v>
          </cell>
          <cell r="D1270" t="str">
            <v>SAMI</v>
          </cell>
          <cell r="E1270" t="str">
            <v>TKN-69</v>
          </cell>
          <cell r="F1270">
            <v>40974</v>
          </cell>
          <cell r="G1270" t="str">
            <v>-</v>
          </cell>
          <cell r="H1270" t="str">
            <v>-</v>
          </cell>
          <cell r="I1270" t="str">
            <v>PE</v>
          </cell>
          <cell r="J1270" t="str">
            <v>MTC</v>
          </cell>
          <cell r="K1270" t="str">
            <v>ALL</v>
          </cell>
          <cell r="L1270" t="str">
            <v>ALL</v>
          </cell>
          <cell r="M1270" t="str">
            <v>TPM</v>
          </cell>
          <cell r="N1270" t="str">
            <v>PREVENTIVE</v>
          </cell>
          <cell r="O1270" t="str">
            <v>PROCESS ENG</v>
          </cell>
          <cell r="P1270" t="str">
            <v>A (NS)</v>
          </cell>
          <cell r="Q1270" t="str">
            <v>PS</v>
          </cell>
          <cell r="R1270" t="str">
            <v>PERMANENT</v>
          </cell>
          <cell r="S1270" t="str">
            <v>PRM</v>
          </cell>
          <cell r="T1270" t="str">
            <v>TKN</v>
          </cell>
          <cell r="U1270" t="str">
            <v>-</v>
          </cell>
          <cell r="V1270" t="str">
            <v>L</v>
          </cell>
          <cell r="W1270">
            <v>32</v>
          </cell>
        </row>
        <row r="1271">
          <cell r="A1271">
            <v>13636</v>
          </cell>
          <cell r="B1271" t="str">
            <v>013636</v>
          </cell>
          <cell r="C1271" t="str">
            <v>IRAWAN RAHARDIANTO</v>
          </cell>
          <cell r="D1271" t="str">
            <v>SAMI</v>
          </cell>
          <cell r="E1271" t="str">
            <v>SPV UP</v>
          </cell>
          <cell r="F1271">
            <v>41015</v>
          </cell>
          <cell r="G1271" t="str">
            <v>-</v>
          </cell>
          <cell r="H1271" t="str">
            <v>-</v>
          </cell>
          <cell r="I1271" t="str">
            <v>QA</v>
          </cell>
          <cell r="J1271" t="str">
            <v>NON LINE</v>
          </cell>
          <cell r="K1271" t="str">
            <v>ALL</v>
          </cell>
          <cell r="L1271" t="str">
            <v>ALL</v>
          </cell>
          <cell r="M1271" t="str">
            <v>SUPERVISOR</v>
          </cell>
          <cell r="N1271" t="str">
            <v>SUZUKI , MAZDA , All GL Rework, All PJK</v>
          </cell>
          <cell r="O1271" t="str">
            <v>FPS SPV</v>
          </cell>
          <cell r="P1271" t="str">
            <v>A (NS)</v>
          </cell>
          <cell r="Q1271" t="str">
            <v>PS</v>
          </cell>
          <cell r="R1271" t="str">
            <v>PERMANENT</v>
          </cell>
          <cell r="S1271" t="str">
            <v>PRM</v>
          </cell>
          <cell r="T1271" t="str">
            <v>SPV</v>
          </cell>
          <cell r="U1271" t="str">
            <v>-</v>
          </cell>
          <cell r="V1271" t="str">
            <v>L</v>
          </cell>
          <cell r="W1271">
            <v>38</v>
          </cell>
        </row>
        <row r="1272">
          <cell r="A1272">
            <v>9133</v>
          </cell>
          <cell r="B1272" t="str">
            <v>009133</v>
          </cell>
          <cell r="C1272" t="str">
            <v>DIYAH FITRIYANI</v>
          </cell>
          <cell r="D1272" t="str">
            <v>SAMI</v>
          </cell>
          <cell r="E1272" t="str">
            <v>OPT-205</v>
          </cell>
          <cell r="F1272">
            <v>40000</v>
          </cell>
          <cell r="G1272" t="str">
            <v>-</v>
          </cell>
          <cell r="H1272" t="str">
            <v>-</v>
          </cell>
          <cell r="I1272" t="str">
            <v>PRD</v>
          </cell>
          <cell r="J1272" t="str">
            <v>FINAL ASSY</v>
          </cell>
          <cell r="K1272" t="str">
            <v>LSPO</v>
          </cell>
          <cell r="L1272" t="str">
            <v>LSPO</v>
          </cell>
          <cell r="M1272" t="str">
            <v>PART &amp; SERVICE FA</v>
          </cell>
          <cell r="N1272" t="str">
            <v>S/T</v>
          </cell>
          <cell r="O1272" t="str">
            <v>ASSEMBLY</v>
          </cell>
          <cell r="P1272" t="str">
            <v>A (NS)</v>
          </cell>
          <cell r="Q1272" t="str">
            <v>DL</v>
          </cell>
          <cell r="R1272" t="str">
            <v>PERMANENT</v>
          </cell>
          <cell r="S1272" t="str">
            <v>PRM</v>
          </cell>
          <cell r="T1272" t="str">
            <v>OPT</v>
          </cell>
          <cell r="U1272" t="str">
            <v>-</v>
          </cell>
          <cell r="V1272" t="str">
            <v>P</v>
          </cell>
          <cell r="W1272">
            <v>35</v>
          </cell>
        </row>
        <row r="1273">
          <cell r="A1273">
            <v>13647</v>
          </cell>
          <cell r="B1273" t="str">
            <v>013647</v>
          </cell>
          <cell r="C1273" t="str">
            <v>ADITYA FAHRIZAL</v>
          </cell>
          <cell r="D1273" t="str">
            <v>SAMI</v>
          </cell>
          <cell r="E1273" t="str">
            <v>SPV UP</v>
          </cell>
          <cell r="F1273">
            <v>41155</v>
          </cell>
          <cell r="G1273" t="str">
            <v>-</v>
          </cell>
          <cell r="H1273" t="str">
            <v>-</v>
          </cell>
          <cell r="I1273" t="str">
            <v>PE</v>
          </cell>
          <cell r="J1273" t="str">
            <v>J/C BP</v>
          </cell>
          <cell r="K1273" t="str">
            <v>ALL</v>
          </cell>
          <cell r="L1273" t="str">
            <v>ALL</v>
          </cell>
          <cell r="M1273" t="str">
            <v>JCN</v>
          </cell>
          <cell r="N1273" t="str">
            <v>SUPERVISOR</v>
          </cell>
          <cell r="O1273" t="str">
            <v>FPS SPV</v>
          </cell>
          <cell r="P1273" t="str">
            <v>A (NS)</v>
          </cell>
          <cell r="Q1273" t="str">
            <v>PS</v>
          </cell>
          <cell r="R1273" t="str">
            <v>PERMANENT</v>
          </cell>
          <cell r="S1273" t="str">
            <v>PRM</v>
          </cell>
          <cell r="T1273" t="str">
            <v>SPV</v>
          </cell>
          <cell r="U1273" t="str">
            <v>-</v>
          </cell>
          <cell r="V1273" t="str">
            <v>L</v>
          </cell>
          <cell r="W1273">
            <v>35</v>
          </cell>
        </row>
        <row r="1274">
          <cell r="A1274">
            <v>13648</v>
          </cell>
          <cell r="B1274" t="str">
            <v>013648</v>
          </cell>
          <cell r="C1274" t="str">
            <v>DENNY ANDRIATNO PRIBADI</v>
          </cell>
          <cell r="D1274" t="str">
            <v>SAMI</v>
          </cell>
          <cell r="E1274" t="str">
            <v>SPV UP</v>
          </cell>
          <cell r="F1274">
            <v>41155</v>
          </cell>
          <cell r="G1274" t="str">
            <v>-</v>
          </cell>
          <cell r="H1274" t="str">
            <v>-</v>
          </cell>
          <cell r="I1274" t="str">
            <v>PGA</v>
          </cell>
          <cell r="J1274" t="str">
            <v>TRN &amp; MOTO</v>
          </cell>
          <cell r="K1274" t="str">
            <v>ALL</v>
          </cell>
          <cell r="L1274" t="str">
            <v>ALL</v>
          </cell>
          <cell r="M1274" t="str">
            <v>TRN</v>
          </cell>
          <cell r="N1274" t="str">
            <v>SUPERVISOR</v>
          </cell>
          <cell r="O1274" t="str">
            <v>IDL SPV</v>
          </cell>
          <cell r="P1274" t="str">
            <v>A (NS)</v>
          </cell>
          <cell r="Q1274" t="str">
            <v>ADM</v>
          </cell>
          <cell r="R1274" t="str">
            <v>PERMANENT</v>
          </cell>
          <cell r="S1274" t="str">
            <v>PRM</v>
          </cell>
          <cell r="T1274" t="str">
            <v>SPV</v>
          </cell>
          <cell r="U1274" t="str">
            <v>-</v>
          </cell>
          <cell r="V1274" t="str">
            <v>L</v>
          </cell>
          <cell r="W1274">
            <v>39</v>
          </cell>
        </row>
        <row r="1275">
          <cell r="A1275">
            <v>9961</v>
          </cell>
          <cell r="B1275" t="str">
            <v>009961</v>
          </cell>
          <cell r="C1275" t="str">
            <v>RISTI IKA SARI</v>
          </cell>
          <cell r="D1275" t="str">
            <v>SAMI</v>
          </cell>
          <cell r="E1275" t="str">
            <v>OPT-246</v>
          </cell>
          <cell r="F1275">
            <v>40431</v>
          </cell>
          <cell r="G1275" t="str">
            <v>-</v>
          </cell>
          <cell r="H1275" t="str">
            <v>-</v>
          </cell>
          <cell r="I1275" t="str">
            <v>PRD</v>
          </cell>
          <cell r="J1275" t="str">
            <v>FINAL ASSY</v>
          </cell>
          <cell r="K1275" t="str">
            <v>LSPO</v>
          </cell>
          <cell r="L1275" t="str">
            <v>LSPO</v>
          </cell>
          <cell r="M1275" t="str">
            <v>PART &amp; SERVICE FA</v>
          </cell>
          <cell r="N1275" t="str">
            <v>GL</v>
          </cell>
          <cell r="O1275" t="str">
            <v>GL</v>
          </cell>
          <cell r="P1275" t="str">
            <v>A (NS)</v>
          </cell>
          <cell r="Q1275" t="str">
            <v>PI</v>
          </cell>
          <cell r="R1275" t="str">
            <v>PERMANENT</v>
          </cell>
          <cell r="S1275" t="str">
            <v>PRM</v>
          </cell>
          <cell r="T1275" t="str">
            <v>GL</v>
          </cell>
          <cell r="U1275" t="str">
            <v>-</v>
          </cell>
          <cell r="V1275" t="str">
            <v>P</v>
          </cell>
          <cell r="W1275">
            <v>32</v>
          </cell>
        </row>
        <row r="1276">
          <cell r="A1276">
            <v>13653</v>
          </cell>
          <cell r="B1276" t="str">
            <v>013653</v>
          </cell>
          <cell r="C1276" t="str">
            <v>PITA JUNIANI</v>
          </cell>
          <cell r="D1276" t="str">
            <v>SAMI</v>
          </cell>
          <cell r="E1276" t="str">
            <v>OPT-346</v>
          </cell>
          <cell r="F1276">
            <v>41165</v>
          </cell>
          <cell r="G1276" t="str">
            <v>-</v>
          </cell>
          <cell r="H1276" t="str">
            <v>-</v>
          </cell>
          <cell r="I1276" t="str">
            <v>QA</v>
          </cell>
          <cell r="J1276" t="str">
            <v>FINAL ASSY</v>
          </cell>
          <cell r="K1276" t="str">
            <v>TOYOTA HV</v>
          </cell>
          <cell r="L1276" t="str">
            <v>HV TOYOTA NIKEL</v>
          </cell>
          <cell r="M1276" t="str">
            <v>CV HV 07</v>
          </cell>
          <cell r="N1276" t="str">
            <v>PJK INSP</v>
          </cell>
          <cell r="O1276" t="str">
            <v>RELIEF</v>
          </cell>
          <cell r="P1276" t="str">
            <v>A</v>
          </cell>
          <cell r="Q1276" t="str">
            <v>PI</v>
          </cell>
          <cell r="R1276" t="str">
            <v>PERMANENT</v>
          </cell>
          <cell r="S1276" t="str">
            <v>PRM</v>
          </cell>
          <cell r="T1276" t="str">
            <v>PJK</v>
          </cell>
          <cell r="U1276" t="str">
            <v>-</v>
          </cell>
          <cell r="V1276" t="str">
            <v>P</v>
          </cell>
          <cell r="W1276">
            <v>30</v>
          </cell>
        </row>
        <row r="1277">
          <cell r="A1277">
            <v>13654</v>
          </cell>
          <cell r="B1277" t="str">
            <v>013654</v>
          </cell>
          <cell r="C1277" t="str">
            <v>RIYADZUL JANNAH</v>
          </cell>
          <cell r="D1277" t="str">
            <v>SAMI</v>
          </cell>
          <cell r="E1277" t="str">
            <v>OPT-346</v>
          </cell>
          <cell r="F1277">
            <v>41165</v>
          </cell>
          <cell r="G1277" t="str">
            <v>-</v>
          </cell>
          <cell r="H1277" t="str">
            <v>-</v>
          </cell>
          <cell r="I1277" t="str">
            <v>PRD</v>
          </cell>
          <cell r="J1277" t="str">
            <v>FINAL ASSY</v>
          </cell>
          <cell r="K1277" t="str">
            <v>HONDA FREED</v>
          </cell>
          <cell r="L1277" t="str">
            <v>HONDA FREED W/H FLOOR</v>
          </cell>
          <cell r="M1277" t="str">
            <v>CV 4</v>
          </cell>
          <cell r="N1277" t="str">
            <v>VISUAL 2.3</v>
          </cell>
          <cell r="O1277" t="str">
            <v>VISUAL INSPECTION</v>
          </cell>
          <cell r="P1277" t="str">
            <v>B</v>
          </cell>
          <cell r="Q1277" t="str">
            <v>DL</v>
          </cell>
          <cell r="R1277" t="str">
            <v>PERMANENT</v>
          </cell>
          <cell r="S1277" t="str">
            <v>PRM</v>
          </cell>
          <cell r="T1277" t="str">
            <v>OPT</v>
          </cell>
          <cell r="U1277" t="str">
            <v>-</v>
          </cell>
          <cell r="V1277" t="str">
            <v>P</v>
          </cell>
          <cell r="W1277">
            <v>30</v>
          </cell>
        </row>
        <row r="1278">
          <cell r="A1278">
            <v>12659</v>
          </cell>
          <cell r="B1278" t="str">
            <v>012659</v>
          </cell>
          <cell r="C1278" t="str">
            <v>INDRIANI WIDYASTUTI</v>
          </cell>
          <cell r="D1278" t="str">
            <v>SAMI</v>
          </cell>
          <cell r="E1278" t="str">
            <v>OPT-320</v>
          </cell>
          <cell r="F1278">
            <v>40819</v>
          </cell>
          <cell r="G1278" t="str">
            <v>-</v>
          </cell>
          <cell r="H1278" t="str">
            <v>-</v>
          </cell>
          <cell r="I1278" t="str">
            <v>PRD</v>
          </cell>
          <cell r="J1278" t="str">
            <v>FINAL ASSY</v>
          </cell>
          <cell r="K1278" t="str">
            <v>LSPO</v>
          </cell>
          <cell r="L1278" t="str">
            <v>LSPO</v>
          </cell>
          <cell r="M1278" t="str">
            <v>PART &amp; SERVICE FA</v>
          </cell>
          <cell r="N1278" t="str">
            <v>VISUAL</v>
          </cell>
          <cell r="O1278" t="str">
            <v>VISUAL INSPECTION</v>
          </cell>
          <cell r="P1278" t="str">
            <v>A (NS)</v>
          </cell>
          <cell r="Q1278" t="str">
            <v>DL</v>
          </cell>
          <cell r="R1278" t="str">
            <v>PERMANENT</v>
          </cell>
          <cell r="S1278" t="str">
            <v>PRM</v>
          </cell>
          <cell r="T1278" t="str">
            <v>OPT</v>
          </cell>
          <cell r="U1278" t="str">
            <v>-</v>
          </cell>
          <cell r="V1278" t="str">
            <v>P</v>
          </cell>
          <cell r="W1278">
            <v>31</v>
          </cell>
        </row>
        <row r="1279">
          <cell r="A1279">
            <v>13774</v>
          </cell>
          <cell r="B1279" t="str">
            <v>013774</v>
          </cell>
          <cell r="C1279" t="str">
            <v>LILIS NURYAWATI</v>
          </cell>
          <cell r="D1279" t="str">
            <v>SAMI</v>
          </cell>
          <cell r="E1279" t="str">
            <v>OPT-351</v>
          </cell>
          <cell r="F1279">
            <v>41198</v>
          </cell>
          <cell r="G1279" t="str">
            <v>-</v>
          </cell>
          <cell r="H1279" t="str">
            <v>-</v>
          </cell>
          <cell r="I1279" t="str">
            <v>FA</v>
          </cell>
          <cell r="J1279" t="str">
            <v>PRICING</v>
          </cell>
          <cell r="K1279" t="str">
            <v>ALL</v>
          </cell>
          <cell r="L1279" t="str">
            <v>ALL</v>
          </cell>
          <cell r="M1279" t="str">
            <v>PRICING</v>
          </cell>
          <cell r="N1279" t="str">
            <v>GL PRICING (MAGANG)</v>
          </cell>
          <cell r="O1279" t="str">
            <v>FA</v>
          </cell>
          <cell r="P1279" t="str">
            <v>A (NS)</v>
          </cell>
          <cell r="Q1279" t="str">
            <v>ADM</v>
          </cell>
          <cell r="R1279" t="str">
            <v>PERMANENT</v>
          </cell>
          <cell r="S1279" t="str">
            <v>PRM</v>
          </cell>
          <cell r="T1279" t="str">
            <v>GL</v>
          </cell>
          <cell r="U1279" t="str">
            <v>-</v>
          </cell>
          <cell r="V1279" t="str">
            <v>P</v>
          </cell>
          <cell r="W1279">
            <v>30</v>
          </cell>
        </row>
        <row r="1280">
          <cell r="A1280">
            <v>21206</v>
          </cell>
          <cell r="B1280" t="str">
            <v>021206</v>
          </cell>
          <cell r="C1280" t="str">
            <v>AHMAT TAUFIK JUWARNO</v>
          </cell>
          <cell r="D1280" t="str">
            <v>SAMI</v>
          </cell>
          <cell r="E1280" t="str">
            <v>OPT-523</v>
          </cell>
          <cell r="F1280">
            <v>42877</v>
          </cell>
          <cell r="G1280" t="str">
            <v>-</v>
          </cell>
          <cell r="H1280" t="str">
            <v>-</v>
          </cell>
          <cell r="I1280" t="str">
            <v>PRD</v>
          </cell>
          <cell r="J1280" t="str">
            <v>FINAL ASSY</v>
          </cell>
          <cell r="K1280" t="str">
            <v>LSPO</v>
          </cell>
          <cell r="L1280" t="str">
            <v>LSPO</v>
          </cell>
          <cell r="M1280" t="str">
            <v>PART &amp; SERVICE FA</v>
          </cell>
          <cell r="N1280" t="str">
            <v>OJT T/P</v>
          </cell>
          <cell r="O1280" t="str">
            <v>OTHERS</v>
          </cell>
          <cell r="P1280" t="str">
            <v>A (NS)</v>
          </cell>
          <cell r="Q1280" t="str">
            <v>PI</v>
          </cell>
          <cell r="R1280" t="str">
            <v>PERMANENT</v>
          </cell>
          <cell r="S1280" t="str">
            <v>PRM</v>
          </cell>
          <cell r="T1280" t="str">
            <v>OPT</v>
          </cell>
          <cell r="U1280" t="str">
            <v>-</v>
          </cell>
          <cell r="V1280" t="str">
            <v>L</v>
          </cell>
          <cell r="W1280">
            <v>28</v>
          </cell>
        </row>
        <row r="1281">
          <cell r="A1281">
            <v>5255</v>
          </cell>
          <cell r="B1281" t="str">
            <v>005255</v>
          </cell>
          <cell r="C1281" t="str">
            <v>RETNO ATMININGSIH</v>
          </cell>
          <cell r="D1281" t="str">
            <v>SAMI</v>
          </cell>
          <cell r="E1281" t="str">
            <v>OPT-125</v>
          </cell>
          <cell r="F1281">
            <v>38961</v>
          </cell>
          <cell r="G1281" t="str">
            <v>-</v>
          </cell>
          <cell r="H1281" t="str">
            <v>-</v>
          </cell>
          <cell r="I1281" t="str">
            <v>PRD</v>
          </cell>
          <cell r="J1281" t="str">
            <v>NON LINE</v>
          </cell>
          <cell r="K1281" t="str">
            <v>ALL</v>
          </cell>
          <cell r="L1281" t="str">
            <v>ALL</v>
          </cell>
          <cell r="M1281" t="str">
            <v>PART JATUH</v>
          </cell>
          <cell r="N1281" t="str">
            <v>PART JATUH</v>
          </cell>
          <cell r="O1281" t="str">
            <v>GL</v>
          </cell>
          <cell r="P1281" t="str">
            <v>A (NS)</v>
          </cell>
          <cell r="Q1281" t="str">
            <v>PI</v>
          </cell>
          <cell r="R1281" t="str">
            <v>PERMANENT</v>
          </cell>
          <cell r="S1281" t="str">
            <v>PRM</v>
          </cell>
          <cell r="T1281" t="str">
            <v>GL</v>
          </cell>
          <cell r="U1281" t="str">
            <v>-</v>
          </cell>
          <cell r="V1281" t="str">
            <v>P</v>
          </cell>
          <cell r="W1281">
            <v>39</v>
          </cell>
        </row>
        <row r="1282">
          <cell r="A1282">
            <v>14038</v>
          </cell>
          <cell r="B1282" t="str">
            <v>014038</v>
          </cell>
          <cell r="C1282" t="str">
            <v>ACHMAD BUKORI</v>
          </cell>
          <cell r="D1282" t="str">
            <v>SAMI</v>
          </cell>
          <cell r="E1282" t="str">
            <v>TKN-71</v>
          </cell>
          <cell r="F1282">
            <v>41302</v>
          </cell>
          <cell r="G1282" t="str">
            <v>-</v>
          </cell>
          <cell r="H1282" t="str">
            <v>-</v>
          </cell>
          <cell r="I1282" t="str">
            <v>PE</v>
          </cell>
          <cell r="J1282" t="str">
            <v>WORKSHOP</v>
          </cell>
          <cell r="K1282" t="str">
            <v>ALL</v>
          </cell>
          <cell r="L1282" t="str">
            <v>ALL</v>
          </cell>
          <cell r="M1282" t="str">
            <v>WORKSHOP</v>
          </cell>
          <cell r="N1282" t="str">
            <v>Improvement Workshop</v>
          </cell>
          <cell r="O1282" t="str">
            <v>WKS</v>
          </cell>
          <cell r="P1282" t="str">
            <v>A (NS)</v>
          </cell>
          <cell r="Q1282" t="str">
            <v>PS</v>
          </cell>
          <cell r="R1282" t="str">
            <v>PERMANENT</v>
          </cell>
          <cell r="S1282" t="str">
            <v>PRM</v>
          </cell>
          <cell r="T1282" t="str">
            <v>TKN</v>
          </cell>
          <cell r="U1282" t="str">
            <v>-</v>
          </cell>
          <cell r="V1282" t="str">
            <v>L</v>
          </cell>
          <cell r="W1282">
            <v>32</v>
          </cell>
        </row>
        <row r="1283">
          <cell r="A1283">
            <v>14039</v>
          </cell>
          <cell r="B1283" t="str">
            <v>014039</v>
          </cell>
          <cell r="C1283" t="str">
            <v>IWAN ARYANTA</v>
          </cell>
          <cell r="D1283" t="str">
            <v>SAMI</v>
          </cell>
          <cell r="E1283" t="str">
            <v>TKN-71</v>
          </cell>
          <cell r="F1283">
            <v>41302</v>
          </cell>
          <cell r="G1283" t="str">
            <v>-</v>
          </cell>
          <cell r="H1283" t="str">
            <v>-</v>
          </cell>
          <cell r="I1283" t="str">
            <v>PE</v>
          </cell>
          <cell r="J1283" t="str">
            <v>WORKSHOP</v>
          </cell>
          <cell r="K1283" t="str">
            <v>ALL</v>
          </cell>
          <cell r="L1283" t="str">
            <v>ALL</v>
          </cell>
          <cell r="M1283" t="str">
            <v>WORKSHOP</v>
          </cell>
          <cell r="N1283" t="str">
            <v>Improvement Workshop</v>
          </cell>
          <cell r="O1283" t="str">
            <v>WKS</v>
          </cell>
          <cell r="P1283" t="str">
            <v>A (NS)</v>
          </cell>
          <cell r="Q1283" t="str">
            <v>PS</v>
          </cell>
          <cell r="R1283" t="str">
            <v>PERMANENT</v>
          </cell>
          <cell r="S1283" t="str">
            <v>PRM</v>
          </cell>
          <cell r="T1283" t="str">
            <v>TKN</v>
          </cell>
          <cell r="U1283" t="str">
            <v>-</v>
          </cell>
          <cell r="V1283" t="str">
            <v>L</v>
          </cell>
          <cell r="W1283">
            <v>34</v>
          </cell>
        </row>
        <row r="1284">
          <cell r="A1284">
            <v>14091</v>
          </cell>
          <cell r="B1284" t="str">
            <v>014091</v>
          </cell>
          <cell r="C1284" t="str">
            <v>ELGI HARMONO DWI SAPUTRA</v>
          </cell>
          <cell r="D1284" t="str">
            <v>SAMI</v>
          </cell>
          <cell r="E1284" t="str">
            <v>OPT-364</v>
          </cell>
          <cell r="F1284">
            <v>41306</v>
          </cell>
          <cell r="G1284" t="str">
            <v>-</v>
          </cell>
          <cell r="H1284" t="str">
            <v>-</v>
          </cell>
          <cell r="I1284" t="str">
            <v>PE</v>
          </cell>
          <cell r="J1284" t="str">
            <v>WORKSHOP</v>
          </cell>
          <cell r="K1284" t="str">
            <v>ALL</v>
          </cell>
          <cell r="L1284" t="str">
            <v>ALL</v>
          </cell>
          <cell r="M1284" t="str">
            <v>WORKSHOP</v>
          </cell>
          <cell r="N1284" t="str">
            <v>EQUIPMENT NEW PROJECT FINAL ASSY</v>
          </cell>
          <cell r="O1284" t="str">
            <v>WKS</v>
          </cell>
          <cell r="P1284" t="str">
            <v>A (NS)</v>
          </cell>
          <cell r="Q1284" t="str">
            <v>PS</v>
          </cell>
          <cell r="R1284" t="str">
            <v>PERMANENT</v>
          </cell>
          <cell r="S1284" t="str">
            <v>PRM</v>
          </cell>
          <cell r="T1284" t="str">
            <v>OPT</v>
          </cell>
          <cell r="U1284" t="str">
            <v>-</v>
          </cell>
          <cell r="V1284" t="str">
            <v>L</v>
          </cell>
          <cell r="W1284">
            <v>31</v>
          </cell>
        </row>
        <row r="1285">
          <cell r="A1285">
            <v>14093</v>
          </cell>
          <cell r="B1285" t="str">
            <v>014093</v>
          </cell>
          <cell r="C1285" t="str">
            <v>MUKHAMMAD FAUZI</v>
          </cell>
          <cell r="D1285" t="str">
            <v>SAMI</v>
          </cell>
          <cell r="E1285" t="str">
            <v>OPT-364</v>
          </cell>
          <cell r="F1285">
            <v>41306</v>
          </cell>
          <cell r="G1285" t="str">
            <v>-</v>
          </cell>
          <cell r="H1285" t="str">
            <v>-</v>
          </cell>
          <cell r="I1285" t="str">
            <v>PE</v>
          </cell>
          <cell r="J1285" t="str">
            <v>MTC</v>
          </cell>
          <cell r="K1285" t="str">
            <v>ALL</v>
          </cell>
          <cell r="L1285" t="str">
            <v>ALL</v>
          </cell>
          <cell r="M1285" t="str">
            <v>CT</v>
          </cell>
          <cell r="N1285" t="str">
            <v>CS &amp; BS + IPS &amp; ORDERING</v>
          </cell>
          <cell r="O1285" t="str">
            <v>CRIMP STD</v>
          </cell>
          <cell r="P1285" t="str">
            <v>A (NS)</v>
          </cell>
          <cell r="Q1285" t="str">
            <v>PS</v>
          </cell>
          <cell r="R1285" t="str">
            <v>PERMANENT</v>
          </cell>
          <cell r="S1285" t="str">
            <v>PRM</v>
          </cell>
          <cell r="T1285" t="str">
            <v>OPT</v>
          </cell>
          <cell r="U1285" t="str">
            <v>-</v>
          </cell>
          <cell r="V1285" t="str">
            <v>L</v>
          </cell>
          <cell r="W1285">
            <v>35</v>
          </cell>
        </row>
        <row r="1286">
          <cell r="A1286">
            <v>14094</v>
          </cell>
          <cell r="B1286" t="str">
            <v>014094</v>
          </cell>
          <cell r="C1286" t="str">
            <v>ABDUL AZIS</v>
          </cell>
          <cell r="D1286" t="str">
            <v>SAMI</v>
          </cell>
          <cell r="E1286" t="str">
            <v>OPT-364</v>
          </cell>
          <cell r="F1286">
            <v>41306</v>
          </cell>
          <cell r="G1286" t="str">
            <v>-</v>
          </cell>
          <cell r="H1286" t="str">
            <v>-</v>
          </cell>
          <cell r="I1286" t="str">
            <v>PE</v>
          </cell>
          <cell r="J1286" t="str">
            <v>J/C BP</v>
          </cell>
          <cell r="K1286" t="str">
            <v>ALL</v>
          </cell>
          <cell r="L1286" t="str">
            <v>ALL</v>
          </cell>
          <cell r="M1286" t="str">
            <v>CBP</v>
          </cell>
          <cell r="N1286" t="str">
            <v>GL CHECKER BOARD PREPARATION</v>
          </cell>
          <cell r="O1286" t="str">
            <v>CBP</v>
          </cell>
          <cell r="P1286" t="str">
            <v>A (NS)</v>
          </cell>
          <cell r="Q1286" t="str">
            <v>PS</v>
          </cell>
          <cell r="R1286" t="str">
            <v>PERMANENT</v>
          </cell>
          <cell r="S1286" t="str">
            <v>PRM</v>
          </cell>
          <cell r="T1286" t="str">
            <v>GL</v>
          </cell>
          <cell r="U1286" t="str">
            <v>-</v>
          </cell>
          <cell r="V1286" t="str">
            <v>L</v>
          </cell>
          <cell r="W1286">
            <v>31</v>
          </cell>
        </row>
        <row r="1287">
          <cell r="A1287">
            <v>14100</v>
          </cell>
          <cell r="B1287" t="str">
            <v>014100</v>
          </cell>
          <cell r="C1287" t="str">
            <v>DWI AGUS ARIYANTO</v>
          </cell>
          <cell r="D1287" t="str">
            <v>SAMI</v>
          </cell>
          <cell r="E1287" t="str">
            <v>OPT-364</v>
          </cell>
          <cell r="F1287">
            <v>41306</v>
          </cell>
          <cell r="G1287" t="str">
            <v>-</v>
          </cell>
          <cell r="H1287" t="str">
            <v>-</v>
          </cell>
          <cell r="I1287" t="str">
            <v>PE</v>
          </cell>
          <cell r="J1287" t="str">
            <v>PrE</v>
          </cell>
          <cell r="K1287" t="str">
            <v>ALL</v>
          </cell>
          <cell r="L1287" t="str">
            <v>ALL</v>
          </cell>
          <cell r="M1287" t="str">
            <v>PrE</v>
          </cell>
          <cell r="N1287" t="str">
            <v>CNC &amp; MILLING MATTING PART DESIGN &amp; FABRICATION</v>
          </cell>
          <cell r="O1287" t="str">
            <v>PROCESS ENG</v>
          </cell>
          <cell r="P1287" t="str">
            <v>A (NS)</v>
          </cell>
          <cell r="Q1287" t="str">
            <v>PS</v>
          </cell>
          <cell r="R1287" t="str">
            <v>PERMANENT</v>
          </cell>
          <cell r="S1287" t="str">
            <v>PRM</v>
          </cell>
          <cell r="T1287" t="str">
            <v>OPT</v>
          </cell>
          <cell r="U1287" t="str">
            <v>-</v>
          </cell>
          <cell r="V1287" t="str">
            <v>L</v>
          </cell>
          <cell r="W1287">
            <v>33</v>
          </cell>
        </row>
        <row r="1288">
          <cell r="A1288">
            <v>14103</v>
          </cell>
          <cell r="B1288" t="str">
            <v>014103</v>
          </cell>
          <cell r="C1288" t="str">
            <v>HENDRAWAN ADI BACHTIAR</v>
          </cell>
          <cell r="D1288" t="str">
            <v>SAMI</v>
          </cell>
          <cell r="E1288" t="str">
            <v>OPT-364</v>
          </cell>
          <cell r="F1288">
            <v>41306</v>
          </cell>
          <cell r="G1288" t="str">
            <v>-</v>
          </cell>
          <cell r="H1288" t="str">
            <v>-</v>
          </cell>
          <cell r="I1288" t="str">
            <v>PE</v>
          </cell>
          <cell r="J1288" t="str">
            <v>PrE</v>
          </cell>
          <cell r="K1288" t="str">
            <v>ALL</v>
          </cell>
          <cell r="L1288" t="str">
            <v>ALL</v>
          </cell>
          <cell r="M1288" t="str">
            <v>PrE</v>
          </cell>
          <cell r="N1288" t="str">
            <v>ASSET CONTROL FINAL ASSY, JCP TOOLING CONTROL DAN PREPARE PART LIST JIG BOARD</v>
          </cell>
          <cell r="O1288" t="str">
            <v>PROCESS ENG</v>
          </cell>
          <cell r="P1288" t="str">
            <v>A (NS)</v>
          </cell>
          <cell r="Q1288" t="str">
            <v>PS</v>
          </cell>
          <cell r="R1288" t="str">
            <v>PERMANENT</v>
          </cell>
          <cell r="S1288" t="str">
            <v>PRM</v>
          </cell>
          <cell r="T1288" t="str">
            <v>OPT</v>
          </cell>
          <cell r="U1288" t="str">
            <v>-</v>
          </cell>
          <cell r="V1288" t="str">
            <v>L</v>
          </cell>
          <cell r="W1288">
            <v>32</v>
          </cell>
        </row>
        <row r="1289">
          <cell r="A1289">
            <v>14105</v>
          </cell>
          <cell r="B1289" t="str">
            <v>014105</v>
          </cell>
          <cell r="C1289" t="str">
            <v>MARGARA IMANURA</v>
          </cell>
          <cell r="D1289" t="str">
            <v>SAMI</v>
          </cell>
          <cell r="E1289" t="str">
            <v>OPT-364</v>
          </cell>
          <cell r="F1289">
            <v>41306</v>
          </cell>
          <cell r="G1289" t="str">
            <v>-</v>
          </cell>
          <cell r="H1289" t="str">
            <v>-</v>
          </cell>
          <cell r="I1289" t="str">
            <v>PE</v>
          </cell>
          <cell r="J1289" t="str">
            <v>J/C BP</v>
          </cell>
          <cell r="K1289" t="str">
            <v>ALL</v>
          </cell>
          <cell r="L1289" t="str">
            <v>ALL</v>
          </cell>
          <cell r="M1289" t="str">
            <v>JCN</v>
          </cell>
          <cell r="N1289" t="str">
            <v>FINAL ASSY PREVENTIVE</v>
          </cell>
          <cell r="O1289" t="str">
            <v>CBP</v>
          </cell>
          <cell r="P1289" t="str">
            <v>A (NS)</v>
          </cell>
          <cell r="Q1289" t="str">
            <v>PS</v>
          </cell>
          <cell r="R1289" t="str">
            <v>PERMANENT</v>
          </cell>
          <cell r="S1289" t="str">
            <v>PRM</v>
          </cell>
          <cell r="T1289" t="str">
            <v>OPT</v>
          </cell>
          <cell r="U1289" t="str">
            <v>-</v>
          </cell>
          <cell r="V1289" t="str">
            <v>L</v>
          </cell>
          <cell r="W1289">
            <v>34</v>
          </cell>
        </row>
        <row r="1290">
          <cell r="A1290">
            <v>14106</v>
          </cell>
          <cell r="B1290" t="str">
            <v>014106</v>
          </cell>
          <cell r="C1290" t="str">
            <v>MARIO</v>
          </cell>
          <cell r="D1290" t="str">
            <v>SAMI</v>
          </cell>
          <cell r="E1290" t="str">
            <v>OPT-364</v>
          </cell>
          <cell r="F1290">
            <v>41306</v>
          </cell>
          <cell r="G1290" t="str">
            <v>-</v>
          </cell>
          <cell r="H1290" t="str">
            <v>-</v>
          </cell>
          <cell r="I1290" t="str">
            <v>PE</v>
          </cell>
          <cell r="J1290" t="str">
            <v>J/C BP</v>
          </cell>
          <cell r="K1290" t="str">
            <v>ALL</v>
          </cell>
          <cell r="L1290" t="str">
            <v>ALL</v>
          </cell>
          <cell r="M1290" t="str">
            <v>NIP</v>
          </cell>
          <cell r="N1290" t="str">
            <v>PROGRAMER NAVIGATION SYSTEM</v>
          </cell>
          <cell r="O1290" t="str">
            <v>CBP</v>
          </cell>
          <cell r="P1290" t="str">
            <v>B</v>
          </cell>
          <cell r="Q1290" t="str">
            <v>PS</v>
          </cell>
          <cell r="R1290" t="str">
            <v>PERMANENT</v>
          </cell>
          <cell r="S1290" t="str">
            <v>PRM</v>
          </cell>
          <cell r="T1290" t="str">
            <v>OPT</v>
          </cell>
          <cell r="U1290" t="str">
            <v>-</v>
          </cell>
          <cell r="V1290" t="str">
            <v>L</v>
          </cell>
          <cell r="W1290">
            <v>33</v>
          </cell>
        </row>
        <row r="1291">
          <cell r="A1291">
            <v>14107</v>
          </cell>
          <cell r="B1291" t="str">
            <v>014107</v>
          </cell>
          <cell r="C1291" t="str">
            <v>MUCHAMAT ICHSAN</v>
          </cell>
          <cell r="D1291" t="str">
            <v>SAMI</v>
          </cell>
          <cell r="E1291" t="str">
            <v>OPT-364</v>
          </cell>
          <cell r="F1291">
            <v>41306</v>
          </cell>
          <cell r="G1291" t="str">
            <v>-</v>
          </cell>
          <cell r="H1291" t="str">
            <v>-</v>
          </cell>
          <cell r="I1291" t="str">
            <v>PE</v>
          </cell>
          <cell r="J1291" t="str">
            <v>J/C BP</v>
          </cell>
          <cell r="K1291" t="str">
            <v>ALL</v>
          </cell>
          <cell r="L1291" t="str">
            <v>ALL</v>
          </cell>
          <cell r="M1291" t="str">
            <v>JCN</v>
          </cell>
          <cell r="N1291" t="str">
            <v>BREAKDOWN &amp; REPLACEMENT PIN</v>
          </cell>
          <cell r="O1291" t="str">
            <v>MTC</v>
          </cell>
          <cell r="P1291" t="str">
            <v>A (NS)</v>
          </cell>
          <cell r="Q1291" t="str">
            <v>PI</v>
          </cell>
          <cell r="R1291" t="str">
            <v>PERMANENT</v>
          </cell>
          <cell r="S1291" t="str">
            <v>PRM</v>
          </cell>
          <cell r="T1291" t="str">
            <v>OPT</v>
          </cell>
          <cell r="U1291" t="str">
            <v>-</v>
          </cell>
          <cell r="V1291" t="str">
            <v>L</v>
          </cell>
          <cell r="W1291">
            <v>32</v>
          </cell>
        </row>
        <row r="1292">
          <cell r="A1292">
            <v>14110</v>
          </cell>
          <cell r="B1292" t="str">
            <v>014110</v>
          </cell>
          <cell r="C1292" t="str">
            <v>MUHAMMAD SAHAL JUNAIDI</v>
          </cell>
          <cell r="D1292" t="str">
            <v>SAMI</v>
          </cell>
          <cell r="E1292" t="str">
            <v>OPT-364</v>
          </cell>
          <cell r="F1292">
            <v>41306</v>
          </cell>
          <cell r="G1292" t="str">
            <v>-</v>
          </cell>
          <cell r="H1292" t="str">
            <v>-</v>
          </cell>
          <cell r="I1292" t="str">
            <v>PE</v>
          </cell>
          <cell r="J1292" t="str">
            <v>J/C BP</v>
          </cell>
          <cell r="K1292" t="str">
            <v>ALL</v>
          </cell>
          <cell r="L1292" t="str">
            <v>ALL</v>
          </cell>
          <cell r="M1292" t="str">
            <v>CBP</v>
          </cell>
          <cell r="N1292" t="str">
            <v>CHECKER BOARD FABRICATION</v>
          </cell>
          <cell r="O1292" t="str">
            <v>CBP</v>
          </cell>
          <cell r="P1292" t="str">
            <v>A (NS)</v>
          </cell>
          <cell r="Q1292" t="str">
            <v>PS</v>
          </cell>
          <cell r="R1292" t="str">
            <v>PERMANENT</v>
          </cell>
          <cell r="S1292" t="str">
            <v>PRM</v>
          </cell>
          <cell r="T1292" t="str">
            <v>OPT</v>
          </cell>
          <cell r="U1292" t="str">
            <v>-</v>
          </cell>
          <cell r="V1292" t="str">
            <v>L</v>
          </cell>
          <cell r="W1292">
            <v>34</v>
          </cell>
        </row>
        <row r="1293">
          <cell r="A1293">
            <v>14119</v>
          </cell>
          <cell r="B1293" t="str">
            <v>014119</v>
          </cell>
          <cell r="C1293" t="str">
            <v>RIZKI KURNIADI</v>
          </cell>
          <cell r="D1293" t="str">
            <v>SAMI</v>
          </cell>
          <cell r="E1293" t="str">
            <v>OPT-364</v>
          </cell>
          <cell r="F1293">
            <v>41306</v>
          </cell>
          <cell r="G1293" t="str">
            <v>-</v>
          </cell>
          <cell r="H1293" t="str">
            <v>-</v>
          </cell>
          <cell r="I1293" t="str">
            <v>PGA</v>
          </cell>
          <cell r="J1293" t="str">
            <v>HR</v>
          </cell>
          <cell r="K1293" t="str">
            <v>ALL</v>
          </cell>
          <cell r="L1293" t="str">
            <v>ALL</v>
          </cell>
          <cell r="M1293" t="str">
            <v>HR</v>
          </cell>
          <cell r="N1293" t="str">
            <v>Payroll</v>
          </cell>
          <cell r="O1293" t="str">
            <v>PAYROLL</v>
          </cell>
          <cell r="P1293" t="str">
            <v>A (NS)</v>
          </cell>
          <cell r="Q1293" t="str">
            <v>ADM</v>
          </cell>
          <cell r="R1293" t="str">
            <v>PERMANENT</v>
          </cell>
          <cell r="S1293" t="str">
            <v>PRM</v>
          </cell>
          <cell r="T1293" t="str">
            <v>OPT</v>
          </cell>
          <cell r="U1293" t="str">
            <v>-</v>
          </cell>
          <cell r="V1293" t="str">
            <v>L</v>
          </cell>
          <cell r="W1293">
            <v>31</v>
          </cell>
        </row>
        <row r="1294">
          <cell r="A1294">
            <v>14125</v>
          </cell>
          <cell r="B1294" t="str">
            <v>014125</v>
          </cell>
          <cell r="C1294" t="str">
            <v>VENI KORNIAWAN</v>
          </cell>
          <cell r="D1294" t="str">
            <v>SAMI</v>
          </cell>
          <cell r="E1294" t="str">
            <v>TKN-72</v>
          </cell>
          <cell r="F1294">
            <v>41306</v>
          </cell>
          <cell r="G1294" t="str">
            <v>-</v>
          </cell>
          <cell r="H1294" t="str">
            <v>-</v>
          </cell>
          <cell r="I1294" t="str">
            <v>PE</v>
          </cell>
          <cell r="J1294" t="str">
            <v>J/C BP</v>
          </cell>
          <cell r="K1294" t="str">
            <v>ALL</v>
          </cell>
          <cell r="L1294" t="str">
            <v>ALL</v>
          </cell>
          <cell r="M1294" t="str">
            <v>JCN</v>
          </cell>
          <cell r="N1294" t="str">
            <v>BREAKDOWN FA</v>
          </cell>
          <cell r="O1294" t="str">
            <v>CBP</v>
          </cell>
          <cell r="P1294" t="str">
            <v>A</v>
          </cell>
          <cell r="Q1294" t="str">
            <v>PI</v>
          </cell>
          <cell r="R1294" t="str">
            <v>PERMANENT</v>
          </cell>
          <cell r="S1294" t="str">
            <v>PRM</v>
          </cell>
          <cell r="T1294" t="str">
            <v>TKN</v>
          </cell>
          <cell r="U1294" t="str">
            <v>-</v>
          </cell>
          <cell r="V1294" t="str">
            <v>L</v>
          </cell>
          <cell r="W1294">
            <v>36</v>
          </cell>
        </row>
        <row r="1295">
          <cell r="A1295">
            <v>14135</v>
          </cell>
          <cell r="B1295" t="str">
            <v>014135</v>
          </cell>
          <cell r="C1295" t="str">
            <v>AGUS SUMANTRI</v>
          </cell>
          <cell r="D1295" t="str">
            <v>SAMI</v>
          </cell>
          <cell r="E1295" t="str">
            <v>OPT-365</v>
          </cell>
          <cell r="F1295">
            <v>41312</v>
          </cell>
          <cell r="G1295" t="str">
            <v>-</v>
          </cell>
          <cell r="H1295" t="str">
            <v>-</v>
          </cell>
          <cell r="I1295" t="str">
            <v>PGA</v>
          </cell>
          <cell r="J1295" t="str">
            <v>GA</v>
          </cell>
          <cell r="K1295" t="str">
            <v>ALL</v>
          </cell>
          <cell r="L1295" t="str">
            <v>ALL</v>
          </cell>
          <cell r="M1295" t="str">
            <v>GA</v>
          </cell>
          <cell r="N1295" t="str">
            <v>BUILDING MAINTENANCE</v>
          </cell>
          <cell r="O1295" t="str">
            <v>BDM</v>
          </cell>
          <cell r="P1295" t="str">
            <v>A (NS)</v>
          </cell>
          <cell r="Q1295" t="str">
            <v>ADM</v>
          </cell>
          <cell r="R1295" t="str">
            <v>PERMANENT</v>
          </cell>
          <cell r="S1295" t="str">
            <v>PRM</v>
          </cell>
          <cell r="T1295" t="str">
            <v>PGA</v>
          </cell>
          <cell r="U1295" t="str">
            <v>-</v>
          </cell>
          <cell r="V1295" t="str">
            <v>L</v>
          </cell>
          <cell r="W1295">
            <v>31</v>
          </cell>
        </row>
        <row r="1296">
          <cell r="A1296">
            <v>17459</v>
          </cell>
          <cell r="B1296" t="str">
            <v>017459</v>
          </cell>
          <cell r="C1296" t="str">
            <v>ADITYA KURNIAWAN</v>
          </cell>
          <cell r="D1296" t="str">
            <v>SAMI</v>
          </cell>
          <cell r="E1296" t="str">
            <v>ES-56</v>
          </cell>
          <cell r="F1296">
            <v>41778</v>
          </cell>
          <cell r="G1296" t="str">
            <v>-</v>
          </cell>
          <cell r="H1296" t="str">
            <v>-</v>
          </cell>
          <cell r="I1296" t="str">
            <v>PRD</v>
          </cell>
          <cell r="J1296" t="str">
            <v>NON LINE</v>
          </cell>
          <cell r="K1296" t="str">
            <v>ALL</v>
          </cell>
          <cell r="L1296" t="str">
            <v>ALL</v>
          </cell>
          <cell r="M1296" t="str">
            <v>PART JATUH</v>
          </cell>
          <cell r="N1296" t="str">
            <v>PRD LINE LEADER</v>
          </cell>
          <cell r="O1296" t="str">
            <v>FPI LL</v>
          </cell>
          <cell r="P1296" t="str">
            <v>A (NS)</v>
          </cell>
          <cell r="Q1296" t="str">
            <v>PI</v>
          </cell>
          <cell r="R1296" t="str">
            <v>PERMANENT</v>
          </cell>
          <cell r="S1296" t="str">
            <v>PRM</v>
          </cell>
          <cell r="T1296" t="str">
            <v>ES</v>
          </cell>
          <cell r="U1296" t="str">
            <v>-</v>
          </cell>
          <cell r="V1296" t="str">
            <v>L</v>
          </cell>
          <cell r="W1296">
            <v>36</v>
          </cell>
        </row>
        <row r="1297">
          <cell r="A1297">
            <v>14143</v>
          </cell>
          <cell r="B1297" t="str">
            <v>014143</v>
          </cell>
          <cell r="C1297" t="str">
            <v>TRI ADI MULYONO</v>
          </cell>
          <cell r="D1297" t="str">
            <v>SAMI</v>
          </cell>
          <cell r="E1297" t="str">
            <v>TKN-76</v>
          </cell>
          <cell r="F1297">
            <v>41326</v>
          </cell>
          <cell r="G1297" t="str">
            <v>-</v>
          </cell>
          <cell r="H1297" t="str">
            <v>-</v>
          </cell>
          <cell r="I1297" t="str">
            <v>PE</v>
          </cell>
          <cell r="J1297" t="str">
            <v>WORKSHOP</v>
          </cell>
          <cell r="K1297" t="str">
            <v>ALL</v>
          </cell>
          <cell r="L1297" t="str">
            <v>ALL</v>
          </cell>
          <cell r="M1297" t="str">
            <v>WORKSHOP</v>
          </cell>
          <cell r="N1297" t="str">
            <v>Improvement Workshop</v>
          </cell>
          <cell r="O1297" t="str">
            <v>WKS</v>
          </cell>
          <cell r="P1297" t="str">
            <v>A (NS)</v>
          </cell>
          <cell r="Q1297" t="str">
            <v>PS</v>
          </cell>
          <cell r="R1297" t="str">
            <v>PERMANENT</v>
          </cell>
          <cell r="S1297" t="str">
            <v>PRM</v>
          </cell>
          <cell r="T1297" t="str">
            <v>TKN</v>
          </cell>
          <cell r="U1297" t="str">
            <v>-</v>
          </cell>
          <cell r="V1297" t="str">
            <v>L</v>
          </cell>
          <cell r="W1297">
            <v>32</v>
          </cell>
        </row>
        <row r="1298">
          <cell r="A1298">
            <v>14144</v>
          </cell>
          <cell r="B1298" t="str">
            <v>014144</v>
          </cell>
          <cell r="C1298" t="str">
            <v>ARIYANTO</v>
          </cell>
          <cell r="D1298" t="str">
            <v>SAMI</v>
          </cell>
          <cell r="E1298" t="str">
            <v>TKN-77</v>
          </cell>
          <cell r="F1298">
            <v>41347</v>
          </cell>
          <cell r="G1298" t="str">
            <v>-</v>
          </cell>
          <cell r="H1298" t="str">
            <v>-</v>
          </cell>
          <cell r="I1298" t="str">
            <v>PE</v>
          </cell>
          <cell r="J1298" t="str">
            <v>WORKSHOP</v>
          </cell>
          <cell r="K1298" t="str">
            <v>ALL</v>
          </cell>
          <cell r="L1298" t="str">
            <v>ALL</v>
          </cell>
          <cell r="M1298" t="str">
            <v>WORKSHOP</v>
          </cell>
          <cell r="N1298" t="str">
            <v>Tool and Part Control</v>
          </cell>
          <cell r="O1298" t="str">
            <v>WKS</v>
          </cell>
          <cell r="P1298" t="str">
            <v>A (NS)</v>
          </cell>
          <cell r="Q1298" t="str">
            <v>PS</v>
          </cell>
          <cell r="R1298" t="str">
            <v>PERMANENT</v>
          </cell>
          <cell r="S1298" t="str">
            <v>PRM</v>
          </cell>
          <cell r="T1298" t="str">
            <v>TKN</v>
          </cell>
          <cell r="U1298" t="str">
            <v>-</v>
          </cell>
          <cell r="V1298" t="str">
            <v>L</v>
          </cell>
          <cell r="W1298">
            <v>37</v>
          </cell>
        </row>
        <row r="1299">
          <cell r="A1299">
            <v>14149</v>
          </cell>
          <cell r="B1299" t="str">
            <v>014149</v>
          </cell>
          <cell r="C1299" t="str">
            <v>ARI ANGGI YUDIANTORO</v>
          </cell>
          <cell r="D1299" t="str">
            <v>SAMI</v>
          </cell>
          <cell r="E1299" t="str">
            <v>TKN-78</v>
          </cell>
          <cell r="F1299">
            <v>41354</v>
          </cell>
          <cell r="G1299" t="str">
            <v>-</v>
          </cell>
          <cell r="H1299" t="str">
            <v>-</v>
          </cell>
          <cell r="I1299" t="str">
            <v>PE</v>
          </cell>
          <cell r="J1299" t="str">
            <v>WORKSHOP</v>
          </cell>
          <cell r="K1299" t="str">
            <v>ALL</v>
          </cell>
          <cell r="L1299" t="str">
            <v>ALL</v>
          </cell>
          <cell r="M1299" t="str">
            <v>WORKSHOP</v>
          </cell>
          <cell r="N1299" t="str">
            <v>EQUIPMENT NEW PROJECT FINAL ASSY</v>
          </cell>
          <cell r="O1299" t="str">
            <v>WKS</v>
          </cell>
          <cell r="P1299" t="str">
            <v>A (NS)</v>
          </cell>
          <cell r="Q1299" t="str">
            <v>PS</v>
          </cell>
          <cell r="R1299" t="str">
            <v>PERMANENT</v>
          </cell>
          <cell r="S1299" t="str">
            <v>PRM</v>
          </cell>
          <cell r="T1299" t="str">
            <v>TKN</v>
          </cell>
          <cell r="U1299" t="str">
            <v>-</v>
          </cell>
          <cell r="V1299" t="str">
            <v>L</v>
          </cell>
          <cell r="W1299">
            <v>35</v>
          </cell>
        </row>
        <row r="1300">
          <cell r="A1300">
            <v>1139</v>
          </cell>
          <cell r="B1300" t="str">
            <v>001139</v>
          </cell>
          <cell r="C1300" t="str">
            <v>SOFIYANTI</v>
          </cell>
          <cell r="D1300" t="str">
            <v>SAMI</v>
          </cell>
          <cell r="E1300" t="str">
            <v>OPT-28</v>
          </cell>
          <cell r="F1300">
            <v>37900</v>
          </cell>
          <cell r="G1300" t="str">
            <v>-</v>
          </cell>
          <cell r="H1300" t="str">
            <v>-</v>
          </cell>
          <cell r="I1300" t="str">
            <v>PRD</v>
          </cell>
          <cell r="J1300" t="str">
            <v>NON LINE</v>
          </cell>
          <cell r="K1300" t="str">
            <v>ALL</v>
          </cell>
          <cell r="L1300" t="str">
            <v>ALL</v>
          </cell>
          <cell r="M1300" t="str">
            <v>PREGNANT LINE</v>
          </cell>
          <cell r="N1300" t="str">
            <v>WIRE SAMPLE</v>
          </cell>
          <cell r="O1300" t="str">
            <v>CIRCUIT SUPPLY</v>
          </cell>
          <cell r="P1300" t="str">
            <v>A (NS)</v>
          </cell>
          <cell r="Q1300" t="str">
            <v>PI</v>
          </cell>
          <cell r="R1300" t="str">
            <v>PERMANENT</v>
          </cell>
          <cell r="S1300" t="str">
            <v>PRM</v>
          </cell>
          <cell r="T1300" t="str">
            <v>OPT</v>
          </cell>
          <cell r="U1300" t="str">
            <v>-</v>
          </cell>
          <cell r="V1300" t="str">
            <v>P</v>
          </cell>
          <cell r="W1300">
            <v>41</v>
          </cell>
        </row>
        <row r="1301">
          <cell r="A1301">
            <v>625</v>
          </cell>
          <cell r="B1301" t="str">
            <v>000625</v>
          </cell>
          <cell r="C1301" t="str">
            <v>NUR KHOLIFAH</v>
          </cell>
          <cell r="D1301" t="str">
            <v>SAMI</v>
          </cell>
          <cell r="E1301" t="str">
            <v>OPT-16</v>
          </cell>
          <cell r="F1301">
            <v>37781</v>
          </cell>
          <cell r="G1301" t="str">
            <v>-</v>
          </cell>
          <cell r="H1301" t="str">
            <v>-</v>
          </cell>
          <cell r="I1301" t="str">
            <v>PRD</v>
          </cell>
          <cell r="J1301" t="str">
            <v>NON LINE</v>
          </cell>
          <cell r="K1301" t="str">
            <v>ALL</v>
          </cell>
          <cell r="L1301" t="str">
            <v>ALL</v>
          </cell>
          <cell r="M1301" t="str">
            <v>PRODUCTION ADM</v>
          </cell>
          <cell r="N1301" t="str">
            <v>PRD LINE LEADER</v>
          </cell>
          <cell r="O1301" t="str">
            <v>FPI LL</v>
          </cell>
          <cell r="P1301" t="str">
            <v>A (NS)</v>
          </cell>
          <cell r="Q1301" t="str">
            <v>PI</v>
          </cell>
          <cell r="R1301" t="str">
            <v>PERMANENT</v>
          </cell>
          <cell r="S1301" t="str">
            <v>PRM</v>
          </cell>
          <cell r="T1301" t="str">
            <v>LL</v>
          </cell>
          <cell r="U1301" t="str">
            <v>-</v>
          </cell>
          <cell r="V1301" t="str">
            <v>P</v>
          </cell>
          <cell r="W1301">
            <v>41</v>
          </cell>
        </row>
        <row r="1302">
          <cell r="A1302">
            <v>14476</v>
          </cell>
          <cell r="B1302" t="str">
            <v>014476</v>
          </cell>
          <cell r="C1302" t="str">
            <v>DIANI WIJAYANTI</v>
          </cell>
          <cell r="D1302" t="str">
            <v>SAMI</v>
          </cell>
          <cell r="E1302" t="str">
            <v>OPT-375</v>
          </cell>
          <cell r="F1302">
            <v>41393</v>
          </cell>
          <cell r="G1302" t="str">
            <v>-</v>
          </cell>
          <cell r="H1302" t="str">
            <v>-</v>
          </cell>
          <cell r="I1302" t="str">
            <v>PRD</v>
          </cell>
          <cell r="J1302" t="str">
            <v>FINAL ASSY</v>
          </cell>
          <cell r="K1302" t="str">
            <v>TOYOTA HV</v>
          </cell>
          <cell r="L1302" t="str">
            <v>HV TOYOTA 10PL</v>
          </cell>
          <cell r="M1302" t="str">
            <v>CV HV 14A</v>
          </cell>
          <cell r="N1302" t="str">
            <v>VISUAL T2.1</v>
          </cell>
          <cell r="O1302" t="str">
            <v>VISUAL INSPECTION</v>
          </cell>
          <cell r="P1302" t="str">
            <v>B</v>
          </cell>
          <cell r="Q1302" t="str">
            <v>DL</v>
          </cell>
          <cell r="R1302" t="str">
            <v>PERMANENT</v>
          </cell>
          <cell r="S1302" t="str">
            <v>PRM</v>
          </cell>
          <cell r="T1302" t="str">
            <v>OPT</v>
          </cell>
          <cell r="U1302" t="str">
            <v>-</v>
          </cell>
          <cell r="V1302" t="str">
            <v>P</v>
          </cell>
          <cell r="W1302">
            <v>29</v>
          </cell>
        </row>
        <row r="1303">
          <cell r="A1303">
            <v>11037</v>
          </cell>
          <cell r="B1303" t="str">
            <v>011037</v>
          </cell>
          <cell r="C1303" t="str">
            <v>ASROFAH</v>
          </cell>
          <cell r="D1303" t="str">
            <v>SAMI</v>
          </cell>
          <cell r="E1303" t="str">
            <v>OPT-288</v>
          </cell>
          <cell r="F1303">
            <v>40592</v>
          </cell>
          <cell r="G1303" t="str">
            <v>-</v>
          </cell>
          <cell r="H1303" t="str">
            <v>-</v>
          </cell>
          <cell r="I1303" t="str">
            <v>PRD</v>
          </cell>
          <cell r="J1303" t="str">
            <v>NON LINE</v>
          </cell>
          <cell r="K1303" t="str">
            <v>ALL</v>
          </cell>
          <cell r="L1303" t="str">
            <v>ALL</v>
          </cell>
          <cell r="M1303" t="str">
            <v>PRODUCTION ADM</v>
          </cell>
          <cell r="N1303" t="str">
            <v>ADMINISTRATION</v>
          </cell>
          <cell r="O1303" t="str">
            <v>OTHERS</v>
          </cell>
          <cell r="P1303" t="str">
            <v>A (NS)</v>
          </cell>
          <cell r="Q1303" t="str">
            <v>PI</v>
          </cell>
          <cell r="R1303" t="str">
            <v>PERMANENT</v>
          </cell>
          <cell r="S1303" t="str">
            <v>PRM</v>
          </cell>
          <cell r="T1303" t="str">
            <v>OPT</v>
          </cell>
          <cell r="U1303" t="str">
            <v>-</v>
          </cell>
          <cell r="V1303" t="str">
            <v>P</v>
          </cell>
          <cell r="W1303">
            <v>32</v>
          </cell>
        </row>
        <row r="1304">
          <cell r="A1304">
            <v>14548</v>
          </cell>
          <cell r="B1304" t="str">
            <v>014548</v>
          </cell>
          <cell r="C1304" t="str">
            <v>WIDA WIJAYANTI</v>
          </cell>
          <cell r="D1304" t="str">
            <v>SAMI</v>
          </cell>
          <cell r="E1304" t="str">
            <v>OPT-375</v>
          </cell>
          <cell r="F1304">
            <v>41393</v>
          </cell>
          <cell r="G1304" t="str">
            <v>-</v>
          </cell>
          <cell r="H1304" t="str">
            <v>-</v>
          </cell>
          <cell r="I1304" t="str">
            <v>PRD</v>
          </cell>
          <cell r="J1304" t="str">
            <v>FINAL ASSY</v>
          </cell>
          <cell r="K1304" t="str">
            <v>TOYOTA HV</v>
          </cell>
          <cell r="L1304" t="str">
            <v>HV TOYOTA 10PL</v>
          </cell>
          <cell r="M1304" t="str">
            <v>CV HV 14A</v>
          </cell>
          <cell r="N1304" t="str">
            <v>CHECKER T2</v>
          </cell>
          <cell r="O1304" t="str">
            <v>ELECTRICAL INSPECTION</v>
          </cell>
          <cell r="P1304" t="str">
            <v>B</v>
          </cell>
          <cell r="Q1304" t="str">
            <v>DL</v>
          </cell>
          <cell r="R1304" t="str">
            <v>PERMANENT</v>
          </cell>
          <cell r="S1304" t="str">
            <v>PRM</v>
          </cell>
          <cell r="T1304" t="str">
            <v>OPT</v>
          </cell>
          <cell r="U1304" t="str">
            <v>-</v>
          </cell>
          <cell r="V1304" t="str">
            <v>P</v>
          </cell>
          <cell r="W1304">
            <v>30</v>
          </cell>
        </row>
        <row r="1305">
          <cell r="A1305">
            <v>14618</v>
          </cell>
          <cell r="B1305" t="str">
            <v>014618</v>
          </cell>
          <cell r="C1305" t="str">
            <v>SRI SUNARSIH</v>
          </cell>
          <cell r="D1305" t="str">
            <v>SAMI</v>
          </cell>
          <cell r="E1305" t="str">
            <v>OPT-376</v>
          </cell>
          <cell r="F1305">
            <v>41394</v>
          </cell>
          <cell r="G1305" t="str">
            <v>-</v>
          </cell>
          <cell r="H1305" t="str">
            <v>-</v>
          </cell>
          <cell r="I1305" t="str">
            <v>PRD</v>
          </cell>
          <cell r="J1305" t="str">
            <v>FINAL ASSY</v>
          </cell>
          <cell r="K1305" t="str">
            <v>HONDA FIT</v>
          </cell>
          <cell r="L1305" t="str">
            <v>HONDA FIT HEV PET ENGINE</v>
          </cell>
          <cell r="M1305" t="str">
            <v>CV H02</v>
          </cell>
          <cell r="N1305" t="str">
            <v>VISUAL 2.2</v>
          </cell>
          <cell r="O1305" t="str">
            <v>VISUAL INSPECTION</v>
          </cell>
          <cell r="P1305" t="str">
            <v>B</v>
          </cell>
          <cell r="Q1305" t="str">
            <v>DL</v>
          </cell>
          <cell r="R1305" t="str">
            <v>PERMANENT</v>
          </cell>
          <cell r="S1305" t="str">
            <v>PRM</v>
          </cell>
          <cell r="T1305" t="str">
            <v>OPT</v>
          </cell>
          <cell r="U1305" t="str">
            <v>-</v>
          </cell>
          <cell r="V1305" t="str">
            <v>P</v>
          </cell>
          <cell r="W1305">
            <v>29</v>
          </cell>
        </row>
        <row r="1306">
          <cell r="A1306">
            <v>14675</v>
          </cell>
          <cell r="B1306" t="str">
            <v>014675</v>
          </cell>
          <cell r="C1306" t="str">
            <v>RIZAL FAUZI</v>
          </cell>
          <cell r="D1306" t="str">
            <v>SAMI</v>
          </cell>
          <cell r="E1306" t="str">
            <v>OPT-377</v>
          </cell>
          <cell r="F1306">
            <v>41396</v>
          </cell>
          <cell r="G1306" t="str">
            <v>-</v>
          </cell>
          <cell r="H1306" t="str">
            <v>-</v>
          </cell>
          <cell r="I1306" t="str">
            <v>LOG</v>
          </cell>
          <cell r="J1306" t="str">
            <v>L. DOCK</v>
          </cell>
          <cell r="K1306" t="str">
            <v>ALL</v>
          </cell>
          <cell r="L1306" t="str">
            <v>ALL</v>
          </cell>
          <cell r="M1306" t="str">
            <v>L. DOCK</v>
          </cell>
          <cell r="N1306" t="str">
            <v>L. DOCK</v>
          </cell>
          <cell r="O1306" t="str">
            <v>LD</v>
          </cell>
          <cell r="P1306" t="str">
            <v>A</v>
          </cell>
          <cell r="Q1306" t="str">
            <v>PS</v>
          </cell>
          <cell r="R1306" t="str">
            <v>PERMANENT</v>
          </cell>
          <cell r="S1306" t="str">
            <v>PRM</v>
          </cell>
          <cell r="T1306" t="str">
            <v>OPT</v>
          </cell>
          <cell r="U1306" t="str">
            <v>-</v>
          </cell>
          <cell r="V1306" t="str">
            <v>L</v>
          </cell>
          <cell r="W1306">
            <v>33</v>
          </cell>
        </row>
        <row r="1307">
          <cell r="A1307">
            <v>14797</v>
          </cell>
          <cell r="B1307" t="str">
            <v>014797</v>
          </cell>
          <cell r="C1307" t="str">
            <v>NILA MUNANA</v>
          </cell>
          <cell r="D1307" t="str">
            <v>SAMI</v>
          </cell>
          <cell r="E1307" t="str">
            <v>OPT-378</v>
          </cell>
          <cell r="F1307">
            <v>41400</v>
          </cell>
          <cell r="G1307" t="str">
            <v>-</v>
          </cell>
          <cell r="H1307" t="str">
            <v>-</v>
          </cell>
          <cell r="I1307" t="str">
            <v>QA</v>
          </cell>
          <cell r="J1307" t="str">
            <v>NON LINE</v>
          </cell>
          <cell r="K1307" t="str">
            <v>ALL</v>
          </cell>
          <cell r="L1307" t="str">
            <v>ALL</v>
          </cell>
          <cell r="M1307" t="str">
            <v>PPAP</v>
          </cell>
          <cell r="N1307" t="str">
            <v>ADMINISTRATION</v>
          </cell>
          <cell r="O1307" t="str">
            <v>PPAP</v>
          </cell>
          <cell r="P1307" t="str">
            <v>A (NS)</v>
          </cell>
          <cell r="Q1307" t="str">
            <v>PS</v>
          </cell>
          <cell r="R1307" t="str">
            <v>PERMANENT</v>
          </cell>
          <cell r="S1307" t="str">
            <v>PRM</v>
          </cell>
          <cell r="T1307" t="str">
            <v>OPT</v>
          </cell>
          <cell r="U1307" t="str">
            <v>-</v>
          </cell>
          <cell r="V1307" t="str">
            <v>P</v>
          </cell>
          <cell r="W1307">
            <v>29</v>
          </cell>
        </row>
        <row r="1308">
          <cell r="A1308">
            <v>14817</v>
          </cell>
          <cell r="B1308" t="str">
            <v>014817</v>
          </cell>
          <cell r="C1308" t="str">
            <v>PUJI LESTARI</v>
          </cell>
          <cell r="D1308" t="str">
            <v>SAMI</v>
          </cell>
          <cell r="E1308" t="str">
            <v>OPT-378</v>
          </cell>
          <cell r="F1308">
            <v>41400</v>
          </cell>
          <cell r="G1308" t="str">
            <v>-</v>
          </cell>
          <cell r="H1308" t="str">
            <v>-</v>
          </cell>
          <cell r="I1308" t="str">
            <v>PRD</v>
          </cell>
          <cell r="J1308" t="str">
            <v>FINAL ASSY</v>
          </cell>
          <cell r="K1308" t="str">
            <v>TOYOTA HV</v>
          </cell>
          <cell r="L1308" t="str">
            <v>HV TOYOTA NIKEL</v>
          </cell>
          <cell r="M1308" t="str">
            <v>CV HV 07</v>
          </cell>
          <cell r="N1308" t="str">
            <v>MAEKOTEI 2</v>
          </cell>
          <cell r="O1308" t="str">
            <v>WFAP 2.2</v>
          </cell>
          <cell r="P1308" t="str">
            <v>B</v>
          </cell>
          <cell r="Q1308" t="str">
            <v>DL</v>
          </cell>
          <cell r="R1308" t="str">
            <v>PERMANENT</v>
          </cell>
          <cell r="S1308" t="str">
            <v>PRM</v>
          </cell>
          <cell r="T1308" t="str">
            <v>OPT</v>
          </cell>
          <cell r="U1308" t="str">
            <v>-</v>
          </cell>
          <cell r="V1308" t="str">
            <v>P</v>
          </cell>
          <cell r="W1308">
            <v>29</v>
          </cell>
        </row>
        <row r="1309">
          <cell r="A1309">
            <v>11860</v>
          </cell>
          <cell r="B1309" t="str">
            <v>011860</v>
          </cell>
          <cell r="C1309" t="str">
            <v>ULIN NIKMAH</v>
          </cell>
          <cell r="D1309" t="str">
            <v>SAMI</v>
          </cell>
          <cell r="E1309" t="str">
            <v>OPT-309</v>
          </cell>
          <cell r="F1309">
            <v>40721</v>
          </cell>
          <cell r="G1309" t="str">
            <v>-</v>
          </cell>
          <cell r="H1309" t="str">
            <v>-</v>
          </cell>
          <cell r="I1309" t="str">
            <v>PRD</v>
          </cell>
          <cell r="J1309" t="str">
            <v>NON LINE</v>
          </cell>
          <cell r="K1309" t="str">
            <v>ALL</v>
          </cell>
          <cell r="L1309" t="str">
            <v>ALL</v>
          </cell>
          <cell r="M1309" t="str">
            <v>PRODUCTION ADM</v>
          </cell>
          <cell r="N1309" t="str">
            <v>ADMINISTRATION</v>
          </cell>
          <cell r="O1309" t="str">
            <v>OTHERS</v>
          </cell>
          <cell r="P1309" t="str">
            <v>A</v>
          </cell>
          <cell r="Q1309" t="str">
            <v>PI</v>
          </cell>
          <cell r="R1309" t="str">
            <v>PERMANENT</v>
          </cell>
          <cell r="S1309" t="str">
            <v>PRM</v>
          </cell>
          <cell r="T1309" t="str">
            <v>OPT</v>
          </cell>
          <cell r="U1309" t="str">
            <v>-</v>
          </cell>
          <cell r="V1309" t="str">
            <v>P</v>
          </cell>
          <cell r="W1309">
            <v>31</v>
          </cell>
        </row>
        <row r="1310">
          <cell r="A1310">
            <v>15931</v>
          </cell>
          <cell r="B1310" t="str">
            <v>015931</v>
          </cell>
          <cell r="C1310" t="str">
            <v>PUTRI MEI ERAWATI</v>
          </cell>
          <cell r="D1310" t="str">
            <v>SAMI</v>
          </cell>
          <cell r="E1310" t="str">
            <v>OPT-399</v>
          </cell>
          <cell r="F1310">
            <v>41557</v>
          </cell>
          <cell r="G1310" t="str">
            <v>-</v>
          </cell>
          <cell r="H1310" t="str">
            <v>-</v>
          </cell>
          <cell r="I1310" t="str">
            <v>PRD</v>
          </cell>
          <cell r="J1310" t="str">
            <v>NON LINE</v>
          </cell>
          <cell r="K1310" t="str">
            <v>ALL</v>
          </cell>
          <cell r="L1310" t="str">
            <v>ALL</v>
          </cell>
          <cell r="M1310" t="str">
            <v>PRODUCTION ADM</v>
          </cell>
          <cell r="N1310" t="str">
            <v>ADMINISTRATION</v>
          </cell>
          <cell r="O1310" t="str">
            <v>OTHERS</v>
          </cell>
          <cell r="P1310" t="str">
            <v>A (NS)</v>
          </cell>
          <cell r="Q1310" t="str">
            <v>PI</v>
          </cell>
          <cell r="R1310" t="str">
            <v>PERMANENT</v>
          </cell>
          <cell r="S1310" t="str">
            <v>PRM</v>
          </cell>
          <cell r="T1310" t="str">
            <v>OPT</v>
          </cell>
          <cell r="U1310" t="str">
            <v>-</v>
          </cell>
          <cell r="V1310" t="str">
            <v>P</v>
          </cell>
          <cell r="W1310">
            <v>29</v>
          </cell>
        </row>
        <row r="1311">
          <cell r="A1311">
            <v>15197</v>
          </cell>
          <cell r="B1311" t="str">
            <v>015197</v>
          </cell>
          <cell r="C1311" t="str">
            <v>NUR FITRIYA NINGSIH</v>
          </cell>
          <cell r="D1311" t="str">
            <v>SAMI</v>
          </cell>
          <cell r="E1311" t="str">
            <v>OPT-385</v>
          </cell>
          <cell r="F1311">
            <v>41435</v>
          </cell>
          <cell r="G1311" t="str">
            <v>-</v>
          </cell>
          <cell r="H1311" t="str">
            <v>-</v>
          </cell>
          <cell r="I1311" t="str">
            <v>PRD</v>
          </cell>
          <cell r="J1311" t="str">
            <v>PRE ASSY</v>
          </cell>
          <cell r="K1311" t="str">
            <v>HONDA FIT</v>
          </cell>
          <cell r="L1311" t="str">
            <v>HONDA FIT</v>
          </cell>
          <cell r="M1311" t="str">
            <v>CPA HONDA FIT HEV/PET</v>
          </cell>
          <cell r="N1311" t="str">
            <v>INSP CUTTING</v>
          </cell>
          <cell r="O1311" t="str">
            <v>P/A INSPECTOR</v>
          </cell>
          <cell r="P1311" t="str">
            <v>B</v>
          </cell>
          <cell r="Q1311" t="str">
            <v>PI</v>
          </cell>
          <cell r="R1311" t="str">
            <v>PERMANENT</v>
          </cell>
          <cell r="S1311" t="str">
            <v>PRM</v>
          </cell>
          <cell r="T1311" t="str">
            <v>OPT</v>
          </cell>
          <cell r="U1311" t="str">
            <v>-</v>
          </cell>
          <cell r="V1311" t="str">
            <v>P</v>
          </cell>
          <cell r="W1311">
            <v>30</v>
          </cell>
        </row>
        <row r="1312">
          <cell r="A1312">
            <v>15247</v>
          </cell>
          <cell r="B1312" t="str">
            <v>015247</v>
          </cell>
          <cell r="C1312" t="str">
            <v>IMAM BAROWI</v>
          </cell>
          <cell r="D1312" t="str">
            <v>SAMI</v>
          </cell>
          <cell r="E1312" t="str">
            <v>OPT-386</v>
          </cell>
          <cell r="F1312">
            <v>41438</v>
          </cell>
          <cell r="G1312" t="str">
            <v>-</v>
          </cell>
          <cell r="H1312" t="str">
            <v>-</v>
          </cell>
          <cell r="I1312" t="str">
            <v>LOG</v>
          </cell>
          <cell r="J1312" t="str">
            <v>WHS</v>
          </cell>
          <cell r="K1312" t="str">
            <v>ALL</v>
          </cell>
          <cell r="L1312" t="str">
            <v>ALL</v>
          </cell>
          <cell r="M1312" t="str">
            <v>WHS</v>
          </cell>
          <cell r="N1312" t="str">
            <v>Parts supply (piking &amp; material handling) from material werahouse</v>
          </cell>
          <cell r="O1312" t="str">
            <v>WHS SUPPLY</v>
          </cell>
          <cell r="P1312" t="str">
            <v>A</v>
          </cell>
          <cell r="Q1312" t="str">
            <v>PS</v>
          </cell>
          <cell r="R1312" t="str">
            <v>PERMANENT</v>
          </cell>
          <cell r="S1312" t="str">
            <v>PRM</v>
          </cell>
          <cell r="T1312" t="str">
            <v>OPT</v>
          </cell>
          <cell r="U1312" t="str">
            <v>-</v>
          </cell>
          <cell r="V1312" t="str">
            <v>L</v>
          </cell>
          <cell r="W1312">
            <v>34</v>
          </cell>
        </row>
        <row r="1313">
          <cell r="A1313">
            <v>15250</v>
          </cell>
          <cell r="B1313" t="str">
            <v>015250</v>
          </cell>
          <cell r="C1313" t="str">
            <v>KARTIKA PUTRI MAYANGSARI</v>
          </cell>
          <cell r="D1313" t="str">
            <v>SAMI</v>
          </cell>
          <cell r="E1313" t="str">
            <v>OPT-386</v>
          </cell>
          <cell r="F1313">
            <v>41438</v>
          </cell>
          <cell r="G1313" t="str">
            <v>-</v>
          </cell>
          <cell r="H1313" t="str">
            <v>-</v>
          </cell>
          <cell r="I1313" t="str">
            <v>PRD</v>
          </cell>
          <cell r="J1313" t="str">
            <v>FINAL ASSY</v>
          </cell>
          <cell r="K1313" t="str">
            <v>NISSAN HV</v>
          </cell>
          <cell r="L1313" t="str">
            <v>HV NISSAN</v>
          </cell>
          <cell r="M1313" t="str">
            <v>CV HV 05A</v>
          </cell>
          <cell r="N1313" t="str">
            <v>SUB LINE CHO</v>
          </cell>
          <cell r="O1313" t="str">
            <v>GL</v>
          </cell>
          <cell r="P1313" t="str">
            <v>B</v>
          </cell>
          <cell r="Q1313" t="str">
            <v>PI</v>
          </cell>
          <cell r="R1313" t="str">
            <v>PERMANENT</v>
          </cell>
          <cell r="S1313" t="str">
            <v>PRM</v>
          </cell>
          <cell r="T1313" t="str">
            <v>SLC</v>
          </cell>
          <cell r="U1313" t="str">
            <v>-</v>
          </cell>
          <cell r="V1313" t="str">
            <v>P</v>
          </cell>
          <cell r="W1313">
            <v>29</v>
          </cell>
        </row>
        <row r="1314">
          <cell r="A1314">
            <v>20205</v>
          </cell>
          <cell r="B1314" t="str">
            <v>020205</v>
          </cell>
          <cell r="C1314" t="str">
            <v>ERWIN DWI PAMUNGKAS</v>
          </cell>
          <cell r="D1314" t="str">
            <v>SAMI</v>
          </cell>
          <cell r="E1314" t="str">
            <v>OPT-500</v>
          </cell>
          <cell r="F1314">
            <v>42604</v>
          </cell>
          <cell r="G1314" t="str">
            <v>-</v>
          </cell>
          <cell r="H1314" t="str">
            <v>-</v>
          </cell>
          <cell r="I1314" t="str">
            <v>PRD</v>
          </cell>
          <cell r="J1314" t="str">
            <v>NON LINE</v>
          </cell>
          <cell r="K1314" t="str">
            <v>ALL</v>
          </cell>
          <cell r="L1314" t="str">
            <v>ALL</v>
          </cell>
          <cell r="M1314" t="str">
            <v>PRODUCTION ADM</v>
          </cell>
          <cell r="N1314" t="str">
            <v>INTERPRETER</v>
          </cell>
          <cell r="O1314" t="str">
            <v>GL</v>
          </cell>
          <cell r="P1314" t="str">
            <v>A (NS)</v>
          </cell>
          <cell r="Q1314" t="str">
            <v>PI</v>
          </cell>
          <cell r="R1314" t="str">
            <v>PERMANENT</v>
          </cell>
          <cell r="S1314" t="str">
            <v>PRM</v>
          </cell>
          <cell r="T1314" t="str">
            <v>GL</v>
          </cell>
          <cell r="U1314" t="str">
            <v>-</v>
          </cell>
          <cell r="V1314" t="str">
            <v>L</v>
          </cell>
          <cell r="W1314">
            <v>31</v>
          </cell>
        </row>
        <row r="1315">
          <cell r="A1315">
            <v>15274</v>
          </cell>
          <cell r="B1315" t="str">
            <v>015274</v>
          </cell>
          <cell r="C1315" t="str">
            <v>SAEFUDIN ZUHRI</v>
          </cell>
          <cell r="D1315" t="str">
            <v>SAMI</v>
          </cell>
          <cell r="E1315" t="str">
            <v>OPT-386</v>
          </cell>
          <cell r="F1315">
            <v>41438</v>
          </cell>
          <cell r="G1315" t="str">
            <v>-</v>
          </cell>
          <cell r="H1315" t="str">
            <v>-</v>
          </cell>
          <cell r="I1315" t="str">
            <v>LOG</v>
          </cell>
          <cell r="J1315" t="str">
            <v>EXIM</v>
          </cell>
          <cell r="K1315" t="str">
            <v>ALL</v>
          </cell>
          <cell r="L1315" t="str">
            <v>ALL</v>
          </cell>
          <cell r="M1315" t="str">
            <v>EXIM - CANDI</v>
          </cell>
          <cell r="N1315" t="str">
            <v>OPT IMPORT</v>
          </cell>
          <cell r="O1315" t="str">
            <v>EXIM</v>
          </cell>
          <cell r="P1315" t="str">
            <v>A</v>
          </cell>
          <cell r="Q1315" t="str">
            <v>PS</v>
          </cell>
          <cell r="R1315" t="str">
            <v>PERMANENT</v>
          </cell>
          <cell r="S1315" t="str">
            <v>PRM</v>
          </cell>
          <cell r="T1315" t="str">
            <v>OPT</v>
          </cell>
          <cell r="U1315" t="str">
            <v>-</v>
          </cell>
          <cell r="V1315" t="str">
            <v>L</v>
          </cell>
          <cell r="W1315">
            <v>38</v>
          </cell>
        </row>
        <row r="1316">
          <cell r="A1316">
            <v>15337</v>
          </cell>
          <cell r="B1316" t="str">
            <v>015337</v>
          </cell>
          <cell r="C1316" t="str">
            <v>LINDA WULANDARI</v>
          </cell>
          <cell r="D1316" t="str">
            <v>SAMI</v>
          </cell>
          <cell r="E1316" t="str">
            <v>OPT-387</v>
          </cell>
          <cell r="F1316">
            <v>41442</v>
          </cell>
          <cell r="G1316" t="str">
            <v>-</v>
          </cell>
          <cell r="H1316" t="str">
            <v>-</v>
          </cell>
          <cell r="I1316" t="str">
            <v>PRD</v>
          </cell>
          <cell r="J1316" t="str">
            <v>FINAL ASSY</v>
          </cell>
          <cell r="K1316" t="str">
            <v>MAZDA 3</v>
          </cell>
          <cell r="L1316" t="str">
            <v>MAZDA REAR</v>
          </cell>
          <cell r="M1316" t="str">
            <v>CV M01</v>
          </cell>
          <cell r="N1316" t="str">
            <v>VISUAL 1.2</v>
          </cell>
          <cell r="O1316" t="str">
            <v>VISUAL INSPECTION</v>
          </cell>
          <cell r="P1316" t="str">
            <v>B</v>
          </cell>
          <cell r="Q1316" t="str">
            <v>DL</v>
          </cell>
          <cell r="R1316" t="str">
            <v>PERMANENT</v>
          </cell>
          <cell r="S1316" t="str">
            <v>PRM</v>
          </cell>
          <cell r="T1316" t="str">
            <v>OPT</v>
          </cell>
          <cell r="U1316" t="str">
            <v>-</v>
          </cell>
          <cell r="V1316" t="str">
            <v>P</v>
          </cell>
          <cell r="W1316">
            <v>29</v>
          </cell>
        </row>
        <row r="1317">
          <cell r="A1317">
            <v>15339</v>
          </cell>
          <cell r="B1317" t="str">
            <v>015339</v>
          </cell>
          <cell r="C1317" t="str">
            <v>LUVI OKVIANTI</v>
          </cell>
          <cell r="D1317" t="str">
            <v>SAMI</v>
          </cell>
          <cell r="E1317" t="str">
            <v>OPT-387</v>
          </cell>
          <cell r="F1317">
            <v>41442</v>
          </cell>
          <cell r="G1317" t="str">
            <v>-</v>
          </cell>
          <cell r="H1317" t="str">
            <v>-</v>
          </cell>
          <cell r="I1317" t="str">
            <v>PRD</v>
          </cell>
          <cell r="J1317" t="str">
            <v>FINAL ASSY</v>
          </cell>
          <cell r="K1317" t="str">
            <v>TOYOTA HV</v>
          </cell>
          <cell r="L1317" t="str">
            <v>HV TOYOTA 10PL</v>
          </cell>
          <cell r="M1317" t="str">
            <v>CV HV 14B</v>
          </cell>
          <cell r="N1317" t="str">
            <v>VISUAL T2.1</v>
          </cell>
          <cell r="O1317" t="str">
            <v>VISUAL INSPECTION</v>
          </cell>
          <cell r="P1317" t="str">
            <v>B</v>
          </cell>
          <cell r="Q1317" t="str">
            <v>DL</v>
          </cell>
          <cell r="R1317" t="str">
            <v>PERMANENT</v>
          </cell>
          <cell r="S1317" t="str">
            <v>PRM</v>
          </cell>
          <cell r="T1317" t="str">
            <v>OPT</v>
          </cell>
          <cell r="U1317" t="str">
            <v>-</v>
          </cell>
          <cell r="V1317" t="str">
            <v>P</v>
          </cell>
          <cell r="W1317">
            <v>30</v>
          </cell>
        </row>
        <row r="1318">
          <cell r="A1318">
            <v>25111</v>
          </cell>
          <cell r="B1318" t="str">
            <v>025111</v>
          </cell>
          <cell r="C1318" t="str">
            <v>FARID HERNANDA T</v>
          </cell>
          <cell r="D1318" t="str">
            <v>SAMI</v>
          </cell>
          <cell r="E1318" t="str">
            <v>OPT-610</v>
          </cell>
          <cell r="F1318">
            <v>43826</v>
          </cell>
          <cell r="G1318" t="str">
            <v>-</v>
          </cell>
          <cell r="H1318" t="str">
            <v>-</v>
          </cell>
          <cell r="I1318" t="str">
            <v>PRD</v>
          </cell>
          <cell r="J1318" t="str">
            <v>NON LINE</v>
          </cell>
          <cell r="K1318" t="str">
            <v>ALL</v>
          </cell>
          <cell r="L1318" t="str">
            <v>ALL</v>
          </cell>
          <cell r="M1318" t="str">
            <v>PRODUCTION ADM</v>
          </cell>
          <cell r="N1318" t="str">
            <v>ADMINISTRATION (INTERPRETER)</v>
          </cell>
          <cell r="O1318" t="str">
            <v>OTHERS</v>
          </cell>
          <cell r="P1318" t="str">
            <v>A (NS)</v>
          </cell>
          <cell r="Q1318" t="str">
            <v>PI</v>
          </cell>
          <cell r="R1318" t="str">
            <v>PERMANENT</v>
          </cell>
          <cell r="S1318" t="str">
            <v>PRM</v>
          </cell>
          <cell r="T1318" t="str">
            <v>OPT</v>
          </cell>
          <cell r="U1318" t="str">
            <v>-</v>
          </cell>
          <cell r="V1318" t="str">
            <v>L</v>
          </cell>
          <cell r="W1318">
            <v>27</v>
          </cell>
        </row>
        <row r="1319">
          <cell r="A1319">
            <v>15479</v>
          </cell>
          <cell r="B1319" t="str">
            <v>015479</v>
          </cell>
          <cell r="C1319" t="str">
            <v>ACHMAD SHODIQ</v>
          </cell>
          <cell r="D1319" t="str">
            <v>SAMI</v>
          </cell>
          <cell r="E1319" t="str">
            <v>OPT-389</v>
          </cell>
          <cell r="F1319">
            <v>41449</v>
          </cell>
          <cell r="G1319" t="str">
            <v>-</v>
          </cell>
          <cell r="H1319" t="str">
            <v>-</v>
          </cell>
          <cell r="I1319" t="str">
            <v>PE</v>
          </cell>
          <cell r="J1319" t="str">
            <v>J/C BP</v>
          </cell>
          <cell r="K1319" t="str">
            <v>ALL</v>
          </cell>
          <cell r="L1319" t="str">
            <v>ALL</v>
          </cell>
          <cell r="M1319" t="str">
            <v>JBP</v>
          </cell>
          <cell r="N1319" t="str">
            <v>JIG BOARD FABRICATION</v>
          </cell>
          <cell r="O1319" t="str">
            <v>JBP</v>
          </cell>
          <cell r="P1319" t="str">
            <v>A (NS)</v>
          </cell>
          <cell r="Q1319" t="str">
            <v>PS</v>
          </cell>
          <cell r="R1319" t="str">
            <v>PERMANENT</v>
          </cell>
          <cell r="S1319" t="str">
            <v>PRM</v>
          </cell>
          <cell r="T1319" t="str">
            <v>OPT</v>
          </cell>
          <cell r="U1319" t="str">
            <v>-</v>
          </cell>
          <cell r="V1319" t="str">
            <v>L</v>
          </cell>
          <cell r="W1319">
            <v>33</v>
          </cell>
        </row>
        <row r="1320">
          <cell r="A1320">
            <v>15487</v>
          </cell>
          <cell r="B1320" t="str">
            <v>015487</v>
          </cell>
          <cell r="C1320" t="str">
            <v>ARI SUGIYANTO</v>
          </cell>
          <cell r="D1320" t="str">
            <v>SAMI</v>
          </cell>
          <cell r="E1320" t="str">
            <v>OPT-389</v>
          </cell>
          <cell r="F1320">
            <v>41449</v>
          </cell>
          <cell r="G1320" t="str">
            <v>-</v>
          </cell>
          <cell r="H1320" t="str">
            <v>-</v>
          </cell>
          <cell r="I1320" t="str">
            <v>PE</v>
          </cell>
          <cell r="J1320" t="str">
            <v>J/C BP</v>
          </cell>
          <cell r="K1320" t="str">
            <v>ALL</v>
          </cell>
          <cell r="L1320" t="str">
            <v>ALL</v>
          </cell>
          <cell r="M1320" t="str">
            <v>JBP</v>
          </cell>
          <cell r="N1320" t="str">
            <v>JIG BOARD FABRICATION</v>
          </cell>
          <cell r="O1320" t="str">
            <v>JBP</v>
          </cell>
          <cell r="P1320" t="str">
            <v>A (NS)</v>
          </cell>
          <cell r="Q1320" t="str">
            <v>PS</v>
          </cell>
          <cell r="R1320" t="str">
            <v>PERMANENT</v>
          </cell>
          <cell r="S1320" t="str">
            <v>PRM</v>
          </cell>
          <cell r="T1320" t="str">
            <v>OPT</v>
          </cell>
          <cell r="U1320" t="str">
            <v>-</v>
          </cell>
          <cell r="V1320" t="str">
            <v>L</v>
          </cell>
          <cell r="W1320">
            <v>35</v>
          </cell>
        </row>
        <row r="1321">
          <cell r="A1321">
            <v>15532</v>
          </cell>
          <cell r="B1321" t="str">
            <v>015532</v>
          </cell>
          <cell r="C1321" t="str">
            <v>ALFIAN NURI CAHYO</v>
          </cell>
          <cell r="D1321" t="str">
            <v>SAMI</v>
          </cell>
          <cell r="E1321" t="str">
            <v>OPT-390</v>
          </cell>
          <cell r="F1321">
            <v>41452</v>
          </cell>
          <cell r="G1321" t="str">
            <v>-</v>
          </cell>
          <cell r="H1321" t="str">
            <v>-</v>
          </cell>
          <cell r="I1321" t="str">
            <v>PE</v>
          </cell>
          <cell r="J1321" t="str">
            <v>J/C BP</v>
          </cell>
          <cell r="K1321" t="str">
            <v>ALL</v>
          </cell>
          <cell r="L1321" t="str">
            <v>ALL</v>
          </cell>
          <cell r="M1321" t="str">
            <v>JBP</v>
          </cell>
          <cell r="N1321" t="str">
            <v>DRAFTER JIG BOARD</v>
          </cell>
          <cell r="O1321" t="str">
            <v>JBP</v>
          </cell>
          <cell r="P1321" t="str">
            <v>B</v>
          </cell>
          <cell r="Q1321" t="str">
            <v>PS</v>
          </cell>
          <cell r="R1321" t="str">
            <v>PERMANENT</v>
          </cell>
          <cell r="S1321" t="str">
            <v>PRM</v>
          </cell>
          <cell r="T1321" t="str">
            <v>OPT</v>
          </cell>
          <cell r="U1321" t="str">
            <v>-</v>
          </cell>
          <cell r="V1321" t="str">
            <v>L</v>
          </cell>
          <cell r="W1321">
            <v>34</v>
          </cell>
        </row>
        <row r="1322">
          <cell r="A1322">
            <v>15582</v>
          </cell>
          <cell r="B1322" t="str">
            <v>015582</v>
          </cell>
          <cell r="C1322" t="str">
            <v>ADE BUDI KURNIAWAN</v>
          </cell>
          <cell r="D1322" t="str">
            <v>SAMI</v>
          </cell>
          <cell r="E1322" t="str">
            <v>ES-52</v>
          </cell>
          <cell r="F1322">
            <v>41456</v>
          </cell>
          <cell r="G1322" t="str">
            <v>-</v>
          </cell>
          <cell r="H1322" t="str">
            <v>-</v>
          </cell>
          <cell r="I1322" t="str">
            <v>LOG</v>
          </cell>
          <cell r="J1322" t="str">
            <v>WHS</v>
          </cell>
          <cell r="K1322" t="str">
            <v>ALL</v>
          </cell>
          <cell r="L1322" t="str">
            <v>ALL</v>
          </cell>
          <cell r="M1322" t="str">
            <v>WHS</v>
          </cell>
          <cell r="N1322" t="str">
            <v>LEADER</v>
          </cell>
          <cell r="O1322" t="str">
            <v>FPS LL</v>
          </cell>
          <cell r="P1322" t="str">
            <v>B</v>
          </cell>
          <cell r="Q1322" t="str">
            <v>PS</v>
          </cell>
          <cell r="R1322" t="str">
            <v>PERMANENT</v>
          </cell>
          <cell r="S1322" t="str">
            <v>PRM</v>
          </cell>
          <cell r="T1322" t="str">
            <v>ES</v>
          </cell>
          <cell r="U1322" t="str">
            <v>-</v>
          </cell>
          <cell r="V1322" t="str">
            <v>L</v>
          </cell>
          <cell r="W1322">
            <v>39</v>
          </cell>
        </row>
        <row r="1323">
          <cell r="A1323">
            <v>3735</v>
          </cell>
          <cell r="B1323" t="str">
            <v>003735</v>
          </cell>
          <cell r="C1323" t="str">
            <v>SITI LESTARI</v>
          </cell>
          <cell r="D1323" t="str">
            <v>SAMI</v>
          </cell>
          <cell r="E1323" t="str">
            <v>OPT-98</v>
          </cell>
          <cell r="F1323">
            <v>38626</v>
          </cell>
          <cell r="G1323" t="str">
            <v>-</v>
          </cell>
          <cell r="H1323" t="str">
            <v>-</v>
          </cell>
          <cell r="I1323" t="str">
            <v>PRD</v>
          </cell>
          <cell r="J1323" t="str">
            <v>NON LINE</v>
          </cell>
          <cell r="K1323" t="str">
            <v>ALL</v>
          </cell>
          <cell r="L1323" t="str">
            <v>ALL</v>
          </cell>
          <cell r="M1323" t="str">
            <v>PRODUCTION ADM MAN POWER</v>
          </cell>
          <cell r="N1323" t="str">
            <v>PRD LINE LEADER</v>
          </cell>
          <cell r="O1323" t="str">
            <v>FPI LL</v>
          </cell>
          <cell r="P1323" t="str">
            <v>A (NS)</v>
          </cell>
          <cell r="Q1323" t="str">
            <v>PI</v>
          </cell>
          <cell r="R1323" t="str">
            <v>PERMANENT</v>
          </cell>
          <cell r="S1323" t="str">
            <v>PRM</v>
          </cell>
          <cell r="T1323" t="str">
            <v>LL</v>
          </cell>
          <cell r="U1323" t="str">
            <v>-</v>
          </cell>
          <cell r="V1323" t="str">
            <v>P</v>
          </cell>
          <cell r="W1323">
            <v>41</v>
          </cell>
        </row>
        <row r="1324">
          <cell r="A1324">
            <v>9987</v>
          </cell>
          <cell r="B1324" t="str">
            <v>009987</v>
          </cell>
          <cell r="C1324" t="str">
            <v>WAHYU SETYANING TYAS</v>
          </cell>
          <cell r="D1324" t="str">
            <v>SAMI</v>
          </cell>
          <cell r="E1324" t="str">
            <v>OPT-246</v>
          </cell>
          <cell r="F1324">
            <v>40431</v>
          </cell>
          <cell r="G1324" t="str">
            <v>-</v>
          </cell>
          <cell r="H1324" t="str">
            <v>-</v>
          </cell>
          <cell r="I1324" t="str">
            <v>PRD</v>
          </cell>
          <cell r="J1324" t="str">
            <v>NON LINE</v>
          </cell>
          <cell r="K1324" t="str">
            <v>ALL</v>
          </cell>
          <cell r="L1324" t="str">
            <v>ALL</v>
          </cell>
          <cell r="M1324" t="str">
            <v>PRODUCTION ADM MAN POWER</v>
          </cell>
          <cell r="N1324" t="str">
            <v>KONTROL MAN POWER</v>
          </cell>
          <cell r="O1324" t="str">
            <v>GL</v>
          </cell>
          <cell r="P1324" t="str">
            <v>A (NS)</v>
          </cell>
          <cell r="Q1324" t="str">
            <v>PI</v>
          </cell>
          <cell r="R1324" t="str">
            <v>PERMANENT</v>
          </cell>
          <cell r="S1324" t="str">
            <v>PRM</v>
          </cell>
          <cell r="T1324" t="str">
            <v>GL</v>
          </cell>
          <cell r="U1324" t="str">
            <v>-</v>
          </cell>
          <cell r="V1324" t="str">
            <v>P</v>
          </cell>
          <cell r="W1324">
            <v>32</v>
          </cell>
        </row>
        <row r="1325">
          <cell r="A1325">
            <v>15746</v>
          </cell>
          <cell r="B1325" t="str">
            <v>015746</v>
          </cell>
          <cell r="C1325" t="str">
            <v>RAGIL LILIK SANDJANI</v>
          </cell>
          <cell r="D1325" t="str">
            <v>SAMI</v>
          </cell>
          <cell r="E1325" t="str">
            <v>OPT-396</v>
          </cell>
          <cell r="F1325">
            <v>41526</v>
          </cell>
          <cell r="G1325" t="str">
            <v>-</v>
          </cell>
          <cell r="H1325" t="str">
            <v>-</v>
          </cell>
          <cell r="I1325" t="str">
            <v>PRD</v>
          </cell>
          <cell r="J1325" t="str">
            <v>FINAL ASSY</v>
          </cell>
          <cell r="K1325" t="str">
            <v>MAZDA 3</v>
          </cell>
          <cell r="L1325" t="str">
            <v>MAZDA REAR</v>
          </cell>
          <cell r="M1325" t="str">
            <v>CV M01</v>
          </cell>
          <cell r="N1325" t="str">
            <v>CHECKER CLIP 1</v>
          </cell>
          <cell r="O1325" t="str">
            <v>ELECTRICAL INSPECTION</v>
          </cell>
          <cell r="P1325" t="str">
            <v>B</v>
          </cell>
          <cell r="Q1325" t="str">
            <v>DL</v>
          </cell>
          <cell r="R1325" t="str">
            <v>PERMANENT</v>
          </cell>
          <cell r="S1325" t="str">
            <v>PRM</v>
          </cell>
          <cell r="T1325" t="str">
            <v>OPT</v>
          </cell>
          <cell r="U1325" t="str">
            <v>-</v>
          </cell>
          <cell r="V1325" t="str">
            <v>P</v>
          </cell>
          <cell r="W1325">
            <v>31</v>
          </cell>
        </row>
        <row r="1326">
          <cell r="A1326">
            <v>10102</v>
          </cell>
          <cell r="B1326" t="str">
            <v>010102</v>
          </cell>
          <cell r="C1326" t="str">
            <v>MUSTAAROH</v>
          </cell>
          <cell r="D1326" t="str">
            <v>SAMI</v>
          </cell>
          <cell r="E1326" t="str">
            <v>OPT-248</v>
          </cell>
          <cell r="F1326">
            <v>40444</v>
          </cell>
          <cell r="G1326" t="str">
            <v>-</v>
          </cell>
          <cell r="H1326" t="str">
            <v>-</v>
          </cell>
          <cell r="I1326" t="str">
            <v>PRD</v>
          </cell>
          <cell r="J1326" t="str">
            <v>NON LINE</v>
          </cell>
          <cell r="K1326" t="str">
            <v>ALL</v>
          </cell>
          <cell r="L1326" t="str">
            <v>ALL</v>
          </cell>
          <cell r="M1326" t="str">
            <v>PRODUCTION ADM MAN POWER</v>
          </cell>
          <cell r="N1326" t="str">
            <v>KONTROL MAN POWER</v>
          </cell>
          <cell r="O1326" t="str">
            <v>GL</v>
          </cell>
          <cell r="P1326" t="str">
            <v>A (NS)</v>
          </cell>
          <cell r="Q1326" t="str">
            <v>PI</v>
          </cell>
          <cell r="R1326" t="str">
            <v>PERMANENT</v>
          </cell>
          <cell r="S1326" t="str">
            <v>PRM</v>
          </cell>
          <cell r="T1326" t="str">
            <v>GL</v>
          </cell>
          <cell r="U1326" t="str">
            <v>-</v>
          </cell>
          <cell r="V1326" t="str">
            <v>P</v>
          </cell>
          <cell r="W1326">
            <v>32</v>
          </cell>
        </row>
        <row r="1327">
          <cell r="A1327">
            <v>15966</v>
          </cell>
          <cell r="B1327" t="str">
            <v>015966</v>
          </cell>
          <cell r="C1327" t="str">
            <v>LULUK AFIFATUL LAFIFAH</v>
          </cell>
          <cell r="D1327" t="str">
            <v>SAMI</v>
          </cell>
          <cell r="E1327" t="str">
            <v>OPT-400</v>
          </cell>
          <cell r="F1327">
            <v>41564</v>
          </cell>
          <cell r="G1327" t="str">
            <v>-</v>
          </cell>
          <cell r="H1327" t="str">
            <v>-</v>
          </cell>
          <cell r="I1327" t="str">
            <v>PRD</v>
          </cell>
          <cell r="J1327" t="str">
            <v>FINAL ASSY</v>
          </cell>
          <cell r="K1327" t="str">
            <v>HONDA FREED</v>
          </cell>
          <cell r="L1327" t="str">
            <v>HONDA FREED W/H FLOOR</v>
          </cell>
          <cell r="M1327" t="str">
            <v>CV 4</v>
          </cell>
          <cell r="N1327" t="str">
            <v>CHECKER 3</v>
          </cell>
          <cell r="O1327" t="str">
            <v>ELECTRICAL INSPECTION</v>
          </cell>
          <cell r="P1327" t="str">
            <v>B</v>
          </cell>
          <cell r="Q1327" t="str">
            <v>DL</v>
          </cell>
          <cell r="R1327" t="str">
            <v>PERMANENT</v>
          </cell>
          <cell r="S1327" t="str">
            <v>PRM</v>
          </cell>
          <cell r="T1327" t="str">
            <v>OPT</v>
          </cell>
          <cell r="U1327" t="str">
            <v>-</v>
          </cell>
          <cell r="V1327" t="str">
            <v>P</v>
          </cell>
          <cell r="W1327">
            <v>28</v>
          </cell>
        </row>
        <row r="1328">
          <cell r="A1328">
            <v>58</v>
          </cell>
          <cell r="B1328" t="str">
            <v>000058</v>
          </cell>
          <cell r="C1328" t="str">
            <v>HADIYANTI</v>
          </cell>
          <cell r="D1328" t="str">
            <v>SAMI</v>
          </cell>
          <cell r="E1328" t="str">
            <v>OPT-1</v>
          </cell>
          <cell r="F1328">
            <v>37578</v>
          </cell>
          <cell r="G1328" t="str">
            <v>-</v>
          </cell>
          <cell r="H1328" t="str">
            <v>-</v>
          </cell>
          <cell r="I1328" t="str">
            <v>PRD</v>
          </cell>
          <cell r="J1328" t="str">
            <v>NON LINE</v>
          </cell>
          <cell r="K1328" t="str">
            <v>ALL</v>
          </cell>
          <cell r="L1328" t="str">
            <v>ALL</v>
          </cell>
          <cell r="M1328" t="str">
            <v>PRODUCTION NAME PLATE</v>
          </cell>
          <cell r="N1328" t="str">
            <v>PRD LINE LEADER</v>
          </cell>
          <cell r="O1328" t="str">
            <v>FPI LL</v>
          </cell>
          <cell r="P1328" t="str">
            <v>A</v>
          </cell>
          <cell r="Q1328" t="str">
            <v>PI</v>
          </cell>
          <cell r="R1328" t="str">
            <v>PERMANENT</v>
          </cell>
          <cell r="S1328" t="str">
            <v>PRM</v>
          </cell>
          <cell r="T1328" t="str">
            <v>LL</v>
          </cell>
          <cell r="U1328" t="str">
            <v>-</v>
          </cell>
          <cell r="V1328" t="str">
            <v>P</v>
          </cell>
          <cell r="W1328">
            <v>42</v>
          </cell>
        </row>
        <row r="1329">
          <cell r="A1329">
            <v>16111</v>
          </cell>
          <cell r="B1329" t="str">
            <v>016111</v>
          </cell>
          <cell r="C1329" t="str">
            <v>WAIS AL QURNIE</v>
          </cell>
          <cell r="D1329" t="str">
            <v>SAMI</v>
          </cell>
          <cell r="E1329" t="str">
            <v>OPT-404</v>
          </cell>
          <cell r="F1329">
            <v>41586</v>
          </cell>
          <cell r="G1329" t="str">
            <v>-</v>
          </cell>
          <cell r="H1329" t="str">
            <v>-</v>
          </cell>
          <cell r="I1329" t="str">
            <v>PGA</v>
          </cell>
          <cell r="J1329" t="str">
            <v>GA</v>
          </cell>
          <cell r="K1329" t="str">
            <v>ALL</v>
          </cell>
          <cell r="L1329" t="str">
            <v>ALL</v>
          </cell>
          <cell r="M1329" t="str">
            <v>GA</v>
          </cell>
          <cell r="N1329" t="str">
            <v>STAFF GA</v>
          </cell>
          <cell r="O1329" t="str">
            <v>GA</v>
          </cell>
          <cell r="P1329" t="str">
            <v>A (NS)</v>
          </cell>
          <cell r="Q1329" t="str">
            <v>ADM</v>
          </cell>
          <cell r="R1329" t="str">
            <v>PERMANENT</v>
          </cell>
          <cell r="S1329" t="str">
            <v>PRM</v>
          </cell>
          <cell r="T1329" t="str">
            <v>PGA</v>
          </cell>
          <cell r="U1329" t="str">
            <v>-</v>
          </cell>
          <cell r="V1329" t="str">
            <v>P</v>
          </cell>
          <cell r="W1329">
            <v>30</v>
          </cell>
        </row>
        <row r="1330">
          <cell r="A1330">
            <v>1128</v>
          </cell>
          <cell r="B1330" t="str">
            <v>001128</v>
          </cell>
          <cell r="C1330" t="str">
            <v>TUTUK APRIYANTI</v>
          </cell>
          <cell r="D1330" t="str">
            <v>SAMI</v>
          </cell>
          <cell r="E1330" t="str">
            <v>OPT-28</v>
          </cell>
          <cell r="F1330">
            <v>37900</v>
          </cell>
          <cell r="G1330" t="str">
            <v>-</v>
          </cell>
          <cell r="H1330" t="str">
            <v>-</v>
          </cell>
          <cell r="I1330" t="str">
            <v>PRD</v>
          </cell>
          <cell r="J1330" t="str">
            <v>NON LINE</v>
          </cell>
          <cell r="K1330" t="str">
            <v>ALL</v>
          </cell>
          <cell r="L1330" t="str">
            <v>ALL</v>
          </cell>
          <cell r="M1330" t="str">
            <v>PRODUCTION NAME PLATE</v>
          </cell>
          <cell r="N1330" t="str">
            <v>KANBAN FA &amp; NAME PLATE</v>
          </cell>
          <cell r="O1330" t="str">
            <v>OTHERS</v>
          </cell>
          <cell r="P1330" t="str">
            <v>A</v>
          </cell>
          <cell r="Q1330" t="str">
            <v>PI</v>
          </cell>
          <cell r="R1330" t="str">
            <v>PERMANENT</v>
          </cell>
          <cell r="S1330" t="str">
            <v>PRM</v>
          </cell>
          <cell r="T1330" t="str">
            <v>OPT</v>
          </cell>
          <cell r="U1330" t="str">
            <v>-</v>
          </cell>
          <cell r="V1330" t="str">
            <v>P</v>
          </cell>
          <cell r="W1330">
            <v>42</v>
          </cell>
        </row>
        <row r="1331">
          <cell r="A1331">
            <v>15260</v>
          </cell>
          <cell r="B1331" t="str">
            <v>015260</v>
          </cell>
          <cell r="C1331" t="str">
            <v>MUHAMAD NURIYANTO</v>
          </cell>
          <cell r="D1331" t="str">
            <v>SAMI</v>
          </cell>
          <cell r="E1331" t="str">
            <v>OPT-386</v>
          </cell>
          <cell r="F1331">
            <v>41438</v>
          </cell>
          <cell r="G1331" t="str">
            <v>-</v>
          </cell>
          <cell r="H1331" t="str">
            <v>-</v>
          </cell>
          <cell r="I1331" t="str">
            <v>PRD</v>
          </cell>
          <cell r="J1331" t="str">
            <v>NON LINE</v>
          </cell>
          <cell r="K1331" t="str">
            <v>ALL</v>
          </cell>
          <cell r="L1331" t="str">
            <v>ALL</v>
          </cell>
          <cell r="M1331" t="str">
            <v>PRODUCTION NAME PLATE</v>
          </cell>
          <cell r="N1331" t="str">
            <v>KANBAN FA &amp; NAME PLATE</v>
          </cell>
          <cell r="O1331" t="str">
            <v>OTHERS</v>
          </cell>
          <cell r="P1331" t="str">
            <v>A</v>
          </cell>
          <cell r="Q1331" t="str">
            <v>PI</v>
          </cell>
          <cell r="R1331" t="str">
            <v>PERMANENT</v>
          </cell>
          <cell r="S1331" t="str">
            <v>PRM</v>
          </cell>
          <cell r="T1331" t="str">
            <v>OPT</v>
          </cell>
          <cell r="U1331" t="str">
            <v>-</v>
          </cell>
          <cell r="V1331" t="str">
            <v>L</v>
          </cell>
          <cell r="W1331">
            <v>35</v>
          </cell>
        </row>
        <row r="1332">
          <cell r="A1332">
            <v>5842</v>
          </cell>
          <cell r="B1332" t="str">
            <v>005842</v>
          </cell>
          <cell r="C1332" t="str">
            <v>YULI RISTIANI</v>
          </cell>
          <cell r="D1332" t="str">
            <v>SAMI</v>
          </cell>
          <cell r="E1332" t="str">
            <v>OPT-135</v>
          </cell>
          <cell r="F1332">
            <v>39114</v>
          </cell>
          <cell r="G1332" t="str">
            <v>-</v>
          </cell>
          <cell r="H1332" t="str">
            <v>-</v>
          </cell>
          <cell r="I1332" t="str">
            <v>PRD</v>
          </cell>
          <cell r="J1332" t="str">
            <v>NON LINE</v>
          </cell>
          <cell r="K1332" t="str">
            <v>ALL</v>
          </cell>
          <cell r="L1332" t="str">
            <v>ALL</v>
          </cell>
          <cell r="M1332" t="str">
            <v>PRODUCTION QLP</v>
          </cell>
          <cell r="N1332" t="str">
            <v>PRD LINE LEADER</v>
          </cell>
          <cell r="O1332" t="str">
            <v>FPI LL</v>
          </cell>
          <cell r="P1332" t="str">
            <v>A (NS)</v>
          </cell>
          <cell r="Q1332" t="str">
            <v>PI</v>
          </cell>
          <cell r="R1332" t="str">
            <v>PERMANENT</v>
          </cell>
          <cell r="S1332" t="str">
            <v>PRM</v>
          </cell>
          <cell r="T1332" t="str">
            <v>LL</v>
          </cell>
          <cell r="U1332" t="str">
            <v>-</v>
          </cell>
          <cell r="V1332" t="str">
            <v>P</v>
          </cell>
          <cell r="W1332">
            <v>40</v>
          </cell>
        </row>
        <row r="1333">
          <cell r="A1333">
            <v>16978</v>
          </cell>
          <cell r="B1333" t="str">
            <v>016978</v>
          </cell>
          <cell r="C1333" t="str">
            <v>ARI YULIYANTO</v>
          </cell>
          <cell r="D1333" t="str">
            <v>SAMI</v>
          </cell>
          <cell r="E1333" t="str">
            <v>OPT-437</v>
          </cell>
          <cell r="F1333">
            <v>41744</v>
          </cell>
          <cell r="G1333" t="str">
            <v>-</v>
          </cell>
          <cell r="H1333" t="str">
            <v>-</v>
          </cell>
          <cell r="I1333" t="str">
            <v>PRD</v>
          </cell>
          <cell r="J1333" t="str">
            <v>PRE ASSY</v>
          </cell>
          <cell r="K1333" t="str">
            <v>HONDA FIT</v>
          </cell>
          <cell r="L1333" t="str">
            <v>HONDA FIT</v>
          </cell>
          <cell r="M1333" t="str">
            <v>CPA HONDA FIT HEV/PET</v>
          </cell>
          <cell r="N1333" t="str">
            <v>CUTTING KDR-HDA-01</v>
          </cell>
          <cell r="O1333" t="str">
            <v>CUTTING WIRE</v>
          </cell>
          <cell r="P1333" t="str">
            <v>B</v>
          </cell>
          <cell r="Q1333" t="str">
            <v>DL</v>
          </cell>
          <cell r="R1333" t="str">
            <v>PERMANENT</v>
          </cell>
          <cell r="S1333" t="str">
            <v>PRM</v>
          </cell>
          <cell r="T1333" t="str">
            <v>OPT</v>
          </cell>
          <cell r="U1333" t="str">
            <v>-</v>
          </cell>
          <cell r="V1333" t="str">
            <v>L</v>
          </cell>
          <cell r="W1333">
            <v>32</v>
          </cell>
        </row>
        <row r="1334">
          <cell r="A1334">
            <v>9171</v>
          </cell>
          <cell r="B1334" t="str">
            <v>009171</v>
          </cell>
          <cell r="C1334" t="str">
            <v>SUSANTI</v>
          </cell>
          <cell r="D1334" t="str">
            <v>SAMI</v>
          </cell>
          <cell r="E1334" t="str">
            <v>OPT-205</v>
          </cell>
          <cell r="F1334">
            <v>40000</v>
          </cell>
          <cell r="G1334" t="str">
            <v>-</v>
          </cell>
          <cell r="H1334" t="str">
            <v>-</v>
          </cell>
          <cell r="I1334" t="str">
            <v>PRD</v>
          </cell>
          <cell r="J1334" t="str">
            <v>NON LINE</v>
          </cell>
          <cell r="K1334" t="str">
            <v>ALL</v>
          </cell>
          <cell r="L1334" t="str">
            <v>ALL</v>
          </cell>
          <cell r="M1334" t="str">
            <v>PRODUCTION QLP</v>
          </cell>
          <cell r="N1334" t="str">
            <v>PATROLI ABNORMAL</v>
          </cell>
          <cell r="O1334" t="str">
            <v>GL</v>
          </cell>
          <cell r="P1334" t="str">
            <v>A</v>
          </cell>
          <cell r="Q1334" t="str">
            <v>PI</v>
          </cell>
          <cell r="R1334" t="str">
            <v>PERMANENT</v>
          </cell>
          <cell r="S1334" t="str">
            <v>PRM</v>
          </cell>
          <cell r="T1334" t="str">
            <v>GL</v>
          </cell>
          <cell r="U1334" t="str">
            <v>-</v>
          </cell>
          <cell r="V1334" t="str">
            <v>P</v>
          </cell>
          <cell r="W1334">
            <v>33</v>
          </cell>
        </row>
        <row r="1335">
          <cell r="A1335">
            <v>5887</v>
          </cell>
          <cell r="B1335" t="str">
            <v>005887</v>
          </cell>
          <cell r="C1335" t="str">
            <v>DEWI JAMIAH</v>
          </cell>
          <cell r="D1335" t="str">
            <v>SAMI</v>
          </cell>
          <cell r="E1335" t="str">
            <v>OPT-137</v>
          </cell>
          <cell r="F1335">
            <v>39129</v>
          </cell>
          <cell r="G1335" t="str">
            <v>-</v>
          </cell>
          <cell r="H1335" t="str">
            <v>-</v>
          </cell>
          <cell r="I1335" t="str">
            <v>PRD</v>
          </cell>
          <cell r="J1335" t="str">
            <v>NON LINE</v>
          </cell>
          <cell r="K1335" t="str">
            <v>ALL</v>
          </cell>
          <cell r="L1335" t="str">
            <v>ALL</v>
          </cell>
          <cell r="M1335" t="str">
            <v>PRODUCTION SOOP</v>
          </cell>
          <cell r="N1335" t="str">
            <v>SOOP</v>
          </cell>
          <cell r="O1335" t="str">
            <v>GL</v>
          </cell>
          <cell r="P1335" t="str">
            <v>A (NS)</v>
          </cell>
          <cell r="Q1335" t="str">
            <v>PI</v>
          </cell>
          <cell r="R1335" t="str">
            <v>PERMANENT</v>
          </cell>
          <cell r="S1335" t="str">
            <v>PRM</v>
          </cell>
          <cell r="T1335" t="str">
            <v>GL</v>
          </cell>
          <cell r="U1335" t="str">
            <v>-</v>
          </cell>
          <cell r="V1335" t="str">
            <v>P</v>
          </cell>
          <cell r="W1335">
            <v>38</v>
          </cell>
        </row>
        <row r="1336">
          <cell r="A1336">
            <v>17180</v>
          </cell>
          <cell r="B1336" t="str">
            <v>017180</v>
          </cell>
          <cell r="C1336" t="str">
            <v>YESSI MAY SHELLA</v>
          </cell>
          <cell r="D1336" t="str">
            <v>SAMI</v>
          </cell>
          <cell r="E1336" t="str">
            <v>OPT-439</v>
          </cell>
          <cell r="F1336">
            <v>41758</v>
          </cell>
          <cell r="G1336" t="str">
            <v>-</v>
          </cell>
          <cell r="H1336" t="str">
            <v>-</v>
          </cell>
          <cell r="I1336" t="str">
            <v>PRD</v>
          </cell>
          <cell r="J1336" t="str">
            <v>PRE ASSY</v>
          </cell>
          <cell r="K1336" t="str">
            <v>DAIHATSU</v>
          </cell>
          <cell r="L1336" t="str">
            <v>HV TOYOTA LV</v>
          </cell>
          <cell r="M1336" t="str">
            <v>CPA TOYOTA LV</v>
          </cell>
          <cell r="N1336" t="str">
            <v>OJT BM3-STA-02</v>
          </cell>
          <cell r="O1336" t="str">
            <v>OTHERS</v>
          </cell>
          <cell r="P1336" t="str">
            <v>B</v>
          </cell>
          <cell r="Q1336" t="str">
            <v>PI</v>
          </cell>
          <cell r="R1336" t="str">
            <v>PERMANENT</v>
          </cell>
          <cell r="S1336" t="str">
            <v>PRM</v>
          </cell>
          <cell r="T1336" t="str">
            <v>OPT</v>
          </cell>
          <cell r="U1336" t="str">
            <v>-</v>
          </cell>
          <cell r="V1336" t="str">
            <v>P</v>
          </cell>
          <cell r="W1336">
            <v>28</v>
          </cell>
        </row>
        <row r="1337">
          <cell r="A1337">
            <v>8990</v>
          </cell>
          <cell r="B1337" t="str">
            <v>008990</v>
          </cell>
          <cell r="C1337" t="str">
            <v>ANIK RHOMAWATI</v>
          </cell>
          <cell r="D1337" t="str">
            <v>SAMI</v>
          </cell>
          <cell r="E1337" t="str">
            <v>OPT-201</v>
          </cell>
          <cell r="F1337">
            <v>39975</v>
          </cell>
          <cell r="G1337" t="str">
            <v>-</v>
          </cell>
          <cell r="H1337" t="str">
            <v>-</v>
          </cell>
          <cell r="I1337" t="str">
            <v>PRD</v>
          </cell>
          <cell r="J1337" t="str">
            <v>NON LINE</v>
          </cell>
          <cell r="K1337" t="str">
            <v>ALL</v>
          </cell>
          <cell r="L1337" t="str">
            <v>ALL</v>
          </cell>
          <cell r="M1337" t="str">
            <v>PRODUCTION SOOP</v>
          </cell>
          <cell r="N1337" t="str">
            <v>SOOP</v>
          </cell>
          <cell r="O1337" t="str">
            <v>GL</v>
          </cell>
          <cell r="P1337" t="str">
            <v>A (NS)</v>
          </cell>
          <cell r="Q1337" t="str">
            <v>PI</v>
          </cell>
          <cell r="R1337" t="str">
            <v>PERMANENT</v>
          </cell>
          <cell r="S1337" t="str">
            <v>PRM</v>
          </cell>
          <cell r="T1337" t="str">
            <v>GL</v>
          </cell>
          <cell r="U1337" t="str">
            <v>-</v>
          </cell>
          <cell r="V1337" t="str">
            <v>P</v>
          </cell>
          <cell r="W1337">
            <v>36</v>
          </cell>
        </row>
        <row r="1338">
          <cell r="A1338">
            <v>17278</v>
          </cell>
          <cell r="B1338" t="str">
            <v>017278</v>
          </cell>
          <cell r="C1338" t="str">
            <v>MAULIDINA AHSAN</v>
          </cell>
          <cell r="D1338" t="str">
            <v>SAMI</v>
          </cell>
          <cell r="E1338" t="str">
            <v>TKN-80</v>
          </cell>
          <cell r="F1338">
            <v>41764</v>
          </cell>
          <cell r="G1338" t="str">
            <v>-</v>
          </cell>
          <cell r="H1338" t="str">
            <v>-</v>
          </cell>
          <cell r="I1338" t="str">
            <v>PGA</v>
          </cell>
          <cell r="J1338" t="str">
            <v>GA</v>
          </cell>
          <cell r="K1338" t="str">
            <v>ALL</v>
          </cell>
          <cell r="L1338" t="str">
            <v>ALL</v>
          </cell>
          <cell r="M1338" t="str">
            <v>GA</v>
          </cell>
          <cell r="N1338" t="str">
            <v>BUILDING MAINTENANCE</v>
          </cell>
          <cell r="O1338" t="str">
            <v>BDM</v>
          </cell>
          <cell r="P1338" t="str">
            <v>A</v>
          </cell>
          <cell r="Q1338" t="str">
            <v>ADM</v>
          </cell>
          <cell r="R1338" t="str">
            <v>PERMANENT</v>
          </cell>
          <cell r="S1338" t="str">
            <v>PRM</v>
          </cell>
          <cell r="T1338" t="str">
            <v>PGA</v>
          </cell>
          <cell r="U1338" t="str">
            <v>-</v>
          </cell>
          <cell r="V1338" t="str">
            <v>L</v>
          </cell>
          <cell r="W1338">
            <v>30</v>
          </cell>
        </row>
        <row r="1339">
          <cell r="A1339">
            <v>17283</v>
          </cell>
          <cell r="B1339" t="str">
            <v>017283</v>
          </cell>
          <cell r="C1339" t="str">
            <v>ANIS BERKAH WIJAYANTI</v>
          </cell>
          <cell r="D1339" t="str">
            <v>SAMI</v>
          </cell>
          <cell r="E1339" t="str">
            <v>OPT-441</v>
          </cell>
          <cell r="F1339">
            <v>41767</v>
          </cell>
          <cell r="G1339" t="str">
            <v>-</v>
          </cell>
          <cell r="H1339" t="str">
            <v>-</v>
          </cell>
          <cell r="I1339" t="str">
            <v>PRD</v>
          </cell>
          <cell r="J1339" t="str">
            <v>FINAL ASSY</v>
          </cell>
          <cell r="K1339" t="str">
            <v>HONDA NES</v>
          </cell>
          <cell r="L1339" t="str">
            <v>HONDA NES HEV PET ENGINE</v>
          </cell>
          <cell r="M1339" t="str">
            <v>CV H04</v>
          </cell>
          <cell r="N1339" t="str">
            <v>OFFLINE CLIP 4</v>
          </cell>
          <cell r="O1339" t="str">
            <v>ASSEMBLY</v>
          </cell>
          <cell r="P1339" t="str">
            <v>B</v>
          </cell>
          <cell r="Q1339" t="str">
            <v>DL</v>
          </cell>
          <cell r="R1339" t="str">
            <v>PERMANENT</v>
          </cell>
          <cell r="S1339" t="str">
            <v>PRM</v>
          </cell>
          <cell r="T1339" t="str">
            <v>OPT</v>
          </cell>
          <cell r="U1339" t="str">
            <v>-</v>
          </cell>
          <cell r="V1339" t="str">
            <v>P</v>
          </cell>
          <cell r="W1339">
            <v>28</v>
          </cell>
        </row>
        <row r="1340">
          <cell r="A1340">
            <v>17334</v>
          </cell>
          <cell r="B1340" t="str">
            <v>017334</v>
          </cell>
          <cell r="C1340" t="str">
            <v>NUR ALIMATUS SA'ADAH</v>
          </cell>
          <cell r="D1340" t="str">
            <v>SAMI</v>
          </cell>
          <cell r="E1340" t="str">
            <v>OPT-441</v>
          </cell>
          <cell r="F1340">
            <v>41767</v>
          </cell>
          <cell r="G1340" t="str">
            <v>-</v>
          </cell>
          <cell r="H1340" t="str">
            <v>-</v>
          </cell>
          <cell r="I1340" t="str">
            <v>OTHERS</v>
          </cell>
          <cell r="J1340" t="str">
            <v>AT HOME</v>
          </cell>
          <cell r="K1340" t="str">
            <v>ALL</v>
          </cell>
          <cell r="L1340" t="str">
            <v>ALL</v>
          </cell>
          <cell r="M1340" t="str">
            <v>AT HOME</v>
          </cell>
          <cell r="N1340" t="str">
            <v>CUTI KELAHIRAN</v>
          </cell>
          <cell r="O1340" t="str">
            <v>OTHERS IDL</v>
          </cell>
          <cell r="P1340" t="str">
            <v>-</v>
          </cell>
          <cell r="Q1340" t="str">
            <v>ADM</v>
          </cell>
          <cell r="R1340" t="str">
            <v>PERMANENT</v>
          </cell>
          <cell r="S1340" t="str">
            <v>PRM</v>
          </cell>
          <cell r="T1340" t="str">
            <v>OPT</v>
          </cell>
          <cell r="U1340" t="str">
            <v>-</v>
          </cell>
          <cell r="V1340" t="str">
            <v>P</v>
          </cell>
          <cell r="W1340">
            <v>29</v>
          </cell>
        </row>
        <row r="1341">
          <cell r="A1341">
            <v>17363</v>
          </cell>
          <cell r="B1341" t="str">
            <v>017363</v>
          </cell>
          <cell r="C1341" t="str">
            <v>DIAH DWI JAYATI</v>
          </cell>
          <cell r="D1341" t="str">
            <v>SAMI</v>
          </cell>
          <cell r="E1341" t="str">
            <v>OPT-442</v>
          </cell>
          <cell r="F1341">
            <v>41772</v>
          </cell>
          <cell r="G1341" t="str">
            <v>-</v>
          </cell>
          <cell r="H1341" t="str">
            <v>-</v>
          </cell>
          <cell r="I1341" t="str">
            <v>PRD</v>
          </cell>
          <cell r="J1341" t="str">
            <v>PRE ASSY</v>
          </cell>
          <cell r="K1341" t="str">
            <v>HONDA EXPORT</v>
          </cell>
          <cell r="L1341" t="str">
            <v>HONDA EXPORT</v>
          </cell>
          <cell r="M1341" t="str">
            <v>CPA HONDA EXPORT</v>
          </cell>
          <cell r="N1341" t="str">
            <v>CUTTING AC90-HDA-06</v>
          </cell>
          <cell r="O1341" t="str">
            <v>CUTTING WIRE</v>
          </cell>
          <cell r="P1341" t="str">
            <v>B</v>
          </cell>
          <cell r="Q1341" t="str">
            <v>DL</v>
          </cell>
          <cell r="R1341" t="str">
            <v>PERMANENT</v>
          </cell>
          <cell r="S1341" t="str">
            <v>PRM</v>
          </cell>
          <cell r="T1341" t="str">
            <v>OPT</v>
          </cell>
          <cell r="U1341" t="str">
            <v>-</v>
          </cell>
          <cell r="V1341" t="str">
            <v>P</v>
          </cell>
          <cell r="W1341">
            <v>28</v>
          </cell>
        </row>
        <row r="1342">
          <cell r="A1342">
            <v>4658</v>
          </cell>
          <cell r="B1342" t="str">
            <v>004658</v>
          </cell>
          <cell r="C1342" t="str">
            <v>AGUS TRIYONO</v>
          </cell>
          <cell r="D1342" t="str">
            <v>SAMI</v>
          </cell>
          <cell r="E1342" t="str">
            <v>TKN-25</v>
          </cell>
          <cell r="F1342">
            <v>38901</v>
          </cell>
          <cell r="G1342" t="str">
            <v>-</v>
          </cell>
          <cell r="H1342" t="str">
            <v>-</v>
          </cell>
          <cell r="I1342" t="str">
            <v>PRD</v>
          </cell>
          <cell r="J1342" t="str">
            <v>NON LINE</v>
          </cell>
          <cell r="K1342" t="str">
            <v>ALL</v>
          </cell>
          <cell r="L1342" t="str">
            <v>ALL</v>
          </cell>
          <cell r="M1342" t="str">
            <v>PRODUCTION SYSTEM</v>
          </cell>
          <cell r="N1342" t="str">
            <v>LINE LEADER</v>
          </cell>
          <cell r="O1342" t="str">
            <v>FPS LL</v>
          </cell>
          <cell r="P1342" t="str">
            <v>A (NS)</v>
          </cell>
          <cell r="Q1342" t="str">
            <v>PS</v>
          </cell>
          <cell r="R1342" t="str">
            <v>PERMANENT</v>
          </cell>
          <cell r="S1342" t="str">
            <v>PRM</v>
          </cell>
          <cell r="T1342" t="str">
            <v>LL</v>
          </cell>
          <cell r="U1342" t="str">
            <v>-</v>
          </cell>
          <cell r="V1342" t="str">
            <v>L</v>
          </cell>
          <cell r="W1342">
            <v>40</v>
          </cell>
        </row>
        <row r="1343">
          <cell r="A1343">
            <v>17448</v>
          </cell>
          <cell r="B1343" t="str">
            <v>017448</v>
          </cell>
          <cell r="C1343" t="str">
            <v>KHIKMATUS SHOLIKHAH</v>
          </cell>
          <cell r="D1343" t="str">
            <v>SAMI</v>
          </cell>
          <cell r="E1343" t="str">
            <v>OPT-443</v>
          </cell>
          <cell r="F1343">
            <v>41778</v>
          </cell>
          <cell r="G1343" t="str">
            <v>-</v>
          </cell>
          <cell r="H1343" t="str">
            <v>-</v>
          </cell>
          <cell r="I1343" t="str">
            <v>OTHERS</v>
          </cell>
          <cell r="J1343" t="str">
            <v>AT HOME</v>
          </cell>
          <cell r="K1343" t="str">
            <v>ALL</v>
          </cell>
          <cell r="L1343" t="str">
            <v>ALL</v>
          </cell>
          <cell r="M1343" t="str">
            <v>AT HOME</v>
          </cell>
          <cell r="N1343" t="str">
            <v>CUTI DI LUAR TANGGUNGAN</v>
          </cell>
          <cell r="O1343" t="str">
            <v>OTHERS IDL</v>
          </cell>
          <cell r="P1343" t="str">
            <v>-</v>
          </cell>
          <cell r="Q1343" t="str">
            <v>ADM</v>
          </cell>
          <cell r="R1343" t="str">
            <v>PERMANENT</v>
          </cell>
          <cell r="S1343" t="str">
            <v>PRM</v>
          </cell>
          <cell r="T1343" t="str">
            <v>OPT</v>
          </cell>
          <cell r="U1343" t="str">
            <v>-</v>
          </cell>
          <cell r="V1343" t="str">
            <v>P</v>
          </cell>
          <cell r="W1343">
            <v>29</v>
          </cell>
        </row>
        <row r="1344">
          <cell r="A1344">
            <v>5473</v>
          </cell>
          <cell r="B1344" t="str">
            <v>005473</v>
          </cell>
          <cell r="C1344" t="str">
            <v>ABDUL MANAN</v>
          </cell>
          <cell r="D1344" t="str">
            <v>SAMI</v>
          </cell>
          <cell r="E1344" t="str">
            <v>ADM-28</v>
          </cell>
          <cell r="F1344">
            <v>38991</v>
          </cell>
          <cell r="G1344" t="str">
            <v>-</v>
          </cell>
          <cell r="H1344" t="str">
            <v>-</v>
          </cell>
          <cell r="I1344" t="str">
            <v>PRD</v>
          </cell>
          <cell r="J1344" t="str">
            <v>NON LINE</v>
          </cell>
          <cell r="K1344" t="str">
            <v>ALL</v>
          </cell>
          <cell r="L1344" t="str">
            <v>ALL</v>
          </cell>
          <cell r="M1344" t="str">
            <v>PRODUCTION SYSTEM</v>
          </cell>
          <cell r="N1344" t="str">
            <v>KANBAN &amp; STANDART CPA</v>
          </cell>
          <cell r="O1344" t="str">
            <v>KANBAN CONTROL</v>
          </cell>
          <cell r="P1344" t="str">
            <v>A (NS)</v>
          </cell>
          <cell r="Q1344" t="str">
            <v>PS</v>
          </cell>
          <cell r="R1344" t="str">
            <v>PERMANENT</v>
          </cell>
          <cell r="S1344" t="str">
            <v>PRM</v>
          </cell>
          <cell r="T1344" t="str">
            <v>TKN</v>
          </cell>
          <cell r="U1344" t="str">
            <v>-</v>
          </cell>
          <cell r="V1344" t="str">
            <v>L</v>
          </cell>
          <cell r="W1344">
            <v>41</v>
          </cell>
        </row>
        <row r="1345">
          <cell r="A1345">
            <v>17561</v>
          </cell>
          <cell r="B1345" t="str">
            <v>017561</v>
          </cell>
          <cell r="C1345" t="str">
            <v>MUTIATUL KHASANAH</v>
          </cell>
          <cell r="D1345" t="str">
            <v>SAMI</v>
          </cell>
          <cell r="E1345" t="str">
            <v>OPT-444</v>
          </cell>
          <cell r="F1345">
            <v>41781</v>
          </cell>
          <cell r="G1345" t="str">
            <v>-</v>
          </cell>
          <cell r="H1345" t="str">
            <v>-</v>
          </cell>
          <cell r="I1345" t="str">
            <v>PRD</v>
          </cell>
          <cell r="J1345" t="str">
            <v>FINAL ASSY</v>
          </cell>
          <cell r="K1345" t="str">
            <v>TOYOTA HV</v>
          </cell>
          <cell r="L1345" t="str">
            <v>HV TOYOTA 10PL</v>
          </cell>
          <cell r="M1345" t="str">
            <v>CV HV 14B</v>
          </cell>
          <cell r="N1345" t="str">
            <v>VISUAL U2.1</v>
          </cell>
          <cell r="O1345" t="str">
            <v>VISUAL INSPECTION</v>
          </cell>
          <cell r="P1345" t="str">
            <v>B</v>
          </cell>
          <cell r="Q1345" t="str">
            <v>DL</v>
          </cell>
          <cell r="R1345" t="str">
            <v>PERMANENT</v>
          </cell>
          <cell r="S1345" t="str">
            <v>PRM</v>
          </cell>
          <cell r="T1345" t="str">
            <v>OPT</v>
          </cell>
          <cell r="U1345" t="str">
            <v>-</v>
          </cell>
          <cell r="V1345" t="str">
            <v>P</v>
          </cell>
          <cell r="W1345">
            <v>27</v>
          </cell>
        </row>
        <row r="1346">
          <cell r="A1346">
            <v>5812</v>
          </cell>
          <cell r="B1346" t="str">
            <v>005812</v>
          </cell>
          <cell r="C1346" t="str">
            <v>SITI RONDIYAH</v>
          </cell>
          <cell r="D1346" t="str">
            <v>SAMI</v>
          </cell>
          <cell r="E1346" t="str">
            <v>OPT-135</v>
          </cell>
          <cell r="F1346">
            <v>39114</v>
          </cell>
          <cell r="G1346" t="str">
            <v>-</v>
          </cell>
          <cell r="H1346" t="str">
            <v>-</v>
          </cell>
          <cell r="I1346" t="str">
            <v>PRD</v>
          </cell>
          <cell r="J1346" t="str">
            <v>NON LINE</v>
          </cell>
          <cell r="K1346" t="str">
            <v>ALL</v>
          </cell>
          <cell r="L1346" t="str">
            <v>ALL</v>
          </cell>
          <cell r="M1346" t="str">
            <v>PRODUCTION SYSTEM</v>
          </cell>
          <cell r="N1346" t="str">
            <v>KANBAN &amp; STANDART CPA</v>
          </cell>
          <cell r="O1346" t="str">
            <v>KANBAN CONTROL</v>
          </cell>
          <cell r="P1346" t="str">
            <v>A (NS)</v>
          </cell>
          <cell r="Q1346" t="str">
            <v>PS</v>
          </cell>
          <cell r="R1346" t="str">
            <v>PERMANENT</v>
          </cell>
          <cell r="S1346" t="str">
            <v>PRM</v>
          </cell>
          <cell r="T1346" t="str">
            <v>ADM</v>
          </cell>
          <cell r="U1346" t="str">
            <v>-</v>
          </cell>
          <cell r="V1346" t="str">
            <v>P</v>
          </cell>
          <cell r="W1346">
            <v>38</v>
          </cell>
        </row>
        <row r="1347">
          <cell r="A1347">
            <v>17672</v>
          </cell>
          <cell r="B1347" t="str">
            <v>017672</v>
          </cell>
          <cell r="C1347" t="str">
            <v>ULFA SRI PANGESTU</v>
          </cell>
          <cell r="D1347" t="str">
            <v>SAMI</v>
          </cell>
          <cell r="E1347" t="str">
            <v>OPT-445</v>
          </cell>
          <cell r="F1347">
            <v>41792</v>
          </cell>
          <cell r="G1347" t="str">
            <v>-</v>
          </cell>
          <cell r="H1347" t="str">
            <v>-</v>
          </cell>
          <cell r="I1347" t="str">
            <v>PRD</v>
          </cell>
          <cell r="J1347" t="str">
            <v>FINAL ASSY</v>
          </cell>
          <cell r="K1347" t="str">
            <v>HONDA NES</v>
          </cell>
          <cell r="L1347" t="str">
            <v>HONDA NES HEV PET ENGINE</v>
          </cell>
          <cell r="M1347" t="str">
            <v>CV H04</v>
          </cell>
          <cell r="N1347" t="str">
            <v>S/A 17</v>
          </cell>
          <cell r="O1347" t="str">
            <v>SUB ASSY</v>
          </cell>
          <cell r="P1347" t="str">
            <v>B</v>
          </cell>
          <cell r="Q1347" t="str">
            <v>DL</v>
          </cell>
          <cell r="R1347" t="str">
            <v>PERMANENT</v>
          </cell>
          <cell r="S1347" t="str">
            <v>PRM</v>
          </cell>
          <cell r="T1347" t="str">
            <v>OPT</v>
          </cell>
          <cell r="U1347" t="str">
            <v>-</v>
          </cell>
          <cell r="V1347" t="str">
            <v>P</v>
          </cell>
          <cell r="W1347">
            <v>29</v>
          </cell>
        </row>
        <row r="1348">
          <cell r="A1348">
            <v>17683</v>
          </cell>
          <cell r="B1348" t="str">
            <v>017683</v>
          </cell>
          <cell r="C1348" t="str">
            <v>KHOLIS HARIADI</v>
          </cell>
          <cell r="D1348" t="str">
            <v>SAMI</v>
          </cell>
          <cell r="E1348" t="str">
            <v>ES-57</v>
          </cell>
          <cell r="F1348">
            <v>41792</v>
          </cell>
          <cell r="G1348" t="str">
            <v>-</v>
          </cell>
          <cell r="H1348" t="str">
            <v>-</v>
          </cell>
          <cell r="I1348" t="str">
            <v>QA</v>
          </cell>
          <cell r="J1348" t="str">
            <v>NON LINE</v>
          </cell>
          <cell r="K1348" t="str">
            <v>ALL</v>
          </cell>
          <cell r="L1348" t="str">
            <v>ALL HONDA JAPAN , SOLENOID</v>
          </cell>
          <cell r="M1348" t="str">
            <v>QA LL</v>
          </cell>
          <cell r="N1348" t="str">
            <v>QA LINE LEADER</v>
          </cell>
          <cell r="O1348" t="str">
            <v>FPI LL</v>
          </cell>
          <cell r="P1348" t="str">
            <v>B</v>
          </cell>
          <cell r="Q1348" t="str">
            <v>PI</v>
          </cell>
          <cell r="R1348" t="str">
            <v>PERMANENT</v>
          </cell>
          <cell r="S1348" t="str">
            <v>PRM</v>
          </cell>
          <cell r="T1348" t="str">
            <v>ES</v>
          </cell>
          <cell r="U1348" t="str">
            <v>-</v>
          </cell>
          <cell r="V1348" t="str">
            <v>L</v>
          </cell>
          <cell r="W1348">
            <v>36</v>
          </cell>
        </row>
        <row r="1349">
          <cell r="A1349">
            <v>17801</v>
          </cell>
          <cell r="B1349" t="str">
            <v>017801</v>
          </cell>
          <cell r="C1349" t="str">
            <v>ISMATUL MAULA</v>
          </cell>
          <cell r="D1349" t="str">
            <v>SAMI</v>
          </cell>
          <cell r="E1349" t="str">
            <v>OPT-448</v>
          </cell>
          <cell r="F1349">
            <v>41813</v>
          </cell>
          <cell r="G1349" t="str">
            <v>-</v>
          </cell>
          <cell r="H1349" t="str">
            <v>-</v>
          </cell>
          <cell r="I1349" t="str">
            <v>PRD</v>
          </cell>
          <cell r="J1349" t="str">
            <v>FINAL ASSY</v>
          </cell>
          <cell r="K1349" t="str">
            <v>TOYOTA HV</v>
          </cell>
          <cell r="L1349" t="str">
            <v xml:space="preserve">HV TOYOTA AC </v>
          </cell>
          <cell r="M1349" t="str">
            <v>CV HV 10B</v>
          </cell>
          <cell r="N1349" t="str">
            <v>MAEKOTEI 2</v>
          </cell>
          <cell r="O1349" t="str">
            <v>WFAP 2.2</v>
          </cell>
          <cell r="P1349" t="str">
            <v>B</v>
          </cell>
          <cell r="Q1349" t="str">
            <v>DL</v>
          </cell>
          <cell r="R1349" t="str">
            <v>PERMANENT</v>
          </cell>
          <cell r="S1349" t="str">
            <v>PRM</v>
          </cell>
          <cell r="T1349" t="str">
            <v>OPT</v>
          </cell>
          <cell r="U1349" t="str">
            <v>-</v>
          </cell>
          <cell r="V1349" t="str">
            <v>P</v>
          </cell>
          <cell r="W1349">
            <v>28</v>
          </cell>
        </row>
        <row r="1350">
          <cell r="A1350">
            <v>17833</v>
          </cell>
          <cell r="B1350" t="str">
            <v>017833</v>
          </cell>
          <cell r="C1350" t="str">
            <v>AHMAD MAHFUD ELA MAULANA</v>
          </cell>
          <cell r="D1350" t="str">
            <v>SAMI</v>
          </cell>
          <cell r="E1350" t="str">
            <v>TKN-82</v>
          </cell>
          <cell r="F1350">
            <v>41820</v>
          </cell>
          <cell r="G1350" t="str">
            <v>-</v>
          </cell>
          <cell r="H1350" t="str">
            <v>-</v>
          </cell>
          <cell r="I1350" t="str">
            <v>PGA</v>
          </cell>
          <cell r="J1350" t="str">
            <v>TRN &amp; MOTO</v>
          </cell>
          <cell r="K1350" t="str">
            <v>ALL</v>
          </cell>
          <cell r="L1350" t="str">
            <v>ALL</v>
          </cell>
          <cell r="M1350" t="str">
            <v>TRN</v>
          </cell>
          <cell r="N1350" t="str">
            <v>MOTO, 4M, KAIZEN &amp; QCC</v>
          </cell>
          <cell r="O1350" t="str">
            <v>TQM</v>
          </cell>
          <cell r="P1350" t="str">
            <v>A (NS)</v>
          </cell>
          <cell r="Q1350" t="str">
            <v>PS</v>
          </cell>
          <cell r="R1350" t="str">
            <v>PERMANENT</v>
          </cell>
          <cell r="S1350" t="str">
            <v>PRM</v>
          </cell>
          <cell r="T1350" t="str">
            <v>TKN</v>
          </cell>
          <cell r="U1350" t="str">
            <v>-</v>
          </cell>
          <cell r="V1350" t="str">
            <v>L</v>
          </cell>
          <cell r="W1350">
            <v>28</v>
          </cell>
        </row>
        <row r="1351">
          <cell r="A1351">
            <v>5924</v>
          </cell>
          <cell r="B1351" t="str">
            <v>005924</v>
          </cell>
          <cell r="C1351" t="str">
            <v>NUNIK WAHYUNI</v>
          </cell>
          <cell r="D1351" t="str">
            <v>SAMI</v>
          </cell>
          <cell r="E1351" t="str">
            <v>OPT-137</v>
          </cell>
          <cell r="F1351">
            <v>39129</v>
          </cell>
          <cell r="G1351" t="str">
            <v>-</v>
          </cell>
          <cell r="H1351" t="str">
            <v>-</v>
          </cell>
          <cell r="I1351" t="str">
            <v>PRD</v>
          </cell>
          <cell r="J1351" t="str">
            <v>NON LINE</v>
          </cell>
          <cell r="K1351" t="str">
            <v>ALL</v>
          </cell>
          <cell r="L1351" t="str">
            <v>ALL</v>
          </cell>
          <cell r="M1351" t="str">
            <v>PRODUCTION SYSTEM</v>
          </cell>
          <cell r="N1351" t="str">
            <v>KANBAN &amp; STANDART FA</v>
          </cell>
          <cell r="O1351" t="str">
            <v>KANBAN CONTROL</v>
          </cell>
          <cell r="P1351" t="str">
            <v>A (NS)</v>
          </cell>
          <cell r="Q1351" t="str">
            <v>PS</v>
          </cell>
          <cell r="R1351" t="str">
            <v>PERMANENT</v>
          </cell>
          <cell r="S1351" t="str">
            <v>PRM</v>
          </cell>
          <cell r="T1351" t="str">
            <v>ADM</v>
          </cell>
          <cell r="U1351" t="str">
            <v>-</v>
          </cell>
          <cell r="V1351" t="str">
            <v>P</v>
          </cell>
          <cell r="W1351">
            <v>39</v>
          </cell>
        </row>
        <row r="1352">
          <cell r="A1352">
            <v>17880</v>
          </cell>
          <cell r="B1352" t="str">
            <v>017880</v>
          </cell>
          <cell r="C1352" t="str">
            <v>TAUFIQ ZEIN AMRULLAH</v>
          </cell>
          <cell r="D1352" t="str">
            <v>SAMI</v>
          </cell>
          <cell r="E1352" t="str">
            <v>SPV UP</v>
          </cell>
          <cell r="F1352">
            <v>41822</v>
          </cell>
          <cell r="G1352" t="str">
            <v>-</v>
          </cell>
          <cell r="H1352" t="str">
            <v>-</v>
          </cell>
          <cell r="I1352" t="str">
            <v>LOG</v>
          </cell>
          <cell r="J1352" t="str">
            <v>PPIC</v>
          </cell>
          <cell r="K1352" t="str">
            <v>ALL</v>
          </cell>
          <cell r="L1352" t="str">
            <v>ALL</v>
          </cell>
          <cell r="M1352" t="str">
            <v>PPIC</v>
          </cell>
          <cell r="N1352" t="str">
            <v>SUPERVISOR</v>
          </cell>
          <cell r="O1352" t="str">
            <v>FPS SPV</v>
          </cell>
          <cell r="P1352" t="str">
            <v>A (NS)</v>
          </cell>
          <cell r="Q1352" t="str">
            <v>PS</v>
          </cell>
          <cell r="R1352" t="str">
            <v>PERMANENT</v>
          </cell>
          <cell r="S1352" t="str">
            <v>PRM</v>
          </cell>
          <cell r="T1352" t="str">
            <v>SPV</v>
          </cell>
          <cell r="U1352" t="str">
            <v>-</v>
          </cell>
          <cell r="V1352" t="str">
            <v>L</v>
          </cell>
          <cell r="W1352">
            <v>35</v>
          </cell>
        </row>
        <row r="1353">
          <cell r="A1353">
            <v>17884</v>
          </cell>
          <cell r="B1353" t="str">
            <v>017884</v>
          </cell>
          <cell r="C1353" t="str">
            <v>ALVIN DONI KURNIAWAN</v>
          </cell>
          <cell r="D1353" t="str">
            <v>SAMI</v>
          </cell>
          <cell r="E1353" t="str">
            <v>TKN-83</v>
          </cell>
          <cell r="F1353">
            <v>41830</v>
          </cell>
          <cell r="G1353" t="str">
            <v>-</v>
          </cell>
          <cell r="H1353" t="str">
            <v>-</v>
          </cell>
          <cell r="I1353" t="str">
            <v>PE</v>
          </cell>
          <cell r="J1353" t="str">
            <v>MTC</v>
          </cell>
          <cell r="K1353" t="str">
            <v>ALL</v>
          </cell>
          <cell r="L1353" t="str">
            <v>ALL</v>
          </cell>
          <cell r="M1353" t="str">
            <v>MODIF</v>
          </cell>
          <cell r="N1353" t="str">
            <v>PREPARATION, OVER HOUL, IMPROVEMENT</v>
          </cell>
          <cell r="O1353" t="str">
            <v>CRIMP STD</v>
          </cell>
          <cell r="P1353" t="str">
            <v>A</v>
          </cell>
          <cell r="Q1353" t="str">
            <v>PS</v>
          </cell>
          <cell r="R1353" t="str">
            <v>PERMANENT</v>
          </cell>
          <cell r="S1353" t="str">
            <v>PRM</v>
          </cell>
          <cell r="T1353" t="str">
            <v>TKN</v>
          </cell>
          <cell r="U1353" t="str">
            <v>-</v>
          </cell>
          <cell r="V1353" t="str">
            <v>L</v>
          </cell>
          <cell r="W1353">
            <v>28</v>
          </cell>
        </row>
        <row r="1354">
          <cell r="A1354">
            <v>17888</v>
          </cell>
          <cell r="B1354" t="str">
            <v>017888</v>
          </cell>
          <cell r="C1354" t="str">
            <v>MUKHAMMAD AFIFUDDIN</v>
          </cell>
          <cell r="D1354" t="str">
            <v>SAMI</v>
          </cell>
          <cell r="E1354" t="str">
            <v>TKN-83</v>
          </cell>
          <cell r="F1354">
            <v>41830</v>
          </cell>
          <cell r="G1354" t="str">
            <v>-</v>
          </cell>
          <cell r="H1354" t="str">
            <v>-</v>
          </cell>
          <cell r="I1354" t="str">
            <v>PE</v>
          </cell>
          <cell r="J1354" t="str">
            <v>MTP</v>
          </cell>
          <cell r="K1354" t="str">
            <v>ALL</v>
          </cell>
          <cell r="L1354" t="str">
            <v>ALL</v>
          </cell>
          <cell r="M1354" t="str">
            <v>MTP</v>
          </cell>
          <cell r="N1354" t="str">
            <v>WEAR &amp; TEAR STOCK CONTROL</v>
          </cell>
          <cell r="O1354" t="str">
            <v>DATA &amp; ORDERING</v>
          </cell>
          <cell r="P1354" t="str">
            <v>A (NS)</v>
          </cell>
          <cell r="Q1354" t="str">
            <v>PS</v>
          </cell>
          <cell r="R1354" t="str">
            <v>PERMANENT</v>
          </cell>
          <cell r="S1354" t="str">
            <v>PRM</v>
          </cell>
          <cell r="T1354" t="str">
            <v>TKN</v>
          </cell>
          <cell r="U1354" t="str">
            <v>-</v>
          </cell>
          <cell r="V1354" t="str">
            <v>L</v>
          </cell>
          <cell r="W1354">
            <v>32</v>
          </cell>
        </row>
        <row r="1355">
          <cell r="A1355">
            <v>17920</v>
          </cell>
          <cell r="B1355" t="str">
            <v>017920</v>
          </cell>
          <cell r="C1355" t="str">
            <v>SRI WIDIYANTI</v>
          </cell>
          <cell r="D1355" t="str">
            <v>SAMI</v>
          </cell>
          <cell r="E1355" t="str">
            <v>OPT-450</v>
          </cell>
          <cell r="F1355">
            <v>41830</v>
          </cell>
          <cell r="G1355" t="str">
            <v>-</v>
          </cell>
          <cell r="H1355" t="str">
            <v>-</v>
          </cell>
          <cell r="I1355" t="str">
            <v>PRD</v>
          </cell>
          <cell r="J1355" t="str">
            <v>FINAL ASSY</v>
          </cell>
          <cell r="K1355" t="str">
            <v>MAZDA ATENZA</v>
          </cell>
          <cell r="L1355" t="str">
            <v>MAZDA J72A</v>
          </cell>
          <cell r="M1355" t="str">
            <v>CV M03</v>
          </cell>
          <cell r="N1355" t="str">
            <v>CAMERA FUSE + INSPECT RELAY 1</v>
          </cell>
          <cell r="O1355" t="str">
            <v>VISUAL INSPECTION</v>
          </cell>
          <cell r="P1355" t="str">
            <v>B</v>
          </cell>
          <cell r="Q1355" t="str">
            <v>DL</v>
          </cell>
          <cell r="R1355" t="str">
            <v>PERMANENT</v>
          </cell>
          <cell r="S1355" t="str">
            <v>PRM</v>
          </cell>
          <cell r="T1355" t="str">
            <v>OPT</v>
          </cell>
          <cell r="U1355" t="str">
            <v>-</v>
          </cell>
          <cell r="V1355" t="str">
            <v>P</v>
          </cell>
          <cell r="W1355">
            <v>28</v>
          </cell>
        </row>
        <row r="1356">
          <cell r="A1356">
            <v>18662</v>
          </cell>
          <cell r="B1356" t="str">
            <v>018662</v>
          </cell>
          <cell r="C1356" t="str">
            <v>MARYANTO</v>
          </cell>
          <cell r="D1356" t="str">
            <v>SAMI</v>
          </cell>
          <cell r="E1356" t="str">
            <v>SPV UP</v>
          </cell>
          <cell r="F1356">
            <v>42009</v>
          </cell>
          <cell r="G1356" t="str">
            <v>-</v>
          </cell>
          <cell r="H1356" t="str">
            <v>-</v>
          </cell>
          <cell r="I1356" t="str">
            <v>PRD</v>
          </cell>
          <cell r="J1356" t="str">
            <v>FINAL ASSY</v>
          </cell>
          <cell r="K1356" t="str">
            <v>ALL</v>
          </cell>
          <cell r="L1356" t="str">
            <v>ALL</v>
          </cell>
          <cell r="M1356" t="str">
            <v>SUPERVISOR FA</v>
          </cell>
          <cell r="N1356" t="str">
            <v>N-VAN, DYNA FA, SUZUKI FA</v>
          </cell>
          <cell r="O1356" t="str">
            <v>FPI SPV</v>
          </cell>
          <cell r="P1356" t="str">
            <v>B</v>
          </cell>
          <cell r="Q1356" t="str">
            <v>PI</v>
          </cell>
          <cell r="R1356" t="str">
            <v>PERMANENT</v>
          </cell>
          <cell r="S1356" t="str">
            <v>PRM</v>
          </cell>
          <cell r="T1356" t="str">
            <v>SPV</v>
          </cell>
          <cell r="U1356" t="str">
            <v>-</v>
          </cell>
          <cell r="V1356" t="str">
            <v>L</v>
          </cell>
          <cell r="W1356">
            <v>35</v>
          </cell>
        </row>
        <row r="1357">
          <cell r="A1357">
            <v>18663</v>
          </cell>
          <cell r="B1357" t="str">
            <v>018663</v>
          </cell>
          <cell r="C1357" t="str">
            <v>BAMBANG RIANTO</v>
          </cell>
          <cell r="D1357" t="str">
            <v>SAMI</v>
          </cell>
          <cell r="E1357" t="str">
            <v>SPV UP</v>
          </cell>
          <cell r="F1357">
            <v>37257</v>
          </cell>
          <cell r="G1357" t="str">
            <v>-</v>
          </cell>
          <cell r="H1357" t="str">
            <v>-</v>
          </cell>
          <cell r="I1357" t="str">
            <v>FA</v>
          </cell>
          <cell r="J1357" t="str">
            <v>MANAGEMENT</v>
          </cell>
          <cell r="K1357" t="str">
            <v>ALL</v>
          </cell>
          <cell r="L1357" t="str">
            <v>ALL</v>
          </cell>
          <cell r="M1357" t="str">
            <v>MANAGEMENT</v>
          </cell>
          <cell r="N1357" t="str">
            <v>GENERAL MANAGER</v>
          </cell>
          <cell r="O1357" t="str">
            <v>MGR IDL</v>
          </cell>
          <cell r="P1357" t="str">
            <v>A (NS)</v>
          </cell>
          <cell r="Q1357" t="str">
            <v>ADM</v>
          </cell>
          <cell r="R1357" t="str">
            <v>PERMANENT</v>
          </cell>
          <cell r="S1357" t="str">
            <v>PRM</v>
          </cell>
          <cell r="T1357" t="str">
            <v>GM</v>
          </cell>
          <cell r="U1357" t="str">
            <v>-</v>
          </cell>
          <cell r="V1357" t="str">
            <v>L</v>
          </cell>
          <cell r="W1357">
            <v>46</v>
          </cell>
        </row>
        <row r="1358">
          <cell r="A1358">
            <v>18666</v>
          </cell>
          <cell r="B1358" t="str">
            <v>018666</v>
          </cell>
          <cell r="C1358" t="str">
            <v>SLAMET TIMBUL</v>
          </cell>
          <cell r="D1358" t="str">
            <v>SAMI</v>
          </cell>
          <cell r="E1358" t="str">
            <v>SPV UP</v>
          </cell>
          <cell r="F1358">
            <v>42066</v>
          </cell>
          <cell r="G1358" t="str">
            <v>-</v>
          </cell>
          <cell r="H1358" t="str">
            <v>-</v>
          </cell>
          <cell r="I1358" t="str">
            <v>PGA</v>
          </cell>
          <cell r="J1358" t="str">
            <v>GA</v>
          </cell>
          <cell r="K1358" t="str">
            <v>ALL</v>
          </cell>
          <cell r="L1358" t="str">
            <v>ALL</v>
          </cell>
          <cell r="M1358" t="str">
            <v>GA</v>
          </cell>
          <cell r="N1358" t="str">
            <v>LEGAL SPV</v>
          </cell>
          <cell r="O1358" t="str">
            <v>IDL SPV</v>
          </cell>
          <cell r="P1358" t="str">
            <v>A (NS)</v>
          </cell>
          <cell r="Q1358" t="str">
            <v>ADM</v>
          </cell>
          <cell r="R1358" t="str">
            <v>PERMANENT</v>
          </cell>
          <cell r="S1358" t="str">
            <v>PRM</v>
          </cell>
          <cell r="T1358" t="str">
            <v>SPV</v>
          </cell>
          <cell r="U1358" t="str">
            <v>-</v>
          </cell>
          <cell r="V1358" t="str">
            <v>L</v>
          </cell>
          <cell r="W1358">
            <v>33</v>
          </cell>
        </row>
        <row r="1359">
          <cell r="A1359">
            <v>18681</v>
          </cell>
          <cell r="B1359" t="str">
            <v>018681</v>
          </cell>
          <cell r="C1359" t="str">
            <v>AYU WULANDARI</v>
          </cell>
          <cell r="D1359" t="str">
            <v>SAMI</v>
          </cell>
          <cell r="E1359" t="str">
            <v>OPT-468</v>
          </cell>
          <cell r="F1359">
            <v>42142</v>
          </cell>
          <cell r="G1359" t="str">
            <v>-</v>
          </cell>
          <cell r="H1359" t="str">
            <v>-</v>
          </cell>
          <cell r="I1359" t="str">
            <v>OTHERS</v>
          </cell>
          <cell r="J1359" t="str">
            <v>AT HOME</v>
          </cell>
          <cell r="K1359" t="str">
            <v>ALL</v>
          </cell>
          <cell r="L1359" t="str">
            <v>ALL</v>
          </cell>
          <cell r="M1359" t="str">
            <v>AT HOME</v>
          </cell>
          <cell r="N1359" t="str">
            <v>CUTI KELAHIRAN</v>
          </cell>
          <cell r="O1359" t="str">
            <v>OTHERS IDL</v>
          </cell>
          <cell r="P1359" t="str">
            <v>-</v>
          </cell>
          <cell r="Q1359" t="str">
            <v>ADM</v>
          </cell>
          <cell r="R1359" t="str">
            <v>PERMANENT</v>
          </cell>
          <cell r="S1359" t="str">
            <v>PRM</v>
          </cell>
          <cell r="T1359" t="str">
            <v>OPT</v>
          </cell>
          <cell r="U1359" t="str">
            <v>-</v>
          </cell>
          <cell r="V1359" t="str">
            <v>P</v>
          </cell>
          <cell r="W1359">
            <v>28</v>
          </cell>
        </row>
        <row r="1360">
          <cell r="A1360">
            <v>18699</v>
          </cell>
          <cell r="B1360" t="str">
            <v>018699</v>
          </cell>
          <cell r="C1360" t="str">
            <v>EKA TINI ANJARWATI</v>
          </cell>
          <cell r="D1360" t="str">
            <v>SAMI</v>
          </cell>
          <cell r="E1360" t="str">
            <v>OPT-468</v>
          </cell>
          <cell r="F1360">
            <v>42142</v>
          </cell>
          <cell r="G1360" t="str">
            <v>-</v>
          </cell>
          <cell r="H1360" t="str">
            <v>-</v>
          </cell>
          <cell r="I1360" t="str">
            <v>PRD</v>
          </cell>
          <cell r="J1360" t="str">
            <v>FINAL ASSY</v>
          </cell>
          <cell r="K1360" t="str">
            <v>TOYOTA HV</v>
          </cell>
          <cell r="L1360" t="str">
            <v>HV TOYOTA UNDERFLOOR</v>
          </cell>
          <cell r="M1360" t="str">
            <v>CV HV 09</v>
          </cell>
          <cell r="N1360" t="str">
            <v>VISUAL 1.2</v>
          </cell>
          <cell r="O1360" t="str">
            <v>VISUAL INSPECTION</v>
          </cell>
          <cell r="P1360" t="str">
            <v>B</v>
          </cell>
          <cell r="Q1360" t="str">
            <v>DL</v>
          </cell>
          <cell r="R1360" t="str">
            <v>PERMANENT</v>
          </cell>
          <cell r="S1360" t="str">
            <v>PRM</v>
          </cell>
          <cell r="T1360" t="str">
            <v>OPT</v>
          </cell>
          <cell r="U1360" t="str">
            <v>-</v>
          </cell>
          <cell r="V1360" t="str">
            <v>P</v>
          </cell>
          <cell r="W1360">
            <v>27</v>
          </cell>
        </row>
        <row r="1361">
          <cell r="A1361">
            <v>18740</v>
          </cell>
          <cell r="B1361" t="str">
            <v>018740</v>
          </cell>
          <cell r="C1361" t="str">
            <v>LIZA ADITYA</v>
          </cell>
          <cell r="D1361" t="str">
            <v>SAMI</v>
          </cell>
          <cell r="E1361" t="str">
            <v>OPT-468</v>
          </cell>
          <cell r="F1361">
            <v>42142</v>
          </cell>
          <cell r="G1361" t="str">
            <v>-</v>
          </cell>
          <cell r="H1361" t="str">
            <v>-</v>
          </cell>
          <cell r="I1361" t="str">
            <v>PE</v>
          </cell>
          <cell r="J1361" t="str">
            <v>MTP</v>
          </cell>
          <cell r="K1361" t="str">
            <v>ALL</v>
          </cell>
          <cell r="L1361" t="str">
            <v>ALL</v>
          </cell>
          <cell r="M1361" t="str">
            <v>MTP</v>
          </cell>
          <cell r="N1361" t="str">
            <v>ADMINISTRASI</v>
          </cell>
          <cell r="O1361" t="str">
            <v>DATA &amp; ORDERING</v>
          </cell>
          <cell r="P1361" t="str">
            <v>A (NS)</v>
          </cell>
          <cell r="Q1361" t="str">
            <v>PS</v>
          </cell>
          <cell r="R1361" t="str">
            <v>PERMANENT</v>
          </cell>
          <cell r="S1361" t="str">
            <v>PRM</v>
          </cell>
          <cell r="T1361" t="str">
            <v>TKN</v>
          </cell>
          <cell r="U1361" t="str">
            <v>-</v>
          </cell>
          <cell r="V1361" t="str">
            <v>P</v>
          </cell>
          <cell r="W1361">
            <v>28</v>
          </cell>
        </row>
        <row r="1362">
          <cell r="A1362">
            <v>18808</v>
          </cell>
          <cell r="B1362" t="str">
            <v>018808</v>
          </cell>
          <cell r="C1362" t="str">
            <v>TEGUH YULIYANTO</v>
          </cell>
          <cell r="D1362" t="str">
            <v>SAMI</v>
          </cell>
          <cell r="E1362" t="str">
            <v>TKN-91</v>
          </cell>
          <cell r="F1362">
            <v>42170</v>
          </cell>
          <cell r="G1362" t="str">
            <v>-</v>
          </cell>
          <cell r="H1362" t="str">
            <v>-</v>
          </cell>
          <cell r="I1362" t="str">
            <v>PE</v>
          </cell>
          <cell r="J1362" t="str">
            <v>J/C BP</v>
          </cell>
          <cell r="K1362" t="str">
            <v>ALL</v>
          </cell>
          <cell r="L1362" t="str">
            <v>ALL</v>
          </cell>
          <cell r="M1362" t="str">
            <v>NIP</v>
          </cell>
          <cell r="N1362" t="str">
            <v>NAVIGATION SYSTEM FABRICATION</v>
          </cell>
          <cell r="O1362" t="str">
            <v>CBP</v>
          </cell>
          <cell r="P1362" t="str">
            <v>A (NS)</v>
          </cell>
          <cell r="Q1362" t="str">
            <v>PS</v>
          </cell>
          <cell r="R1362" t="str">
            <v>PERMANENT</v>
          </cell>
          <cell r="S1362" t="str">
            <v>PRM</v>
          </cell>
          <cell r="T1362" t="str">
            <v>TKN</v>
          </cell>
          <cell r="U1362" t="str">
            <v>-</v>
          </cell>
          <cell r="V1362" t="str">
            <v>L</v>
          </cell>
          <cell r="W1362">
            <v>27</v>
          </cell>
        </row>
        <row r="1363">
          <cell r="A1363">
            <v>18844</v>
          </cell>
          <cell r="B1363" t="str">
            <v>018844</v>
          </cell>
          <cell r="C1363" t="str">
            <v>HERU RETNO WIDYASTUTI</v>
          </cell>
          <cell r="D1363" t="str">
            <v>SAMI</v>
          </cell>
          <cell r="E1363" t="str">
            <v>OPT-469</v>
          </cell>
          <cell r="F1363">
            <v>42210</v>
          </cell>
          <cell r="G1363" t="str">
            <v>-</v>
          </cell>
          <cell r="H1363" t="str">
            <v>-</v>
          </cell>
          <cell r="I1363" t="str">
            <v>PRD</v>
          </cell>
          <cell r="J1363" t="str">
            <v>FINAL ASSY</v>
          </cell>
          <cell r="K1363" t="str">
            <v>TOYOTA</v>
          </cell>
          <cell r="L1363" t="str">
            <v>AQUA SIENTA</v>
          </cell>
          <cell r="M1363" t="str">
            <v>CV T01</v>
          </cell>
          <cell r="N1363" t="str">
            <v>OJT T/P S/P 2.1</v>
          </cell>
          <cell r="O1363" t="str">
            <v>OTHERS</v>
          </cell>
          <cell r="P1363" t="str">
            <v>B</v>
          </cell>
          <cell r="Q1363" t="str">
            <v>PI</v>
          </cell>
          <cell r="R1363" t="str">
            <v>PERMANENT</v>
          </cell>
          <cell r="S1363" t="str">
            <v>PRM</v>
          </cell>
          <cell r="T1363" t="str">
            <v>OPT</v>
          </cell>
          <cell r="U1363" t="str">
            <v>-</v>
          </cell>
          <cell r="V1363" t="str">
            <v>P</v>
          </cell>
          <cell r="W1363">
            <v>28</v>
          </cell>
        </row>
        <row r="1364">
          <cell r="A1364">
            <v>18959</v>
          </cell>
          <cell r="B1364" t="str">
            <v>018959</v>
          </cell>
          <cell r="C1364" t="str">
            <v>LUSI FITRIANA</v>
          </cell>
          <cell r="D1364" t="str">
            <v>SAMI</v>
          </cell>
          <cell r="E1364" t="str">
            <v>OPT-470</v>
          </cell>
          <cell r="F1364">
            <v>42214</v>
          </cell>
          <cell r="G1364" t="str">
            <v>-</v>
          </cell>
          <cell r="H1364" t="str">
            <v>-</v>
          </cell>
          <cell r="I1364" t="str">
            <v>PRD</v>
          </cell>
          <cell r="J1364" t="str">
            <v>FINAL ASSY</v>
          </cell>
          <cell r="K1364" t="str">
            <v>TOYOTA</v>
          </cell>
          <cell r="L1364" t="str">
            <v>AQUA SIENTA</v>
          </cell>
          <cell r="M1364" t="str">
            <v>CV T01</v>
          </cell>
          <cell r="N1364" t="str">
            <v>OJT T/P 7.2</v>
          </cell>
          <cell r="O1364" t="str">
            <v>OTHERS</v>
          </cell>
          <cell r="P1364" t="str">
            <v>B</v>
          </cell>
          <cell r="Q1364" t="str">
            <v>PI</v>
          </cell>
          <cell r="R1364" t="str">
            <v>PERMANENT</v>
          </cell>
          <cell r="S1364" t="str">
            <v>PRM</v>
          </cell>
          <cell r="T1364" t="str">
            <v>OPT</v>
          </cell>
          <cell r="U1364" t="str">
            <v>-</v>
          </cell>
          <cell r="V1364" t="str">
            <v>P</v>
          </cell>
          <cell r="W1364">
            <v>27</v>
          </cell>
        </row>
        <row r="1365">
          <cell r="A1365">
            <v>10607</v>
          </cell>
          <cell r="B1365" t="str">
            <v>010607</v>
          </cell>
          <cell r="C1365" t="str">
            <v>SITI KHUMAISIYAH</v>
          </cell>
          <cell r="D1365" t="str">
            <v>SAMI</v>
          </cell>
          <cell r="E1365" t="str">
            <v>OPT-276</v>
          </cell>
          <cell r="F1365">
            <v>40544</v>
          </cell>
          <cell r="G1365" t="str">
            <v>-</v>
          </cell>
          <cell r="H1365" t="str">
            <v>-</v>
          </cell>
          <cell r="I1365" t="str">
            <v>PRD</v>
          </cell>
          <cell r="J1365" t="str">
            <v>NON LINE</v>
          </cell>
          <cell r="K1365" t="str">
            <v>ALL</v>
          </cell>
          <cell r="L1365" t="str">
            <v>ALL</v>
          </cell>
          <cell r="M1365" t="str">
            <v>PRODUCTION SYSTEM</v>
          </cell>
          <cell r="N1365" t="str">
            <v>KANBAN &amp; STANDART FA</v>
          </cell>
          <cell r="O1365" t="str">
            <v>KANBAN CONTROL</v>
          </cell>
          <cell r="P1365" t="str">
            <v>A (NS)</v>
          </cell>
          <cell r="Q1365" t="str">
            <v>PS</v>
          </cell>
          <cell r="R1365" t="str">
            <v>PERMANENT</v>
          </cell>
          <cell r="S1365" t="str">
            <v>PRM</v>
          </cell>
          <cell r="T1365" t="str">
            <v>ADM</v>
          </cell>
          <cell r="U1365" t="str">
            <v>-</v>
          </cell>
          <cell r="V1365" t="str">
            <v>P</v>
          </cell>
          <cell r="W1365">
            <v>34</v>
          </cell>
        </row>
        <row r="1366">
          <cell r="A1366">
            <v>14141</v>
          </cell>
          <cell r="B1366" t="str">
            <v>014141</v>
          </cell>
          <cell r="C1366" t="str">
            <v>TOMY RONIAWAN</v>
          </cell>
          <cell r="D1366" t="str">
            <v>SAMI</v>
          </cell>
          <cell r="E1366" t="str">
            <v>TKN-75</v>
          </cell>
          <cell r="F1366">
            <v>41319</v>
          </cell>
          <cell r="G1366" t="str">
            <v>-</v>
          </cell>
          <cell r="H1366" t="str">
            <v>-</v>
          </cell>
          <cell r="I1366" t="str">
            <v>PRD</v>
          </cell>
          <cell r="J1366" t="str">
            <v>NON LINE</v>
          </cell>
          <cell r="K1366" t="str">
            <v>ALL</v>
          </cell>
          <cell r="L1366" t="str">
            <v>ALL</v>
          </cell>
          <cell r="M1366" t="str">
            <v>PRODUCTION SYSTEM</v>
          </cell>
          <cell r="N1366" t="str">
            <v>GL</v>
          </cell>
          <cell r="O1366" t="str">
            <v>KANBAN</v>
          </cell>
          <cell r="P1366" t="str">
            <v>A (NS)</v>
          </cell>
          <cell r="Q1366" t="str">
            <v>PS</v>
          </cell>
          <cell r="R1366" t="str">
            <v>PERMANENT</v>
          </cell>
          <cell r="S1366" t="str">
            <v>PRM</v>
          </cell>
          <cell r="T1366" t="str">
            <v>GL</v>
          </cell>
          <cell r="U1366" t="str">
            <v>-</v>
          </cell>
          <cell r="V1366" t="str">
            <v>L</v>
          </cell>
          <cell r="W1366">
            <v>35</v>
          </cell>
        </row>
        <row r="1367">
          <cell r="A1367">
            <v>19063</v>
          </cell>
          <cell r="B1367" t="str">
            <v>019063</v>
          </cell>
          <cell r="C1367" t="str">
            <v>MUHAMMAD AINUR ROFIQ</v>
          </cell>
          <cell r="D1367" t="str">
            <v>SAMI</v>
          </cell>
          <cell r="E1367" t="str">
            <v>OPT-473</v>
          </cell>
          <cell r="F1367">
            <v>42226</v>
          </cell>
          <cell r="G1367" t="str">
            <v>-</v>
          </cell>
          <cell r="H1367" t="str">
            <v>-</v>
          </cell>
          <cell r="I1367" t="str">
            <v>PRD</v>
          </cell>
          <cell r="J1367" t="str">
            <v>FINAL ASSY</v>
          </cell>
          <cell r="K1367" t="str">
            <v>HONDA NES</v>
          </cell>
          <cell r="L1367" t="str">
            <v>HONDA NES HEV PET ENGINE</v>
          </cell>
          <cell r="M1367" t="str">
            <v>CV H03</v>
          </cell>
          <cell r="N1367" t="str">
            <v>SHIAGE 2.1</v>
          </cell>
          <cell r="O1367" t="str">
            <v>ASSEMBLY</v>
          </cell>
          <cell r="P1367" t="str">
            <v>B</v>
          </cell>
          <cell r="Q1367" t="str">
            <v>DL</v>
          </cell>
          <cell r="R1367" t="str">
            <v>PERMANENT</v>
          </cell>
          <cell r="S1367" t="str">
            <v>PRM</v>
          </cell>
          <cell r="T1367" t="str">
            <v>OPT</v>
          </cell>
          <cell r="U1367" t="str">
            <v>-</v>
          </cell>
          <cell r="V1367" t="str">
            <v>L</v>
          </cell>
          <cell r="W1367">
            <v>29</v>
          </cell>
        </row>
        <row r="1368">
          <cell r="A1368">
            <v>19080</v>
          </cell>
          <cell r="B1368" t="str">
            <v>019080</v>
          </cell>
          <cell r="C1368" t="str">
            <v>ANIK SETYOWATI</v>
          </cell>
          <cell r="D1368" t="str">
            <v>SAMI</v>
          </cell>
          <cell r="E1368" t="str">
            <v>OPT-475</v>
          </cell>
          <cell r="F1368">
            <v>42254</v>
          </cell>
          <cell r="G1368" t="str">
            <v>-</v>
          </cell>
          <cell r="H1368" t="str">
            <v>-</v>
          </cell>
          <cell r="I1368" t="str">
            <v>PRD</v>
          </cell>
          <cell r="J1368" t="str">
            <v>FINAL ASSY</v>
          </cell>
          <cell r="K1368" t="str">
            <v>SUZUKI WAGON R</v>
          </cell>
          <cell r="L1368" t="str">
            <v>SUZUKI YW0</v>
          </cell>
          <cell r="M1368" t="str">
            <v>CV S01</v>
          </cell>
          <cell r="N1368" t="str">
            <v>VISUAL 2</v>
          </cell>
          <cell r="O1368" t="str">
            <v>VISUAL INSPECTION</v>
          </cell>
          <cell r="P1368" t="str">
            <v>B</v>
          </cell>
          <cell r="Q1368" t="str">
            <v>DL</v>
          </cell>
          <cell r="R1368" t="str">
            <v>PERMANENT</v>
          </cell>
          <cell r="S1368" t="str">
            <v>PRM</v>
          </cell>
          <cell r="T1368" t="str">
            <v>OPT</v>
          </cell>
          <cell r="U1368" t="str">
            <v>-</v>
          </cell>
          <cell r="V1368" t="str">
            <v>P</v>
          </cell>
          <cell r="W1368">
            <v>31</v>
          </cell>
        </row>
        <row r="1369">
          <cell r="A1369">
            <v>19100</v>
          </cell>
          <cell r="B1369" t="str">
            <v>019100</v>
          </cell>
          <cell r="C1369" t="str">
            <v>ENI RAHMAWATI</v>
          </cell>
          <cell r="D1369" t="str">
            <v>SAMI</v>
          </cell>
          <cell r="E1369" t="str">
            <v>OPT-475</v>
          </cell>
          <cell r="F1369">
            <v>42254</v>
          </cell>
          <cell r="G1369" t="str">
            <v>-</v>
          </cell>
          <cell r="H1369" t="str">
            <v>-</v>
          </cell>
          <cell r="I1369" t="str">
            <v>PRD</v>
          </cell>
          <cell r="J1369" t="str">
            <v>PRE ASSY</v>
          </cell>
          <cell r="K1369" t="str">
            <v>MAZDA 3</v>
          </cell>
          <cell r="L1369" t="str">
            <v>MAZDA REAR</v>
          </cell>
          <cell r="M1369" t="str">
            <v>CPA MAZDA J03</v>
          </cell>
          <cell r="N1369" t="str">
            <v>INSP CUTTING</v>
          </cell>
          <cell r="O1369" t="str">
            <v>P/A INSPECTOR</v>
          </cell>
          <cell r="P1369" t="str">
            <v>B</v>
          </cell>
          <cell r="Q1369" t="str">
            <v>PI</v>
          </cell>
          <cell r="R1369" t="str">
            <v>PERMANENT</v>
          </cell>
          <cell r="S1369" t="str">
            <v>PRM</v>
          </cell>
          <cell r="T1369" t="str">
            <v>OPT</v>
          </cell>
          <cell r="U1369" t="str">
            <v>-</v>
          </cell>
          <cell r="V1369" t="str">
            <v>P</v>
          </cell>
          <cell r="W1369">
            <v>28</v>
          </cell>
        </row>
        <row r="1370">
          <cell r="A1370">
            <v>19108</v>
          </cell>
          <cell r="B1370" t="str">
            <v>019108</v>
          </cell>
          <cell r="C1370" t="str">
            <v>IIN NURUL AFIDAH</v>
          </cell>
          <cell r="D1370" t="str">
            <v>SAMI</v>
          </cell>
          <cell r="E1370" t="str">
            <v>OPT-475</v>
          </cell>
          <cell r="F1370">
            <v>42254</v>
          </cell>
          <cell r="G1370" t="str">
            <v>-</v>
          </cell>
          <cell r="H1370" t="str">
            <v>-</v>
          </cell>
          <cell r="I1370" t="str">
            <v>PRD</v>
          </cell>
          <cell r="J1370" t="str">
            <v>PRE ASSY</v>
          </cell>
          <cell r="K1370" t="str">
            <v>SUZUKI WAGON R/HUSTLER</v>
          </cell>
          <cell r="L1370" t="str">
            <v>SUZUKI YW0/Y0C/YEV</v>
          </cell>
          <cell r="M1370" t="str">
            <v>CPA SUZUKI</v>
          </cell>
          <cell r="N1370" t="str">
            <v>CUTTING AC90-SZK-02</v>
          </cell>
          <cell r="O1370" t="str">
            <v>CUTTING WIRE</v>
          </cell>
          <cell r="P1370" t="str">
            <v>B</v>
          </cell>
          <cell r="Q1370" t="str">
            <v>DL</v>
          </cell>
          <cell r="R1370" t="str">
            <v>PERMANENT</v>
          </cell>
          <cell r="S1370" t="str">
            <v>PRM</v>
          </cell>
          <cell r="T1370" t="str">
            <v>OPT</v>
          </cell>
          <cell r="U1370" t="str">
            <v>-</v>
          </cell>
          <cell r="V1370" t="str">
            <v>P</v>
          </cell>
          <cell r="W1370">
            <v>27</v>
          </cell>
        </row>
        <row r="1371">
          <cell r="A1371">
            <v>19137</v>
          </cell>
          <cell r="B1371" t="str">
            <v>019137</v>
          </cell>
          <cell r="C1371" t="str">
            <v>MUHAMMAD AZIS</v>
          </cell>
          <cell r="D1371" t="str">
            <v>SAMI</v>
          </cell>
          <cell r="E1371" t="str">
            <v>OPT-475</v>
          </cell>
          <cell r="F1371">
            <v>42254</v>
          </cell>
          <cell r="G1371" t="str">
            <v>-</v>
          </cell>
          <cell r="H1371" t="str">
            <v>-</v>
          </cell>
          <cell r="I1371" t="str">
            <v>PRD</v>
          </cell>
          <cell r="J1371" t="str">
            <v>PRE ASSY</v>
          </cell>
          <cell r="K1371" t="str">
            <v>HONDA EXPORT</v>
          </cell>
          <cell r="L1371" t="str">
            <v>HONDA EXPORT</v>
          </cell>
          <cell r="M1371" t="str">
            <v>CPA HONDA EXPORT</v>
          </cell>
          <cell r="N1371" t="str">
            <v>INSP BC</v>
          </cell>
          <cell r="O1371" t="str">
            <v>P/A INSPECTOR</v>
          </cell>
          <cell r="P1371" t="str">
            <v>B</v>
          </cell>
          <cell r="Q1371" t="str">
            <v>PI</v>
          </cell>
          <cell r="R1371" t="str">
            <v>PERMANENT</v>
          </cell>
          <cell r="S1371" t="str">
            <v>PRM</v>
          </cell>
          <cell r="T1371" t="str">
            <v>OPT</v>
          </cell>
          <cell r="U1371" t="str">
            <v>-</v>
          </cell>
          <cell r="V1371" t="str">
            <v>L</v>
          </cell>
          <cell r="W1371">
            <v>32</v>
          </cell>
        </row>
        <row r="1372">
          <cell r="A1372">
            <v>19433</v>
          </cell>
          <cell r="B1372" t="str">
            <v>019433</v>
          </cell>
          <cell r="C1372" t="str">
            <v>HADI PRAYITNO</v>
          </cell>
          <cell r="D1372" t="str">
            <v>SAMI</v>
          </cell>
          <cell r="E1372" t="str">
            <v>TKN-101</v>
          </cell>
          <cell r="F1372">
            <v>42303</v>
          </cell>
          <cell r="G1372" t="str">
            <v>-</v>
          </cell>
          <cell r="H1372" t="str">
            <v>-</v>
          </cell>
          <cell r="I1372" t="str">
            <v>PRD</v>
          </cell>
          <cell r="J1372" t="str">
            <v>NON LINE</v>
          </cell>
          <cell r="K1372" t="str">
            <v>ALL</v>
          </cell>
          <cell r="L1372" t="str">
            <v>ALL</v>
          </cell>
          <cell r="M1372" t="str">
            <v>PRODUCTION SYSTEM</v>
          </cell>
          <cell r="N1372" t="str">
            <v>KANBAN &amp; STANDART FA</v>
          </cell>
          <cell r="O1372" t="str">
            <v>KANBAN CONTROL</v>
          </cell>
          <cell r="P1372" t="str">
            <v>A (NS)</v>
          </cell>
          <cell r="Q1372" t="str">
            <v>PS</v>
          </cell>
          <cell r="R1372" t="str">
            <v>PERMANENT</v>
          </cell>
          <cell r="S1372" t="str">
            <v>PRM</v>
          </cell>
          <cell r="T1372" t="str">
            <v>TKN</v>
          </cell>
          <cell r="U1372" t="str">
            <v>-</v>
          </cell>
          <cell r="V1372" t="str">
            <v>L</v>
          </cell>
          <cell r="W1372">
            <v>32</v>
          </cell>
        </row>
        <row r="1373">
          <cell r="A1373">
            <v>19160</v>
          </cell>
          <cell r="B1373" t="str">
            <v>019160</v>
          </cell>
          <cell r="C1373" t="str">
            <v>RANI MULIA AGUSTA</v>
          </cell>
          <cell r="D1373" t="str">
            <v>SAMI</v>
          </cell>
          <cell r="E1373" t="str">
            <v>OPT-475</v>
          </cell>
          <cell r="F1373">
            <v>42254</v>
          </cell>
          <cell r="G1373" t="str">
            <v>-</v>
          </cell>
          <cell r="H1373" t="str">
            <v>-</v>
          </cell>
          <cell r="I1373" t="str">
            <v>PRD</v>
          </cell>
          <cell r="J1373" t="str">
            <v>FINAL ASSY</v>
          </cell>
          <cell r="K1373" t="str">
            <v>HONDA NES</v>
          </cell>
          <cell r="L1373" t="str">
            <v>HONDA NES HEV PET ENGINE</v>
          </cell>
          <cell r="M1373" t="str">
            <v>CV H04</v>
          </cell>
          <cell r="N1373" t="str">
            <v>RELIEF 2</v>
          </cell>
          <cell r="O1373" t="str">
            <v>RELIEF</v>
          </cell>
          <cell r="P1373" t="str">
            <v>B</v>
          </cell>
          <cell r="Q1373" t="str">
            <v>PI</v>
          </cell>
          <cell r="R1373" t="str">
            <v>PERMANENT</v>
          </cell>
          <cell r="S1373" t="str">
            <v>PRM</v>
          </cell>
          <cell r="T1373" t="str">
            <v>OPT</v>
          </cell>
          <cell r="U1373" t="str">
            <v>-</v>
          </cell>
          <cell r="V1373" t="str">
            <v>P</v>
          </cell>
          <cell r="W1373">
            <v>28</v>
          </cell>
        </row>
        <row r="1374">
          <cell r="A1374">
            <v>19208</v>
          </cell>
          <cell r="B1374" t="str">
            <v>019208</v>
          </cell>
          <cell r="C1374" t="str">
            <v>MOHAMMAD ARFIN RIFQI</v>
          </cell>
          <cell r="D1374" t="str">
            <v>SAMI</v>
          </cell>
          <cell r="E1374" t="str">
            <v>ES-65</v>
          </cell>
          <cell r="F1374">
            <v>42254</v>
          </cell>
          <cell r="G1374" t="str">
            <v>-</v>
          </cell>
          <cell r="H1374" t="str">
            <v>-</v>
          </cell>
          <cell r="I1374" t="str">
            <v>PE</v>
          </cell>
          <cell r="J1374" t="str">
            <v>PrE</v>
          </cell>
          <cell r="K1374" t="str">
            <v>ALL</v>
          </cell>
          <cell r="L1374" t="str">
            <v>ALL</v>
          </cell>
          <cell r="M1374" t="str">
            <v>PrE</v>
          </cell>
          <cell r="N1374" t="str">
            <v>LL PrE</v>
          </cell>
          <cell r="O1374" t="str">
            <v>FPS LL</v>
          </cell>
          <cell r="P1374" t="str">
            <v>A (NS)</v>
          </cell>
          <cell r="Q1374" t="str">
            <v>PS</v>
          </cell>
          <cell r="R1374" t="str">
            <v>PERMANENT</v>
          </cell>
          <cell r="S1374" t="str">
            <v>PRM</v>
          </cell>
          <cell r="T1374" t="str">
            <v>ES</v>
          </cell>
          <cell r="U1374" t="str">
            <v>-</v>
          </cell>
          <cell r="V1374" t="str">
            <v>L</v>
          </cell>
          <cell r="W1374">
            <v>31</v>
          </cell>
        </row>
        <row r="1375">
          <cell r="A1375">
            <v>19241</v>
          </cell>
          <cell r="B1375" t="str">
            <v>019241</v>
          </cell>
          <cell r="C1375" t="str">
            <v>BAYU TIRTA MAHARDIKA</v>
          </cell>
          <cell r="D1375" t="str">
            <v>SAMI</v>
          </cell>
          <cell r="E1375" t="str">
            <v>OPT-476</v>
          </cell>
          <cell r="F1375">
            <v>42262</v>
          </cell>
          <cell r="G1375" t="str">
            <v>-</v>
          </cell>
          <cell r="H1375" t="str">
            <v>-</v>
          </cell>
          <cell r="I1375" t="str">
            <v>LOG</v>
          </cell>
          <cell r="J1375" t="str">
            <v>L. DOCK</v>
          </cell>
          <cell r="K1375" t="str">
            <v>ALL</v>
          </cell>
          <cell r="L1375" t="str">
            <v>ALL</v>
          </cell>
          <cell r="M1375" t="str">
            <v>L. DOCK</v>
          </cell>
          <cell r="N1375" t="str">
            <v>L. DOCK</v>
          </cell>
          <cell r="O1375" t="str">
            <v>LD</v>
          </cell>
          <cell r="P1375" t="str">
            <v>A</v>
          </cell>
          <cell r="Q1375" t="str">
            <v>PS</v>
          </cell>
          <cell r="R1375" t="str">
            <v>PERMANENT</v>
          </cell>
          <cell r="S1375" t="str">
            <v>PRM</v>
          </cell>
          <cell r="T1375" t="str">
            <v>OPT</v>
          </cell>
          <cell r="U1375" t="str">
            <v>-</v>
          </cell>
          <cell r="V1375" t="str">
            <v>L</v>
          </cell>
          <cell r="W1375">
            <v>30</v>
          </cell>
        </row>
        <row r="1376">
          <cell r="A1376">
            <v>19243</v>
          </cell>
          <cell r="B1376" t="str">
            <v>019243</v>
          </cell>
          <cell r="C1376" t="str">
            <v>DHARIS ABDUL FEBRIYAN</v>
          </cell>
          <cell r="D1376" t="str">
            <v>SAMI</v>
          </cell>
          <cell r="E1376" t="str">
            <v>OPT-476</v>
          </cell>
          <cell r="F1376">
            <v>42262</v>
          </cell>
          <cell r="G1376" t="str">
            <v>-</v>
          </cell>
          <cell r="H1376" t="str">
            <v>-</v>
          </cell>
          <cell r="I1376" t="str">
            <v>LOG</v>
          </cell>
          <cell r="J1376" t="str">
            <v>WHS</v>
          </cell>
          <cell r="K1376" t="str">
            <v>ALL</v>
          </cell>
          <cell r="L1376" t="str">
            <v>ALL</v>
          </cell>
          <cell r="M1376" t="str">
            <v>WHS</v>
          </cell>
          <cell r="N1376" t="str">
            <v>Parts supply (piking &amp; material handling) from material werahouse</v>
          </cell>
          <cell r="O1376" t="str">
            <v>WHS SUPPLY</v>
          </cell>
          <cell r="P1376" t="str">
            <v>B</v>
          </cell>
          <cell r="Q1376" t="str">
            <v>PS</v>
          </cell>
          <cell r="R1376" t="str">
            <v>PERMANENT</v>
          </cell>
          <cell r="S1376" t="str">
            <v>PRM</v>
          </cell>
          <cell r="T1376" t="str">
            <v>OPT</v>
          </cell>
          <cell r="U1376" t="str">
            <v>-</v>
          </cell>
          <cell r="V1376" t="str">
            <v>L</v>
          </cell>
          <cell r="W1376">
            <v>27</v>
          </cell>
        </row>
        <row r="1377">
          <cell r="A1377">
            <v>19255</v>
          </cell>
          <cell r="B1377" t="str">
            <v>019255</v>
          </cell>
          <cell r="C1377" t="str">
            <v>M. SALAFUDIN</v>
          </cell>
          <cell r="D1377" t="str">
            <v>SAMI</v>
          </cell>
          <cell r="E1377" t="str">
            <v>OPT-476</v>
          </cell>
          <cell r="F1377">
            <v>42262</v>
          </cell>
          <cell r="G1377" t="str">
            <v>-</v>
          </cell>
          <cell r="H1377" t="str">
            <v>-</v>
          </cell>
          <cell r="I1377" t="str">
            <v>LOG</v>
          </cell>
          <cell r="J1377" t="str">
            <v>WHS</v>
          </cell>
          <cell r="K1377" t="str">
            <v>ALL</v>
          </cell>
          <cell r="L1377" t="str">
            <v>ALL</v>
          </cell>
          <cell r="M1377" t="str">
            <v>WHS</v>
          </cell>
          <cell r="N1377" t="str">
            <v>Parts supply (piking &amp; material handling) from material werahouse</v>
          </cell>
          <cell r="O1377" t="str">
            <v>WHS SUPPLY</v>
          </cell>
          <cell r="P1377" t="str">
            <v>A</v>
          </cell>
          <cell r="Q1377" t="str">
            <v>PS</v>
          </cell>
          <cell r="R1377" t="str">
            <v>PERMANENT</v>
          </cell>
          <cell r="S1377" t="str">
            <v>PRM</v>
          </cell>
          <cell r="T1377" t="str">
            <v>OPT</v>
          </cell>
          <cell r="U1377" t="str">
            <v>-</v>
          </cell>
          <cell r="V1377" t="str">
            <v>L</v>
          </cell>
          <cell r="W1377">
            <v>29</v>
          </cell>
        </row>
        <row r="1378">
          <cell r="A1378">
            <v>19259</v>
          </cell>
          <cell r="B1378" t="str">
            <v>019259</v>
          </cell>
          <cell r="C1378" t="str">
            <v>ROBI MAULANA</v>
          </cell>
          <cell r="D1378" t="str">
            <v>SAMI</v>
          </cell>
          <cell r="E1378" t="str">
            <v>OPT-476</v>
          </cell>
          <cell r="F1378">
            <v>42262</v>
          </cell>
          <cell r="G1378" t="str">
            <v>-</v>
          </cell>
          <cell r="H1378" t="str">
            <v>-</v>
          </cell>
          <cell r="I1378" t="str">
            <v>LOG</v>
          </cell>
          <cell r="J1378" t="str">
            <v>WHS</v>
          </cell>
          <cell r="K1378" t="str">
            <v>ALL</v>
          </cell>
          <cell r="L1378" t="str">
            <v>ALL</v>
          </cell>
          <cell r="M1378" t="str">
            <v>WHS</v>
          </cell>
          <cell r="N1378" t="str">
            <v>Parts supply (piking &amp; material handling) from material werahouse</v>
          </cell>
          <cell r="O1378" t="str">
            <v>WHS SUPPLY</v>
          </cell>
          <cell r="P1378" t="str">
            <v>A</v>
          </cell>
          <cell r="Q1378" t="str">
            <v>PS</v>
          </cell>
          <cell r="R1378" t="str">
            <v>PERMANENT</v>
          </cell>
          <cell r="S1378" t="str">
            <v>PRM</v>
          </cell>
          <cell r="T1378" t="str">
            <v>OPT</v>
          </cell>
          <cell r="U1378" t="str">
            <v>-</v>
          </cell>
          <cell r="V1378" t="str">
            <v>L</v>
          </cell>
          <cell r="W1378">
            <v>27</v>
          </cell>
        </row>
        <row r="1379">
          <cell r="A1379">
            <v>19287</v>
          </cell>
          <cell r="B1379" t="str">
            <v>019287</v>
          </cell>
          <cell r="C1379" t="str">
            <v>DYAH ARYANI</v>
          </cell>
          <cell r="D1379" t="str">
            <v>SAMI</v>
          </cell>
          <cell r="E1379" t="str">
            <v>OPT-478</v>
          </cell>
          <cell r="F1379">
            <v>42282</v>
          </cell>
          <cell r="G1379" t="str">
            <v>-</v>
          </cell>
          <cell r="H1379" t="str">
            <v>-</v>
          </cell>
          <cell r="I1379" t="str">
            <v>QA</v>
          </cell>
          <cell r="J1379" t="str">
            <v>FINAL ASSY</v>
          </cell>
          <cell r="K1379" t="str">
            <v>TOYOTA HV</v>
          </cell>
          <cell r="L1379" t="str">
            <v>TOYOTA HV 10PL</v>
          </cell>
          <cell r="M1379" t="str">
            <v>CV HV 14B</v>
          </cell>
          <cell r="N1379" t="str">
            <v>SCANNER</v>
          </cell>
          <cell r="O1379" t="str">
            <v>QA APPROVE</v>
          </cell>
          <cell r="P1379" t="str">
            <v>A</v>
          </cell>
          <cell r="Q1379" t="str">
            <v>PI</v>
          </cell>
          <cell r="R1379" t="str">
            <v>PERMANENT</v>
          </cell>
          <cell r="S1379" t="str">
            <v>PRM</v>
          </cell>
          <cell r="T1379" t="str">
            <v>OPT</v>
          </cell>
          <cell r="U1379" t="str">
            <v>-</v>
          </cell>
          <cell r="V1379" t="str">
            <v>P</v>
          </cell>
          <cell r="W1379">
            <v>28</v>
          </cell>
        </row>
        <row r="1380">
          <cell r="A1380">
            <v>20694</v>
          </cell>
          <cell r="B1380" t="str">
            <v>020694</v>
          </cell>
          <cell r="C1380" t="str">
            <v>ADAM SATRIA PUTRA DINATA</v>
          </cell>
          <cell r="D1380" t="str">
            <v>SAMI</v>
          </cell>
          <cell r="E1380" t="str">
            <v>ADM-66</v>
          </cell>
          <cell r="F1380">
            <v>42642</v>
          </cell>
          <cell r="G1380" t="str">
            <v>-</v>
          </cell>
          <cell r="H1380" t="str">
            <v>-</v>
          </cell>
          <cell r="I1380" t="str">
            <v>PRD</v>
          </cell>
          <cell r="J1380" t="str">
            <v>NON LINE</v>
          </cell>
          <cell r="K1380" t="str">
            <v>ALL</v>
          </cell>
          <cell r="L1380" t="str">
            <v>ALL</v>
          </cell>
          <cell r="M1380" t="str">
            <v>PRODUCTION SYSTEM</v>
          </cell>
          <cell r="N1380" t="str">
            <v>KANBAN &amp; STANDART CPA</v>
          </cell>
          <cell r="O1380" t="str">
            <v>KANBAN CONTROL</v>
          </cell>
          <cell r="P1380" t="str">
            <v>A (NS)</v>
          </cell>
          <cell r="Q1380" t="str">
            <v>PS</v>
          </cell>
          <cell r="R1380" t="str">
            <v>PERMANENT</v>
          </cell>
          <cell r="S1380" t="str">
            <v>PRM</v>
          </cell>
          <cell r="T1380" t="str">
            <v>ADM</v>
          </cell>
          <cell r="U1380" t="str">
            <v>-</v>
          </cell>
          <cell r="V1380" t="str">
            <v>L</v>
          </cell>
          <cell r="W1380">
            <v>27</v>
          </cell>
        </row>
        <row r="1381">
          <cell r="A1381">
            <v>21935</v>
          </cell>
          <cell r="B1381" t="str">
            <v>021935</v>
          </cell>
          <cell r="C1381" t="str">
            <v>TRI ANDRIYANI</v>
          </cell>
          <cell r="D1381" t="str">
            <v>SAMI</v>
          </cell>
          <cell r="E1381" t="str">
            <v>OPT-544</v>
          </cell>
          <cell r="F1381">
            <v>43111</v>
          </cell>
          <cell r="G1381" t="str">
            <v>-</v>
          </cell>
          <cell r="H1381" t="str">
            <v>-</v>
          </cell>
          <cell r="I1381" t="str">
            <v>PRD</v>
          </cell>
          <cell r="J1381" t="str">
            <v>NON LINE</v>
          </cell>
          <cell r="K1381" t="str">
            <v>ALL</v>
          </cell>
          <cell r="L1381" t="str">
            <v>ALL</v>
          </cell>
          <cell r="M1381" t="str">
            <v>PRODUCTION SYSTEM</v>
          </cell>
          <cell r="N1381" t="str">
            <v>KANBAN &amp; STANDART FA</v>
          </cell>
          <cell r="O1381" t="str">
            <v>KANBAN CONTROL</v>
          </cell>
          <cell r="P1381" t="str">
            <v>A (NS)</v>
          </cell>
          <cell r="Q1381" t="str">
            <v>PS</v>
          </cell>
          <cell r="R1381" t="str">
            <v>PERMANENT</v>
          </cell>
          <cell r="S1381" t="str">
            <v>PRM</v>
          </cell>
          <cell r="T1381" t="str">
            <v>OPT</v>
          </cell>
          <cell r="U1381" t="str">
            <v>TUNA DAKSA</v>
          </cell>
          <cell r="V1381" t="str">
            <v>P</v>
          </cell>
          <cell r="W1381">
            <v>26</v>
          </cell>
        </row>
        <row r="1382">
          <cell r="A1382">
            <v>19430</v>
          </cell>
          <cell r="B1382" t="str">
            <v>019430</v>
          </cell>
          <cell r="C1382" t="str">
            <v>PURNOMO BUDI UTOMO</v>
          </cell>
          <cell r="D1382" t="str">
            <v>SAMI</v>
          </cell>
          <cell r="E1382" t="str">
            <v>OPT-480</v>
          </cell>
          <cell r="F1382">
            <v>42296</v>
          </cell>
          <cell r="G1382" t="str">
            <v>-</v>
          </cell>
          <cell r="H1382" t="str">
            <v>-</v>
          </cell>
          <cell r="I1382" t="str">
            <v>PRD</v>
          </cell>
          <cell r="J1382" t="str">
            <v>FINAL ASSY</v>
          </cell>
          <cell r="K1382" t="str">
            <v>TOYOTA</v>
          </cell>
          <cell r="L1382" t="str">
            <v>AQUA SIENTA</v>
          </cell>
          <cell r="M1382" t="str">
            <v>CV T01</v>
          </cell>
          <cell r="N1382" t="str">
            <v>OJT SHIAGE 1</v>
          </cell>
          <cell r="O1382" t="str">
            <v>OTHERS</v>
          </cell>
          <cell r="P1382" t="str">
            <v>B</v>
          </cell>
          <cell r="Q1382" t="str">
            <v>PI</v>
          </cell>
          <cell r="R1382" t="str">
            <v>PERMANENT</v>
          </cell>
          <cell r="S1382" t="str">
            <v>PRM</v>
          </cell>
          <cell r="T1382" t="str">
            <v>OPT</v>
          </cell>
          <cell r="U1382" t="str">
            <v>-</v>
          </cell>
          <cell r="V1382" t="str">
            <v>L</v>
          </cell>
          <cell r="W1382">
            <v>32</v>
          </cell>
        </row>
        <row r="1383">
          <cell r="A1383">
            <v>21987</v>
          </cell>
          <cell r="B1383" t="str">
            <v>021987</v>
          </cell>
          <cell r="C1383" t="str">
            <v>AZIS LUSIANA</v>
          </cell>
          <cell r="D1383" t="str">
            <v>SAMI</v>
          </cell>
          <cell r="E1383" t="str">
            <v>OPT-546</v>
          </cell>
          <cell r="F1383">
            <v>43139</v>
          </cell>
          <cell r="G1383" t="str">
            <v>-</v>
          </cell>
          <cell r="H1383" t="str">
            <v>-</v>
          </cell>
          <cell r="I1383" t="str">
            <v>PRD</v>
          </cell>
          <cell r="J1383" t="str">
            <v>NON LINE</v>
          </cell>
          <cell r="K1383" t="str">
            <v>ALL</v>
          </cell>
          <cell r="L1383" t="str">
            <v>ALL</v>
          </cell>
          <cell r="M1383" t="str">
            <v>PRODUCTION SYSTEM</v>
          </cell>
          <cell r="N1383" t="str">
            <v>KANBAN &amp; STANDART CPA</v>
          </cell>
          <cell r="O1383" t="str">
            <v>KANBAN CONTROL</v>
          </cell>
          <cell r="P1383" t="str">
            <v>A (NS)</v>
          </cell>
          <cell r="Q1383" t="str">
            <v>PS</v>
          </cell>
          <cell r="R1383" t="str">
            <v>PERMANENT</v>
          </cell>
          <cell r="S1383" t="str">
            <v>PRM</v>
          </cell>
          <cell r="T1383" t="str">
            <v>OPT</v>
          </cell>
          <cell r="U1383" t="str">
            <v>-</v>
          </cell>
          <cell r="V1383" t="str">
            <v>P</v>
          </cell>
          <cell r="W1383">
            <v>25</v>
          </cell>
        </row>
        <row r="1384">
          <cell r="A1384">
            <v>19437</v>
          </cell>
          <cell r="B1384" t="str">
            <v>019437</v>
          </cell>
          <cell r="C1384" t="str">
            <v>HABIBUL MUHTAR</v>
          </cell>
          <cell r="D1384" t="str">
            <v>SAMI</v>
          </cell>
          <cell r="E1384" t="str">
            <v>OPT-481</v>
          </cell>
          <cell r="F1384">
            <v>42303</v>
          </cell>
          <cell r="G1384" t="str">
            <v>-</v>
          </cell>
          <cell r="H1384" t="str">
            <v>-</v>
          </cell>
          <cell r="I1384" t="str">
            <v>PE</v>
          </cell>
          <cell r="J1384" t="str">
            <v>WORKSHOP</v>
          </cell>
          <cell r="K1384" t="str">
            <v>ALL</v>
          </cell>
          <cell r="L1384" t="str">
            <v>ALL</v>
          </cell>
          <cell r="M1384" t="str">
            <v>WORKSHOP</v>
          </cell>
          <cell r="N1384" t="str">
            <v>EQUIPMENT NEW PROJECT FINAL ASSY</v>
          </cell>
          <cell r="O1384" t="str">
            <v>WKS</v>
          </cell>
          <cell r="P1384" t="str">
            <v>A</v>
          </cell>
          <cell r="Q1384" t="str">
            <v>PS</v>
          </cell>
          <cell r="R1384" t="str">
            <v>PERMANENT</v>
          </cell>
          <cell r="S1384" t="str">
            <v>PRM</v>
          </cell>
          <cell r="T1384" t="str">
            <v>OPT</v>
          </cell>
          <cell r="U1384" t="str">
            <v>-</v>
          </cell>
          <cell r="V1384" t="str">
            <v>L</v>
          </cell>
          <cell r="W1384">
            <v>30</v>
          </cell>
        </row>
        <row r="1385">
          <cell r="A1385">
            <v>19438</v>
          </cell>
          <cell r="B1385" t="str">
            <v>019438</v>
          </cell>
          <cell r="C1385" t="str">
            <v>IMAM BUKORI</v>
          </cell>
          <cell r="D1385" t="str">
            <v>SAMI</v>
          </cell>
          <cell r="E1385" t="str">
            <v>OPT-481</v>
          </cell>
          <cell r="F1385">
            <v>42303</v>
          </cell>
          <cell r="G1385" t="str">
            <v>-</v>
          </cell>
          <cell r="H1385" t="str">
            <v>-</v>
          </cell>
          <cell r="I1385" t="str">
            <v>LOG</v>
          </cell>
          <cell r="J1385" t="str">
            <v>WHS</v>
          </cell>
          <cell r="K1385" t="str">
            <v>ALL</v>
          </cell>
          <cell r="L1385" t="str">
            <v>ALL</v>
          </cell>
          <cell r="M1385" t="str">
            <v>WHS</v>
          </cell>
          <cell r="N1385" t="str">
            <v>Parts supply (piking &amp; material handling) from material werahouse</v>
          </cell>
          <cell r="O1385" t="str">
            <v>WHS SUPPLY</v>
          </cell>
          <cell r="P1385" t="str">
            <v>B</v>
          </cell>
          <cell r="Q1385" t="str">
            <v>PS</v>
          </cell>
          <cell r="R1385" t="str">
            <v>PERMANENT</v>
          </cell>
          <cell r="S1385" t="str">
            <v>PRM</v>
          </cell>
          <cell r="T1385" t="str">
            <v>OPT</v>
          </cell>
          <cell r="U1385" t="str">
            <v>-</v>
          </cell>
          <cell r="V1385" t="str">
            <v>L</v>
          </cell>
          <cell r="W1385">
            <v>28</v>
          </cell>
        </row>
        <row r="1386">
          <cell r="A1386">
            <v>19443</v>
          </cell>
          <cell r="B1386" t="str">
            <v>019443</v>
          </cell>
          <cell r="C1386" t="str">
            <v>SIGIT SAWIJI</v>
          </cell>
          <cell r="D1386" t="str">
            <v>SAMI</v>
          </cell>
          <cell r="E1386" t="str">
            <v>OPT-481</v>
          </cell>
          <cell r="F1386">
            <v>42303</v>
          </cell>
          <cell r="G1386" t="str">
            <v>-</v>
          </cell>
          <cell r="H1386" t="str">
            <v>-</v>
          </cell>
          <cell r="I1386" t="str">
            <v>LOG</v>
          </cell>
          <cell r="J1386" t="str">
            <v>WHS</v>
          </cell>
          <cell r="K1386" t="str">
            <v>ALL</v>
          </cell>
          <cell r="L1386" t="str">
            <v>ALL</v>
          </cell>
          <cell r="M1386" t="str">
            <v>WHS</v>
          </cell>
          <cell r="N1386" t="str">
            <v>Parts supply (piking &amp; material handling) from material werahouse</v>
          </cell>
          <cell r="O1386" t="str">
            <v>WHS SUPPLY</v>
          </cell>
          <cell r="P1386" t="str">
            <v>B</v>
          </cell>
          <cell r="Q1386" t="str">
            <v>PS</v>
          </cell>
          <cell r="R1386" t="str">
            <v>PERMANENT</v>
          </cell>
          <cell r="S1386" t="str">
            <v>PRM</v>
          </cell>
          <cell r="T1386" t="str">
            <v>OPT</v>
          </cell>
          <cell r="U1386" t="str">
            <v>-</v>
          </cell>
          <cell r="V1386" t="str">
            <v>L</v>
          </cell>
          <cell r="W1386">
            <v>27</v>
          </cell>
        </row>
        <row r="1387">
          <cell r="A1387">
            <v>19444</v>
          </cell>
          <cell r="B1387" t="str">
            <v>019444</v>
          </cell>
          <cell r="C1387" t="str">
            <v>KURNIA MARDIYANI</v>
          </cell>
          <cell r="D1387" t="str">
            <v>SAMI</v>
          </cell>
          <cell r="E1387" t="str">
            <v>ES-67</v>
          </cell>
          <cell r="F1387">
            <v>42310</v>
          </cell>
          <cell r="G1387" t="str">
            <v>-</v>
          </cell>
          <cell r="H1387" t="str">
            <v>-</v>
          </cell>
          <cell r="I1387" t="str">
            <v>PE</v>
          </cell>
          <cell r="J1387" t="str">
            <v>MTP</v>
          </cell>
          <cell r="K1387" t="str">
            <v>ALL</v>
          </cell>
          <cell r="L1387" t="str">
            <v>ALL</v>
          </cell>
          <cell r="M1387" t="str">
            <v>MTP</v>
          </cell>
          <cell r="N1387" t="str">
            <v>LL MANUFACTURING PURCHASING &amp; BEA CUKAI</v>
          </cell>
          <cell r="O1387" t="str">
            <v>FPS LL</v>
          </cell>
          <cell r="P1387" t="str">
            <v>A (NS)</v>
          </cell>
          <cell r="Q1387" t="str">
            <v>PS</v>
          </cell>
          <cell r="R1387" t="str">
            <v>PERMANENT</v>
          </cell>
          <cell r="S1387" t="str">
            <v>PRM</v>
          </cell>
          <cell r="T1387" t="str">
            <v>ES</v>
          </cell>
          <cell r="U1387" t="str">
            <v>-</v>
          </cell>
          <cell r="V1387" t="str">
            <v>P</v>
          </cell>
          <cell r="W1387">
            <v>31</v>
          </cell>
        </row>
        <row r="1388">
          <cell r="A1388">
            <v>19446</v>
          </cell>
          <cell r="B1388" t="str">
            <v>019446</v>
          </cell>
          <cell r="C1388" t="str">
            <v>VIVI NURFAJRIYATI</v>
          </cell>
          <cell r="D1388" t="str">
            <v>SAMI</v>
          </cell>
          <cell r="E1388" t="str">
            <v>OPT-482</v>
          </cell>
          <cell r="F1388">
            <v>42310</v>
          </cell>
          <cell r="G1388" t="str">
            <v>-</v>
          </cell>
          <cell r="H1388" t="str">
            <v>-</v>
          </cell>
          <cell r="I1388" t="str">
            <v>OTHERS</v>
          </cell>
          <cell r="J1388" t="str">
            <v>TRN @ OVERSEAS</v>
          </cell>
          <cell r="K1388" t="str">
            <v>ALL</v>
          </cell>
          <cell r="L1388" t="str">
            <v>ALL</v>
          </cell>
          <cell r="M1388" t="str">
            <v>TRN @ OVERSEAS - TCS 9</v>
          </cell>
          <cell r="N1388" t="str">
            <v>TRN @ OVERSEAS</v>
          </cell>
          <cell r="O1388" t="str">
            <v>OTHERS IDL</v>
          </cell>
          <cell r="P1388" t="str">
            <v>A (NS)</v>
          </cell>
          <cell r="Q1388" t="str">
            <v>ADM</v>
          </cell>
          <cell r="R1388" t="str">
            <v>PERMANENT</v>
          </cell>
          <cell r="S1388" t="str">
            <v>PRM</v>
          </cell>
          <cell r="T1388" t="str">
            <v>OPT</v>
          </cell>
          <cell r="U1388" t="str">
            <v>-</v>
          </cell>
          <cell r="V1388" t="str">
            <v>P</v>
          </cell>
          <cell r="W1388">
            <v>26</v>
          </cell>
        </row>
        <row r="1389">
          <cell r="A1389">
            <v>19454</v>
          </cell>
          <cell r="B1389" t="str">
            <v>019454</v>
          </cell>
          <cell r="C1389" t="str">
            <v>MUKHAMAD ALI</v>
          </cell>
          <cell r="D1389" t="str">
            <v>SAMI</v>
          </cell>
          <cell r="E1389" t="str">
            <v>OPT-483</v>
          </cell>
          <cell r="F1389">
            <v>42380</v>
          </cell>
          <cell r="G1389" t="str">
            <v>-</v>
          </cell>
          <cell r="H1389" t="str">
            <v>-</v>
          </cell>
          <cell r="I1389" t="str">
            <v>LOG</v>
          </cell>
          <cell r="J1389" t="str">
            <v>WHS</v>
          </cell>
          <cell r="K1389" t="str">
            <v>ALL</v>
          </cell>
          <cell r="L1389" t="str">
            <v>ALL</v>
          </cell>
          <cell r="M1389" t="str">
            <v>WHS</v>
          </cell>
          <cell r="N1389" t="str">
            <v>Parts supply (piking &amp; material handling) from material werahouse</v>
          </cell>
          <cell r="O1389" t="str">
            <v>WHS SUPPLY</v>
          </cell>
          <cell r="P1389" t="str">
            <v>A</v>
          </cell>
          <cell r="Q1389" t="str">
            <v>PS</v>
          </cell>
          <cell r="R1389" t="str">
            <v>PERMANENT</v>
          </cell>
          <cell r="S1389" t="str">
            <v>PRM</v>
          </cell>
          <cell r="T1389" t="str">
            <v>OPT</v>
          </cell>
          <cell r="U1389" t="str">
            <v>-</v>
          </cell>
          <cell r="V1389" t="str">
            <v>L</v>
          </cell>
          <cell r="W1389">
            <v>29</v>
          </cell>
        </row>
        <row r="1390">
          <cell r="A1390">
            <v>19456</v>
          </cell>
          <cell r="B1390" t="str">
            <v>019456</v>
          </cell>
          <cell r="C1390" t="str">
            <v>DYAH PUTRI PUSPITASARI</v>
          </cell>
          <cell r="D1390" t="str">
            <v>SAMI</v>
          </cell>
          <cell r="E1390" t="str">
            <v>ES-69</v>
          </cell>
          <cell r="F1390">
            <v>42390</v>
          </cell>
          <cell r="G1390" t="str">
            <v>-</v>
          </cell>
          <cell r="H1390" t="str">
            <v>-</v>
          </cell>
          <cell r="I1390" t="str">
            <v>PGA</v>
          </cell>
          <cell r="J1390" t="str">
            <v>TRN &amp; MOTO</v>
          </cell>
          <cell r="K1390" t="str">
            <v>ALL</v>
          </cell>
          <cell r="L1390" t="str">
            <v>ALL</v>
          </cell>
          <cell r="M1390" t="str">
            <v>TRN</v>
          </cell>
          <cell r="N1390" t="str">
            <v>TRAINING &amp; 136 RULES</v>
          </cell>
          <cell r="O1390" t="str">
            <v>IDL LL</v>
          </cell>
          <cell r="P1390" t="str">
            <v>A (NS)</v>
          </cell>
          <cell r="Q1390" t="str">
            <v>ADM</v>
          </cell>
          <cell r="R1390" t="str">
            <v>PERMANENT</v>
          </cell>
          <cell r="S1390" t="str">
            <v>PRM</v>
          </cell>
          <cell r="T1390" t="str">
            <v>ES</v>
          </cell>
          <cell r="U1390" t="str">
            <v>-</v>
          </cell>
          <cell r="V1390" t="str">
            <v>P</v>
          </cell>
          <cell r="W1390">
            <v>30</v>
          </cell>
        </row>
        <row r="1391">
          <cell r="A1391">
            <v>19461</v>
          </cell>
          <cell r="B1391" t="str">
            <v>019461</v>
          </cell>
          <cell r="C1391" t="str">
            <v>NAILIL FARH</v>
          </cell>
          <cell r="D1391" t="str">
            <v>SAMI</v>
          </cell>
          <cell r="E1391" t="str">
            <v>OPT-486</v>
          </cell>
          <cell r="F1391">
            <v>42422</v>
          </cell>
          <cell r="G1391" t="str">
            <v>-</v>
          </cell>
          <cell r="H1391" t="str">
            <v>-</v>
          </cell>
          <cell r="I1391" t="str">
            <v>PP</v>
          </cell>
          <cell r="J1391" t="str">
            <v>OS &amp; IMPR</v>
          </cell>
          <cell r="K1391" t="str">
            <v>ALL</v>
          </cell>
          <cell r="L1391" t="str">
            <v>ALL</v>
          </cell>
          <cell r="M1391" t="str">
            <v>OS &amp; IMPR</v>
          </cell>
          <cell r="N1391" t="str">
            <v>DOKUMEN OS</v>
          </cell>
          <cell r="O1391" t="str">
            <v>PROCESS ENG</v>
          </cell>
          <cell r="P1391" t="str">
            <v>A (NS)</v>
          </cell>
          <cell r="Q1391" t="str">
            <v>PS</v>
          </cell>
          <cell r="R1391" t="str">
            <v>PERMANENT</v>
          </cell>
          <cell r="S1391" t="str">
            <v>PRM</v>
          </cell>
          <cell r="T1391" t="str">
            <v>OPT</v>
          </cell>
          <cell r="U1391" t="str">
            <v>TUNA DAKSA</v>
          </cell>
          <cell r="V1391" t="str">
            <v>P</v>
          </cell>
          <cell r="W1391">
            <v>28</v>
          </cell>
        </row>
        <row r="1392">
          <cell r="A1392">
            <v>183</v>
          </cell>
          <cell r="B1392" t="str">
            <v>000183</v>
          </cell>
          <cell r="C1392" t="str">
            <v>SITI NUR KHASANAH</v>
          </cell>
          <cell r="D1392" t="str">
            <v>SAMI</v>
          </cell>
          <cell r="E1392" t="str">
            <v>OPT-5</v>
          </cell>
          <cell r="F1392">
            <v>37679</v>
          </cell>
          <cell r="G1392" t="str">
            <v>-</v>
          </cell>
          <cell r="H1392" t="str">
            <v>-</v>
          </cell>
          <cell r="I1392" t="str">
            <v>PRD</v>
          </cell>
          <cell r="J1392" t="str">
            <v>FINAL ASSY</v>
          </cell>
          <cell r="K1392" t="str">
            <v>ALL</v>
          </cell>
          <cell r="L1392" t="str">
            <v>ALL</v>
          </cell>
          <cell r="M1392" t="str">
            <v>PROTOTYPE</v>
          </cell>
          <cell r="N1392" t="str">
            <v>PRD LINE LEADER</v>
          </cell>
          <cell r="O1392" t="str">
            <v>FPI LL</v>
          </cell>
          <cell r="P1392" t="str">
            <v>A (NS)</v>
          </cell>
          <cell r="Q1392" t="str">
            <v>PI</v>
          </cell>
          <cell r="R1392" t="str">
            <v>PERMANENT</v>
          </cell>
          <cell r="S1392" t="str">
            <v>PRM</v>
          </cell>
          <cell r="T1392" t="str">
            <v>LL</v>
          </cell>
          <cell r="U1392" t="str">
            <v>-</v>
          </cell>
          <cell r="V1392" t="str">
            <v>P</v>
          </cell>
          <cell r="W1392">
            <v>43</v>
          </cell>
        </row>
        <row r="1393">
          <cell r="A1393">
            <v>19580</v>
          </cell>
          <cell r="B1393" t="str">
            <v>019580</v>
          </cell>
          <cell r="C1393" t="str">
            <v>KHOIRUL UMAM</v>
          </cell>
          <cell r="D1393" t="str">
            <v>SAMI</v>
          </cell>
          <cell r="E1393" t="str">
            <v>OPT-489</v>
          </cell>
          <cell r="F1393">
            <v>42472</v>
          </cell>
          <cell r="G1393" t="str">
            <v>-</v>
          </cell>
          <cell r="H1393" t="str">
            <v>-</v>
          </cell>
          <cell r="I1393" t="str">
            <v>PRD</v>
          </cell>
          <cell r="J1393" t="str">
            <v>FINAL ASSY</v>
          </cell>
          <cell r="K1393" t="str">
            <v>SUZUKI WAGON R</v>
          </cell>
          <cell r="L1393" t="str">
            <v>SUZUKI YW0</v>
          </cell>
          <cell r="M1393" t="str">
            <v>CV S01</v>
          </cell>
          <cell r="N1393" t="str">
            <v>SHIAGE</v>
          </cell>
          <cell r="O1393" t="str">
            <v>ASSEMBLY</v>
          </cell>
          <cell r="P1393" t="str">
            <v>B</v>
          </cell>
          <cell r="Q1393" t="str">
            <v>DL</v>
          </cell>
          <cell r="R1393" t="str">
            <v>PERMANENT</v>
          </cell>
          <cell r="S1393" t="str">
            <v>PRM</v>
          </cell>
          <cell r="T1393" t="str">
            <v>OPT</v>
          </cell>
          <cell r="U1393" t="str">
            <v>-</v>
          </cell>
          <cell r="V1393" t="str">
            <v>L</v>
          </cell>
          <cell r="W1393">
            <v>27</v>
          </cell>
        </row>
        <row r="1394">
          <cell r="A1394">
            <v>19586</v>
          </cell>
          <cell r="B1394" t="str">
            <v>019586</v>
          </cell>
          <cell r="C1394" t="str">
            <v>MOCH YUSUF IMMANUDIN</v>
          </cell>
          <cell r="D1394" t="str">
            <v>SAMI</v>
          </cell>
          <cell r="E1394" t="str">
            <v>OPT-489</v>
          </cell>
          <cell r="F1394">
            <v>42472</v>
          </cell>
          <cell r="G1394" t="str">
            <v>-</v>
          </cell>
          <cell r="H1394" t="str">
            <v>-</v>
          </cell>
          <cell r="I1394" t="str">
            <v>PRD</v>
          </cell>
          <cell r="J1394" t="str">
            <v>FINAL ASSY</v>
          </cell>
          <cell r="K1394" t="str">
            <v>TOYOTA HV</v>
          </cell>
          <cell r="L1394" t="str">
            <v>HV TOYOTA 10PL</v>
          </cell>
          <cell r="M1394" t="str">
            <v>CV HV 14A</v>
          </cell>
          <cell r="N1394" t="str">
            <v>HELPER</v>
          </cell>
          <cell r="O1394" t="str">
            <v>P/A CONTROLLER</v>
          </cell>
          <cell r="P1394" t="str">
            <v>B</v>
          </cell>
          <cell r="Q1394" t="str">
            <v>PI</v>
          </cell>
          <cell r="R1394" t="str">
            <v>PERMANENT</v>
          </cell>
          <cell r="S1394" t="str">
            <v>PRM</v>
          </cell>
          <cell r="T1394" t="str">
            <v>OPT</v>
          </cell>
          <cell r="U1394" t="str">
            <v>-</v>
          </cell>
          <cell r="V1394" t="str">
            <v>L</v>
          </cell>
          <cell r="W1394">
            <v>29</v>
          </cell>
        </row>
        <row r="1395">
          <cell r="A1395">
            <v>811</v>
          </cell>
          <cell r="B1395" t="str">
            <v>000811</v>
          </cell>
          <cell r="C1395" t="str">
            <v>TITIN CATUR MEIWATI</v>
          </cell>
          <cell r="D1395" t="str">
            <v>SAMI</v>
          </cell>
          <cell r="E1395" t="str">
            <v>OPT-21</v>
          </cell>
          <cell r="F1395">
            <v>37837</v>
          </cell>
          <cell r="G1395" t="str">
            <v>-</v>
          </cell>
          <cell r="H1395" t="str">
            <v>-</v>
          </cell>
          <cell r="I1395" t="str">
            <v>PRD</v>
          </cell>
          <cell r="J1395" t="str">
            <v>FINAL ASSY</v>
          </cell>
          <cell r="K1395" t="str">
            <v>ALL</v>
          </cell>
          <cell r="L1395" t="str">
            <v>ALL</v>
          </cell>
          <cell r="M1395" t="str">
            <v>PROTOTYPE</v>
          </cell>
          <cell r="N1395" t="str">
            <v>ASM</v>
          </cell>
          <cell r="O1395" t="str">
            <v>ASSEMBLY</v>
          </cell>
          <cell r="P1395" t="str">
            <v>A (NS)</v>
          </cell>
          <cell r="Q1395" t="str">
            <v>DL</v>
          </cell>
          <cell r="R1395" t="str">
            <v>PERMANENT</v>
          </cell>
          <cell r="S1395" t="str">
            <v>PRM</v>
          </cell>
          <cell r="T1395" t="str">
            <v>OPT</v>
          </cell>
          <cell r="U1395" t="str">
            <v>-</v>
          </cell>
          <cell r="V1395" t="str">
            <v>P</v>
          </cell>
          <cell r="W1395">
            <v>42</v>
          </cell>
        </row>
        <row r="1396">
          <cell r="A1396">
            <v>5690</v>
          </cell>
          <cell r="B1396" t="str">
            <v>005690</v>
          </cell>
          <cell r="C1396" t="str">
            <v>BEKTI RAHAYU</v>
          </cell>
          <cell r="D1396" t="str">
            <v>SAMI</v>
          </cell>
          <cell r="E1396" t="str">
            <v>OPT-134</v>
          </cell>
          <cell r="F1396">
            <v>39098</v>
          </cell>
          <cell r="G1396" t="str">
            <v>-</v>
          </cell>
          <cell r="H1396" t="str">
            <v>-</v>
          </cell>
          <cell r="I1396" t="str">
            <v>PRD</v>
          </cell>
          <cell r="J1396" t="str">
            <v>FINAL ASSY</v>
          </cell>
          <cell r="K1396" t="str">
            <v>ALL</v>
          </cell>
          <cell r="L1396" t="str">
            <v>ALL</v>
          </cell>
          <cell r="M1396" t="str">
            <v>PROTOTYPE</v>
          </cell>
          <cell r="N1396" t="str">
            <v>GL</v>
          </cell>
          <cell r="O1396" t="str">
            <v>GL</v>
          </cell>
          <cell r="P1396" t="str">
            <v>A (NS)</v>
          </cell>
          <cell r="Q1396" t="str">
            <v>PI</v>
          </cell>
          <cell r="R1396" t="str">
            <v>PERMANENT</v>
          </cell>
          <cell r="S1396" t="str">
            <v>PRM</v>
          </cell>
          <cell r="T1396" t="str">
            <v>GL</v>
          </cell>
          <cell r="U1396" t="str">
            <v>-</v>
          </cell>
          <cell r="V1396" t="str">
            <v>P</v>
          </cell>
          <cell r="W1396">
            <v>40</v>
          </cell>
        </row>
        <row r="1397">
          <cell r="A1397">
            <v>19643</v>
          </cell>
          <cell r="B1397" t="str">
            <v>019643</v>
          </cell>
          <cell r="C1397" t="str">
            <v>KURNIA DEWI LESTARI</v>
          </cell>
          <cell r="D1397" t="str">
            <v>SAMI</v>
          </cell>
          <cell r="E1397" t="str">
            <v>OPT-490</v>
          </cell>
          <cell r="F1397">
            <v>42475</v>
          </cell>
          <cell r="G1397" t="str">
            <v>-</v>
          </cell>
          <cell r="H1397" t="str">
            <v>-</v>
          </cell>
          <cell r="I1397" t="str">
            <v>PRD</v>
          </cell>
          <cell r="J1397" t="str">
            <v>FINAL ASSY</v>
          </cell>
          <cell r="K1397" t="str">
            <v>HONDA NES</v>
          </cell>
          <cell r="L1397" t="str">
            <v>HONDA NES HEV PET ENGINE</v>
          </cell>
          <cell r="M1397" t="str">
            <v>CV H04</v>
          </cell>
          <cell r="N1397" t="str">
            <v>S/A 16</v>
          </cell>
          <cell r="O1397" t="str">
            <v>SUB ASSY</v>
          </cell>
          <cell r="P1397" t="str">
            <v>B</v>
          </cell>
          <cell r="Q1397" t="str">
            <v>DL</v>
          </cell>
          <cell r="R1397" t="str">
            <v>PERMANENT</v>
          </cell>
          <cell r="S1397" t="str">
            <v>PRM</v>
          </cell>
          <cell r="T1397" t="str">
            <v>OPT</v>
          </cell>
          <cell r="U1397" t="str">
            <v>-</v>
          </cell>
          <cell r="V1397" t="str">
            <v>P</v>
          </cell>
          <cell r="W1397">
            <v>26</v>
          </cell>
        </row>
        <row r="1398">
          <cell r="A1398">
            <v>19661</v>
          </cell>
          <cell r="B1398" t="str">
            <v>019661</v>
          </cell>
          <cell r="C1398" t="str">
            <v>NUR FAIZAH</v>
          </cell>
          <cell r="D1398" t="str">
            <v>SAMI</v>
          </cell>
          <cell r="E1398" t="str">
            <v>OPT-490</v>
          </cell>
          <cell r="F1398">
            <v>42475</v>
          </cell>
          <cell r="G1398" t="str">
            <v>-</v>
          </cell>
          <cell r="H1398" t="str">
            <v>-</v>
          </cell>
          <cell r="I1398" t="str">
            <v>PRD</v>
          </cell>
          <cell r="J1398" t="str">
            <v>FINAL ASSY</v>
          </cell>
          <cell r="K1398" t="str">
            <v>HONDA NES</v>
          </cell>
          <cell r="L1398" t="str">
            <v>HONDA NES HEV PET ENGINE</v>
          </cell>
          <cell r="M1398" t="str">
            <v>CV H04</v>
          </cell>
          <cell r="N1398" t="str">
            <v>T/P 2.2</v>
          </cell>
          <cell r="O1398" t="str">
            <v>ASSEMBLY</v>
          </cell>
          <cell r="P1398" t="str">
            <v>B</v>
          </cell>
          <cell r="Q1398" t="str">
            <v>DL</v>
          </cell>
          <cell r="R1398" t="str">
            <v>PERMANENT</v>
          </cell>
          <cell r="S1398" t="str">
            <v>PRM</v>
          </cell>
          <cell r="T1398" t="str">
            <v>OPT</v>
          </cell>
          <cell r="U1398" t="str">
            <v>-</v>
          </cell>
          <cell r="V1398" t="str">
            <v>P</v>
          </cell>
          <cell r="W1398">
            <v>26</v>
          </cell>
        </row>
        <row r="1399">
          <cell r="A1399">
            <v>5770</v>
          </cell>
          <cell r="B1399" t="str">
            <v>005770</v>
          </cell>
          <cell r="C1399" t="str">
            <v>FITRI AMALIA</v>
          </cell>
          <cell r="D1399" t="str">
            <v>SAMI</v>
          </cell>
          <cell r="E1399" t="str">
            <v>OPT-135</v>
          </cell>
          <cell r="F1399">
            <v>39114</v>
          </cell>
          <cell r="G1399" t="str">
            <v>-</v>
          </cell>
          <cell r="H1399" t="str">
            <v>-</v>
          </cell>
          <cell r="I1399" t="str">
            <v>PRD</v>
          </cell>
          <cell r="J1399" t="str">
            <v>FINAL ASSY</v>
          </cell>
          <cell r="K1399" t="str">
            <v>ALL</v>
          </cell>
          <cell r="L1399" t="str">
            <v>ALL</v>
          </cell>
          <cell r="M1399" t="str">
            <v>PROTOTYPE</v>
          </cell>
          <cell r="N1399" t="str">
            <v>ASM</v>
          </cell>
          <cell r="O1399" t="str">
            <v>ASSEMBLY</v>
          </cell>
          <cell r="P1399" t="str">
            <v>A (NS)</v>
          </cell>
          <cell r="Q1399" t="str">
            <v>DL</v>
          </cell>
          <cell r="R1399" t="str">
            <v>PERMANENT</v>
          </cell>
          <cell r="S1399" t="str">
            <v>PRM</v>
          </cell>
          <cell r="T1399" t="str">
            <v>OPT</v>
          </cell>
          <cell r="U1399" t="str">
            <v>-</v>
          </cell>
          <cell r="V1399" t="str">
            <v>P</v>
          </cell>
          <cell r="W1399">
            <v>38</v>
          </cell>
        </row>
        <row r="1400">
          <cell r="A1400">
            <v>19762</v>
          </cell>
          <cell r="B1400" t="str">
            <v>019762</v>
          </cell>
          <cell r="C1400" t="str">
            <v>FAIKHATUN NIKMAH</v>
          </cell>
          <cell r="D1400" t="str">
            <v>SAMI</v>
          </cell>
          <cell r="E1400" t="str">
            <v>OPT-492</v>
          </cell>
          <cell r="F1400">
            <v>42499</v>
          </cell>
          <cell r="G1400" t="str">
            <v>-</v>
          </cell>
          <cell r="H1400" t="str">
            <v>-</v>
          </cell>
          <cell r="I1400" t="str">
            <v>PRD</v>
          </cell>
          <cell r="J1400" t="str">
            <v>FINAL ASSY</v>
          </cell>
          <cell r="K1400" t="str">
            <v>TOYOTA HV</v>
          </cell>
          <cell r="L1400" t="str">
            <v xml:space="preserve">HV TOYOTA AC </v>
          </cell>
          <cell r="M1400" t="str">
            <v>CV HV 10A</v>
          </cell>
          <cell r="N1400" t="str">
            <v>BFT 2</v>
          </cell>
          <cell r="O1400" t="str">
            <v>ASSEMBLY</v>
          </cell>
          <cell r="P1400" t="str">
            <v>B</v>
          </cell>
          <cell r="Q1400" t="str">
            <v>DL</v>
          </cell>
          <cell r="R1400" t="str">
            <v>PERMANENT</v>
          </cell>
          <cell r="S1400" t="str">
            <v>PRM</v>
          </cell>
          <cell r="T1400" t="str">
            <v>OPT</v>
          </cell>
          <cell r="U1400" t="str">
            <v>-</v>
          </cell>
          <cell r="V1400" t="str">
            <v>P</v>
          </cell>
          <cell r="W1400">
            <v>27</v>
          </cell>
        </row>
        <row r="1401">
          <cell r="A1401">
            <v>19778</v>
          </cell>
          <cell r="B1401" t="str">
            <v>019778</v>
          </cell>
          <cell r="C1401" t="str">
            <v>KHARIZAL HUDA</v>
          </cell>
          <cell r="D1401" t="str">
            <v>SAMI</v>
          </cell>
          <cell r="E1401" t="str">
            <v>OPT-492</v>
          </cell>
          <cell r="F1401">
            <v>42499</v>
          </cell>
          <cell r="G1401" t="str">
            <v>-</v>
          </cell>
          <cell r="H1401" t="str">
            <v>-</v>
          </cell>
          <cell r="I1401" t="str">
            <v>PRD</v>
          </cell>
          <cell r="J1401" t="str">
            <v>FINAL ASSY</v>
          </cell>
          <cell r="K1401" t="str">
            <v>HONDA NES</v>
          </cell>
          <cell r="L1401" t="str">
            <v>HONDA NES HEV PET ENGINE</v>
          </cell>
          <cell r="M1401" t="str">
            <v>CV H03</v>
          </cell>
          <cell r="N1401" t="str">
            <v>LQC</v>
          </cell>
          <cell r="O1401" t="str">
            <v>RELIEF</v>
          </cell>
          <cell r="P1401" t="str">
            <v>B</v>
          </cell>
          <cell r="Q1401" t="str">
            <v>PI</v>
          </cell>
          <cell r="R1401" t="str">
            <v>PERMANENT</v>
          </cell>
          <cell r="S1401" t="str">
            <v>PRM</v>
          </cell>
          <cell r="T1401" t="str">
            <v>PJK</v>
          </cell>
          <cell r="U1401" t="str">
            <v>-</v>
          </cell>
          <cell r="V1401" t="str">
            <v>L</v>
          </cell>
          <cell r="W1401">
            <v>30</v>
          </cell>
        </row>
        <row r="1402">
          <cell r="A1402">
            <v>19784</v>
          </cell>
          <cell r="B1402" t="str">
            <v>019784</v>
          </cell>
          <cell r="C1402" t="str">
            <v>LAILI PUJI ANAFI</v>
          </cell>
          <cell r="D1402" t="str">
            <v>SAMI</v>
          </cell>
          <cell r="E1402" t="str">
            <v>OPT-492</v>
          </cell>
          <cell r="F1402">
            <v>42499</v>
          </cell>
          <cell r="G1402" t="str">
            <v>-</v>
          </cell>
          <cell r="H1402" t="str">
            <v>-</v>
          </cell>
          <cell r="I1402" t="str">
            <v>QA</v>
          </cell>
          <cell r="J1402" t="str">
            <v>FINAL ASSY</v>
          </cell>
          <cell r="K1402" t="str">
            <v>TOYOTA HV</v>
          </cell>
          <cell r="L1402" t="str">
            <v>HV TOYOTA AC</v>
          </cell>
          <cell r="M1402" t="str">
            <v>CV HV 10B</v>
          </cell>
          <cell r="N1402" t="str">
            <v>DC FUSE</v>
          </cell>
          <cell r="O1402" t="str">
            <v>DC</v>
          </cell>
          <cell r="P1402" t="str">
            <v>B</v>
          </cell>
          <cell r="Q1402" t="str">
            <v>PI</v>
          </cell>
          <cell r="R1402" t="str">
            <v>PERMANENT</v>
          </cell>
          <cell r="S1402" t="str">
            <v>PRM</v>
          </cell>
          <cell r="T1402" t="str">
            <v>OPT</v>
          </cell>
          <cell r="U1402" t="str">
            <v>-</v>
          </cell>
          <cell r="V1402" t="str">
            <v>P</v>
          </cell>
          <cell r="W1402">
            <v>27</v>
          </cell>
        </row>
        <row r="1403">
          <cell r="A1403">
            <v>6150</v>
          </cell>
          <cell r="B1403" t="str">
            <v>006150</v>
          </cell>
          <cell r="C1403" t="str">
            <v>NURUL LATIFAH</v>
          </cell>
          <cell r="D1403" t="str">
            <v>SAMI</v>
          </cell>
          <cell r="E1403" t="str">
            <v>OPT-140</v>
          </cell>
          <cell r="F1403">
            <v>39157</v>
          </cell>
          <cell r="G1403" t="str">
            <v>-</v>
          </cell>
          <cell r="H1403" t="str">
            <v>-</v>
          </cell>
          <cell r="I1403" t="str">
            <v>PRD</v>
          </cell>
          <cell r="J1403" t="str">
            <v>FINAL ASSY</v>
          </cell>
          <cell r="K1403" t="str">
            <v>ALL</v>
          </cell>
          <cell r="L1403" t="str">
            <v>ALL</v>
          </cell>
          <cell r="M1403" t="str">
            <v>PROTOTYPE</v>
          </cell>
          <cell r="N1403" t="str">
            <v>GL</v>
          </cell>
          <cell r="O1403" t="str">
            <v>GL</v>
          </cell>
          <cell r="P1403" t="str">
            <v>A (NS)</v>
          </cell>
          <cell r="Q1403" t="str">
            <v>PI</v>
          </cell>
          <cell r="R1403" t="str">
            <v>PERMANENT</v>
          </cell>
          <cell r="S1403" t="str">
            <v>PRM</v>
          </cell>
          <cell r="T1403" t="str">
            <v>GL</v>
          </cell>
          <cell r="U1403" t="str">
            <v>-</v>
          </cell>
          <cell r="V1403" t="str">
            <v>P</v>
          </cell>
          <cell r="W1403">
            <v>40</v>
          </cell>
        </row>
        <row r="1404">
          <cell r="A1404">
            <v>6357</v>
          </cell>
          <cell r="B1404" t="str">
            <v>006357</v>
          </cell>
          <cell r="C1404" t="str">
            <v>ALI SANTOSO</v>
          </cell>
          <cell r="D1404" t="str">
            <v>SAMI</v>
          </cell>
          <cell r="E1404" t="str">
            <v>OPT-148</v>
          </cell>
          <cell r="F1404">
            <v>39279</v>
          </cell>
          <cell r="G1404" t="str">
            <v>-</v>
          </cell>
          <cell r="H1404" t="str">
            <v>-</v>
          </cell>
          <cell r="I1404" t="str">
            <v>PRD</v>
          </cell>
          <cell r="J1404" t="str">
            <v>FINAL ASSY</v>
          </cell>
          <cell r="K1404" t="str">
            <v>ALL</v>
          </cell>
          <cell r="L1404" t="str">
            <v>ALL</v>
          </cell>
          <cell r="M1404" t="str">
            <v>PROTOTYPE</v>
          </cell>
          <cell r="N1404" t="str">
            <v>GL</v>
          </cell>
          <cell r="O1404" t="str">
            <v>GL</v>
          </cell>
          <cell r="P1404" t="str">
            <v>A (NS)</v>
          </cell>
          <cell r="Q1404" t="str">
            <v>PI</v>
          </cell>
          <cell r="R1404" t="str">
            <v>PERMANENT</v>
          </cell>
          <cell r="S1404" t="str">
            <v>PRM</v>
          </cell>
          <cell r="T1404" t="str">
            <v>GL</v>
          </cell>
          <cell r="U1404" t="str">
            <v>-</v>
          </cell>
          <cell r="V1404" t="str">
            <v>L</v>
          </cell>
          <cell r="W1404">
            <v>40</v>
          </cell>
        </row>
        <row r="1405">
          <cell r="A1405">
            <v>19957</v>
          </cell>
          <cell r="B1405" t="str">
            <v>019957</v>
          </cell>
          <cell r="C1405" t="str">
            <v>SITI LATIFAH</v>
          </cell>
          <cell r="D1405" t="str">
            <v>SAMI</v>
          </cell>
          <cell r="E1405" t="str">
            <v>OPT-493</v>
          </cell>
          <cell r="F1405">
            <v>42506</v>
          </cell>
          <cell r="G1405" t="str">
            <v>-</v>
          </cell>
          <cell r="H1405" t="str">
            <v>-</v>
          </cell>
          <cell r="I1405" t="str">
            <v>PRD</v>
          </cell>
          <cell r="J1405" t="str">
            <v>FINAL ASSY</v>
          </cell>
          <cell r="K1405" t="str">
            <v>TOYOTA HV</v>
          </cell>
          <cell r="L1405" t="str">
            <v xml:space="preserve">HV TOYOTA AC </v>
          </cell>
          <cell r="M1405" t="str">
            <v>CV HV 10A</v>
          </cell>
          <cell r="N1405" t="str">
            <v>MAEKOTEI 2</v>
          </cell>
          <cell r="O1405" t="str">
            <v>WFAP 2.2</v>
          </cell>
          <cell r="P1405" t="str">
            <v>B</v>
          </cell>
          <cell r="Q1405" t="str">
            <v>DL</v>
          </cell>
          <cell r="R1405" t="str">
            <v>PERMANENT</v>
          </cell>
          <cell r="S1405" t="str">
            <v>PRM</v>
          </cell>
          <cell r="T1405" t="str">
            <v>OPT</v>
          </cell>
          <cell r="U1405" t="str">
            <v>-</v>
          </cell>
          <cell r="V1405" t="str">
            <v>P</v>
          </cell>
          <cell r="W1405">
            <v>26</v>
          </cell>
        </row>
        <row r="1406">
          <cell r="A1406">
            <v>20015</v>
          </cell>
          <cell r="B1406" t="str">
            <v>020015</v>
          </cell>
          <cell r="C1406" t="str">
            <v>LENI PUTRIYANI</v>
          </cell>
          <cell r="D1406" t="str">
            <v>SAMI</v>
          </cell>
          <cell r="E1406" t="str">
            <v>OPT-493</v>
          </cell>
          <cell r="F1406">
            <v>42506</v>
          </cell>
          <cell r="G1406" t="str">
            <v>-</v>
          </cell>
          <cell r="H1406" t="str">
            <v>-</v>
          </cell>
          <cell r="I1406" t="str">
            <v>PRD</v>
          </cell>
          <cell r="J1406" t="str">
            <v>FINAL ASSY</v>
          </cell>
          <cell r="K1406" t="str">
            <v>HONDA FREED</v>
          </cell>
          <cell r="L1406" t="str">
            <v>HONDA FREED W/H FLOOR</v>
          </cell>
          <cell r="M1406" t="str">
            <v>CV 4</v>
          </cell>
          <cell r="N1406" t="str">
            <v>T/P 5.1</v>
          </cell>
          <cell r="O1406" t="str">
            <v>ASSEMBLY</v>
          </cell>
          <cell r="P1406" t="str">
            <v>B</v>
          </cell>
          <cell r="Q1406" t="str">
            <v>DL</v>
          </cell>
          <cell r="R1406" t="str">
            <v>PERMANENT</v>
          </cell>
          <cell r="S1406" t="str">
            <v>PRM</v>
          </cell>
          <cell r="T1406" t="str">
            <v>OPT</v>
          </cell>
          <cell r="U1406" t="str">
            <v>-</v>
          </cell>
          <cell r="V1406" t="str">
            <v>P</v>
          </cell>
          <cell r="W1406">
            <v>26</v>
          </cell>
        </row>
        <row r="1407">
          <cell r="A1407">
            <v>20063</v>
          </cell>
          <cell r="B1407" t="str">
            <v>020063</v>
          </cell>
          <cell r="C1407" t="str">
            <v>DARUS KURNIAWAN FERNANDA</v>
          </cell>
          <cell r="D1407" t="str">
            <v>SAMI</v>
          </cell>
          <cell r="E1407" t="str">
            <v>OPT-495</v>
          </cell>
          <cell r="F1407">
            <v>42520</v>
          </cell>
          <cell r="G1407" t="str">
            <v>-</v>
          </cell>
          <cell r="H1407" t="str">
            <v>-</v>
          </cell>
          <cell r="I1407" t="str">
            <v>LOG</v>
          </cell>
          <cell r="J1407" t="str">
            <v>WHS</v>
          </cell>
          <cell r="K1407" t="str">
            <v>ALL</v>
          </cell>
          <cell r="L1407" t="str">
            <v>ALL</v>
          </cell>
          <cell r="M1407" t="str">
            <v>WHS</v>
          </cell>
          <cell r="N1407" t="str">
            <v>Parts supply (piking &amp; material handling) from material werahouse</v>
          </cell>
          <cell r="O1407" t="str">
            <v>WHS SUPPLY</v>
          </cell>
          <cell r="P1407" t="str">
            <v>A</v>
          </cell>
          <cell r="Q1407" t="str">
            <v>PS</v>
          </cell>
          <cell r="R1407" t="str">
            <v>PERMANENT</v>
          </cell>
          <cell r="S1407" t="str">
            <v>PRM</v>
          </cell>
          <cell r="T1407" t="str">
            <v>OPT</v>
          </cell>
          <cell r="U1407" t="str">
            <v>-</v>
          </cell>
          <cell r="V1407" t="str">
            <v>L</v>
          </cell>
          <cell r="W1407">
            <v>26</v>
          </cell>
        </row>
        <row r="1408">
          <cell r="A1408">
            <v>20084</v>
          </cell>
          <cell r="B1408" t="str">
            <v>020084</v>
          </cell>
          <cell r="C1408" t="str">
            <v>SRI WULANDARI</v>
          </cell>
          <cell r="D1408" t="str">
            <v>SAMI</v>
          </cell>
          <cell r="E1408" t="str">
            <v>OPT-496</v>
          </cell>
          <cell r="F1408">
            <v>42523</v>
          </cell>
          <cell r="G1408" t="str">
            <v>-</v>
          </cell>
          <cell r="H1408" t="str">
            <v>-</v>
          </cell>
          <cell r="I1408" t="str">
            <v>OTHERS</v>
          </cell>
          <cell r="J1408" t="str">
            <v>AT HOME</v>
          </cell>
          <cell r="K1408" t="str">
            <v>ALL</v>
          </cell>
          <cell r="L1408" t="str">
            <v>ALL</v>
          </cell>
          <cell r="M1408" t="str">
            <v>AT HOME</v>
          </cell>
          <cell r="N1408" t="str">
            <v>CUTI CURRETAGE</v>
          </cell>
          <cell r="O1408" t="str">
            <v>OTHERS IDL</v>
          </cell>
          <cell r="P1408" t="str">
            <v>-</v>
          </cell>
          <cell r="Q1408" t="str">
            <v>ADM</v>
          </cell>
          <cell r="R1408" t="str">
            <v>PERMANENT</v>
          </cell>
          <cell r="S1408" t="str">
            <v>PRM</v>
          </cell>
          <cell r="T1408" t="str">
            <v>OPT</v>
          </cell>
          <cell r="U1408" t="str">
            <v>-</v>
          </cell>
          <cell r="V1408" t="str">
            <v>P</v>
          </cell>
          <cell r="W1408">
            <v>26</v>
          </cell>
        </row>
        <row r="1409">
          <cell r="A1409">
            <v>8877</v>
          </cell>
          <cell r="B1409" t="str">
            <v>008877</v>
          </cell>
          <cell r="C1409" t="str">
            <v>WISNU WARDANI</v>
          </cell>
          <cell r="D1409" t="str">
            <v>SAMI</v>
          </cell>
          <cell r="E1409" t="str">
            <v>OPT-195</v>
          </cell>
          <cell r="F1409">
            <v>39937</v>
          </cell>
          <cell r="G1409" t="str">
            <v>-</v>
          </cell>
          <cell r="H1409" t="str">
            <v>-</v>
          </cell>
          <cell r="I1409" t="str">
            <v>PRD</v>
          </cell>
          <cell r="J1409" t="str">
            <v>FINAL ASSY</v>
          </cell>
          <cell r="K1409" t="str">
            <v>ALL</v>
          </cell>
          <cell r="L1409" t="str">
            <v>ALL</v>
          </cell>
          <cell r="M1409" t="str">
            <v>PROTOTYPE</v>
          </cell>
          <cell r="N1409" t="str">
            <v>VISUAL</v>
          </cell>
          <cell r="O1409" t="str">
            <v>VISUAL INSPECTION</v>
          </cell>
          <cell r="P1409" t="str">
            <v>A (NS)</v>
          </cell>
          <cell r="Q1409" t="str">
            <v>DL</v>
          </cell>
          <cell r="R1409" t="str">
            <v>PERMANENT</v>
          </cell>
          <cell r="S1409" t="str">
            <v>PRM</v>
          </cell>
          <cell r="T1409" t="str">
            <v>OPT</v>
          </cell>
          <cell r="U1409" t="str">
            <v>-</v>
          </cell>
          <cell r="V1409" t="str">
            <v>P</v>
          </cell>
          <cell r="W1409">
            <v>34</v>
          </cell>
        </row>
        <row r="1410">
          <cell r="A1410">
            <v>20250</v>
          </cell>
          <cell r="B1410" t="str">
            <v>020250</v>
          </cell>
          <cell r="C1410" t="str">
            <v>RISMA KARTIKA LESTARI</v>
          </cell>
          <cell r="D1410" t="str">
            <v>SAMI</v>
          </cell>
          <cell r="E1410" t="str">
            <v>OPT-500</v>
          </cell>
          <cell r="F1410">
            <v>42604</v>
          </cell>
          <cell r="G1410" t="str">
            <v>-</v>
          </cell>
          <cell r="H1410" t="str">
            <v>-</v>
          </cell>
          <cell r="I1410" t="str">
            <v>OTHERS</v>
          </cell>
          <cell r="J1410" t="str">
            <v>AT HOME</v>
          </cell>
          <cell r="K1410" t="str">
            <v>ALL</v>
          </cell>
          <cell r="L1410" t="str">
            <v>ALL</v>
          </cell>
          <cell r="M1410" t="str">
            <v>AT HOME</v>
          </cell>
          <cell r="N1410" t="str">
            <v>CUTI DI LUAR TANGGUNGAN</v>
          </cell>
          <cell r="O1410" t="str">
            <v>OTHERS IDL</v>
          </cell>
          <cell r="P1410" t="str">
            <v>-</v>
          </cell>
          <cell r="Q1410" t="str">
            <v>ADM</v>
          </cell>
          <cell r="R1410" t="str">
            <v>PERMANENT</v>
          </cell>
          <cell r="S1410" t="str">
            <v>PRM</v>
          </cell>
          <cell r="T1410" t="str">
            <v>OPT</v>
          </cell>
          <cell r="U1410" t="str">
            <v>-</v>
          </cell>
          <cell r="V1410" t="str">
            <v>P</v>
          </cell>
          <cell r="W1410">
            <v>26</v>
          </cell>
        </row>
        <row r="1411">
          <cell r="A1411">
            <v>20358</v>
          </cell>
          <cell r="B1411" t="str">
            <v>020358</v>
          </cell>
          <cell r="C1411" t="str">
            <v>SITI DEVI RAHAYUNINGTIAS</v>
          </cell>
          <cell r="D1411" t="str">
            <v>SAMI</v>
          </cell>
          <cell r="E1411" t="str">
            <v>OPT-501</v>
          </cell>
          <cell r="F1411">
            <v>42607</v>
          </cell>
          <cell r="G1411" t="str">
            <v>-</v>
          </cell>
          <cell r="H1411" t="str">
            <v>-</v>
          </cell>
          <cell r="I1411" t="str">
            <v>OTHERS</v>
          </cell>
          <cell r="J1411" t="str">
            <v>TRN @ OVERSEAS</v>
          </cell>
          <cell r="K1411" t="str">
            <v>ALL</v>
          </cell>
          <cell r="L1411" t="str">
            <v>ALL</v>
          </cell>
          <cell r="M1411" t="str">
            <v>TRN @ OVERSEAS - TCS 9</v>
          </cell>
          <cell r="N1411" t="str">
            <v>TRN @ OVERSEAS</v>
          </cell>
          <cell r="O1411" t="str">
            <v>OTHERS IDL</v>
          </cell>
          <cell r="P1411" t="str">
            <v>A (NS)</v>
          </cell>
          <cell r="Q1411" t="str">
            <v>ADM</v>
          </cell>
          <cell r="R1411" t="str">
            <v>PERMANENT</v>
          </cell>
          <cell r="S1411" t="str">
            <v>PRM</v>
          </cell>
          <cell r="T1411" t="str">
            <v>OPT</v>
          </cell>
          <cell r="U1411" t="str">
            <v>-</v>
          </cell>
          <cell r="V1411" t="str">
            <v>P</v>
          </cell>
          <cell r="W1411">
            <v>27</v>
          </cell>
        </row>
        <row r="1412">
          <cell r="A1412">
            <v>20384</v>
          </cell>
          <cell r="B1412" t="str">
            <v>020384</v>
          </cell>
          <cell r="C1412" t="str">
            <v>MARGARETHA PANTOW</v>
          </cell>
          <cell r="D1412" t="str">
            <v>SAMI</v>
          </cell>
          <cell r="E1412" t="str">
            <v>ES-72</v>
          </cell>
          <cell r="F1412">
            <v>42614</v>
          </cell>
          <cell r="G1412" t="str">
            <v>-</v>
          </cell>
          <cell r="H1412" t="str">
            <v>-</v>
          </cell>
          <cell r="I1412" t="str">
            <v>LOG</v>
          </cell>
          <cell r="J1412" t="str">
            <v>EXIM</v>
          </cell>
          <cell r="K1412" t="str">
            <v>ALL</v>
          </cell>
          <cell r="L1412" t="str">
            <v>ALL</v>
          </cell>
          <cell r="M1412" t="str">
            <v>EXIM</v>
          </cell>
          <cell r="N1412" t="str">
            <v>LEADER EXIM</v>
          </cell>
          <cell r="O1412" t="str">
            <v>FPS LL</v>
          </cell>
          <cell r="P1412" t="str">
            <v>A (NS)</v>
          </cell>
          <cell r="Q1412" t="str">
            <v>PS</v>
          </cell>
          <cell r="R1412" t="str">
            <v>PERMANENT</v>
          </cell>
          <cell r="S1412" t="str">
            <v>PRM</v>
          </cell>
          <cell r="T1412" t="str">
            <v>ES</v>
          </cell>
          <cell r="U1412" t="str">
            <v>TUNA RUNGU</v>
          </cell>
          <cell r="V1412" t="str">
            <v>P</v>
          </cell>
          <cell r="W1412">
            <v>38</v>
          </cell>
        </row>
        <row r="1413">
          <cell r="A1413">
            <v>20386</v>
          </cell>
          <cell r="B1413" t="str">
            <v>020386</v>
          </cell>
          <cell r="C1413" t="str">
            <v>MUHAMMAD IMAM PRAYOGO</v>
          </cell>
          <cell r="D1413" t="str">
            <v>SAMI</v>
          </cell>
          <cell r="E1413" t="str">
            <v>OPT-502</v>
          </cell>
          <cell r="F1413">
            <v>42614</v>
          </cell>
          <cell r="G1413" t="str">
            <v>-</v>
          </cell>
          <cell r="H1413" t="str">
            <v>-</v>
          </cell>
          <cell r="I1413" t="str">
            <v>PRD</v>
          </cell>
          <cell r="J1413" t="str">
            <v>PRE ASSY</v>
          </cell>
          <cell r="K1413" t="str">
            <v>HONDA FIT</v>
          </cell>
          <cell r="L1413" t="str">
            <v>HONDA FIT</v>
          </cell>
          <cell r="M1413" t="str">
            <v>CPA HONDA FIT HEV/PET</v>
          </cell>
          <cell r="N1413" t="str">
            <v>KANBAN ( DIFABLE )</v>
          </cell>
          <cell r="O1413" t="str">
            <v>P/A CONTROLLER</v>
          </cell>
          <cell r="P1413" t="str">
            <v>B</v>
          </cell>
          <cell r="Q1413" t="str">
            <v>PI</v>
          </cell>
          <cell r="R1413" t="str">
            <v>PERMANENT</v>
          </cell>
          <cell r="S1413" t="str">
            <v>PRM</v>
          </cell>
          <cell r="T1413" t="str">
            <v>OPT</v>
          </cell>
          <cell r="U1413" t="str">
            <v>TUNA DAKSA</v>
          </cell>
          <cell r="V1413" t="str">
            <v>L</v>
          </cell>
          <cell r="W1413">
            <v>29</v>
          </cell>
        </row>
        <row r="1414">
          <cell r="A1414">
            <v>10338</v>
          </cell>
          <cell r="B1414" t="str">
            <v>010338</v>
          </cell>
          <cell r="C1414" t="str">
            <v>SITI FARIDAH</v>
          </cell>
          <cell r="D1414" t="str">
            <v>SAMI</v>
          </cell>
          <cell r="E1414" t="str">
            <v>OPT-265</v>
          </cell>
          <cell r="F1414">
            <v>40511</v>
          </cell>
          <cell r="G1414" t="str">
            <v>-</v>
          </cell>
          <cell r="H1414" t="str">
            <v>-</v>
          </cell>
          <cell r="I1414" t="str">
            <v>PRD</v>
          </cell>
          <cell r="J1414" t="str">
            <v>FINAL ASSY</v>
          </cell>
          <cell r="K1414" t="str">
            <v>ALL</v>
          </cell>
          <cell r="L1414" t="str">
            <v>ALL</v>
          </cell>
          <cell r="M1414" t="str">
            <v>PROTOTYPE</v>
          </cell>
          <cell r="N1414" t="str">
            <v>VISUAL</v>
          </cell>
          <cell r="O1414" t="str">
            <v>VISUAL INSPECTION</v>
          </cell>
          <cell r="P1414" t="str">
            <v>A (NS)</v>
          </cell>
          <cell r="Q1414" t="str">
            <v>DL</v>
          </cell>
          <cell r="R1414" t="str">
            <v>PERMANENT</v>
          </cell>
          <cell r="S1414" t="str">
            <v>PRM</v>
          </cell>
          <cell r="T1414" t="str">
            <v>OPT</v>
          </cell>
          <cell r="U1414" t="str">
            <v>-</v>
          </cell>
          <cell r="V1414" t="str">
            <v>P</v>
          </cell>
          <cell r="W1414">
            <v>33</v>
          </cell>
        </row>
        <row r="1415">
          <cell r="A1415">
            <v>11107</v>
          </cell>
          <cell r="B1415" t="str">
            <v>011107</v>
          </cell>
          <cell r="C1415" t="str">
            <v>DEWANTRI FITRI</v>
          </cell>
          <cell r="D1415" t="str">
            <v>SAMI</v>
          </cell>
          <cell r="E1415" t="str">
            <v>OPT-290</v>
          </cell>
          <cell r="F1415">
            <v>40603</v>
          </cell>
          <cell r="G1415" t="str">
            <v>-</v>
          </cell>
          <cell r="H1415" t="str">
            <v>-</v>
          </cell>
          <cell r="I1415" t="str">
            <v>PRD</v>
          </cell>
          <cell r="J1415" t="str">
            <v>FINAL ASSY</v>
          </cell>
          <cell r="K1415" t="str">
            <v>ALL</v>
          </cell>
          <cell r="L1415" t="str">
            <v>ALL</v>
          </cell>
          <cell r="M1415" t="str">
            <v>PROTOTYPE</v>
          </cell>
          <cell r="N1415" t="str">
            <v>ASM</v>
          </cell>
          <cell r="O1415" t="str">
            <v>ASSEMBLY</v>
          </cell>
          <cell r="P1415" t="str">
            <v>A (NS)</v>
          </cell>
          <cell r="Q1415" t="str">
            <v>DL</v>
          </cell>
          <cell r="R1415" t="str">
            <v>PERMANENT</v>
          </cell>
          <cell r="S1415" t="str">
            <v>PRM</v>
          </cell>
          <cell r="T1415" t="str">
            <v>OPT</v>
          </cell>
          <cell r="U1415" t="str">
            <v>-</v>
          </cell>
          <cell r="V1415" t="str">
            <v>P</v>
          </cell>
          <cell r="W1415">
            <v>35</v>
          </cell>
        </row>
        <row r="1416">
          <cell r="A1416">
            <v>20502</v>
          </cell>
          <cell r="B1416" t="str">
            <v>020502</v>
          </cell>
          <cell r="C1416" t="str">
            <v>MITRA LUSIANA</v>
          </cell>
          <cell r="D1416" t="str">
            <v>SAMI</v>
          </cell>
          <cell r="E1416" t="str">
            <v>OPT-504</v>
          </cell>
          <cell r="F1416">
            <v>42634</v>
          </cell>
          <cell r="G1416" t="str">
            <v>-</v>
          </cell>
          <cell r="H1416" t="str">
            <v>-</v>
          </cell>
          <cell r="I1416" t="str">
            <v>PRD</v>
          </cell>
          <cell r="J1416" t="str">
            <v>FINAL ASSY</v>
          </cell>
          <cell r="K1416" t="str">
            <v>TOYOTA HV</v>
          </cell>
          <cell r="L1416" t="str">
            <v>HV TOYOTA UNDERFLOOR</v>
          </cell>
          <cell r="M1416" t="str">
            <v>CV HV 09</v>
          </cell>
          <cell r="N1416" t="str">
            <v>VISUAL 1.1</v>
          </cell>
          <cell r="O1416" t="str">
            <v>VISUAL INSPECTION</v>
          </cell>
          <cell r="P1416" t="str">
            <v>B</v>
          </cell>
          <cell r="Q1416" t="str">
            <v>DL</v>
          </cell>
          <cell r="R1416" t="str">
            <v>PERMANENT</v>
          </cell>
          <cell r="S1416" t="str">
            <v>PRM</v>
          </cell>
          <cell r="T1416" t="str">
            <v>OPT</v>
          </cell>
          <cell r="U1416" t="str">
            <v>-</v>
          </cell>
          <cell r="V1416" t="str">
            <v>P</v>
          </cell>
          <cell r="W1416">
            <v>29</v>
          </cell>
        </row>
        <row r="1417">
          <cell r="A1417">
            <v>20525</v>
          </cell>
          <cell r="B1417" t="str">
            <v>020525</v>
          </cell>
          <cell r="C1417" t="str">
            <v>RISKA LAILIYAH</v>
          </cell>
          <cell r="D1417" t="str">
            <v>SAMI</v>
          </cell>
          <cell r="E1417" t="str">
            <v>OPT-504</v>
          </cell>
          <cell r="F1417">
            <v>42634</v>
          </cell>
          <cell r="G1417" t="str">
            <v>-</v>
          </cell>
          <cell r="H1417" t="str">
            <v>-</v>
          </cell>
          <cell r="I1417" t="str">
            <v>PRD</v>
          </cell>
          <cell r="J1417" t="str">
            <v>FINAL ASSY</v>
          </cell>
          <cell r="K1417" t="str">
            <v>TOYOTA HV</v>
          </cell>
          <cell r="L1417" t="str">
            <v>HV TOYOTA UNDERFLOOR</v>
          </cell>
          <cell r="M1417" t="str">
            <v>CV HV 09</v>
          </cell>
          <cell r="N1417" t="str">
            <v>VISUAL 2</v>
          </cell>
          <cell r="O1417" t="str">
            <v>VISUAL INSPECTION</v>
          </cell>
          <cell r="P1417" t="str">
            <v>B</v>
          </cell>
          <cell r="Q1417" t="str">
            <v>DL</v>
          </cell>
          <cell r="R1417" t="str">
            <v>PERMANENT</v>
          </cell>
          <cell r="S1417" t="str">
            <v>PRM</v>
          </cell>
          <cell r="T1417" t="str">
            <v>OPT</v>
          </cell>
          <cell r="U1417" t="str">
            <v>-</v>
          </cell>
          <cell r="V1417" t="str">
            <v>P</v>
          </cell>
          <cell r="W1417">
            <v>26</v>
          </cell>
        </row>
        <row r="1418">
          <cell r="A1418">
            <v>11321</v>
          </cell>
          <cell r="B1418" t="str">
            <v>011321</v>
          </cell>
          <cell r="C1418" t="str">
            <v>ENI LUKMAWATI</v>
          </cell>
          <cell r="D1418" t="str">
            <v>SAMI</v>
          </cell>
          <cell r="E1418" t="str">
            <v>OPT-300</v>
          </cell>
          <cell r="F1418">
            <v>40666</v>
          </cell>
          <cell r="G1418" t="str">
            <v>-</v>
          </cell>
          <cell r="H1418" t="str">
            <v>-</v>
          </cell>
          <cell r="I1418" t="str">
            <v>PRD</v>
          </cell>
          <cell r="J1418" t="str">
            <v>FINAL ASSY</v>
          </cell>
          <cell r="K1418" t="str">
            <v>ALL</v>
          </cell>
          <cell r="L1418" t="str">
            <v>ALL</v>
          </cell>
          <cell r="M1418" t="str">
            <v>PROTOTYPE</v>
          </cell>
          <cell r="N1418" t="str">
            <v>GL</v>
          </cell>
          <cell r="O1418" t="str">
            <v>GL</v>
          </cell>
          <cell r="P1418" t="str">
            <v>A (NS)</v>
          </cell>
          <cell r="Q1418" t="str">
            <v>PI</v>
          </cell>
          <cell r="R1418" t="str">
            <v>PERMANENT</v>
          </cell>
          <cell r="S1418" t="str">
            <v>PRM</v>
          </cell>
          <cell r="T1418" t="str">
            <v>GL</v>
          </cell>
          <cell r="U1418" t="str">
            <v>-</v>
          </cell>
          <cell r="V1418" t="str">
            <v>P</v>
          </cell>
          <cell r="W1418">
            <v>34</v>
          </cell>
        </row>
        <row r="1419">
          <cell r="A1419">
            <v>13065</v>
          </cell>
          <cell r="B1419" t="str">
            <v>013065</v>
          </cell>
          <cell r="C1419" t="str">
            <v>SITI KHOIRIYAH</v>
          </cell>
          <cell r="D1419" t="str">
            <v>SAMI</v>
          </cell>
          <cell r="E1419" t="str">
            <v>OPT-326</v>
          </cell>
          <cell r="F1419">
            <v>40854</v>
          </cell>
          <cell r="G1419" t="str">
            <v>-</v>
          </cell>
          <cell r="H1419" t="str">
            <v>-</v>
          </cell>
          <cell r="I1419" t="str">
            <v>PRD</v>
          </cell>
          <cell r="J1419" t="str">
            <v>FINAL ASSY</v>
          </cell>
          <cell r="K1419" t="str">
            <v>ALL</v>
          </cell>
          <cell r="L1419" t="str">
            <v>ALL</v>
          </cell>
          <cell r="M1419" t="str">
            <v>PROTOTYPE</v>
          </cell>
          <cell r="N1419" t="str">
            <v>VISUAL</v>
          </cell>
          <cell r="O1419" t="str">
            <v>VISUAL INSPECTION</v>
          </cell>
          <cell r="P1419" t="str">
            <v>A (NS)</v>
          </cell>
          <cell r="Q1419" t="str">
            <v>DL</v>
          </cell>
          <cell r="R1419" t="str">
            <v>PERMANENT</v>
          </cell>
          <cell r="S1419" t="str">
            <v>PRM</v>
          </cell>
          <cell r="T1419" t="str">
            <v>OPT</v>
          </cell>
          <cell r="U1419" t="str">
            <v>-</v>
          </cell>
          <cell r="V1419" t="str">
            <v>P</v>
          </cell>
          <cell r="W1419">
            <v>33</v>
          </cell>
        </row>
        <row r="1420">
          <cell r="A1420">
            <v>13145</v>
          </cell>
          <cell r="B1420" t="str">
            <v>013145</v>
          </cell>
          <cell r="C1420" t="str">
            <v>RETNANINGTYAS CANDRA K.</v>
          </cell>
          <cell r="D1420" t="str">
            <v>SAMI</v>
          </cell>
          <cell r="E1420" t="str">
            <v>OPT-331</v>
          </cell>
          <cell r="F1420">
            <v>40889</v>
          </cell>
          <cell r="G1420" t="str">
            <v>-</v>
          </cell>
          <cell r="H1420" t="str">
            <v>-</v>
          </cell>
          <cell r="I1420" t="str">
            <v>PRD</v>
          </cell>
          <cell r="J1420" t="str">
            <v>FINAL ASSY</v>
          </cell>
          <cell r="K1420" t="str">
            <v>ALL</v>
          </cell>
          <cell r="L1420" t="str">
            <v>ALL</v>
          </cell>
          <cell r="M1420" t="str">
            <v>PROTOTYPE</v>
          </cell>
          <cell r="N1420" t="str">
            <v>CHECKER</v>
          </cell>
          <cell r="O1420" t="str">
            <v>ELECTRICAL INSPECTION</v>
          </cell>
          <cell r="P1420" t="str">
            <v>A (NS)</v>
          </cell>
          <cell r="Q1420" t="str">
            <v>DL</v>
          </cell>
          <cell r="R1420" t="str">
            <v>PERMANENT</v>
          </cell>
          <cell r="S1420" t="str">
            <v>PRM</v>
          </cell>
          <cell r="T1420" t="str">
            <v>OPT</v>
          </cell>
          <cell r="U1420" t="str">
            <v>-</v>
          </cell>
          <cell r="V1420" t="str">
            <v>P</v>
          </cell>
          <cell r="W1420">
            <v>31</v>
          </cell>
        </row>
        <row r="1421">
          <cell r="A1421">
            <v>15618</v>
          </cell>
          <cell r="B1421" t="str">
            <v>015618</v>
          </cell>
          <cell r="C1421" t="str">
            <v>LUHITA KUSUMA WARDANI</v>
          </cell>
          <cell r="D1421" t="str">
            <v>SAMI</v>
          </cell>
          <cell r="E1421" t="str">
            <v>OPT-392</v>
          </cell>
          <cell r="F1421">
            <v>41459</v>
          </cell>
          <cell r="G1421" t="str">
            <v>-</v>
          </cell>
          <cell r="H1421" t="str">
            <v>-</v>
          </cell>
          <cell r="I1421" t="str">
            <v>PRD</v>
          </cell>
          <cell r="J1421" t="str">
            <v>FINAL ASSY</v>
          </cell>
          <cell r="K1421" t="str">
            <v>ALL</v>
          </cell>
          <cell r="L1421" t="str">
            <v>ALL</v>
          </cell>
          <cell r="M1421" t="str">
            <v>PROTOTYPE</v>
          </cell>
          <cell r="N1421" t="str">
            <v>ASM</v>
          </cell>
          <cell r="O1421" t="str">
            <v>ASSEMBLY</v>
          </cell>
          <cell r="P1421" t="str">
            <v>A (NS)</v>
          </cell>
          <cell r="Q1421" t="str">
            <v>DL</v>
          </cell>
          <cell r="R1421" t="str">
            <v>PERMANENT</v>
          </cell>
          <cell r="S1421" t="str">
            <v>PRM</v>
          </cell>
          <cell r="T1421" t="str">
            <v>OPT</v>
          </cell>
          <cell r="U1421" t="str">
            <v>-</v>
          </cell>
          <cell r="V1421" t="str">
            <v>P</v>
          </cell>
          <cell r="W1421">
            <v>29</v>
          </cell>
        </row>
        <row r="1422">
          <cell r="A1422">
            <v>20689</v>
          </cell>
          <cell r="B1422" t="str">
            <v>020689</v>
          </cell>
          <cell r="C1422" t="str">
            <v>YUNI ROHMANTIKASARI</v>
          </cell>
          <cell r="D1422" t="str">
            <v>SAMI</v>
          </cell>
          <cell r="E1422" t="str">
            <v>OPT-505</v>
          </cell>
          <cell r="F1422">
            <v>42639</v>
          </cell>
          <cell r="G1422" t="str">
            <v>-</v>
          </cell>
          <cell r="H1422" t="str">
            <v>-</v>
          </cell>
          <cell r="I1422" t="str">
            <v>OTHERS</v>
          </cell>
          <cell r="J1422" t="str">
            <v>AT HOME</v>
          </cell>
          <cell r="K1422" t="str">
            <v>ALL</v>
          </cell>
          <cell r="L1422" t="str">
            <v>ALL</v>
          </cell>
          <cell r="M1422" t="str">
            <v>AT HOME</v>
          </cell>
          <cell r="N1422" t="str">
            <v>CUTI KELAHIRAN</v>
          </cell>
          <cell r="O1422" t="str">
            <v>OTHERS IDL</v>
          </cell>
          <cell r="P1422" t="str">
            <v>-</v>
          </cell>
          <cell r="Q1422" t="str">
            <v>ADM</v>
          </cell>
          <cell r="R1422" t="str">
            <v>PERMANENT</v>
          </cell>
          <cell r="S1422" t="str">
            <v>PRM</v>
          </cell>
          <cell r="T1422" t="str">
            <v>OPT</v>
          </cell>
          <cell r="U1422" t="str">
            <v>-</v>
          </cell>
          <cell r="V1422" t="str">
            <v>P</v>
          </cell>
          <cell r="W1422">
            <v>25</v>
          </cell>
        </row>
        <row r="1423">
          <cell r="A1423">
            <v>20692</v>
          </cell>
          <cell r="B1423" t="str">
            <v>020692</v>
          </cell>
          <cell r="C1423" t="str">
            <v>ZIDA FARIHATUL ULFAH</v>
          </cell>
          <cell r="D1423" t="str">
            <v>SAMI</v>
          </cell>
          <cell r="E1423" t="str">
            <v>OPT-505</v>
          </cell>
          <cell r="F1423">
            <v>42639</v>
          </cell>
          <cell r="G1423" t="str">
            <v>-</v>
          </cell>
          <cell r="H1423" t="str">
            <v>-</v>
          </cell>
          <cell r="I1423" t="str">
            <v>PRD</v>
          </cell>
          <cell r="J1423" t="str">
            <v>FINAL ASSY</v>
          </cell>
          <cell r="K1423" t="str">
            <v>TOYOTA</v>
          </cell>
          <cell r="L1423" t="str">
            <v>AQUA SIENTA</v>
          </cell>
          <cell r="M1423" t="str">
            <v>CV T02</v>
          </cell>
          <cell r="N1423" t="str">
            <v>LQC</v>
          </cell>
          <cell r="O1423" t="str">
            <v>RELIEF</v>
          </cell>
          <cell r="P1423" t="str">
            <v>B</v>
          </cell>
          <cell r="Q1423" t="str">
            <v>PI</v>
          </cell>
          <cell r="R1423" t="str">
            <v>PERMANENT</v>
          </cell>
          <cell r="S1423" t="str">
            <v>PRM</v>
          </cell>
          <cell r="T1423" t="str">
            <v>PJK</v>
          </cell>
          <cell r="U1423" t="str">
            <v>-</v>
          </cell>
          <cell r="V1423" t="str">
            <v>P</v>
          </cell>
          <cell r="W1423">
            <v>29</v>
          </cell>
        </row>
        <row r="1424">
          <cell r="A1424">
            <v>20693</v>
          </cell>
          <cell r="B1424" t="str">
            <v>020693</v>
          </cell>
          <cell r="C1424" t="str">
            <v>VINA SETIYANINGSIH</v>
          </cell>
          <cell r="D1424" t="str">
            <v>SAMI</v>
          </cell>
          <cell r="E1424" t="str">
            <v>ES-73</v>
          </cell>
          <cell r="F1424">
            <v>42642</v>
          </cell>
          <cell r="G1424" t="str">
            <v>-</v>
          </cell>
          <cell r="H1424" t="str">
            <v>-</v>
          </cell>
          <cell r="I1424" t="str">
            <v>PGA</v>
          </cell>
          <cell r="J1424" t="str">
            <v>QS</v>
          </cell>
          <cell r="K1424" t="str">
            <v>ALL</v>
          </cell>
          <cell r="L1424" t="str">
            <v>ALL</v>
          </cell>
          <cell r="M1424" t="str">
            <v>QUALITY SYSTEM</v>
          </cell>
          <cell r="N1424" t="str">
            <v>LEADER</v>
          </cell>
          <cell r="O1424" t="str">
            <v>IDL LL</v>
          </cell>
          <cell r="P1424" t="str">
            <v>A (NS)</v>
          </cell>
          <cell r="Q1424" t="str">
            <v>ADM</v>
          </cell>
          <cell r="R1424" t="str">
            <v>PERMANENT</v>
          </cell>
          <cell r="S1424" t="str">
            <v>PRM</v>
          </cell>
          <cell r="T1424" t="str">
            <v>ES</v>
          </cell>
          <cell r="U1424" t="str">
            <v>-</v>
          </cell>
          <cell r="V1424" t="str">
            <v>P</v>
          </cell>
          <cell r="W1424">
            <v>30</v>
          </cell>
        </row>
        <row r="1425">
          <cell r="A1425" t="str">
            <v>B00164</v>
          </cell>
          <cell r="B1425" t="str">
            <v>B00164</v>
          </cell>
          <cell r="C1425" t="str">
            <v>SARASWATI RATNA NINGSIH</v>
          </cell>
          <cell r="D1425" t="str">
            <v>SAMI</v>
          </cell>
          <cell r="E1425" t="str">
            <v>BBF-003</v>
          </cell>
          <cell r="F1425">
            <v>40840</v>
          </cell>
          <cell r="G1425" t="str">
            <v>-</v>
          </cell>
          <cell r="H1425" t="str">
            <v>-</v>
          </cell>
          <cell r="I1425" t="str">
            <v>PRD</v>
          </cell>
          <cell r="J1425" t="str">
            <v>FINAL ASSY</v>
          </cell>
          <cell r="K1425" t="str">
            <v>ALL</v>
          </cell>
          <cell r="L1425" t="str">
            <v>ALL</v>
          </cell>
          <cell r="M1425" t="str">
            <v>PROTOTYPE</v>
          </cell>
          <cell r="N1425" t="str">
            <v>CHECKER</v>
          </cell>
          <cell r="O1425" t="str">
            <v>ELECTRICAL INSPECTION</v>
          </cell>
          <cell r="P1425" t="str">
            <v>A (NS)</v>
          </cell>
          <cell r="Q1425" t="str">
            <v>DL</v>
          </cell>
          <cell r="R1425" t="str">
            <v>PERMANENT</v>
          </cell>
          <cell r="S1425" t="str">
            <v>PRM</v>
          </cell>
          <cell r="T1425" t="str">
            <v>OPT</v>
          </cell>
          <cell r="U1425" t="str">
            <v>-</v>
          </cell>
          <cell r="V1425" t="str">
            <v>P</v>
          </cell>
          <cell r="W1425">
            <v>33</v>
          </cell>
        </row>
        <row r="1426">
          <cell r="A1426">
            <v>268</v>
          </cell>
          <cell r="B1426" t="str">
            <v>000268</v>
          </cell>
          <cell r="C1426" t="str">
            <v>TAUFIK WIDHIANTO</v>
          </cell>
          <cell r="D1426" t="str">
            <v>SAMI</v>
          </cell>
          <cell r="E1426" t="str">
            <v>SPV UP</v>
          </cell>
          <cell r="F1426">
            <v>37704</v>
          </cell>
          <cell r="G1426" t="str">
            <v>-</v>
          </cell>
          <cell r="H1426" t="str">
            <v>-</v>
          </cell>
          <cell r="I1426" t="str">
            <v>PRD</v>
          </cell>
          <cell r="J1426" t="str">
            <v>PRE ASSY</v>
          </cell>
          <cell r="K1426" t="str">
            <v>ALL</v>
          </cell>
          <cell r="L1426" t="str">
            <v>ALL</v>
          </cell>
          <cell r="M1426" t="str">
            <v>SUPERVISOR CPA</v>
          </cell>
          <cell r="N1426" t="str">
            <v>ALL CUTTING PRE ASSY &amp; CUTTING TUBE</v>
          </cell>
          <cell r="O1426" t="str">
            <v>FPI SPV</v>
          </cell>
          <cell r="P1426" t="str">
            <v>A</v>
          </cell>
          <cell r="Q1426" t="str">
            <v>PI</v>
          </cell>
          <cell r="R1426" t="str">
            <v>PERMANENT</v>
          </cell>
          <cell r="S1426" t="str">
            <v>PRM</v>
          </cell>
          <cell r="T1426" t="str">
            <v>SPV</v>
          </cell>
          <cell r="U1426" t="str">
            <v>-</v>
          </cell>
          <cell r="V1426" t="str">
            <v>L</v>
          </cell>
          <cell r="W1426">
            <v>43</v>
          </cell>
        </row>
        <row r="1427">
          <cell r="A1427">
            <v>126</v>
          </cell>
          <cell r="B1427" t="str">
            <v>000126</v>
          </cell>
          <cell r="C1427" t="str">
            <v>WIHARYANTI</v>
          </cell>
          <cell r="D1427" t="str">
            <v>SAMI</v>
          </cell>
          <cell r="E1427" t="str">
            <v>SPV UP</v>
          </cell>
          <cell r="F1427">
            <v>37627</v>
          </cell>
          <cell r="G1427" t="str">
            <v>-</v>
          </cell>
          <cell r="H1427" t="str">
            <v>-</v>
          </cell>
          <cell r="I1427" t="str">
            <v>PRD</v>
          </cell>
          <cell r="J1427" t="str">
            <v>FINAL ASSY</v>
          </cell>
          <cell r="K1427" t="str">
            <v>ALL</v>
          </cell>
          <cell r="L1427" t="str">
            <v>ALL</v>
          </cell>
          <cell r="M1427" t="str">
            <v>SUPERVISOR FA</v>
          </cell>
          <cell r="N1427" t="str">
            <v>HONDA FIT, L-CABIN , HONDA NESS</v>
          </cell>
          <cell r="O1427" t="str">
            <v>FPI SPV</v>
          </cell>
          <cell r="P1427" t="str">
            <v>A</v>
          </cell>
          <cell r="Q1427" t="str">
            <v>PI</v>
          </cell>
          <cell r="R1427" t="str">
            <v>PERMANENT</v>
          </cell>
          <cell r="S1427" t="str">
            <v>PRM</v>
          </cell>
          <cell r="T1427" t="str">
            <v>SPV</v>
          </cell>
          <cell r="U1427" t="str">
            <v>-</v>
          </cell>
          <cell r="V1427" t="str">
            <v>P</v>
          </cell>
          <cell r="W1427">
            <v>42</v>
          </cell>
        </row>
        <row r="1428">
          <cell r="A1428">
            <v>20785</v>
          </cell>
          <cell r="B1428" t="str">
            <v>020785</v>
          </cell>
          <cell r="C1428" t="str">
            <v>RIZKI ULFA QOMARIYAH</v>
          </cell>
          <cell r="D1428" t="str">
            <v>SAMI</v>
          </cell>
          <cell r="E1428" t="str">
            <v>OPT-506</v>
          </cell>
          <cell r="F1428">
            <v>42642</v>
          </cell>
          <cell r="G1428" t="str">
            <v>-</v>
          </cell>
          <cell r="H1428" t="str">
            <v>-</v>
          </cell>
          <cell r="I1428" t="str">
            <v>PRD</v>
          </cell>
          <cell r="J1428" t="str">
            <v>FINAL ASSY</v>
          </cell>
          <cell r="K1428" t="str">
            <v>HONDA NES</v>
          </cell>
          <cell r="L1428" t="str">
            <v>HONDA NES HEV PET ENGINE</v>
          </cell>
          <cell r="M1428" t="str">
            <v>CV H03</v>
          </cell>
          <cell r="N1428" t="str">
            <v>S/A 7</v>
          </cell>
          <cell r="O1428" t="str">
            <v>SUB ASSY</v>
          </cell>
          <cell r="P1428" t="str">
            <v>B</v>
          </cell>
          <cell r="Q1428" t="str">
            <v>DL</v>
          </cell>
          <cell r="R1428" t="str">
            <v>PERMANENT</v>
          </cell>
          <cell r="S1428" t="str">
            <v>PRM</v>
          </cell>
          <cell r="T1428" t="str">
            <v>OPT</v>
          </cell>
          <cell r="U1428" t="str">
            <v>-</v>
          </cell>
          <cell r="V1428" t="str">
            <v>P</v>
          </cell>
          <cell r="W1428">
            <v>26</v>
          </cell>
        </row>
        <row r="1429">
          <cell r="A1429">
            <v>20864</v>
          </cell>
          <cell r="B1429" t="str">
            <v>020864</v>
          </cell>
          <cell r="C1429" t="str">
            <v>HANIF RINALDY RAHMANUARIE</v>
          </cell>
          <cell r="D1429" t="str">
            <v>SAMI</v>
          </cell>
          <cell r="E1429" t="str">
            <v>OPT-510</v>
          </cell>
          <cell r="F1429">
            <v>42660</v>
          </cell>
          <cell r="G1429" t="str">
            <v>-</v>
          </cell>
          <cell r="H1429" t="str">
            <v>-</v>
          </cell>
          <cell r="I1429" t="str">
            <v>PRD</v>
          </cell>
          <cell r="J1429" t="str">
            <v>FINAL ASSY</v>
          </cell>
          <cell r="K1429" t="str">
            <v>HONDA NES</v>
          </cell>
          <cell r="L1429" t="str">
            <v>HONDA NES HEV PET ENGINE</v>
          </cell>
          <cell r="M1429" t="str">
            <v>CV H03</v>
          </cell>
          <cell r="N1429" t="str">
            <v>CHECKER 1</v>
          </cell>
          <cell r="O1429" t="str">
            <v>ELECTRICAL INSPECTION</v>
          </cell>
          <cell r="P1429" t="str">
            <v>B</v>
          </cell>
          <cell r="Q1429" t="str">
            <v>DL</v>
          </cell>
          <cell r="R1429" t="str">
            <v>PERMANENT</v>
          </cell>
          <cell r="S1429" t="str">
            <v>PRM</v>
          </cell>
          <cell r="T1429" t="str">
            <v>OPT</v>
          </cell>
          <cell r="U1429" t="str">
            <v>-</v>
          </cell>
          <cell r="V1429" t="str">
            <v>L</v>
          </cell>
          <cell r="W1429">
            <v>30</v>
          </cell>
        </row>
        <row r="1430">
          <cell r="A1430">
            <v>711</v>
          </cell>
          <cell r="B1430" t="str">
            <v>000711</v>
          </cell>
          <cell r="C1430" t="str">
            <v>RAHMAT SAMUEL</v>
          </cell>
          <cell r="D1430" t="str">
            <v>SAMI</v>
          </cell>
          <cell r="E1430" t="str">
            <v>SPV UP</v>
          </cell>
          <cell r="F1430">
            <v>37802</v>
          </cell>
          <cell r="G1430" t="str">
            <v>-</v>
          </cell>
          <cell r="H1430" t="str">
            <v>-</v>
          </cell>
          <cell r="I1430" t="str">
            <v>PRD</v>
          </cell>
          <cell r="J1430" t="str">
            <v>FINAL ASSY</v>
          </cell>
          <cell r="K1430" t="str">
            <v>ALL</v>
          </cell>
          <cell r="L1430" t="str">
            <v>ALL</v>
          </cell>
          <cell r="M1430" t="str">
            <v>SUPERVISOR FA</v>
          </cell>
          <cell r="N1430" t="str">
            <v>PROTOTYPE, LSPO &amp; PL</v>
          </cell>
          <cell r="O1430" t="str">
            <v>FPI SPV</v>
          </cell>
          <cell r="P1430" t="str">
            <v>A (NS)</v>
          </cell>
          <cell r="Q1430" t="str">
            <v>PI</v>
          </cell>
          <cell r="R1430" t="str">
            <v>PERMANENT</v>
          </cell>
          <cell r="S1430" t="str">
            <v>PRM</v>
          </cell>
          <cell r="T1430" t="str">
            <v>SPV</v>
          </cell>
          <cell r="U1430" t="str">
            <v>-</v>
          </cell>
          <cell r="V1430" t="str">
            <v>L</v>
          </cell>
          <cell r="W1430">
            <v>46</v>
          </cell>
        </row>
        <row r="1431">
          <cell r="A1431">
            <v>13645</v>
          </cell>
          <cell r="B1431" t="str">
            <v>013645</v>
          </cell>
          <cell r="C1431" t="str">
            <v>WIDODO PRASETIO</v>
          </cell>
          <cell r="D1431" t="str">
            <v>SAMI</v>
          </cell>
          <cell r="E1431" t="str">
            <v>SPV UP</v>
          </cell>
          <cell r="F1431">
            <v>41092</v>
          </cell>
          <cell r="G1431" t="str">
            <v>-</v>
          </cell>
          <cell r="H1431" t="str">
            <v>-</v>
          </cell>
          <cell r="I1431" t="str">
            <v>PRD</v>
          </cell>
          <cell r="J1431" t="str">
            <v>FINAL ASSY</v>
          </cell>
          <cell r="K1431" t="str">
            <v>ALL</v>
          </cell>
          <cell r="L1431" t="str">
            <v>ALL</v>
          </cell>
          <cell r="M1431" t="str">
            <v>SUPERVISOR FA</v>
          </cell>
          <cell r="N1431" t="str">
            <v>MAZDA FA, HONDA CRV FA</v>
          </cell>
          <cell r="O1431" t="str">
            <v>FPI SPV</v>
          </cell>
          <cell r="P1431" t="str">
            <v>A</v>
          </cell>
          <cell r="Q1431" t="str">
            <v>PI</v>
          </cell>
          <cell r="R1431" t="str">
            <v>PERMANENT</v>
          </cell>
          <cell r="S1431" t="str">
            <v>PRM</v>
          </cell>
          <cell r="T1431" t="str">
            <v>SPV</v>
          </cell>
          <cell r="U1431" t="str">
            <v>-</v>
          </cell>
          <cell r="V1431" t="str">
            <v>L</v>
          </cell>
          <cell r="W1431">
            <v>39</v>
          </cell>
        </row>
        <row r="1432">
          <cell r="A1432">
            <v>13649</v>
          </cell>
          <cell r="B1432" t="str">
            <v>013649</v>
          </cell>
          <cell r="C1432" t="str">
            <v>HERLAMBANG DIAN INDRA PRAJA</v>
          </cell>
          <cell r="D1432" t="str">
            <v>SAMI</v>
          </cell>
          <cell r="E1432" t="str">
            <v>SPV UP</v>
          </cell>
          <cell r="F1432">
            <v>41155</v>
          </cell>
          <cell r="G1432" t="str">
            <v>-</v>
          </cell>
          <cell r="H1432" t="str">
            <v>-</v>
          </cell>
          <cell r="I1432" t="str">
            <v>PRD</v>
          </cell>
          <cell r="J1432" t="str">
            <v>FINAL ASSY</v>
          </cell>
          <cell r="K1432" t="str">
            <v>ALL</v>
          </cell>
          <cell r="L1432" t="str">
            <v>ALL</v>
          </cell>
          <cell r="M1432" t="str">
            <v>SUPERVISOR FA</v>
          </cell>
          <cell r="N1432" t="str">
            <v>N-VAN, DYNA FA, SUZUKI FA</v>
          </cell>
          <cell r="O1432" t="str">
            <v>FPI SPV</v>
          </cell>
          <cell r="P1432" t="str">
            <v>A</v>
          </cell>
          <cell r="Q1432" t="str">
            <v>PI</v>
          </cell>
          <cell r="R1432" t="str">
            <v>PERMANENT</v>
          </cell>
          <cell r="S1432" t="str">
            <v>PRM</v>
          </cell>
          <cell r="T1432" t="str">
            <v>SPV</v>
          </cell>
          <cell r="U1432" t="str">
            <v>-</v>
          </cell>
          <cell r="V1432" t="str">
            <v>L</v>
          </cell>
          <cell r="W1432">
            <v>36</v>
          </cell>
        </row>
        <row r="1433">
          <cell r="A1433">
            <v>21028</v>
          </cell>
          <cell r="B1433" t="str">
            <v>021028</v>
          </cell>
          <cell r="C1433" t="str">
            <v>FADILLAH MARIZA ACHMAD</v>
          </cell>
          <cell r="D1433" t="str">
            <v>SAMI</v>
          </cell>
          <cell r="E1433" t="str">
            <v>OPT-516</v>
          </cell>
          <cell r="F1433">
            <v>42724</v>
          </cell>
          <cell r="G1433" t="str">
            <v>-</v>
          </cell>
          <cell r="H1433" t="str">
            <v>-</v>
          </cell>
          <cell r="I1433" t="str">
            <v>LOG</v>
          </cell>
          <cell r="J1433" t="str">
            <v>L. DOCK</v>
          </cell>
          <cell r="K1433" t="str">
            <v>ALL</v>
          </cell>
          <cell r="L1433" t="str">
            <v>ALL</v>
          </cell>
          <cell r="M1433" t="str">
            <v>L. DOCK</v>
          </cell>
          <cell r="N1433" t="str">
            <v>L. DOCK</v>
          </cell>
          <cell r="O1433" t="str">
            <v>LD</v>
          </cell>
          <cell r="P1433" t="str">
            <v>B</v>
          </cell>
          <cell r="Q1433" t="str">
            <v>PS</v>
          </cell>
          <cell r="R1433" t="str">
            <v>PERMANENT</v>
          </cell>
          <cell r="S1433" t="str">
            <v>PRM</v>
          </cell>
          <cell r="T1433" t="str">
            <v>OPT</v>
          </cell>
          <cell r="U1433" t="str">
            <v>TUNA RUNGU</v>
          </cell>
          <cell r="V1433" t="str">
            <v>L</v>
          </cell>
          <cell r="W1433">
            <v>29</v>
          </cell>
        </row>
        <row r="1434">
          <cell r="A1434">
            <v>21033</v>
          </cell>
          <cell r="B1434" t="str">
            <v>021033</v>
          </cell>
          <cell r="C1434" t="str">
            <v>WINTON PRASTYO</v>
          </cell>
          <cell r="D1434" t="str">
            <v>SAMI</v>
          </cell>
          <cell r="E1434" t="str">
            <v>OPT-518</v>
          </cell>
          <cell r="F1434">
            <v>42767</v>
          </cell>
          <cell r="G1434" t="str">
            <v>-</v>
          </cell>
          <cell r="H1434" t="str">
            <v>-</v>
          </cell>
          <cell r="I1434" t="str">
            <v>LOG</v>
          </cell>
          <cell r="J1434" t="str">
            <v>WHS</v>
          </cell>
          <cell r="K1434" t="str">
            <v>ALL</v>
          </cell>
          <cell r="L1434" t="str">
            <v>ALL</v>
          </cell>
          <cell r="M1434" t="str">
            <v>WHS</v>
          </cell>
          <cell r="N1434" t="str">
            <v>Parts supply (piking &amp; material handling) from material werahouse</v>
          </cell>
          <cell r="O1434" t="str">
            <v>WHS SUPPLY</v>
          </cell>
          <cell r="P1434" t="str">
            <v>B</v>
          </cell>
          <cell r="Q1434" t="str">
            <v>PS</v>
          </cell>
          <cell r="R1434" t="str">
            <v>PERMANENT</v>
          </cell>
          <cell r="S1434" t="str">
            <v>PRM</v>
          </cell>
          <cell r="T1434" t="str">
            <v>OPT</v>
          </cell>
          <cell r="U1434" t="str">
            <v>-</v>
          </cell>
          <cell r="V1434" t="str">
            <v>L</v>
          </cell>
          <cell r="W1434">
            <v>28</v>
          </cell>
        </row>
        <row r="1435">
          <cell r="A1435">
            <v>21037</v>
          </cell>
          <cell r="B1435" t="str">
            <v>021037</v>
          </cell>
          <cell r="C1435" t="str">
            <v>AZHARI JUNIAR W</v>
          </cell>
          <cell r="D1435" t="str">
            <v>SAMI</v>
          </cell>
          <cell r="E1435" t="str">
            <v>OPT-519</v>
          </cell>
          <cell r="F1435">
            <v>42863</v>
          </cell>
          <cell r="G1435" t="str">
            <v>-</v>
          </cell>
          <cell r="H1435" t="str">
            <v>-</v>
          </cell>
          <cell r="I1435" t="str">
            <v>LOG</v>
          </cell>
          <cell r="J1435" t="str">
            <v>L. DOCK</v>
          </cell>
          <cell r="K1435" t="str">
            <v>ALL</v>
          </cell>
          <cell r="L1435" t="str">
            <v>ALL</v>
          </cell>
          <cell r="M1435" t="str">
            <v>L. DOCK</v>
          </cell>
          <cell r="N1435" t="str">
            <v>L. DOCK</v>
          </cell>
          <cell r="O1435" t="str">
            <v>LD</v>
          </cell>
          <cell r="P1435" t="str">
            <v>A</v>
          </cell>
          <cell r="Q1435" t="str">
            <v>PS</v>
          </cell>
          <cell r="R1435" t="str">
            <v>PERMANENT</v>
          </cell>
          <cell r="S1435" t="str">
            <v>PRM</v>
          </cell>
          <cell r="T1435" t="str">
            <v>OPT</v>
          </cell>
          <cell r="U1435" t="str">
            <v>TUNA RUNGU</v>
          </cell>
          <cell r="V1435" t="str">
            <v>L</v>
          </cell>
          <cell r="W1435">
            <v>37</v>
          </cell>
        </row>
        <row r="1436">
          <cell r="A1436">
            <v>13789</v>
          </cell>
          <cell r="B1436" t="str">
            <v>013789</v>
          </cell>
          <cell r="C1436" t="str">
            <v>SETIYONO EKO NUGRAHO</v>
          </cell>
          <cell r="D1436" t="str">
            <v>SAMI</v>
          </cell>
          <cell r="E1436" t="str">
            <v>SPV UP</v>
          </cell>
          <cell r="F1436">
            <v>41213</v>
          </cell>
          <cell r="G1436" t="str">
            <v>-</v>
          </cell>
          <cell r="H1436" t="str">
            <v>-</v>
          </cell>
          <cell r="I1436" t="str">
            <v>PRD</v>
          </cell>
          <cell r="J1436" t="str">
            <v>FINAL ASSY</v>
          </cell>
          <cell r="K1436" t="str">
            <v>ALL</v>
          </cell>
          <cell r="L1436" t="str">
            <v>ALL</v>
          </cell>
          <cell r="M1436" t="str">
            <v>SUPERVISOR FA</v>
          </cell>
          <cell r="N1436" t="str">
            <v>HV FINAL ASSY</v>
          </cell>
          <cell r="O1436" t="str">
            <v>FPI SPV</v>
          </cell>
          <cell r="P1436" t="str">
            <v>A</v>
          </cell>
          <cell r="Q1436" t="str">
            <v>PI</v>
          </cell>
          <cell r="R1436" t="str">
            <v>PERMANENT</v>
          </cell>
          <cell r="S1436" t="str">
            <v>PRM</v>
          </cell>
          <cell r="T1436" t="str">
            <v>SPV</v>
          </cell>
          <cell r="U1436" t="str">
            <v>-</v>
          </cell>
          <cell r="V1436" t="str">
            <v>L</v>
          </cell>
          <cell r="W1436">
            <v>36</v>
          </cell>
        </row>
        <row r="1437">
          <cell r="A1437">
            <v>21086</v>
          </cell>
          <cell r="B1437" t="str">
            <v>021086</v>
          </cell>
          <cell r="C1437" t="str">
            <v>WIDOWATI</v>
          </cell>
          <cell r="D1437" t="str">
            <v>SAMI</v>
          </cell>
          <cell r="E1437" t="str">
            <v>OPT-520</v>
          </cell>
          <cell r="F1437">
            <v>42863</v>
          </cell>
          <cell r="G1437" t="str">
            <v>-</v>
          </cell>
          <cell r="H1437" t="str">
            <v>-</v>
          </cell>
          <cell r="I1437" t="str">
            <v>PRD</v>
          </cell>
          <cell r="J1437" t="str">
            <v>FINAL ASSY</v>
          </cell>
          <cell r="K1437" t="str">
            <v>TOYOTA HV</v>
          </cell>
          <cell r="L1437" t="str">
            <v xml:space="preserve">HV TOYOTA AC </v>
          </cell>
          <cell r="M1437" t="str">
            <v>CV HV 10A</v>
          </cell>
          <cell r="N1437" t="str">
            <v>OJT MAEKOTEI</v>
          </cell>
          <cell r="O1437" t="str">
            <v>OTHERS</v>
          </cell>
          <cell r="P1437" t="str">
            <v>B</v>
          </cell>
          <cell r="Q1437" t="str">
            <v>PI</v>
          </cell>
          <cell r="R1437" t="str">
            <v>PERMANENT</v>
          </cell>
          <cell r="S1437" t="str">
            <v>PRM</v>
          </cell>
          <cell r="T1437" t="str">
            <v>OPT</v>
          </cell>
          <cell r="U1437" t="str">
            <v>-</v>
          </cell>
          <cell r="V1437" t="str">
            <v>P</v>
          </cell>
          <cell r="W1437">
            <v>27</v>
          </cell>
        </row>
        <row r="1438">
          <cell r="A1438">
            <v>21203</v>
          </cell>
          <cell r="B1438" t="str">
            <v>021203</v>
          </cell>
          <cell r="C1438" t="str">
            <v>AHMAD FAHRUR ROZI</v>
          </cell>
          <cell r="D1438" t="str">
            <v>SAMI</v>
          </cell>
          <cell r="E1438" t="str">
            <v>OPT-523</v>
          </cell>
          <cell r="F1438">
            <v>42877</v>
          </cell>
          <cell r="G1438" t="str">
            <v>-</v>
          </cell>
          <cell r="H1438" t="str">
            <v>-</v>
          </cell>
          <cell r="I1438" t="str">
            <v>PRD</v>
          </cell>
          <cell r="J1438" t="str">
            <v>FINAL ASSY</v>
          </cell>
          <cell r="K1438" t="str">
            <v>MAZDA ATENZA</v>
          </cell>
          <cell r="L1438" t="str">
            <v>MAZDA J72A</v>
          </cell>
          <cell r="M1438" t="str">
            <v>CV M03</v>
          </cell>
          <cell r="N1438" t="str">
            <v>CHECKER 2</v>
          </cell>
          <cell r="O1438" t="str">
            <v>ELECTRICAL INSPECTION</v>
          </cell>
          <cell r="P1438" t="str">
            <v>B</v>
          </cell>
          <cell r="Q1438" t="str">
            <v>DL</v>
          </cell>
          <cell r="R1438" t="str">
            <v>PERMANENT</v>
          </cell>
          <cell r="S1438" t="str">
            <v>PRM</v>
          </cell>
          <cell r="T1438" t="str">
            <v>OPT</v>
          </cell>
          <cell r="U1438" t="str">
            <v>-</v>
          </cell>
          <cell r="V1438" t="str">
            <v>L</v>
          </cell>
          <cell r="W1438">
            <v>26</v>
          </cell>
        </row>
        <row r="1439">
          <cell r="A1439">
            <v>21205</v>
          </cell>
          <cell r="B1439" t="str">
            <v>021205</v>
          </cell>
          <cell r="C1439" t="str">
            <v>AHMADUN DWI RAHARJO</v>
          </cell>
          <cell r="D1439" t="str">
            <v>SAMI</v>
          </cell>
          <cell r="E1439" t="str">
            <v>OPT-523</v>
          </cell>
          <cell r="F1439">
            <v>42877</v>
          </cell>
          <cell r="G1439" t="str">
            <v>-</v>
          </cell>
          <cell r="H1439" t="str">
            <v>-</v>
          </cell>
          <cell r="I1439" t="str">
            <v>PRD</v>
          </cell>
          <cell r="J1439" t="str">
            <v>FINAL ASSY</v>
          </cell>
          <cell r="K1439" t="str">
            <v>TOYOTA HV</v>
          </cell>
          <cell r="L1439" t="str">
            <v>HV TOYOTA UNDERFLOOR</v>
          </cell>
          <cell r="M1439" t="str">
            <v>CV HV 09</v>
          </cell>
          <cell r="N1439" t="str">
            <v>BLT, S/A 01</v>
          </cell>
          <cell r="O1439" t="str">
            <v>ASSEMBLY</v>
          </cell>
          <cell r="P1439" t="str">
            <v>B</v>
          </cell>
          <cell r="Q1439" t="str">
            <v>DL</v>
          </cell>
          <cell r="R1439" t="str">
            <v>PERMANENT</v>
          </cell>
          <cell r="S1439" t="str">
            <v>PRM</v>
          </cell>
          <cell r="T1439" t="str">
            <v>OPT</v>
          </cell>
          <cell r="U1439" t="str">
            <v>-</v>
          </cell>
          <cell r="V1439" t="str">
            <v>L</v>
          </cell>
          <cell r="W1439">
            <v>30</v>
          </cell>
        </row>
        <row r="1440">
          <cell r="A1440">
            <v>1170</v>
          </cell>
          <cell r="B1440" t="str">
            <v>001170</v>
          </cell>
          <cell r="C1440" t="str">
            <v>PUDJI IDAYANI</v>
          </cell>
          <cell r="D1440" t="str">
            <v>SAMI</v>
          </cell>
          <cell r="E1440" t="str">
            <v>SPV UP</v>
          </cell>
          <cell r="F1440">
            <v>37907</v>
          </cell>
          <cell r="G1440" t="str">
            <v>-</v>
          </cell>
          <cell r="H1440" t="str">
            <v>-</v>
          </cell>
          <cell r="I1440" t="str">
            <v>PRD</v>
          </cell>
          <cell r="J1440" t="str">
            <v>NON LINE</v>
          </cell>
          <cell r="K1440" t="str">
            <v>ALL</v>
          </cell>
          <cell r="L1440" t="str">
            <v>ALL</v>
          </cell>
          <cell r="M1440" t="str">
            <v>SUPERVISOR NON LINE</v>
          </cell>
          <cell r="N1440" t="str">
            <v>TRAINER</v>
          </cell>
          <cell r="O1440" t="str">
            <v>FPI SPV</v>
          </cell>
          <cell r="P1440" t="str">
            <v>A (NS)</v>
          </cell>
          <cell r="Q1440" t="str">
            <v>PI</v>
          </cell>
          <cell r="R1440" t="str">
            <v>PERMANENT</v>
          </cell>
          <cell r="S1440" t="str">
            <v>PRM</v>
          </cell>
          <cell r="T1440" t="str">
            <v>SPV</v>
          </cell>
          <cell r="U1440" t="str">
            <v>-</v>
          </cell>
          <cell r="V1440" t="str">
            <v>P</v>
          </cell>
          <cell r="W1440">
            <v>40</v>
          </cell>
        </row>
        <row r="1441">
          <cell r="A1441">
            <v>4648</v>
          </cell>
          <cell r="B1441" t="str">
            <v>004648</v>
          </cell>
          <cell r="C1441" t="str">
            <v>PADMI LESTARI</v>
          </cell>
          <cell r="D1441" t="str">
            <v>SAMI</v>
          </cell>
          <cell r="E1441" t="str">
            <v>SPV UP</v>
          </cell>
          <cell r="F1441">
            <v>38901</v>
          </cell>
          <cell r="G1441" t="str">
            <v>-</v>
          </cell>
          <cell r="H1441" t="str">
            <v>-</v>
          </cell>
          <cell r="I1441" t="str">
            <v>PRD</v>
          </cell>
          <cell r="J1441" t="str">
            <v>NON LINE</v>
          </cell>
          <cell r="K1441" t="str">
            <v>ALL</v>
          </cell>
          <cell r="L1441" t="str">
            <v>ALL</v>
          </cell>
          <cell r="M1441" t="str">
            <v>SUPERVISOR NON LINE</v>
          </cell>
          <cell r="N1441" t="str">
            <v>ADMIN, CUTTING PROJECT &amp; WIRELOSS</v>
          </cell>
          <cell r="O1441" t="str">
            <v>FPI SPV</v>
          </cell>
          <cell r="P1441" t="str">
            <v>A (NS)</v>
          </cell>
          <cell r="Q1441" t="str">
            <v>PI</v>
          </cell>
          <cell r="R1441" t="str">
            <v>PERMANENT</v>
          </cell>
          <cell r="S1441" t="str">
            <v>PRM</v>
          </cell>
          <cell r="T1441" t="str">
            <v>SPV</v>
          </cell>
          <cell r="U1441" t="str">
            <v>-</v>
          </cell>
          <cell r="V1441" t="str">
            <v>P</v>
          </cell>
          <cell r="W1441">
            <v>39</v>
          </cell>
        </row>
        <row r="1442">
          <cell r="A1442">
            <v>21229</v>
          </cell>
          <cell r="B1442" t="str">
            <v>021229</v>
          </cell>
          <cell r="C1442" t="str">
            <v>AMALIA PUJI RAHAYUNINGSIH</v>
          </cell>
          <cell r="D1442" t="str">
            <v>SAMI</v>
          </cell>
          <cell r="E1442" t="str">
            <v>SPV UP</v>
          </cell>
          <cell r="F1442">
            <v>42891</v>
          </cell>
          <cell r="G1442" t="str">
            <v>-</v>
          </cell>
          <cell r="H1442" t="str">
            <v>-</v>
          </cell>
          <cell r="I1442" t="str">
            <v>FA</v>
          </cell>
          <cell r="J1442" t="str">
            <v>FIN</v>
          </cell>
          <cell r="K1442" t="str">
            <v>ALL</v>
          </cell>
          <cell r="L1442" t="str">
            <v>ALL</v>
          </cell>
          <cell r="M1442" t="str">
            <v>FINANCE</v>
          </cell>
          <cell r="N1442" t="str">
            <v>SUPERVISOR FINANCE</v>
          </cell>
          <cell r="O1442" t="str">
            <v>IDL SPV</v>
          </cell>
          <cell r="P1442" t="str">
            <v>A (NS)</v>
          </cell>
          <cell r="Q1442" t="str">
            <v>ADM</v>
          </cell>
          <cell r="R1442" t="str">
            <v>PERMANENT</v>
          </cell>
          <cell r="S1442" t="str">
            <v>PRM</v>
          </cell>
          <cell r="T1442" t="str">
            <v>SPV</v>
          </cell>
          <cell r="U1442" t="str">
            <v>-</v>
          </cell>
          <cell r="V1442" t="str">
            <v>P</v>
          </cell>
          <cell r="W1442">
            <v>30</v>
          </cell>
        </row>
        <row r="1443">
          <cell r="A1443">
            <v>21238</v>
          </cell>
          <cell r="B1443" t="str">
            <v>021238</v>
          </cell>
          <cell r="C1443" t="str">
            <v>HESTI WIDYAWATI</v>
          </cell>
          <cell r="D1443" t="str">
            <v>SAMI</v>
          </cell>
          <cell r="E1443" t="str">
            <v>OPT-525</v>
          </cell>
          <cell r="F1443">
            <v>42893</v>
          </cell>
          <cell r="G1443" t="str">
            <v>-</v>
          </cell>
          <cell r="H1443" t="str">
            <v>-</v>
          </cell>
          <cell r="I1443" t="str">
            <v>PRD</v>
          </cell>
          <cell r="J1443" t="str">
            <v>FINAL ASSY</v>
          </cell>
          <cell r="K1443" t="str">
            <v>MAZDA ATENZA</v>
          </cell>
          <cell r="L1443" t="str">
            <v>MAZDA J72A</v>
          </cell>
          <cell r="M1443" t="str">
            <v>CV M03</v>
          </cell>
          <cell r="N1443" t="str">
            <v>VISUAL 1.2</v>
          </cell>
          <cell r="O1443" t="str">
            <v>VISUAL INSPECTION</v>
          </cell>
          <cell r="P1443" t="str">
            <v>B</v>
          </cell>
          <cell r="Q1443" t="str">
            <v>DL</v>
          </cell>
          <cell r="R1443" t="str">
            <v>PERMANENT</v>
          </cell>
          <cell r="S1443" t="str">
            <v>PRM</v>
          </cell>
          <cell r="T1443" t="str">
            <v>OPT</v>
          </cell>
          <cell r="U1443" t="str">
            <v>-</v>
          </cell>
          <cell r="V1443" t="str">
            <v>P</v>
          </cell>
          <cell r="W1443">
            <v>25</v>
          </cell>
        </row>
        <row r="1444">
          <cell r="A1444">
            <v>6107</v>
          </cell>
          <cell r="B1444" t="str">
            <v>006107</v>
          </cell>
          <cell r="C1444" t="str">
            <v>YUSUF DWI SUSILO</v>
          </cell>
          <cell r="D1444" t="str">
            <v>SAMI</v>
          </cell>
          <cell r="E1444" t="str">
            <v>SPV UP</v>
          </cell>
          <cell r="F1444">
            <v>39142</v>
          </cell>
          <cell r="G1444" t="str">
            <v>-</v>
          </cell>
          <cell r="H1444" t="str">
            <v>-</v>
          </cell>
          <cell r="I1444" t="str">
            <v>PRD</v>
          </cell>
          <cell r="J1444" t="str">
            <v>NON LINE</v>
          </cell>
          <cell r="K1444" t="str">
            <v>ALL</v>
          </cell>
          <cell r="L1444" t="str">
            <v>ALL</v>
          </cell>
          <cell r="M1444" t="str">
            <v>SUPERVISOR NON LINE</v>
          </cell>
          <cell r="N1444" t="str">
            <v>PRODUCTION SYSTEM</v>
          </cell>
          <cell r="O1444" t="str">
            <v>FPS SPV</v>
          </cell>
          <cell r="P1444" t="str">
            <v>A (NS)</v>
          </cell>
          <cell r="Q1444" t="str">
            <v>PS</v>
          </cell>
          <cell r="R1444" t="str">
            <v>PERMANENT</v>
          </cell>
          <cell r="S1444" t="str">
            <v>PRM</v>
          </cell>
          <cell r="T1444" t="str">
            <v>SPV</v>
          </cell>
          <cell r="U1444" t="str">
            <v>-</v>
          </cell>
          <cell r="V1444" t="str">
            <v>L</v>
          </cell>
          <cell r="W1444">
            <v>40</v>
          </cell>
        </row>
        <row r="1445">
          <cell r="A1445">
            <v>21279</v>
          </cell>
          <cell r="B1445" t="str">
            <v>021279</v>
          </cell>
          <cell r="C1445" t="str">
            <v>AYU NOFITASARI</v>
          </cell>
          <cell r="D1445" t="str">
            <v>SAMI</v>
          </cell>
          <cell r="E1445" t="str">
            <v>OPT-530</v>
          </cell>
          <cell r="F1445">
            <v>43010</v>
          </cell>
          <cell r="G1445" t="str">
            <v>-</v>
          </cell>
          <cell r="H1445" t="str">
            <v>-</v>
          </cell>
          <cell r="I1445" t="str">
            <v>PRD</v>
          </cell>
          <cell r="J1445" t="str">
            <v>FINAL ASSY</v>
          </cell>
          <cell r="K1445" t="str">
            <v>TOYOTA</v>
          </cell>
          <cell r="L1445" t="str">
            <v>AQUA SIENTA</v>
          </cell>
          <cell r="M1445" t="str">
            <v>CV T01</v>
          </cell>
          <cell r="N1445" t="str">
            <v>OJT T/P 2</v>
          </cell>
          <cell r="O1445" t="str">
            <v>OTHERS</v>
          </cell>
          <cell r="P1445" t="str">
            <v>B</v>
          </cell>
          <cell r="Q1445" t="str">
            <v>PI</v>
          </cell>
          <cell r="R1445" t="str">
            <v>PERMANENT</v>
          </cell>
          <cell r="S1445" t="str">
            <v>PRM</v>
          </cell>
          <cell r="T1445" t="str">
            <v>OPT</v>
          </cell>
          <cell r="U1445" t="str">
            <v>-</v>
          </cell>
          <cell r="V1445" t="str">
            <v>P</v>
          </cell>
          <cell r="W1445">
            <v>26</v>
          </cell>
        </row>
        <row r="1446">
          <cell r="A1446">
            <v>12032</v>
          </cell>
          <cell r="B1446" t="str">
            <v>012032</v>
          </cell>
          <cell r="C1446" t="str">
            <v>NUR FARID</v>
          </cell>
          <cell r="D1446" t="str">
            <v>SAMI</v>
          </cell>
          <cell r="E1446" t="str">
            <v>SPV UP</v>
          </cell>
          <cell r="F1446">
            <v>40791</v>
          </cell>
          <cell r="G1446" t="str">
            <v>-</v>
          </cell>
          <cell r="H1446" t="str">
            <v>-</v>
          </cell>
          <cell r="I1446" t="str">
            <v>PRD</v>
          </cell>
          <cell r="J1446" t="str">
            <v>NON LINE</v>
          </cell>
          <cell r="K1446" t="str">
            <v>ALL</v>
          </cell>
          <cell r="L1446" t="str">
            <v>ALL</v>
          </cell>
          <cell r="M1446" t="str">
            <v>SUPERVISOR NON LINE</v>
          </cell>
          <cell r="N1446" t="str">
            <v>QC PRD, SOOP, TRAINER</v>
          </cell>
          <cell r="O1446" t="str">
            <v>FPI SPV</v>
          </cell>
          <cell r="P1446" t="str">
            <v>A (NS)</v>
          </cell>
          <cell r="Q1446" t="str">
            <v>PI</v>
          </cell>
          <cell r="R1446" t="str">
            <v>PERMANENT</v>
          </cell>
          <cell r="S1446" t="str">
            <v>PRM</v>
          </cell>
          <cell r="T1446" t="str">
            <v>SPV</v>
          </cell>
          <cell r="U1446" t="str">
            <v>-</v>
          </cell>
          <cell r="V1446" t="str">
            <v>L</v>
          </cell>
          <cell r="W1446">
            <v>36</v>
          </cell>
        </row>
        <row r="1447">
          <cell r="A1447">
            <v>21372</v>
          </cell>
          <cell r="B1447" t="str">
            <v>021372</v>
          </cell>
          <cell r="C1447" t="str">
            <v>TIRTA SATRIAWAN MAULANA</v>
          </cell>
          <cell r="D1447" t="str">
            <v>SAMI</v>
          </cell>
          <cell r="E1447" t="str">
            <v>OPT-531</v>
          </cell>
          <cell r="F1447">
            <v>43013</v>
          </cell>
          <cell r="G1447" t="str">
            <v>-</v>
          </cell>
          <cell r="H1447" t="str">
            <v>-</v>
          </cell>
          <cell r="I1447" t="str">
            <v>LOG</v>
          </cell>
          <cell r="J1447" t="str">
            <v>PPIC</v>
          </cell>
          <cell r="K1447" t="str">
            <v>ALL</v>
          </cell>
          <cell r="L1447" t="str">
            <v>ALL</v>
          </cell>
          <cell r="M1447" t="str">
            <v>PPIC</v>
          </cell>
          <cell r="N1447" t="str">
            <v>ORDERING OVERSEAS</v>
          </cell>
          <cell r="O1447" t="str">
            <v>PPC</v>
          </cell>
          <cell r="P1447" t="str">
            <v>A (NS)</v>
          </cell>
          <cell r="Q1447" t="str">
            <v>PS</v>
          </cell>
          <cell r="R1447" t="str">
            <v>PERMANENT</v>
          </cell>
          <cell r="S1447" t="str">
            <v>PRM</v>
          </cell>
          <cell r="T1447" t="str">
            <v>OPT</v>
          </cell>
          <cell r="U1447" t="str">
            <v>-</v>
          </cell>
          <cell r="V1447" t="str">
            <v>L</v>
          </cell>
          <cell r="W1447">
            <v>28</v>
          </cell>
        </row>
        <row r="1448">
          <cell r="A1448">
            <v>21392</v>
          </cell>
          <cell r="B1448" t="str">
            <v>021392</v>
          </cell>
          <cell r="C1448" t="str">
            <v>HANDAYANI</v>
          </cell>
          <cell r="D1448" t="str">
            <v>SAMI</v>
          </cell>
          <cell r="E1448" t="str">
            <v>OPT-532</v>
          </cell>
          <cell r="F1448">
            <v>43018</v>
          </cell>
          <cell r="G1448" t="str">
            <v>-</v>
          </cell>
          <cell r="H1448" t="str">
            <v>-</v>
          </cell>
          <cell r="I1448" t="str">
            <v>PRD</v>
          </cell>
          <cell r="J1448" t="str">
            <v>FINAL ASSY</v>
          </cell>
          <cell r="K1448" t="str">
            <v>TOYOTA HV</v>
          </cell>
          <cell r="L1448" t="str">
            <v>HV TOYOTA NIKEL</v>
          </cell>
          <cell r="M1448" t="str">
            <v>CV HV 07</v>
          </cell>
          <cell r="N1448" t="str">
            <v>VISUAL 1.1</v>
          </cell>
          <cell r="O1448" t="str">
            <v>VISUAL INSPECTION</v>
          </cell>
          <cell r="P1448" t="str">
            <v>B</v>
          </cell>
          <cell r="Q1448" t="str">
            <v>DL</v>
          </cell>
          <cell r="R1448" t="str">
            <v>PERMANENT</v>
          </cell>
          <cell r="S1448" t="str">
            <v>PRM</v>
          </cell>
          <cell r="T1448" t="str">
            <v>OPT</v>
          </cell>
          <cell r="U1448" t="str">
            <v>-</v>
          </cell>
          <cell r="V1448" t="str">
            <v>P</v>
          </cell>
          <cell r="W1448">
            <v>27</v>
          </cell>
        </row>
        <row r="1449">
          <cell r="A1449">
            <v>86</v>
          </cell>
          <cell r="B1449" t="str">
            <v>000086</v>
          </cell>
          <cell r="C1449" t="str">
            <v>FILIA</v>
          </cell>
          <cell r="D1449" t="str">
            <v>SAMI</v>
          </cell>
          <cell r="E1449" t="str">
            <v>OPT-3</v>
          </cell>
          <cell r="F1449">
            <v>37627</v>
          </cell>
          <cell r="G1449" t="str">
            <v>-</v>
          </cell>
          <cell r="H1449" t="str">
            <v>-</v>
          </cell>
          <cell r="I1449" t="str">
            <v>PRD</v>
          </cell>
          <cell r="J1449" t="str">
            <v>NON LINE</v>
          </cell>
          <cell r="K1449" t="str">
            <v>ALL</v>
          </cell>
          <cell r="L1449" t="str">
            <v>ALL</v>
          </cell>
          <cell r="M1449" t="str">
            <v>TRAINER 1</v>
          </cell>
          <cell r="N1449" t="str">
            <v>TRAINER</v>
          </cell>
          <cell r="O1449" t="str">
            <v>GL</v>
          </cell>
          <cell r="P1449" t="str">
            <v>A (NS)</v>
          </cell>
          <cell r="Q1449" t="str">
            <v>PI</v>
          </cell>
          <cell r="R1449" t="str">
            <v>PERMANENT</v>
          </cell>
          <cell r="S1449" t="str">
            <v>PRM</v>
          </cell>
          <cell r="T1449" t="str">
            <v>GL</v>
          </cell>
          <cell r="U1449" t="str">
            <v>-</v>
          </cell>
          <cell r="V1449" t="str">
            <v>P</v>
          </cell>
          <cell r="W1449">
            <v>42</v>
          </cell>
        </row>
        <row r="1450">
          <cell r="A1450">
            <v>21508</v>
          </cell>
          <cell r="B1450" t="str">
            <v>021508</v>
          </cell>
          <cell r="C1450" t="str">
            <v>ADIP SARWONO</v>
          </cell>
          <cell r="D1450" t="str">
            <v>SAMI</v>
          </cell>
          <cell r="E1450" t="str">
            <v>TKN-108</v>
          </cell>
          <cell r="F1450">
            <v>43031</v>
          </cell>
          <cell r="G1450" t="str">
            <v>-</v>
          </cell>
          <cell r="H1450" t="str">
            <v>-</v>
          </cell>
          <cell r="I1450" t="str">
            <v>PE</v>
          </cell>
          <cell r="J1450" t="str">
            <v>J/C BP</v>
          </cell>
          <cell r="K1450" t="str">
            <v>ALL</v>
          </cell>
          <cell r="L1450" t="str">
            <v>ALL</v>
          </cell>
          <cell r="M1450" t="str">
            <v>CBP</v>
          </cell>
          <cell r="N1450" t="str">
            <v>CHECKER BOARD VALIDATION</v>
          </cell>
          <cell r="O1450" t="str">
            <v>CBP</v>
          </cell>
          <cell r="P1450" t="str">
            <v>A (NS)</v>
          </cell>
          <cell r="Q1450" t="str">
            <v>PS</v>
          </cell>
          <cell r="R1450" t="str">
            <v>PERMANENT</v>
          </cell>
          <cell r="S1450" t="str">
            <v>PRM</v>
          </cell>
          <cell r="T1450" t="str">
            <v>TKN</v>
          </cell>
          <cell r="U1450" t="str">
            <v>-</v>
          </cell>
          <cell r="V1450" t="str">
            <v>L</v>
          </cell>
          <cell r="W1450">
            <v>25</v>
          </cell>
        </row>
        <row r="1451">
          <cell r="A1451">
            <v>21509</v>
          </cell>
          <cell r="B1451" t="str">
            <v>021509</v>
          </cell>
          <cell r="C1451" t="str">
            <v>MUHAMMAD SAIFUDIN</v>
          </cell>
          <cell r="D1451" t="str">
            <v>SAMI</v>
          </cell>
          <cell r="E1451" t="str">
            <v>TKN-108</v>
          </cell>
          <cell r="F1451">
            <v>43031</v>
          </cell>
          <cell r="G1451" t="str">
            <v>-</v>
          </cell>
          <cell r="H1451" t="str">
            <v>-</v>
          </cell>
          <cell r="I1451" t="str">
            <v>PE</v>
          </cell>
          <cell r="J1451" t="str">
            <v>J/C BP</v>
          </cell>
          <cell r="K1451" t="str">
            <v>ALL</v>
          </cell>
          <cell r="L1451" t="str">
            <v>ALL</v>
          </cell>
          <cell r="M1451" t="str">
            <v>NIP</v>
          </cell>
          <cell r="N1451" t="str">
            <v>NAVIGATION SYSTEM FABRICATION</v>
          </cell>
          <cell r="O1451" t="str">
            <v>CBP</v>
          </cell>
          <cell r="P1451" t="str">
            <v>A (NS)</v>
          </cell>
          <cell r="Q1451" t="str">
            <v>PS</v>
          </cell>
          <cell r="R1451" t="str">
            <v>PERMANENT</v>
          </cell>
          <cell r="S1451" t="str">
            <v>PRM</v>
          </cell>
          <cell r="T1451" t="str">
            <v>TKN</v>
          </cell>
          <cell r="U1451" t="str">
            <v>-</v>
          </cell>
          <cell r="V1451" t="str">
            <v>L</v>
          </cell>
          <cell r="W1451">
            <v>25</v>
          </cell>
        </row>
        <row r="1452">
          <cell r="A1452">
            <v>21531</v>
          </cell>
          <cell r="B1452" t="str">
            <v>021531</v>
          </cell>
          <cell r="C1452" t="str">
            <v>IIN AGUSTIN</v>
          </cell>
          <cell r="D1452" t="str">
            <v>SAMI</v>
          </cell>
          <cell r="E1452" t="str">
            <v>OPT-535</v>
          </cell>
          <cell r="F1452">
            <v>43045</v>
          </cell>
          <cell r="G1452" t="str">
            <v>-</v>
          </cell>
          <cell r="H1452" t="str">
            <v>-</v>
          </cell>
          <cell r="I1452" t="str">
            <v>OTHERS</v>
          </cell>
          <cell r="J1452" t="str">
            <v>AT HOME</v>
          </cell>
          <cell r="K1452" t="str">
            <v>ALL</v>
          </cell>
          <cell r="L1452" t="str">
            <v>ALL</v>
          </cell>
          <cell r="M1452" t="str">
            <v>AT HOME</v>
          </cell>
          <cell r="N1452" t="str">
            <v>CUTI KELAHIRAN</v>
          </cell>
          <cell r="O1452" t="str">
            <v>OTHERS IDL</v>
          </cell>
          <cell r="P1452" t="str">
            <v>-</v>
          </cell>
          <cell r="Q1452" t="str">
            <v>ADM</v>
          </cell>
          <cell r="R1452" t="str">
            <v>PERMANENT</v>
          </cell>
          <cell r="S1452" t="str">
            <v>PRM</v>
          </cell>
          <cell r="T1452" t="str">
            <v>PJK</v>
          </cell>
          <cell r="U1452" t="str">
            <v>-</v>
          </cell>
          <cell r="V1452" t="str">
            <v>P</v>
          </cell>
          <cell r="W1452">
            <v>26</v>
          </cell>
        </row>
        <row r="1453">
          <cell r="A1453">
            <v>21635</v>
          </cell>
          <cell r="B1453" t="str">
            <v>021635</v>
          </cell>
          <cell r="C1453" t="str">
            <v>AHMAD ABDUL KOHAR</v>
          </cell>
          <cell r="D1453" t="str">
            <v>SAMI</v>
          </cell>
          <cell r="E1453" t="str">
            <v>OPT-537</v>
          </cell>
          <cell r="F1453">
            <v>43055</v>
          </cell>
          <cell r="G1453" t="str">
            <v>-</v>
          </cell>
          <cell r="H1453" t="str">
            <v>-</v>
          </cell>
          <cell r="I1453" t="str">
            <v>LOG</v>
          </cell>
          <cell r="J1453" t="str">
            <v>WHS</v>
          </cell>
          <cell r="K1453" t="str">
            <v>ALL</v>
          </cell>
          <cell r="L1453" t="str">
            <v>ALL</v>
          </cell>
          <cell r="M1453" t="str">
            <v>WHS</v>
          </cell>
          <cell r="N1453" t="str">
            <v>Parts supply (piking &amp; material handling) from material werahouse</v>
          </cell>
          <cell r="O1453" t="str">
            <v>WHS SUPPLY</v>
          </cell>
          <cell r="P1453" t="str">
            <v>B</v>
          </cell>
          <cell r="Q1453" t="str">
            <v>PS</v>
          </cell>
          <cell r="R1453" t="str">
            <v>PERMANENT</v>
          </cell>
          <cell r="S1453" t="str">
            <v>PRM</v>
          </cell>
          <cell r="T1453" t="str">
            <v>OPT</v>
          </cell>
          <cell r="U1453" t="str">
            <v>-</v>
          </cell>
          <cell r="V1453" t="str">
            <v>L</v>
          </cell>
          <cell r="W1453">
            <v>28</v>
          </cell>
        </row>
        <row r="1454">
          <cell r="A1454">
            <v>21640</v>
          </cell>
          <cell r="B1454" t="str">
            <v>021640</v>
          </cell>
          <cell r="C1454" t="str">
            <v>ARIN DWI NUGROHO</v>
          </cell>
          <cell r="D1454" t="str">
            <v>SAMI</v>
          </cell>
          <cell r="E1454" t="str">
            <v>OPT-537</v>
          </cell>
          <cell r="F1454">
            <v>43055</v>
          </cell>
          <cell r="G1454" t="str">
            <v>-</v>
          </cell>
          <cell r="H1454" t="str">
            <v>-</v>
          </cell>
          <cell r="I1454" t="str">
            <v>LOG</v>
          </cell>
          <cell r="J1454" t="str">
            <v>WHS</v>
          </cell>
          <cell r="K1454" t="str">
            <v>ALL</v>
          </cell>
          <cell r="L1454" t="str">
            <v>ALL</v>
          </cell>
          <cell r="M1454" t="str">
            <v>WHS</v>
          </cell>
          <cell r="N1454" t="str">
            <v>Parts supply (piking &amp; material handling) from material werahouse</v>
          </cell>
          <cell r="O1454" t="str">
            <v>WHS SUPPLY</v>
          </cell>
          <cell r="P1454" t="str">
            <v>A</v>
          </cell>
          <cell r="Q1454" t="str">
            <v>PS</v>
          </cell>
          <cell r="R1454" t="str">
            <v>PERMANENT</v>
          </cell>
          <cell r="S1454" t="str">
            <v>PRM</v>
          </cell>
          <cell r="T1454" t="str">
            <v>OPT</v>
          </cell>
          <cell r="U1454" t="str">
            <v>-</v>
          </cell>
          <cell r="V1454" t="str">
            <v>L</v>
          </cell>
          <cell r="W1454">
            <v>28</v>
          </cell>
        </row>
        <row r="1455">
          <cell r="A1455">
            <v>21658</v>
          </cell>
          <cell r="B1455" t="str">
            <v>021658</v>
          </cell>
          <cell r="C1455" t="str">
            <v>INSANI ISTIFARI PUTRI</v>
          </cell>
          <cell r="D1455" t="str">
            <v>SAMI</v>
          </cell>
          <cell r="E1455" t="str">
            <v>OPT-537</v>
          </cell>
          <cell r="F1455">
            <v>43055</v>
          </cell>
          <cell r="G1455" t="str">
            <v>-</v>
          </cell>
          <cell r="H1455" t="str">
            <v>-</v>
          </cell>
          <cell r="I1455" t="str">
            <v>PRD</v>
          </cell>
          <cell r="J1455" t="str">
            <v>FINAL ASSY</v>
          </cell>
          <cell r="K1455" t="str">
            <v>TOYOTA HV</v>
          </cell>
          <cell r="L1455" t="str">
            <v>HV TOYOTA UNDERFLOOR</v>
          </cell>
          <cell r="M1455" t="str">
            <v>CV HV 09</v>
          </cell>
          <cell r="N1455" t="str">
            <v>OJT S/A 01</v>
          </cell>
          <cell r="O1455" t="str">
            <v>OTHERS</v>
          </cell>
          <cell r="P1455" t="str">
            <v>B</v>
          </cell>
          <cell r="Q1455" t="str">
            <v>PI</v>
          </cell>
          <cell r="R1455" t="str">
            <v>PERMANENT</v>
          </cell>
          <cell r="S1455" t="str">
            <v>PRM</v>
          </cell>
          <cell r="T1455" t="str">
            <v>OPT</v>
          </cell>
          <cell r="U1455" t="str">
            <v>-</v>
          </cell>
          <cell r="V1455" t="str">
            <v>P</v>
          </cell>
          <cell r="W1455">
            <v>29</v>
          </cell>
        </row>
        <row r="1456">
          <cell r="A1456">
            <v>21669</v>
          </cell>
          <cell r="B1456" t="str">
            <v>021669</v>
          </cell>
          <cell r="C1456" t="str">
            <v>MUHAMMAD NURUL IKSAN MASDUQI</v>
          </cell>
          <cell r="D1456" t="str">
            <v>SAMI</v>
          </cell>
          <cell r="E1456" t="str">
            <v>OPT-537</v>
          </cell>
          <cell r="F1456">
            <v>43055</v>
          </cell>
          <cell r="G1456" t="str">
            <v>-</v>
          </cell>
          <cell r="H1456" t="str">
            <v>-</v>
          </cell>
          <cell r="I1456" t="str">
            <v>LOG</v>
          </cell>
          <cell r="J1456" t="str">
            <v>WHS</v>
          </cell>
          <cell r="K1456" t="str">
            <v>ALL</v>
          </cell>
          <cell r="L1456" t="str">
            <v>ALL</v>
          </cell>
          <cell r="M1456" t="str">
            <v>WHS</v>
          </cell>
          <cell r="N1456" t="str">
            <v>Parts supply (piking &amp; material handling) from material werahouse</v>
          </cell>
          <cell r="O1456" t="str">
            <v>WHS SUPPLY</v>
          </cell>
          <cell r="P1456" t="str">
            <v>A</v>
          </cell>
          <cell r="Q1456" t="str">
            <v>PS</v>
          </cell>
          <cell r="R1456" t="str">
            <v>PERMANENT</v>
          </cell>
          <cell r="S1456" t="str">
            <v>PRM</v>
          </cell>
          <cell r="T1456" t="str">
            <v>OPT</v>
          </cell>
          <cell r="U1456" t="str">
            <v>-</v>
          </cell>
          <cell r="V1456" t="str">
            <v>L</v>
          </cell>
          <cell r="W1456">
            <v>25</v>
          </cell>
        </row>
        <row r="1457">
          <cell r="A1457">
            <v>21693</v>
          </cell>
          <cell r="B1457" t="str">
            <v>021693</v>
          </cell>
          <cell r="C1457" t="str">
            <v>JUHUDI</v>
          </cell>
          <cell r="D1457" t="str">
            <v>SAMI</v>
          </cell>
          <cell r="E1457" t="str">
            <v>OPT-538</v>
          </cell>
          <cell r="F1457">
            <v>43073</v>
          </cell>
          <cell r="G1457" t="str">
            <v>-</v>
          </cell>
          <cell r="H1457" t="str">
            <v>-</v>
          </cell>
          <cell r="I1457" t="str">
            <v>LOG</v>
          </cell>
          <cell r="J1457" t="str">
            <v>WHS</v>
          </cell>
          <cell r="K1457" t="str">
            <v>ALL</v>
          </cell>
          <cell r="L1457" t="str">
            <v>ALL</v>
          </cell>
          <cell r="M1457" t="str">
            <v>WHS</v>
          </cell>
          <cell r="N1457" t="str">
            <v>Parts supply (piking &amp; material handling) from material werahouse</v>
          </cell>
          <cell r="O1457" t="str">
            <v>WHS SUPPLY</v>
          </cell>
          <cell r="P1457" t="str">
            <v>B</v>
          </cell>
          <cell r="Q1457" t="str">
            <v>PS</v>
          </cell>
          <cell r="R1457" t="str">
            <v>PERMANENT</v>
          </cell>
          <cell r="S1457" t="str">
            <v>PRM</v>
          </cell>
          <cell r="T1457" t="str">
            <v>OPT</v>
          </cell>
          <cell r="U1457" t="str">
            <v>-</v>
          </cell>
          <cell r="V1457" t="str">
            <v>L</v>
          </cell>
          <cell r="W1457">
            <v>27</v>
          </cell>
        </row>
        <row r="1458">
          <cell r="A1458">
            <v>21702</v>
          </cell>
          <cell r="B1458" t="str">
            <v>021702</v>
          </cell>
          <cell r="C1458" t="str">
            <v>ALIFUDIN MAULANA</v>
          </cell>
          <cell r="D1458" t="str">
            <v>SAMI</v>
          </cell>
          <cell r="E1458" t="str">
            <v>OPT-539</v>
          </cell>
          <cell r="F1458">
            <v>43087</v>
          </cell>
          <cell r="G1458" t="str">
            <v>-</v>
          </cell>
          <cell r="H1458" t="str">
            <v>-</v>
          </cell>
          <cell r="I1458" t="str">
            <v>PRD</v>
          </cell>
          <cell r="J1458" t="str">
            <v>FINAL ASSY</v>
          </cell>
          <cell r="K1458" t="str">
            <v>HONDA FIT</v>
          </cell>
          <cell r="L1458" t="str">
            <v>HONDA FIT HEV PET ENGINE</v>
          </cell>
          <cell r="M1458" t="str">
            <v>CV H02</v>
          </cell>
          <cell r="N1458" t="str">
            <v>OJT CAMERA FUSE + TPO</v>
          </cell>
          <cell r="O1458" t="str">
            <v>OTHERS</v>
          </cell>
          <cell r="P1458" t="str">
            <v>B</v>
          </cell>
          <cell r="Q1458" t="str">
            <v>PI</v>
          </cell>
          <cell r="R1458" t="str">
            <v>PERMANENT</v>
          </cell>
          <cell r="S1458" t="str">
            <v>PRM</v>
          </cell>
          <cell r="T1458" t="str">
            <v>OPT</v>
          </cell>
          <cell r="U1458" t="str">
            <v>-</v>
          </cell>
          <cell r="V1458" t="str">
            <v>L</v>
          </cell>
          <cell r="W1458">
            <v>27</v>
          </cell>
        </row>
        <row r="1459">
          <cell r="A1459">
            <v>21712</v>
          </cell>
          <cell r="B1459" t="str">
            <v>021712</v>
          </cell>
          <cell r="C1459" t="str">
            <v>EKA RATNASARI</v>
          </cell>
          <cell r="D1459" t="str">
            <v>SAMI</v>
          </cell>
          <cell r="E1459" t="str">
            <v>OPT-539</v>
          </cell>
          <cell r="F1459">
            <v>43087</v>
          </cell>
          <cell r="G1459" t="str">
            <v>-</v>
          </cell>
          <cell r="H1459" t="str">
            <v>-</v>
          </cell>
          <cell r="I1459" t="str">
            <v>PRD</v>
          </cell>
          <cell r="J1459" t="str">
            <v>FINAL ASSY</v>
          </cell>
          <cell r="K1459" t="str">
            <v>HONDA BBP</v>
          </cell>
          <cell r="L1459" t="str">
            <v>HV HONDA 5JLA BBP</v>
          </cell>
          <cell r="M1459" t="str">
            <v>CV HV 04B</v>
          </cell>
          <cell r="N1459" t="str">
            <v>LQC</v>
          </cell>
          <cell r="O1459" t="str">
            <v>RELIEF</v>
          </cell>
          <cell r="P1459" t="str">
            <v>B</v>
          </cell>
          <cell r="Q1459" t="str">
            <v>PI</v>
          </cell>
          <cell r="R1459" t="str">
            <v>PERMANENT</v>
          </cell>
          <cell r="S1459" t="str">
            <v>PRM</v>
          </cell>
          <cell r="T1459" t="str">
            <v>PJK</v>
          </cell>
          <cell r="U1459" t="str">
            <v>-</v>
          </cell>
          <cell r="V1459" t="str">
            <v>P</v>
          </cell>
          <cell r="W1459">
            <v>26</v>
          </cell>
        </row>
        <row r="1460">
          <cell r="A1460">
            <v>156</v>
          </cell>
          <cell r="B1460" t="str">
            <v>000156</v>
          </cell>
          <cell r="C1460" t="str">
            <v>SURYAWATI</v>
          </cell>
          <cell r="D1460" t="str">
            <v>SAMI</v>
          </cell>
          <cell r="E1460" t="str">
            <v>OPT-4</v>
          </cell>
          <cell r="F1460">
            <v>37637</v>
          </cell>
          <cell r="G1460" t="str">
            <v>-</v>
          </cell>
          <cell r="H1460" t="str">
            <v>-</v>
          </cell>
          <cell r="I1460" t="str">
            <v>PRD</v>
          </cell>
          <cell r="J1460" t="str">
            <v>NON LINE</v>
          </cell>
          <cell r="K1460" t="str">
            <v>ALL</v>
          </cell>
          <cell r="L1460" t="str">
            <v>ALL</v>
          </cell>
          <cell r="M1460" t="str">
            <v>TRAINER 1</v>
          </cell>
          <cell r="N1460" t="str">
            <v>TRAINER</v>
          </cell>
          <cell r="O1460" t="str">
            <v>GL</v>
          </cell>
          <cell r="P1460" t="str">
            <v>A (NS)</v>
          </cell>
          <cell r="Q1460" t="str">
            <v>PI</v>
          </cell>
          <cell r="R1460" t="str">
            <v>PERMANENT</v>
          </cell>
          <cell r="S1460" t="str">
            <v>PRM</v>
          </cell>
          <cell r="T1460" t="str">
            <v>GL</v>
          </cell>
          <cell r="U1460" t="str">
            <v>-</v>
          </cell>
          <cell r="V1460" t="str">
            <v>P</v>
          </cell>
          <cell r="W1460">
            <v>42</v>
          </cell>
        </row>
        <row r="1461">
          <cell r="A1461">
            <v>21721</v>
          </cell>
          <cell r="B1461" t="str">
            <v>021721</v>
          </cell>
          <cell r="C1461" t="str">
            <v>JOKO WAHYUDI</v>
          </cell>
          <cell r="D1461" t="str">
            <v>SAMI</v>
          </cell>
          <cell r="E1461" t="str">
            <v>OPT-539</v>
          </cell>
          <cell r="F1461">
            <v>43087</v>
          </cell>
          <cell r="G1461" t="str">
            <v>-</v>
          </cell>
          <cell r="H1461" t="str">
            <v>-</v>
          </cell>
          <cell r="I1461" t="str">
            <v>PRD</v>
          </cell>
          <cell r="J1461" t="str">
            <v>FINAL ASSY</v>
          </cell>
          <cell r="K1461" t="str">
            <v>HONDA FIT</v>
          </cell>
          <cell r="L1461" t="str">
            <v>HONDA FIT HEV PET ENGINE</v>
          </cell>
          <cell r="M1461" t="str">
            <v>CV H02</v>
          </cell>
          <cell r="N1461" t="str">
            <v>LQC</v>
          </cell>
          <cell r="O1461" t="str">
            <v>RELIEF</v>
          </cell>
          <cell r="P1461" t="str">
            <v>B</v>
          </cell>
          <cell r="Q1461" t="str">
            <v>PI</v>
          </cell>
          <cell r="R1461" t="str">
            <v>PERMANENT</v>
          </cell>
          <cell r="S1461" t="str">
            <v>PRM</v>
          </cell>
          <cell r="T1461" t="str">
            <v>PJK</v>
          </cell>
          <cell r="U1461" t="str">
            <v>-</v>
          </cell>
          <cell r="V1461" t="str">
            <v>L</v>
          </cell>
          <cell r="W1461">
            <v>27</v>
          </cell>
        </row>
        <row r="1462">
          <cell r="A1462">
            <v>21784</v>
          </cell>
          <cell r="B1462" t="str">
            <v>021784</v>
          </cell>
          <cell r="C1462" t="str">
            <v>RETNO NURUL FATMAWATI</v>
          </cell>
          <cell r="D1462" t="str">
            <v>SAMI</v>
          </cell>
          <cell r="E1462" t="str">
            <v>OPT-540</v>
          </cell>
          <cell r="F1462">
            <v>43090</v>
          </cell>
          <cell r="G1462" t="str">
            <v>-</v>
          </cell>
          <cell r="H1462" t="str">
            <v>-</v>
          </cell>
          <cell r="I1462" t="str">
            <v>PRD</v>
          </cell>
          <cell r="J1462" t="str">
            <v>FINAL ASSY</v>
          </cell>
          <cell r="K1462" t="str">
            <v>TOYOTA HV</v>
          </cell>
          <cell r="L1462" t="str">
            <v xml:space="preserve">HV TOYOTA AC </v>
          </cell>
          <cell r="M1462" t="str">
            <v>CV HV 10B</v>
          </cell>
          <cell r="N1462" t="str">
            <v>ASM + CHECKER 2</v>
          </cell>
          <cell r="O1462" t="str">
            <v>ASSEMBLY</v>
          </cell>
          <cell r="P1462" t="str">
            <v>B</v>
          </cell>
          <cell r="Q1462" t="str">
            <v>DL</v>
          </cell>
          <cell r="R1462" t="str">
            <v>PERMANENT</v>
          </cell>
          <cell r="S1462" t="str">
            <v>PRM</v>
          </cell>
          <cell r="T1462" t="str">
            <v>OPT</v>
          </cell>
          <cell r="U1462" t="str">
            <v>-</v>
          </cell>
          <cell r="V1462" t="str">
            <v>P</v>
          </cell>
          <cell r="W1462">
            <v>25</v>
          </cell>
        </row>
        <row r="1463">
          <cell r="A1463">
            <v>751</v>
          </cell>
          <cell r="B1463" t="str">
            <v>000751</v>
          </cell>
          <cell r="C1463" t="str">
            <v>WARTI</v>
          </cell>
          <cell r="D1463" t="str">
            <v>SAMI</v>
          </cell>
          <cell r="E1463" t="str">
            <v>OPT-19</v>
          </cell>
          <cell r="F1463">
            <v>37816</v>
          </cell>
          <cell r="G1463" t="str">
            <v>-</v>
          </cell>
          <cell r="H1463" t="str">
            <v>-</v>
          </cell>
          <cell r="I1463" t="str">
            <v>PRD</v>
          </cell>
          <cell r="J1463" t="str">
            <v>NON LINE</v>
          </cell>
          <cell r="K1463" t="str">
            <v>ALL</v>
          </cell>
          <cell r="L1463" t="str">
            <v>ALL</v>
          </cell>
          <cell r="M1463" t="str">
            <v>TRAINER 1</v>
          </cell>
          <cell r="N1463" t="str">
            <v>PRD LINE LEADER</v>
          </cell>
          <cell r="O1463" t="str">
            <v>FPI LL</v>
          </cell>
          <cell r="P1463" t="str">
            <v>A (NS)</v>
          </cell>
          <cell r="Q1463" t="str">
            <v>PI</v>
          </cell>
          <cell r="R1463" t="str">
            <v>PERMANENT</v>
          </cell>
          <cell r="S1463" t="str">
            <v>PRM</v>
          </cell>
          <cell r="T1463" t="str">
            <v>LL</v>
          </cell>
          <cell r="U1463" t="str">
            <v>-</v>
          </cell>
          <cell r="V1463" t="str">
            <v>P</v>
          </cell>
          <cell r="W1463">
            <v>42</v>
          </cell>
        </row>
        <row r="1464">
          <cell r="A1464">
            <v>899</v>
          </cell>
          <cell r="B1464" t="str">
            <v>000899</v>
          </cell>
          <cell r="C1464" t="str">
            <v>PUSPANDARI</v>
          </cell>
          <cell r="D1464" t="str">
            <v>SAMI</v>
          </cell>
          <cell r="E1464" t="str">
            <v>OPT-23</v>
          </cell>
          <cell r="F1464">
            <v>37858</v>
          </cell>
          <cell r="G1464" t="str">
            <v>-</v>
          </cell>
          <cell r="H1464" t="str">
            <v>-</v>
          </cell>
          <cell r="I1464" t="str">
            <v>PRD</v>
          </cell>
          <cell r="J1464" t="str">
            <v>NON LINE</v>
          </cell>
          <cell r="K1464" t="str">
            <v>ALL</v>
          </cell>
          <cell r="L1464" t="str">
            <v>ALL</v>
          </cell>
          <cell r="M1464" t="str">
            <v>TRAINER 1</v>
          </cell>
          <cell r="N1464" t="str">
            <v>TRAINER</v>
          </cell>
          <cell r="O1464" t="str">
            <v>GL</v>
          </cell>
          <cell r="P1464" t="str">
            <v>A (NS)</v>
          </cell>
          <cell r="Q1464" t="str">
            <v>PI</v>
          </cell>
          <cell r="R1464" t="str">
            <v>PERMANENT</v>
          </cell>
          <cell r="S1464" t="str">
            <v>PRM</v>
          </cell>
          <cell r="T1464" t="str">
            <v>GL</v>
          </cell>
          <cell r="U1464" t="str">
            <v>-</v>
          </cell>
          <cell r="V1464" t="str">
            <v>P</v>
          </cell>
          <cell r="W1464">
            <v>41</v>
          </cell>
        </row>
        <row r="1465">
          <cell r="A1465">
            <v>1146</v>
          </cell>
          <cell r="B1465" t="str">
            <v>001146</v>
          </cell>
          <cell r="C1465" t="str">
            <v>NUR FATMAWATI</v>
          </cell>
          <cell r="D1465" t="str">
            <v>SAMI</v>
          </cell>
          <cell r="E1465" t="str">
            <v>OPT-28</v>
          </cell>
          <cell r="F1465">
            <v>37900</v>
          </cell>
          <cell r="G1465" t="str">
            <v>-</v>
          </cell>
          <cell r="H1465" t="str">
            <v>-</v>
          </cell>
          <cell r="I1465" t="str">
            <v>PRD</v>
          </cell>
          <cell r="J1465" t="str">
            <v>NON LINE</v>
          </cell>
          <cell r="K1465" t="str">
            <v>ALL</v>
          </cell>
          <cell r="L1465" t="str">
            <v>ALL</v>
          </cell>
          <cell r="M1465" t="str">
            <v>TRAINER 1</v>
          </cell>
          <cell r="N1465" t="str">
            <v>TRAINER</v>
          </cell>
          <cell r="O1465" t="str">
            <v>GL</v>
          </cell>
          <cell r="P1465" t="str">
            <v>A (NS)</v>
          </cell>
          <cell r="Q1465" t="str">
            <v>PI</v>
          </cell>
          <cell r="R1465" t="str">
            <v>PERMANENT</v>
          </cell>
          <cell r="S1465" t="str">
            <v>PRM</v>
          </cell>
          <cell r="T1465" t="str">
            <v>GL</v>
          </cell>
          <cell r="U1465" t="str">
            <v>-</v>
          </cell>
          <cell r="V1465" t="str">
            <v>P</v>
          </cell>
          <cell r="W1465">
            <v>39</v>
          </cell>
        </row>
        <row r="1466">
          <cell r="A1466">
            <v>4852</v>
          </cell>
          <cell r="B1466" t="str">
            <v>004852</v>
          </cell>
          <cell r="C1466" t="str">
            <v>SUTRISNO</v>
          </cell>
          <cell r="D1466" t="str">
            <v>SAMI</v>
          </cell>
          <cell r="E1466" t="str">
            <v>OPT-120</v>
          </cell>
          <cell r="F1466">
            <v>38930</v>
          </cell>
          <cell r="G1466" t="str">
            <v>-</v>
          </cell>
          <cell r="H1466" t="str">
            <v>-</v>
          </cell>
          <cell r="I1466" t="str">
            <v>PRD</v>
          </cell>
          <cell r="J1466" t="str">
            <v>NON LINE</v>
          </cell>
          <cell r="K1466" t="str">
            <v>ALL</v>
          </cell>
          <cell r="L1466" t="str">
            <v>ALL</v>
          </cell>
          <cell r="M1466" t="str">
            <v>TRAINER 1</v>
          </cell>
          <cell r="N1466" t="str">
            <v>TRAINER</v>
          </cell>
          <cell r="O1466" t="str">
            <v>GL</v>
          </cell>
          <cell r="P1466" t="str">
            <v>A (NS)</v>
          </cell>
          <cell r="Q1466" t="str">
            <v>PI</v>
          </cell>
          <cell r="R1466" t="str">
            <v>PERMANENT</v>
          </cell>
          <cell r="S1466" t="str">
            <v>PRM</v>
          </cell>
          <cell r="T1466" t="str">
            <v>GL</v>
          </cell>
          <cell r="U1466" t="str">
            <v>-</v>
          </cell>
          <cell r="V1466" t="str">
            <v>L</v>
          </cell>
          <cell r="W1466">
            <v>40</v>
          </cell>
        </row>
        <row r="1467">
          <cell r="A1467">
            <v>21912</v>
          </cell>
          <cell r="B1467" t="str">
            <v>021912</v>
          </cell>
          <cell r="C1467" t="str">
            <v>IRFAN EGO PRASTIKO</v>
          </cell>
          <cell r="D1467" t="str">
            <v>SAMI</v>
          </cell>
          <cell r="E1467" t="str">
            <v>TKN-111</v>
          </cell>
          <cell r="F1467">
            <v>43103</v>
          </cell>
          <cell r="G1467" t="str">
            <v>-</v>
          </cell>
          <cell r="H1467" t="str">
            <v>-</v>
          </cell>
          <cell r="I1467" t="str">
            <v>PE</v>
          </cell>
          <cell r="J1467" t="str">
            <v>J/C BP</v>
          </cell>
          <cell r="K1467" t="str">
            <v>ALL</v>
          </cell>
          <cell r="L1467" t="str">
            <v>ALL</v>
          </cell>
          <cell r="M1467" t="str">
            <v>JCN</v>
          </cell>
          <cell r="N1467" t="str">
            <v>FINAL ASSY PREVENTIVE</v>
          </cell>
          <cell r="O1467" t="str">
            <v>CBP</v>
          </cell>
          <cell r="P1467" t="str">
            <v>A (NS)</v>
          </cell>
          <cell r="Q1467" t="str">
            <v>PS</v>
          </cell>
          <cell r="R1467" t="str">
            <v>PERMANENT</v>
          </cell>
          <cell r="S1467" t="str">
            <v>PRM</v>
          </cell>
          <cell r="T1467" t="str">
            <v>TKN</v>
          </cell>
          <cell r="U1467" t="str">
            <v>-</v>
          </cell>
          <cell r="V1467" t="str">
            <v>L</v>
          </cell>
          <cell r="W1467">
            <v>29</v>
          </cell>
        </row>
        <row r="1468">
          <cell r="A1468">
            <v>5395</v>
          </cell>
          <cell r="B1468" t="str">
            <v>005395</v>
          </cell>
          <cell r="C1468" t="str">
            <v>AGUS WIDODO</v>
          </cell>
          <cell r="D1468" t="str">
            <v>SAMI</v>
          </cell>
          <cell r="E1468" t="str">
            <v>OPT-128</v>
          </cell>
          <cell r="F1468">
            <v>38991</v>
          </cell>
          <cell r="G1468" t="str">
            <v>-</v>
          </cell>
          <cell r="H1468" t="str">
            <v>-</v>
          </cell>
          <cell r="I1468" t="str">
            <v>PRD</v>
          </cell>
          <cell r="J1468" t="str">
            <v>NON LINE</v>
          </cell>
          <cell r="K1468" t="str">
            <v>ALL</v>
          </cell>
          <cell r="L1468" t="str">
            <v>ALL</v>
          </cell>
          <cell r="M1468" t="str">
            <v>TRAINER 1</v>
          </cell>
          <cell r="N1468" t="str">
            <v>TRAINER</v>
          </cell>
          <cell r="O1468" t="str">
            <v>GL</v>
          </cell>
          <cell r="P1468" t="str">
            <v>A (NS)</v>
          </cell>
          <cell r="Q1468" t="str">
            <v>PI</v>
          </cell>
          <cell r="R1468" t="str">
            <v>PERMANENT</v>
          </cell>
          <cell r="S1468" t="str">
            <v>PRM</v>
          </cell>
          <cell r="T1468" t="str">
            <v>GL</v>
          </cell>
          <cell r="U1468" t="str">
            <v>-</v>
          </cell>
          <cell r="V1468" t="str">
            <v>L</v>
          </cell>
          <cell r="W1468">
            <v>39</v>
          </cell>
        </row>
        <row r="1469">
          <cell r="A1469">
            <v>21968</v>
          </cell>
          <cell r="B1469" t="str">
            <v>021968</v>
          </cell>
          <cell r="C1469" t="str">
            <v>NOVIA YUNITA</v>
          </cell>
          <cell r="D1469" t="str">
            <v>SAMI</v>
          </cell>
          <cell r="E1469" t="str">
            <v>OPT-545</v>
          </cell>
          <cell r="F1469">
            <v>43116</v>
          </cell>
          <cell r="G1469" t="str">
            <v>-</v>
          </cell>
          <cell r="H1469" t="str">
            <v>-</v>
          </cell>
          <cell r="I1469" t="str">
            <v>OTHERS</v>
          </cell>
          <cell r="J1469" t="str">
            <v>AT HOME</v>
          </cell>
          <cell r="K1469" t="str">
            <v>ALL</v>
          </cell>
          <cell r="L1469" t="str">
            <v>ALL</v>
          </cell>
          <cell r="M1469" t="str">
            <v>AT HOME</v>
          </cell>
          <cell r="N1469" t="str">
            <v>CUTI KELAHIRAN</v>
          </cell>
          <cell r="O1469" t="str">
            <v>OTHERS IDL</v>
          </cell>
          <cell r="P1469" t="str">
            <v>-</v>
          </cell>
          <cell r="Q1469" t="str">
            <v>ADM</v>
          </cell>
          <cell r="R1469" t="str">
            <v>PERMANENT</v>
          </cell>
          <cell r="S1469" t="str">
            <v>PRM</v>
          </cell>
          <cell r="T1469" t="str">
            <v>OPT</v>
          </cell>
          <cell r="U1469" t="str">
            <v>-</v>
          </cell>
          <cell r="V1469" t="str">
            <v>P</v>
          </cell>
          <cell r="W1469">
            <v>26</v>
          </cell>
        </row>
        <row r="1470">
          <cell r="A1470">
            <v>5472</v>
          </cell>
          <cell r="B1470" t="str">
            <v>005472</v>
          </cell>
          <cell r="C1470" t="str">
            <v>YANWAR NURJIYANTO</v>
          </cell>
          <cell r="D1470" t="str">
            <v>SAMI</v>
          </cell>
          <cell r="E1470" t="str">
            <v>OPT-128</v>
          </cell>
          <cell r="F1470">
            <v>38991</v>
          </cell>
          <cell r="G1470" t="str">
            <v>-</v>
          </cell>
          <cell r="H1470" t="str">
            <v>-</v>
          </cell>
          <cell r="I1470" t="str">
            <v>PRD</v>
          </cell>
          <cell r="J1470" t="str">
            <v>NON LINE</v>
          </cell>
          <cell r="K1470" t="str">
            <v>ALL</v>
          </cell>
          <cell r="L1470" t="str">
            <v>ALL</v>
          </cell>
          <cell r="M1470" t="str">
            <v>TRAINER 1</v>
          </cell>
          <cell r="N1470" t="str">
            <v>TRAINER</v>
          </cell>
          <cell r="O1470" t="str">
            <v>GL</v>
          </cell>
          <cell r="P1470" t="str">
            <v>A (NS)</v>
          </cell>
          <cell r="Q1470" t="str">
            <v>PI</v>
          </cell>
          <cell r="R1470" t="str">
            <v>PERMANENT</v>
          </cell>
          <cell r="S1470" t="str">
            <v>PRM</v>
          </cell>
          <cell r="T1470" t="str">
            <v>GL</v>
          </cell>
          <cell r="U1470" t="str">
            <v>-</v>
          </cell>
          <cell r="V1470" t="str">
            <v>L</v>
          </cell>
          <cell r="W1470">
            <v>40</v>
          </cell>
        </row>
        <row r="1471">
          <cell r="A1471">
            <v>22015</v>
          </cell>
          <cell r="B1471" t="str">
            <v>022015</v>
          </cell>
          <cell r="C1471" t="str">
            <v>AYU ARI UTAMI</v>
          </cell>
          <cell r="D1471" t="str">
            <v>SAMI</v>
          </cell>
          <cell r="E1471" t="str">
            <v>OPT-547</v>
          </cell>
          <cell r="F1471">
            <v>43144</v>
          </cell>
          <cell r="G1471" t="str">
            <v>-</v>
          </cell>
          <cell r="H1471" t="str">
            <v>-</v>
          </cell>
          <cell r="I1471" t="str">
            <v>PRD</v>
          </cell>
          <cell r="J1471" t="str">
            <v>FINAL ASSY</v>
          </cell>
          <cell r="K1471" t="str">
            <v>SUZUKI WAGON R</v>
          </cell>
          <cell r="L1471" t="str">
            <v>SUZUKI YW0</v>
          </cell>
          <cell r="M1471" t="str">
            <v>CV S01</v>
          </cell>
          <cell r="N1471" t="str">
            <v>VISUAL 1</v>
          </cell>
          <cell r="O1471" t="str">
            <v>VISUAL INSPECTION</v>
          </cell>
          <cell r="P1471" t="str">
            <v>B</v>
          </cell>
          <cell r="Q1471" t="str">
            <v>DL</v>
          </cell>
          <cell r="R1471" t="str">
            <v>PERMANENT</v>
          </cell>
          <cell r="S1471" t="str">
            <v>PRM</v>
          </cell>
          <cell r="T1471" t="str">
            <v>OPT</v>
          </cell>
          <cell r="U1471" t="str">
            <v>-</v>
          </cell>
          <cell r="V1471" t="str">
            <v>P</v>
          </cell>
          <cell r="W1471">
            <v>28</v>
          </cell>
        </row>
        <row r="1472">
          <cell r="A1472">
            <v>5728</v>
          </cell>
          <cell r="B1472" t="str">
            <v>005728</v>
          </cell>
          <cell r="C1472" t="str">
            <v>RITA ERTA ARI WINARNI</v>
          </cell>
          <cell r="D1472" t="str">
            <v>SAMI</v>
          </cell>
          <cell r="E1472" t="str">
            <v>OPT-134</v>
          </cell>
          <cell r="F1472">
            <v>39098</v>
          </cell>
          <cell r="G1472" t="str">
            <v>-</v>
          </cell>
          <cell r="H1472" t="str">
            <v>-</v>
          </cell>
          <cell r="I1472" t="str">
            <v>PRD</v>
          </cell>
          <cell r="J1472" t="str">
            <v>NON LINE</v>
          </cell>
          <cell r="K1472" t="str">
            <v>ALL</v>
          </cell>
          <cell r="L1472" t="str">
            <v>ALL</v>
          </cell>
          <cell r="M1472" t="str">
            <v>TRAINER 1</v>
          </cell>
          <cell r="N1472" t="str">
            <v>PRD LINE LEADER</v>
          </cell>
          <cell r="O1472" t="str">
            <v>FPI LL</v>
          </cell>
          <cell r="P1472" t="str">
            <v>A (NS)</v>
          </cell>
          <cell r="Q1472" t="str">
            <v>PI</v>
          </cell>
          <cell r="R1472" t="str">
            <v>PERMANENT</v>
          </cell>
          <cell r="S1472" t="str">
            <v>PRM</v>
          </cell>
          <cell r="T1472" t="str">
            <v>LL</v>
          </cell>
          <cell r="U1472" t="str">
            <v>-</v>
          </cell>
          <cell r="V1472" t="str">
            <v>P</v>
          </cell>
          <cell r="W1472">
            <v>39</v>
          </cell>
        </row>
        <row r="1473">
          <cell r="A1473">
            <v>22033</v>
          </cell>
          <cell r="B1473" t="str">
            <v>022033</v>
          </cell>
          <cell r="C1473" t="str">
            <v>LABBAIKA ALIFUL AUFA</v>
          </cell>
          <cell r="D1473" t="str">
            <v>SAMI</v>
          </cell>
          <cell r="E1473" t="str">
            <v>OPT-547</v>
          </cell>
          <cell r="F1473">
            <v>43144</v>
          </cell>
          <cell r="G1473" t="str">
            <v>-</v>
          </cell>
          <cell r="H1473" t="str">
            <v>-</v>
          </cell>
          <cell r="I1473" t="str">
            <v>PGA</v>
          </cell>
          <cell r="J1473" t="str">
            <v>IT</v>
          </cell>
          <cell r="K1473" t="str">
            <v>ALL</v>
          </cell>
          <cell r="L1473" t="str">
            <v>ALL</v>
          </cell>
          <cell r="M1473" t="str">
            <v>IT</v>
          </cell>
          <cell r="N1473" t="str">
            <v>MAGANG GL</v>
          </cell>
          <cell r="O1473" t="str">
            <v>IT</v>
          </cell>
          <cell r="P1473" t="str">
            <v>A (NS)</v>
          </cell>
          <cell r="Q1473" t="str">
            <v>ADM</v>
          </cell>
          <cell r="R1473" t="str">
            <v>PERMANENT</v>
          </cell>
          <cell r="S1473" t="str">
            <v>PRM</v>
          </cell>
          <cell r="T1473" t="str">
            <v>GL</v>
          </cell>
          <cell r="U1473" t="str">
            <v>-</v>
          </cell>
          <cell r="V1473" t="str">
            <v>L</v>
          </cell>
          <cell r="W1473">
            <v>26</v>
          </cell>
        </row>
        <row r="1474">
          <cell r="A1474">
            <v>5745</v>
          </cell>
          <cell r="B1474" t="str">
            <v>005745</v>
          </cell>
          <cell r="C1474" t="str">
            <v>TRI RUMIYATI</v>
          </cell>
          <cell r="D1474" t="str">
            <v>SAMI</v>
          </cell>
          <cell r="E1474" t="str">
            <v>OPT-134</v>
          </cell>
          <cell r="F1474">
            <v>39098</v>
          </cell>
          <cell r="G1474" t="str">
            <v>-</v>
          </cell>
          <cell r="H1474" t="str">
            <v>-</v>
          </cell>
          <cell r="I1474" t="str">
            <v>PRD</v>
          </cell>
          <cell r="J1474" t="str">
            <v>NON LINE</v>
          </cell>
          <cell r="K1474" t="str">
            <v>ALL</v>
          </cell>
          <cell r="L1474" t="str">
            <v>ALL</v>
          </cell>
          <cell r="M1474" t="str">
            <v>TRAINER 1</v>
          </cell>
          <cell r="N1474" t="str">
            <v>TRAINER</v>
          </cell>
          <cell r="O1474" t="str">
            <v>RELIEF</v>
          </cell>
          <cell r="P1474" t="str">
            <v>A (NS)</v>
          </cell>
          <cell r="Q1474" t="str">
            <v>PI</v>
          </cell>
          <cell r="R1474" t="str">
            <v>PERMANENT</v>
          </cell>
          <cell r="S1474" t="str">
            <v>PRM</v>
          </cell>
          <cell r="T1474" t="str">
            <v>PJK</v>
          </cell>
          <cell r="U1474" t="str">
            <v>-</v>
          </cell>
          <cell r="V1474" t="str">
            <v>P</v>
          </cell>
          <cell r="W1474">
            <v>39</v>
          </cell>
        </row>
        <row r="1475">
          <cell r="A1475">
            <v>22110</v>
          </cell>
          <cell r="B1475" t="str">
            <v>022110</v>
          </cell>
          <cell r="C1475" t="str">
            <v>ZULIANAH</v>
          </cell>
          <cell r="D1475" t="str">
            <v>SAMI</v>
          </cell>
          <cell r="E1475" t="str">
            <v>OPT-548</v>
          </cell>
          <cell r="F1475">
            <v>43150</v>
          </cell>
          <cell r="G1475" t="str">
            <v>-</v>
          </cell>
          <cell r="H1475" t="str">
            <v>-</v>
          </cell>
          <cell r="I1475" t="str">
            <v>OTHERS</v>
          </cell>
          <cell r="J1475" t="str">
            <v>AT HOME</v>
          </cell>
          <cell r="K1475" t="str">
            <v>ALL</v>
          </cell>
          <cell r="L1475" t="str">
            <v>ALL</v>
          </cell>
          <cell r="M1475" t="str">
            <v>AT HOME</v>
          </cell>
          <cell r="N1475" t="str">
            <v>CUTI DI LUAR TANGGUNGAN</v>
          </cell>
          <cell r="O1475" t="str">
            <v>OTHERS IDL</v>
          </cell>
          <cell r="P1475" t="str">
            <v>-</v>
          </cell>
          <cell r="Q1475" t="str">
            <v>ADM</v>
          </cell>
          <cell r="R1475" t="str">
            <v>PERMANENT</v>
          </cell>
          <cell r="S1475" t="str">
            <v>PRM</v>
          </cell>
          <cell r="T1475" t="str">
            <v>PJK</v>
          </cell>
          <cell r="U1475" t="str">
            <v>-</v>
          </cell>
          <cell r="V1475" t="str">
            <v>P</v>
          </cell>
          <cell r="W1475">
            <v>28</v>
          </cell>
        </row>
        <row r="1476">
          <cell r="A1476">
            <v>22117</v>
          </cell>
          <cell r="B1476" t="str">
            <v>022117</v>
          </cell>
          <cell r="C1476" t="str">
            <v>BAGAS FERNANDA PARIPURNA</v>
          </cell>
          <cell r="D1476" t="str">
            <v>SAMI</v>
          </cell>
          <cell r="E1476" t="str">
            <v>OPT-549</v>
          </cell>
          <cell r="F1476">
            <v>43153</v>
          </cell>
          <cell r="G1476" t="str">
            <v>-</v>
          </cell>
          <cell r="H1476" t="str">
            <v>-</v>
          </cell>
          <cell r="I1476" t="str">
            <v>PRD</v>
          </cell>
          <cell r="J1476" t="str">
            <v>FINAL ASSY</v>
          </cell>
          <cell r="K1476" t="str">
            <v>NISSAN HV</v>
          </cell>
          <cell r="L1476" t="str">
            <v>HV NISSAN</v>
          </cell>
          <cell r="M1476" t="str">
            <v>CV HV 05A</v>
          </cell>
          <cell r="N1476" t="str">
            <v>LQC</v>
          </cell>
          <cell r="O1476" t="str">
            <v>RELIEF</v>
          </cell>
          <cell r="P1476" t="str">
            <v>B</v>
          </cell>
          <cell r="Q1476" t="str">
            <v>PI</v>
          </cell>
          <cell r="R1476" t="str">
            <v>PERMANENT</v>
          </cell>
          <cell r="S1476" t="str">
            <v>PRM</v>
          </cell>
          <cell r="T1476" t="str">
            <v>PJK</v>
          </cell>
          <cell r="U1476" t="str">
            <v>-</v>
          </cell>
          <cell r="V1476" t="str">
            <v>L</v>
          </cell>
          <cell r="W1476">
            <v>29</v>
          </cell>
        </row>
        <row r="1477">
          <cell r="A1477">
            <v>5756</v>
          </cell>
          <cell r="B1477" t="str">
            <v>005756</v>
          </cell>
          <cell r="C1477" t="str">
            <v>ARI SUSILO</v>
          </cell>
          <cell r="D1477" t="str">
            <v>SAMI</v>
          </cell>
          <cell r="E1477" t="str">
            <v>OPT-135</v>
          </cell>
          <cell r="F1477">
            <v>39114</v>
          </cell>
          <cell r="G1477" t="str">
            <v>-</v>
          </cell>
          <cell r="H1477" t="str">
            <v>-</v>
          </cell>
          <cell r="I1477" t="str">
            <v>PRD</v>
          </cell>
          <cell r="J1477" t="str">
            <v>NON LINE</v>
          </cell>
          <cell r="K1477" t="str">
            <v>ALL</v>
          </cell>
          <cell r="L1477" t="str">
            <v>ALL</v>
          </cell>
          <cell r="M1477" t="str">
            <v>TRAINER 1</v>
          </cell>
          <cell r="N1477" t="str">
            <v>TRAINER</v>
          </cell>
          <cell r="O1477" t="str">
            <v>GL</v>
          </cell>
          <cell r="P1477" t="str">
            <v>A (NS)</v>
          </cell>
          <cell r="Q1477" t="str">
            <v>PI</v>
          </cell>
          <cell r="R1477" t="str">
            <v>PERMANENT</v>
          </cell>
          <cell r="S1477" t="str">
            <v>PRM</v>
          </cell>
          <cell r="T1477" t="str">
            <v>GL</v>
          </cell>
          <cell r="U1477" t="str">
            <v>-</v>
          </cell>
          <cell r="V1477" t="str">
            <v>L</v>
          </cell>
          <cell r="W1477">
            <v>41</v>
          </cell>
        </row>
        <row r="1478">
          <cell r="A1478">
            <v>5893</v>
          </cell>
          <cell r="B1478" t="str">
            <v>005893</v>
          </cell>
          <cell r="C1478" t="str">
            <v>DYNA SEPTIANI</v>
          </cell>
          <cell r="D1478" t="str">
            <v>SAMI</v>
          </cell>
          <cell r="E1478" t="str">
            <v>OPT-137</v>
          </cell>
          <cell r="F1478">
            <v>39129</v>
          </cell>
          <cell r="G1478" t="str">
            <v>-</v>
          </cell>
          <cell r="H1478" t="str">
            <v>-</v>
          </cell>
          <cell r="I1478" t="str">
            <v>PRD</v>
          </cell>
          <cell r="J1478" t="str">
            <v>NON LINE</v>
          </cell>
          <cell r="K1478" t="str">
            <v>ALL</v>
          </cell>
          <cell r="L1478" t="str">
            <v>ALL</v>
          </cell>
          <cell r="M1478" t="str">
            <v>TRAINER 1</v>
          </cell>
          <cell r="N1478" t="str">
            <v>TRAINER</v>
          </cell>
          <cell r="O1478" t="str">
            <v>RELIEF</v>
          </cell>
          <cell r="P1478" t="str">
            <v>A (NS)</v>
          </cell>
          <cell r="Q1478" t="str">
            <v>PI</v>
          </cell>
          <cell r="R1478" t="str">
            <v>PERMANENT</v>
          </cell>
          <cell r="S1478" t="str">
            <v>PRM</v>
          </cell>
          <cell r="T1478" t="str">
            <v>PJK</v>
          </cell>
          <cell r="U1478" t="str">
            <v>-</v>
          </cell>
          <cell r="V1478" t="str">
            <v>P</v>
          </cell>
          <cell r="W1478">
            <v>38</v>
          </cell>
        </row>
        <row r="1479">
          <cell r="A1479">
            <v>5943</v>
          </cell>
          <cell r="B1479" t="str">
            <v>005943</v>
          </cell>
          <cell r="C1479" t="str">
            <v>SITI KHAIZAH</v>
          </cell>
          <cell r="D1479" t="str">
            <v>SAMI</v>
          </cell>
          <cell r="E1479" t="str">
            <v>OPT-137</v>
          </cell>
          <cell r="F1479">
            <v>39129</v>
          </cell>
          <cell r="G1479" t="str">
            <v>-</v>
          </cell>
          <cell r="H1479" t="str">
            <v>-</v>
          </cell>
          <cell r="I1479" t="str">
            <v>PRD</v>
          </cell>
          <cell r="J1479" t="str">
            <v>NON LINE</v>
          </cell>
          <cell r="K1479" t="str">
            <v>ALL</v>
          </cell>
          <cell r="L1479" t="str">
            <v>ALL</v>
          </cell>
          <cell r="M1479" t="str">
            <v>TRAINER 1</v>
          </cell>
          <cell r="N1479" t="str">
            <v>TRAINER</v>
          </cell>
          <cell r="O1479" t="str">
            <v>GL</v>
          </cell>
          <cell r="P1479" t="str">
            <v>A (NS)</v>
          </cell>
          <cell r="Q1479" t="str">
            <v>PI</v>
          </cell>
          <cell r="R1479" t="str">
            <v>PERMANENT</v>
          </cell>
          <cell r="S1479" t="str">
            <v>PRM</v>
          </cell>
          <cell r="T1479" t="str">
            <v>GL</v>
          </cell>
          <cell r="U1479" t="str">
            <v>-</v>
          </cell>
          <cell r="V1479" t="str">
            <v>P</v>
          </cell>
          <cell r="W1479">
            <v>39</v>
          </cell>
        </row>
        <row r="1480">
          <cell r="A1480">
            <v>8677</v>
          </cell>
          <cell r="B1480" t="str">
            <v>008677</v>
          </cell>
          <cell r="C1480" t="str">
            <v>YUNANDARI SABAHTI P.</v>
          </cell>
          <cell r="D1480" t="str">
            <v>SAMI</v>
          </cell>
          <cell r="E1480" t="str">
            <v>OPT-189</v>
          </cell>
          <cell r="F1480">
            <v>39878</v>
          </cell>
          <cell r="G1480" t="str">
            <v>-</v>
          </cell>
          <cell r="H1480" t="str">
            <v>-</v>
          </cell>
          <cell r="I1480" t="str">
            <v>PRD</v>
          </cell>
          <cell r="J1480" t="str">
            <v>NON LINE</v>
          </cell>
          <cell r="K1480" t="str">
            <v>ALL</v>
          </cell>
          <cell r="L1480" t="str">
            <v>ALL</v>
          </cell>
          <cell r="M1480" t="str">
            <v>TRAINER 1</v>
          </cell>
          <cell r="N1480" t="str">
            <v>TRAINER</v>
          </cell>
          <cell r="O1480" t="str">
            <v>GL</v>
          </cell>
          <cell r="P1480" t="str">
            <v>A (NS)</v>
          </cell>
          <cell r="Q1480" t="str">
            <v>PI</v>
          </cell>
          <cell r="R1480" t="str">
            <v>PERMANENT</v>
          </cell>
          <cell r="S1480" t="str">
            <v>PRM</v>
          </cell>
          <cell r="T1480" t="str">
            <v>GL</v>
          </cell>
          <cell r="U1480" t="str">
            <v>-</v>
          </cell>
          <cell r="V1480" t="str">
            <v>P</v>
          </cell>
          <cell r="W1480">
            <v>35</v>
          </cell>
        </row>
        <row r="1481">
          <cell r="A1481">
            <v>22321</v>
          </cell>
          <cell r="B1481" t="str">
            <v>022321</v>
          </cell>
          <cell r="C1481" t="str">
            <v>WINDI LUSIANA DEVI</v>
          </cell>
          <cell r="D1481" t="str">
            <v>SAMI</v>
          </cell>
          <cell r="E1481" t="str">
            <v>OPT-555</v>
          </cell>
          <cell r="F1481">
            <v>43192</v>
          </cell>
          <cell r="G1481" t="str">
            <v>-</v>
          </cell>
          <cell r="H1481" t="str">
            <v>-</v>
          </cell>
          <cell r="I1481" t="str">
            <v>PRD</v>
          </cell>
          <cell r="J1481" t="str">
            <v>NON LINE</v>
          </cell>
          <cell r="K1481" t="str">
            <v>ALL</v>
          </cell>
          <cell r="L1481" t="str">
            <v>ALL</v>
          </cell>
          <cell r="M1481" t="str">
            <v>PRODUCTION ADM</v>
          </cell>
          <cell r="N1481" t="str">
            <v>ADMINISTRATION</v>
          </cell>
          <cell r="O1481" t="str">
            <v>OTHERS</v>
          </cell>
          <cell r="P1481" t="str">
            <v>B</v>
          </cell>
          <cell r="Q1481" t="str">
            <v>PI</v>
          </cell>
          <cell r="R1481" t="str">
            <v>PERMANENT</v>
          </cell>
          <cell r="S1481" t="str">
            <v>PRM</v>
          </cell>
          <cell r="T1481" t="str">
            <v>OPT</v>
          </cell>
          <cell r="U1481" t="str">
            <v>-</v>
          </cell>
          <cell r="V1481" t="str">
            <v>P</v>
          </cell>
          <cell r="W1481">
            <v>25</v>
          </cell>
        </row>
        <row r="1482">
          <cell r="A1482">
            <v>22323</v>
          </cell>
          <cell r="B1482" t="str">
            <v>022323</v>
          </cell>
          <cell r="C1482" t="str">
            <v>ARIS SETIA BUDI</v>
          </cell>
          <cell r="D1482" t="str">
            <v>SAMI</v>
          </cell>
          <cell r="E1482" t="str">
            <v>TKN-116</v>
          </cell>
          <cell r="F1482">
            <v>43192</v>
          </cell>
          <cell r="G1482" t="str">
            <v>-</v>
          </cell>
          <cell r="H1482" t="str">
            <v>-</v>
          </cell>
          <cell r="I1482" t="str">
            <v>PE</v>
          </cell>
          <cell r="J1482" t="str">
            <v>J/C BP</v>
          </cell>
          <cell r="K1482" t="str">
            <v>ALL</v>
          </cell>
          <cell r="L1482" t="str">
            <v>ALL</v>
          </cell>
          <cell r="M1482" t="str">
            <v>JCN</v>
          </cell>
          <cell r="N1482" t="str">
            <v>BREAKDOWN FA</v>
          </cell>
          <cell r="O1482" t="str">
            <v>MTC</v>
          </cell>
          <cell r="P1482" t="str">
            <v>B</v>
          </cell>
          <cell r="Q1482" t="str">
            <v>PI</v>
          </cell>
          <cell r="R1482" t="str">
            <v>PERMANENT</v>
          </cell>
          <cell r="S1482" t="str">
            <v>PRM</v>
          </cell>
          <cell r="T1482" t="str">
            <v>TKN</v>
          </cell>
          <cell r="U1482" t="str">
            <v>-</v>
          </cell>
          <cell r="V1482" t="str">
            <v>L</v>
          </cell>
          <cell r="W1482">
            <v>27</v>
          </cell>
        </row>
        <row r="1483">
          <cell r="A1483">
            <v>9012</v>
          </cell>
          <cell r="B1483" t="str">
            <v>009012</v>
          </cell>
          <cell r="C1483" t="str">
            <v>MUKHASANAH</v>
          </cell>
          <cell r="D1483" t="str">
            <v>SAMI</v>
          </cell>
          <cell r="E1483" t="str">
            <v>OPT-201</v>
          </cell>
          <cell r="F1483">
            <v>39975</v>
          </cell>
          <cell r="G1483" t="str">
            <v>-</v>
          </cell>
          <cell r="H1483" t="str">
            <v>-</v>
          </cell>
          <cell r="I1483" t="str">
            <v>PRD</v>
          </cell>
          <cell r="J1483" t="str">
            <v>NON LINE</v>
          </cell>
          <cell r="K1483" t="str">
            <v>ALL</v>
          </cell>
          <cell r="L1483" t="str">
            <v>ALL</v>
          </cell>
          <cell r="M1483" t="str">
            <v>TRAINER 1</v>
          </cell>
          <cell r="N1483" t="str">
            <v>TRAINER</v>
          </cell>
          <cell r="O1483" t="str">
            <v>RELIEF</v>
          </cell>
          <cell r="P1483" t="str">
            <v>A (NS)</v>
          </cell>
          <cell r="Q1483" t="str">
            <v>PI</v>
          </cell>
          <cell r="R1483" t="str">
            <v>PERMANENT</v>
          </cell>
          <cell r="S1483" t="str">
            <v>PRM</v>
          </cell>
          <cell r="T1483" t="str">
            <v>PJK</v>
          </cell>
          <cell r="U1483" t="str">
            <v>-</v>
          </cell>
          <cell r="V1483" t="str">
            <v>P</v>
          </cell>
          <cell r="W1483">
            <v>36</v>
          </cell>
        </row>
        <row r="1484">
          <cell r="A1484">
            <v>9239</v>
          </cell>
          <cell r="B1484" t="str">
            <v>009239</v>
          </cell>
          <cell r="C1484" t="str">
            <v>WULANDARI</v>
          </cell>
          <cell r="D1484" t="str">
            <v>SAMI</v>
          </cell>
          <cell r="E1484" t="str">
            <v>OPT-216</v>
          </cell>
          <cell r="F1484">
            <v>40008</v>
          </cell>
          <cell r="G1484" t="str">
            <v>-</v>
          </cell>
          <cell r="H1484" t="str">
            <v>-</v>
          </cell>
          <cell r="I1484" t="str">
            <v>PRD</v>
          </cell>
          <cell r="J1484" t="str">
            <v>NON LINE</v>
          </cell>
          <cell r="K1484" t="str">
            <v>ALL</v>
          </cell>
          <cell r="L1484" t="str">
            <v>ALL</v>
          </cell>
          <cell r="M1484" t="str">
            <v>TRAINER 1</v>
          </cell>
          <cell r="N1484" t="str">
            <v>TRAINER</v>
          </cell>
          <cell r="O1484" t="str">
            <v>RELIEF</v>
          </cell>
          <cell r="P1484" t="str">
            <v>A (NS)</v>
          </cell>
          <cell r="Q1484" t="str">
            <v>PI</v>
          </cell>
          <cell r="R1484" t="str">
            <v>PERMANENT</v>
          </cell>
          <cell r="S1484" t="str">
            <v>PRM</v>
          </cell>
          <cell r="T1484" t="str">
            <v>PJK</v>
          </cell>
          <cell r="U1484" t="str">
            <v>-</v>
          </cell>
          <cell r="V1484" t="str">
            <v>P</v>
          </cell>
          <cell r="W1484">
            <v>33</v>
          </cell>
        </row>
        <row r="1485">
          <cell r="A1485">
            <v>22438</v>
          </cell>
          <cell r="B1485" t="str">
            <v>022438</v>
          </cell>
          <cell r="C1485" t="str">
            <v>DEDI WIDODO</v>
          </cell>
          <cell r="D1485" t="str">
            <v>SAMI</v>
          </cell>
          <cell r="E1485" t="str">
            <v>TKN-118</v>
          </cell>
          <cell r="F1485">
            <v>43213</v>
          </cell>
          <cell r="G1485" t="str">
            <v>-</v>
          </cell>
          <cell r="H1485" t="str">
            <v>-</v>
          </cell>
          <cell r="I1485" t="str">
            <v>PE</v>
          </cell>
          <cell r="J1485" t="str">
            <v>J/C BP</v>
          </cell>
          <cell r="K1485" t="str">
            <v>ALL</v>
          </cell>
          <cell r="L1485" t="str">
            <v>ALL</v>
          </cell>
          <cell r="M1485" t="str">
            <v>NIP</v>
          </cell>
          <cell r="N1485" t="str">
            <v>NAVIGATION SYSTEM FABRICATION</v>
          </cell>
          <cell r="O1485" t="str">
            <v>CBP</v>
          </cell>
          <cell r="P1485" t="str">
            <v>A (NS)</v>
          </cell>
          <cell r="Q1485" t="str">
            <v>PS</v>
          </cell>
          <cell r="R1485" t="str">
            <v>PERMANENT</v>
          </cell>
          <cell r="S1485" t="str">
            <v>PRM</v>
          </cell>
          <cell r="T1485" t="str">
            <v>TKN</v>
          </cell>
          <cell r="U1485" t="str">
            <v>-</v>
          </cell>
          <cell r="V1485" t="str">
            <v>L</v>
          </cell>
          <cell r="W1485">
            <v>29</v>
          </cell>
        </row>
        <row r="1486">
          <cell r="A1486">
            <v>22447</v>
          </cell>
          <cell r="B1486" t="str">
            <v>022447</v>
          </cell>
          <cell r="C1486" t="str">
            <v>CIPTO FATKHUROHMAN</v>
          </cell>
          <cell r="D1486" t="str">
            <v>SAMI</v>
          </cell>
          <cell r="E1486" t="str">
            <v>OPT-559</v>
          </cell>
          <cell r="F1486">
            <v>43220</v>
          </cell>
          <cell r="G1486" t="str">
            <v>-</v>
          </cell>
          <cell r="H1486" t="str">
            <v>-</v>
          </cell>
          <cell r="I1486" t="str">
            <v>PRD</v>
          </cell>
          <cell r="J1486" t="str">
            <v>FINAL ASSY</v>
          </cell>
          <cell r="K1486" t="str">
            <v>HONDA NES</v>
          </cell>
          <cell r="L1486" t="str">
            <v>HONDA NES HEV PET ENGINE</v>
          </cell>
          <cell r="M1486" t="str">
            <v>CV H04</v>
          </cell>
          <cell r="N1486" t="str">
            <v>SHIAGE 1</v>
          </cell>
          <cell r="O1486" t="str">
            <v>ASSEMBLY</v>
          </cell>
          <cell r="P1486" t="str">
            <v>B</v>
          </cell>
          <cell r="Q1486" t="str">
            <v>DL</v>
          </cell>
          <cell r="R1486" t="str">
            <v>PERMANENT</v>
          </cell>
          <cell r="S1486" t="str">
            <v>PRM</v>
          </cell>
          <cell r="T1486" t="str">
            <v>OPT</v>
          </cell>
          <cell r="U1486" t="str">
            <v>-</v>
          </cell>
          <cell r="V1486" t="str">
            <v>L</v>
          </cell>
          <cell r="W1486">
            <v>27</v>
          </cell>
        </row>
        <row r="1487">
          <cell r="A1487">
            <v>9453</v>
          </cell>
          <cell r="B1487" t="str">
            <v>009453</v>
          </cell>
          <cell r="C1487" t="str">
            <v>MEKAR WIJAYANTI</v>
          </cell>
          <cell r="D1487" t="str">
            <v>SAMI</v>
          </cell>
          <cell r="E1487" t="str">
            <v>OPT-216</v>
          </cell>
          <cell r="F1487">
            <v>40148</v>
          </cell>
          <cell r="G1487" t="str">
            <v>-</v>
          </cell>
          <cell r="H1487" t="str">
            <v>-</v>
          </cell>
          <cell r="I1487" t="str">
            <v>PRD</v>
          </cell>
          <cell r="J1487" t="str">
            <v>NON LINE</v>
          </cell>
          <cell r="K1487" t="str">
            <v>ALL</v>
          </cell>
          <cell r="L1487" t="str">
            <v>ALL</v>
          </cell>
          <cell r="M1487" t="str">
            <v>TRAINER 1</v>
          </cell>
          <cell r="N1487" t="str">
            <v>TRAINER</v>
          </cell>
          <cell r="O1487" t="str">
            <v>GL</v>
          </cell>
          <cell r="P1487" t="str">
            <v>A (NS)</v>
          </cell>
          <cell r="Q1487" t="str">
            <v>PI</v>
          </cell>
          <cell r="R1487" t="str">
            <v>PERMANENT</v>
          </cell>
          <cell r="S1487" t="str">
            <v>PRM</v>
          </cell>
          <cell r="T1487" t="str">
            <v>GL</v>
          </cell>
          <cell r="U1487" t="str">
            <v>-</v>
          </cell>
          <cell r="V1487" t="str">
            <v>P</v>
          </cell>
          <cell r="W1487">
            <v>34</v>
          </cell>
        </row>
        <row r="1488">
          <cell r="A1488">
            <v>22793</v>
          </cell>
          <cell r="B1488" t="str">
            <v>022793</v>
          </cell>
          <cell r="C1488" t="str">
            <v>RISKI MUSTOFA</v>
          </cell>
          <cell r="D1488" t="str">
            <v>SAMI</v>
          </cell>
          <cell r="E1488" t="str">
            <v>OPT-565</v>
          </cell>
          <cell r="F1488">
            <v>43283</v>
          </cell>
          <cell r="G1488" t="str">
            <v>-</v>
          </cell>
          <cell r="H1488" t="str">
            <v>-</v>
          </cell>
          <cell r="I1488" t="str">
            <v>PRD</v>
          </cell>
          <cell r="J1488" t="str">
            <v>FINAL ASSY</v>
          </cell>
          <cell r="K1488" t="str">
            <v>HONDA FIT</v>
          </cell>
          <cell r="L1488" t="str">
            <v>HONDA FIT HEV PET ENGINE</v>
          </cell>
          <cell r="M1488" t="str">
            <v>CV H02</v>
          </cell>
          <cell r="N1488" t="str">
            <v>SHIAGE 2.1</v>
          </cell>
          <cell r="O1488" t="str">
            <v>ASSEMBLY</v>
          </cell>
          <cell r="P1488" t="str">
            <v>B</v>
          </cell>
          <cell r="Q1488" t="str">
            <v>DL</v>
          </cell>
          <cell r="R1488" t="str">
            <v>PERMANENT</v>
          </cell>
          <cell r="S1488" t="str">
            <v>PRM</v>
          </cell>
          <cell r="T1488" t="str">
            <v>OPT</v>
          </cell>
          <cell r="U1488" t="str">
            <v>-</v>
          </cell>
          <cell r="V1488" t="str">
            <v>L</v>
          </cell>
          <cell r="W1488">
            <v>26</v>
          </cell>
        </row>
        <row r="1489">
          <cell r="A1489">
            <v>9578</v>
          </cell>
          <cell r="B1489" t="str">
            <v>009578</v>
          </cell>
          <cell r="C1489" t="str">
            <v>ANDRIYONO</v>
          </cell>
          <cell r="D1489" t="str">
            <v>SAMI</v>
          </cell>
          <cell r="E1489" t="str">
            <v>OPT-218</v>
          </cell>
          <cell r="F1489">
            <v>40179</v>
          </cell>
          <cell r="G1489" t="str">
            <v>-</v>
          </cell>
          <cell r="H1489" t="str">
            <v>-</v>
          </cell>
          <cell r="I1489" t="str">
            <v>PRD</v>
          </cell>
          <cell r="J1489" t="str">
            <v>NON LINE</v>
          </cell>
          <cell r="K1489" t="str">
            <v>ALL</v>
          </cell>
          <cell r="L1489" t="str">
            <v>ALL</v>
          </cell>
          <cell r="M1489" t="str">
            <v>TRAINER 1</v>
          </cell>
          <cell r="N1489" t="str">
            <v>TRAINER</v>
          </cell>
          <cell r="O1489" t="str">
            <v>GL</v>
          </cell>
          <cell r="P1489" t="str">
            <v>A (NS)</v>
          </cell>
          <cell r="Q1489" t="str">
            <v>PI</v>
          </cell>
          <cell r="R1489" t="str">
            <v>PERMANENT</v>
          </cell>
          <cell r="S1489" t="str">
            <v>PRM</v>
          </cell>
          <cell r="T1489" t="str">
            <v>GL</v>
          </cell>
          <cell r="U1489" t="str">
            <v>-</v>
          </cell>
          <cell r="V1489" t="str">
            <v>L</v>
          </cell>
          <cell r="W1489">
            <v>34</v>
          </cell>
        </row>
        <row r="1490">
          <cell r="A1490">
            <v>22909</v>
          </cell>
          <cell r="B1490" t="str">
            <v>022909</v>
          </cell>
          <cell r="C1490" t="str">
            <v>ARDANANG PRATAMA</v>
          </cell>
          <cell r="D1490" t="str">
            <v>SAMI</v>
          </cell>
          <cell r="E1490" t="str">
            <v>OPT-568</v>
          </cell>
          <cell r="F1490">
            <v>43343</v>
          </cell>
          <cell r="G1490" t="str">
            <v>-</v>
          </cell>
          <cell r="H1490" t="str">
            <v>-</v>
          </cell>
          <cell r="I1490" t="str">
            <v>PRD</v>
          </cell>
          <cell r="J1490" t="str">
            <v>FINAL ASSY</v>
          </cell>
          <cell r="K1490" t="str">
            <v>NISSAN HV</v>
          </cell>
          <cell r="L1490" t="str">
            <v>HV NISSAN</v>
          </cell>
          <cell r="M1490" t="str">
            <v>CV HV 05A</v>
          </cell>
          <cell r="N1490" t="str">
            <v>VISUAL 1, HVT</v>
          </cell>
          <cell r="O1490" t="str">
            <v>VISUAL INSPECTION</v>
          </cell>
          <cell r="P1490" t="str">
            <v>B</v>
          </cell>
          <cell r="Q1490" t="str">
            <v>DL</v>
          </cell>
          <cell r="R1490" t="str">
            <v>PERMANENT</v>
          </cell>
          <cell r="S1490" t="str">
            <v>PRM</v>
          </cell>
          <cell r="T1490" t="str">
            <v>OPT</v>
          </cell>
          <cell r="U1490" t="str">
            <v>-</v>
          </cell>
          <cell r="V1490" t="str">
            <v>L</v>
          </cell>
          <cell r="W1490">
            <v>24</v>
          </cell>
        </row>
        <row r="1491">
          <cell r="A1491">
            <v>10179</v>
          </cell>
          <cell r="B1491" t="str">
            <v>010179</v>
          </cell>
          <cell r="C1491" t="str">
            <v>FITRIYANTI</v>
          </cell>
          <cell r="D1491" t="str">
            <v>SAMI</v>
          </cell>
          <cell r="E1491" t="str">
            <v>OPT-253</v>
          </cell>
          <cell r="F1491">
            <v>40458</v>
          </cell>
          <cell r="G1491" t="str">
            <v>-</v>
          </cell>
          <cell r="H1491" t="str">
            <v>-</v>
          </cell>
          <cell r="I1491" t="str">
            <v>PRD</v>
          </cell>
          <cell r="J1491" t="str">
            <v>NON LINE</v>
          </cell>
          <cell r="K1491" t="str">
            <v>ALL</v>
          </cell>
          <cell r="L1491" t="str">
            <v>ALL</v>
          </cell>
          <cell r="M1491" t="str">
            <v>TRAINER 1</v>
          </cell>
          <cell r="N1491" t="str">
            <v>TRAINER</v>
          </cell>
          <cell r="O1491" t="str">
            <v>GL</v>
          </cell>
          <cell r="P1491" t="str">
            <v>A (NS)</v>
          </cell>
          <cell r="Q1491" t="str">
            <v>PI</v>
          </cell>
          <cell r="R1491" t="str">
            <v>PERMANENT</v>
          </cell>
          <cell r="S1491" t="str">
            <v>PRM</v>
          </cell>
          <cell r="T1491" t="str">
            <v>GL</v>
          </cell>
          <cell r="U1491" t="str">
            <v>-</v>
          </cell>
          <cell r="V1491" t="str">
            <v>P</v>
          </cell>
          <cell r="W1491">
            <v>32</v>
          </cell>
        </row>
        <row r="1492">
          <cell r="A1492">
            <v>22983</v>
          </cell>
          <cell r="B1492" t="str">
            <v>022983</v>
          </cell>
          <cell r="C1492" t="str">
            <v>TRI SETYOWATI</v>
          </cell>
          <cell r="D1492" t="str">
            <v>SAMI</v>
          </cell>
          <cell r="E1492" t="str">
            <v>OPT-568</v>
          </cell>
          <cell r="F1492">
            <v>43343</v>
          </cell>
          <cell r="G1492" t="str">
            <v>-</v>
          </cell>
          <cell r="H1492" t="str">
            <v>-</v>
          </cell>
          <cell r="I1492" t="str">
            <v>PRD</v>
          </cell>
          <cell r="J1492" t="str">
            <v>FINAL ASSY</v>
          </cell>
          <cell r="K1492" t="str">
            <v>TOYOTA HV</v>
          </cell>
          <cell r="L1492" t="str">
            <v>HV TOYOTA UNDERFLOOR</v>
          </cell>
          <cell r="M1492" t="str">
            <v>CV HV 09</v>
          </cell>
          <cell r="N1492" t="str">
            <v>OJT ASM 2, ASM 3</v>
          </cell>
          <cell r="O1492" t="str">
            <v>OTHERS</v>
          </cell>
          <cell r="P1492" t="str">
            <v>B</v>
          </cell>
          <cell r="Q1492" t="str">
            <v>PI</v>
          </cell>
          <cell r="R1492" t="str">
            <v>PERMANENT</v>
          </cell>
          <cell r="S1492" t="str">
            <v>PRM</v>
          </cell>
          <cell r="T1492" t="str">
            <v>OPT</v>
          </cell>
          <cell r="U1492" t="str">
            <v>-</v>
          </cell>
          <cell r="V1492" t="str">
            <v>P</v>
          </cell>
          <cell r="W1492">
            <v>24</v>
          </cell>
        </row>
        <row r="1493">
          <cell r="A1493">
            <v>10580</v>
          </cell>
          <cell r="B1493" t="str">
            <v>010580</v>
          </cell>
          <cell r="C1493" t="str">
            <v>DESTY ARIYANI</v>
          </cell>
          <cell r="D1493" t="str">
            <v>SAMI</v>
          </cell>
          <cell r="E1493" t="str">
            <v>OPT-276</v>
          </cell>
          <cell r="F1493">
            <v>40544</v>
          </cell>
          <cell r="G1493" t="str">
            <v>-</v>
          </cell>
          <cell r="H1493" t="str">
            <v>-</v>
          </cell>
          <cell r="I1493" t="str">
            <v>PRD</v>
          </cell>
          <cell r="J1493" t="str">
            <v>NON LINE</v>
          </cell>
          <cell r="K1493" t="str">
            <v>ALL</v>
          </cell>
          <cell r="L1493" t="str">
            <v>ALL</v>
          </cell>
          <cell r="M1493" t="str">
            <v>TRAINER 1</v>
          </cell>
          <cell r="N1493" t="str">
            <v>TRAINER</v>
          </cell>
          <cell r="O1493" t="str">
            <v>GL</v>
          </cell>
          <cell r="P1493" t="str">
            <v>A (NS)</v>
          </cell>
          <cell r="Q1493" t="str">
            <v>PI</v>
          </cell>
          <cell r="R1493" t="str">
            <v>PERMANENT</v>
          </cell>
          <cell r="S1493" t="str">
            <v>PRM</v>
          </cell>
          <cell r="T1493" t="str">
            <v>GL</v>
          </cell>
          <cell r="U1493" t="str">
            <v>-</v>
          </cell>
          <cell r="V1493" t="str">
            <v>P</v>
          </cell>
          <cell r="W1493">
            <v>35</v>
          </cell>
        </row>
        <row r="1494">
          <cell r="A1494">
            <v>23185</v>
          </cell>
          <cell r="B1494" t="str">
            <v>023185</v>
          </cell>
          <cell r="C1494" t="str">
            <v>ALFI MUSMAWATI</v>
          </cell>
          <cell r="D1494" t="str">
            <v>SAMI</v>
          </cell>
          <cell r="E1494" t="str">
            <v>OPT-572</v>
          </cell>
          <cell r="F1494">
            <v>43405</v>
          </cell>
          <cell r="G1494" t="str">
            <v>-</v>
          </cell>
          <cell r="H1494" t="str">
            <v>-</v>
          </cell>
          <cell r="I1494" t="str">
            <v>PE</v>
          </cell>
          <cell r="J1494" t="str">
            <v>MTP</v>
          </cell>
          <cell r="K1494" t="str">
            <v>ALL</v>
          </cell>
          <cell r="L1494" t="str">
            <v>ALL</v>
          </cell>
          <cell r="M1494" t="str">
            <v>MTP</v>
          </cell>
          <cell r="N1494" t="str">
            <v>ADMINISTRASI &amp; BPS</v>
          </cell>
          <cell r="O1494" t="str">
            <v>DATA &amp; ORDERING</v>
          </cell>
          <cell r="P1494" t="str">
            <v>A (NS)</v>
          </cell>
          <cell r="Q1494" t="str">
            <v>PS</v>
          </cell>
          <cell r="R1494" t="str">
            <v>PERMANENT</v>
          </cell>
          <cell r="S1494" t="str">
            <v>PRM</v>
          </cell>
          <cell r="T1494" t="str">
            <v>OPT</v>
          </cell>
          <cell r="U1494" t="str">
            <v>TUNA DAKSA</v>
          </cell>
          <cell r="V1494" t="str">
            <v>P</v>
          </cell>
          <cell r="W1494">
            <v>27</v>
          </cell>
        </row>
        <row r="1495">
          <cell r="A1495">
            <v>24326</v>
          </cell>
          <cell r="B1495" t="str">
            <v>024326</v>
          </cell>
          <cell r="C1495" t="str">
            <v>BAYU AJI PAMUNGKAS</v>
          </cell>
          <cell r="D1495" t="str">
            <v>SAMI</v>
          </cell>
          <cell r="E1495" t="str">
            <v>OPT-597</v>
          </cell>
          <cell r="F1495">
            <v>43663</v>
          </cell>
          <cell r="G1495" t="str">
            <v>-</v>
          </cell>
          <cell r="H1495" t="str">
            <v>-</v>
          </cell>
          <cell r="I1495" t="str">
            <v>PRD</v>
          </cell>
          <cell r="J1495" t="str">
            <v>FINAL ASSY</v>
          </cell>
          <cell r="K1495" t="str">
            <v>TOYOTA HV</v>
          </cell>
          <cell r="L1495" t="str">
            <v>HV TOYOTA NIKEL</v>
          </cell>
          <cell r="M1495" t="str">
            <v>CV HV 07</v>
          </cell>
          <cell r="N1495" t="str">
            <v>FBB0-01, INTERMEDIATE, ASM BBM</v>
          </cell>
          <cell r="O1495" t="str">
            <v>WFAP 2.2</v>
          </cell>
          <cell r="P1495" t="str">
            <v>B</v>
          </cell>
          <cell r="Q1495" t="str">
            <v>DL</v>
          </cell>
          <cell r="R1495" t="str">
            <v>PERMANENT</v>
          </cell>
          <cell r="S1495" t="str">
            <v>PRM</v>
          </cell>
          <cell r="T1495" t="str">
            <v>OPT</v>
          </cell>
          <cell r="U1495" t="str">
            <v>-</v>
          </cell>
          <cell r="V1495" t="str">
            <v>L</v>
          </cell>
          <cell r="W1495">
            <v>24</v>
          </cell>
        </row>
        <row r="1496">
          <cell r="A1496">
            <v>24396</v>
          </cell>
          <cell r="B1496" t="str">
            <v>024396</v>
          </cell>
          <cell r="C1496" t="str">
            <v>SURYA AJI APRILLIANO</v>
          </cell>
          <cell r="D1496" t="str">
            <v>SAMI</v>
          </cell>
          <cell r="E1496" t="str">
            <v>OPT-597</v>
          </cell>
          <cell r="F1496">
            <v>43663</v>
          </cell>
          <cell r="G1496" t="str">
            <v>-</v>
          </cell>
          <cell r="H1496" t="str">
            <v>-</v>
          </cell>
          <cell r="I1496" t="str">
            <v>PRD</v>
          </cell>
          <cell r="J1496" t="str">
            <v>FINAL ASSY</v>
          </cell>
          <cell r="K1496" t="str">
            <v>TOYOTA HV</v>
          </cell>
          <cell r="L1496" t="str">
            <v xml:space="preserve">HV TOYOTA AC </v>
          </cell>
          <cell r="M1496" t="str">
            <v>CV HV 10A</v>
          </cell>
          <cell r="N1496" t="str">
            <v>MAEKOTEI 1</v>
          </cell>
          <cell r="O1496" t="str">
            <v>WFAP 2.2</v>
          </cell>
          <cell r="P1496" t="str">
            <v>B</v>
          </cell>
          <cell r="Q1496" t="str">
            <v>DL</v>
          </cell>
          <cell r="R1496" t="str">
            <v>PERMANENT</v>
          </cell>
          <cell r="S1496" t="str">
            <v>PRM</v>
          </cell>
          <cell r="T1496" t="str">
            <v>OPT</v>
          </cell>
          <cell r="U1496" t="str">
            <v>-</v>
          </cell>
          <cell r="V1496" t="str">
            <v>L</v>
          </cell>
          <cell r="W1496">
            <v>23</v>
          </cell>
        </row>
        <row r="1497">
          <cell r="A1497">
            <v>24411</v>
          </cell>
          <cell r="B1497" t="str">
            <v>024411</v>
          </cell>
          <cell r="C1497" t="str">
            <v>HENDRAWAN BAYU PAMUNGKAS</v>
          </cell>
          <cell r="D1497" t="str">
            <v>SAMI</v>
          </cell>
          <cell r="E1497" t="str">
            <v>TKN-223</v>
          </cell>
          <cell r="F1497">
            <v>43663</v>
          </cell>
          <cell r="G1497" t="str">
            <v>-</v>
          </cell>
          <cell r="H1497" t="str">
            <v>-</v>
          </cell>
          <cell r="I1497" t="str">
            <v>PE</v>
          </cell>
          <cell r="J1497" t="str">
            <v>J/C BP</v>
          </cell>
          <cell r="K1497" t="str">
            <v>ALL</v>
          </cell>
          <cell r="L1497" t="str">
            <v>ALL</v>
          </cell>
          <cell r="M1497" t="str">
            <v>NIP</v>
          </cell>
          <cell r="N1497" t="str">
            <v>PROGRAMER AND  INSPECTION BOARD FABRICATION</v>
          </cell>
          <cell r="O1497" t="str">
            <v>CBP</v>
          </cell>
          <cell r="P1497" t="str">
            <v>A (NS)</v>
          </cell>
          <cell r="Q1497" t="str">
            <v>PS</v>
          </cell>
          <cell r="R1497" t="str">
            <v>PERMANENT</v>
          </cell>
          <cell r="S1497" t="str">
            <v>PRM</v>
          </cell>
          <cell r="T1497" t="str">
            <v>TKN</v>
          </cell>
          <cell r="U1497" t="str">
            <v>-</v>
          </cell>
          <cell r="V1497" t="str">
            <v>L</v>
          </cell>
          <cell r="W1497">
            <v>24</v>
          </cell>
        </row>
        <row r="1498">
          <cell r="A1498">
            <v>10586</v>
          </cell>
          <cell r="B1498" t="str">
            <v>010586</v>
          </cell>
          <cell r="C1498" t="str">
            <v>QODARYANI</v>
          </cell>
          <cell r="D1498" t="str">
            <v>SAMI</v>
          </cell>
          <cell r="E1498" t="str">
            <v>OPT-276</v>
          </cell>
          <cell r="F1498">
            <v>40544</v>
          </cell>
          <cell r="G1498" t="str">
            <v>-</v>
          </cell>
          <cell r="H1498" t="str">
            <v>-</v>
          </cell>
          <cell r="I1498" t="str">
            <v>PRD</v>
          </cell>
          <cell r="J1498" t="str">
            <v>NON LINE</v>
          </cell>
          <cell r="K1498" t="str">
            <v>ALL</v>
          </cell>
          <cell r="L1498" t="str">
            <v>ALL</v>
          </cell>
          <cell r="M1498" t="str">
            <v>TRAINER 1</v>
          </cell>
          <cell r="N1498" t="str">
            <v>TRAINER</v>
          </cell>
          <cell r="O1498" t="str">
            <v>RELIEF</v>
          </cell>
          <cell r="P1498" t="str">
            <v>A (NS)</v>
          </cell>
          <cell r="Q1498" t="str">
            <v>PI</v>
          </cell>
          <cell r="R1498" t="str">
            <v>PERMANENT</v>
          </cell>
          <cell r="S1498" t="str">
            <v>PRM</v>
          </cell>
          <cell r="T1498" t="str">
            <v>OPT</v>
          </cell>
          <cell r="U1498" t="str">
            <v>-</v>
          </cell>
          <cell r="V1498" t="str">
            <v>P</v>
          </cell>
          <cell r="W1498">
            <v>35</v>
          </cell>
        </row>
        <row r="1499">
          <cell r="A1499">
            <v>10635</v>
          </cell>
          <cell r="B1499" t="str">
            <v>010635</v>
          </cell>
          <cell r="C1499" t="str">
            <v>SITI ANJARWATI</v>
          </cell>
          <cell r="D1499" t="str">
            <v>SAMI</v>
          </cell>
          <cell r="E1499" t="str">
            <v>OPT-278</v>
          </cell>
          <cell r="F1499">
            <v>40549</v>
          </cell>
          <cell r="G1499" t="str">
            <v>-</v>
          </cell>
          <cell r="H1499" t="str">
            <v>-</v>
          </cell>
          <cell r="I1499" t="str">
            <v>PRD</v>
          </cell>
          <cell r="J1499" t="str">
            <v>NON LINE</v>
          </cell>
          <cell r="K1499" t="str">
            <v>ALL</v>
          </cell>
          <cell r="L1499" t="str">
            <v>ALL</v>
          </cell>
          <cell r="M1499" t="str">
            <v>TRAINER 1</v>
          </cell>
          <cell r="N1499" t="str">
            <v>TRAINER</v>
          </cell>
          <cell r="O1499" t="str">
            <v>RELIEF</v>
          </cell>
          <cell r="P1499" t="str">
            <v>A (NS)</v>
          </cell>
          <cell r="Q1499" t="str">
            <v>PI</v>
          </cell>
          <cell r="R1499" t="str">
            <v>PERMANENT</v>
          </cell>
          <cell r="S1499" t="str">
            <v>PRM</v>
          </cell>
          <cell r="T1499" t="str">
            <v>PJK</v>
          </cell>
          <cell r="U1499" t="str">
            <v>-</v>
          </cell>
          <cell r="V1499" t="str">
            <v>P</v>
          </cell>
          <cell r="W1499">
            <v>34</v>
          </cell>
        </row>
        <row r="1500">
          <cell r="A1500">
            <v>24803</v>
          </cell>
          <cell r="B1500" t="str">
            <v>024803</v>
          </cell>
          <cell r="C1500" t="str">
            <v>MILADIYYA NOOR RAHMA</v>
          </cell>
          <cell r="D1500" t="str">
            <v>SAMI</v>
          </cell>
          <cell r="E1500" t="str">
            <v>OPT-603</v>
          </cell>
          <cell r="F1500">
            <v>43713</v>
          </cell>
          <cell r="G1500" t="str">
            <v>-</v>
          </cell>
          <cell r="H1500" t="str">
            <v>-</v>
          </cell>
          <cell r="I1500" t="str">
            <v>PRD</v>
          </cell>
          <cell r="J1500" t="str">
            <v>PRE ASSY</v>
          </cell>
          <cell r="K1500" t="str">
            <v>HONDA FIT</v>
          </cell>
          <cell r="L1500" t="str">
            <v>HONDA FIT</v>
          </cell>
          <cell r="M1500" t="str">
            <v>CPA HONDA FIT HEV/PET</v>
          </cell>
          <cell r="N1500" t="str">
            <v>CUTTING AC90-HDA-25</v>
          </cell>
          <cell r="O1500" t="str">
            <v>CUTTING WIRE</v>
          </cell>
          <cell r="P1500" t="str">
            <v>B</v>
          </cell>
          <cell r="Q1500" t="str">
            <v>DL</v>
          </cell>
          <cell r="R1500" t="str">
            <v>PERMANENT</v>
          </cell>
          <cell r="S1500" t="str">
            <v>PRM</v>
          </cell>
          <cell r="T1500" t="str">
            <v>OPT</v>
          </cell>
          <cell r="U1500" t="str">
            <v>-</v>
          </cell>
          <cell r="V1500" t="str">
            <v>P</v>
          </cell>
          <cell r="W1500">
            <v>23</v>
          </cell>
        </row>
        <row r="1501">
          <cell r="A1501">
            <v>24995</v>
          </cell>
          <cell r="B1501" t="str">
            <v>024995</v>
          </cell>
          <cell r="C1501" t="str">
            <v>AYU INDRASARI SAPUTRI</v>
          </cell>
          <cell r="D1501" t="str">
            <v>SAMI</v>
          </cell>
          <cell r="E1501" t="str">
            <v>ES-76</v>
          </cell>
          <cell r="F1501">
            <v>43770</v>
          </cell>
          <cell r="G1501" t="str">
            <v>-</v>
          </cell>
          <cell r="H1501" t="str">
            <v>-</v>
          </cell>
          <cell r="I1501" t="str">
            <v>FA</v>
          </cell>
          <cell r="J1501" t="str">
            <v>TAX</v>
          </cell>
          <cell r="K1501" t="str">
            <v>ALL</v>
          </cell>
          <cell r="L1501" t="str">
            <v>ALL</v>
          </cell>
          <cell r="M1501" t="str">
            <v>TAX</v>
          </cell>
          <cell r="N1501" t="str">
            <v>LEADER TAX</v>
          </cell>
          <cell r="O1501" t="str">
            <v>IDL LL</v>
          </cell>
          <cell r="P1501" t="str">
            <v>A (NS)</v>
          </cell>
          <cell r="Q1501" t="str">
            <v>ADM</v>
          </cell>
          <cell r="R1501" t="str">
            <v>PERMANENT</v>
          </cell>
          <cell r="S1501" t="str">
            <v>PRM</v>
          </cell>
          <cell r="T1501" t="str">
            <v>ES</v>
          </cell>
          <cell r="U1501" t="str">
            <v>-</v>
          </cell>
          <cell r="V1501" t="str">
            <v>P</v>
          </cell>
          <cell r="W1501">
            <v>26</v>
          </cell>
        </row>
        <row r="1502">
          <cell r="A1502">
            <v>24996</v>
          </cell>
          <cell r="B1502" t="str">
            <v>024996</v>
          </cell>
          <cell r="C1502" t="str">
            <v>BOBBY BAGAS PRAKOSO</v>
          </cell>
          <cell r="D1502" t="str">
            <v>SAMI</v>
          </cell>
          <cell r="E1502" t="str">
            <v>OPT-607</v>
          </cell>
          <cell r="F1502">
            <v>43770</v>
          </cell>
          <cell r="G1502" t="str">
            <v>-</v>
          </cell>
          <cell r="H1502" t="str">
            <v>-</v>
          </cell>
          <cell r="I1502" t="str">
            <v>PP</v>
          </cell>
          <cell r="J1502" t="str">
            <v>PPM</v>
          </cell>
          <cell r="K1502" t="str">
            <v>ALL</v>
          </cell>
          <cell r="L1502" t="str">
            <v>ALL</v>
          </cell>
          <cell r="M1502" t="str">
            <v>PPM/PPC/PLCT</v>
          </cell>
          <cell r="N1502" t="str">
            <v>INTERPRETER, DOKUMEN PPM</v>
          </cell>
          <cell r="O1502" t="str">
            <v>PROCESS ENG</v>
          </cell>
          <cell r="P1502" t="str">
            <v>A (NS)</v>
          </cell>
          <cell r="Q1502" t="str">
            <v>PS</v>
          </cell>
          <cell r="R1502" t="str">
            <v>PERMANENT</v>
          </cell>
          <cell r="S1502" t="str">
            <v>PRM</v>
          </cell>
          <cell r="T1502" t="str">
            <v>OPT</v>
          </cell>
          <cell r="U1502" t="str">
            <v>-</v>
          </cell>
          <cell r="V1502" t="str">
            <v>L</v>
          </cell>
          <cell r="W1502">
            <v>27</v>
          </cell>
        </row>
        <row r="1503">
          <cell r="A1503">
            <v>24998</v>
          </cell>
          <cell r="B1503" t="str">
            <v>024998</v>
          </cell>
          <cell r="C1503" t="str">
            <v>GALIH RAKASIWI WICAKSONO</v>
          </cell>
          <cell r="D1503" t="str">
            <v>SAMI</v>
          </cell>
          <cell r="E1503" t="str">
            <v>TKN-224</v>
          </cell>
          <cell r="F1503">
            <v>43801</v>
          </cell>
          <cell r="G1503" t="str">
            <v>-</v>
          </cell>
          <cell r="H1503" t="str">
            <v>-</v>
          </cell>
          <cell r="I1503" t="str">
            <v>PE</v>
          </cell>
          <cell r="J1503" t="str">
            <v>J/C BP</v>
          </cell>
          <cell r="K1503" t="str">
            <v>ALL</v>
          </cell>
          <cell r="L1503" t="str">
            <v>ALL</v>
          </cell>
          <cell r="M1503" t="str">
            <v>CBP</v>
          </cell>
          <cell r="N1503" t="str">
            <v>PROGRAMER CHECKER BOARD</v>
          </cell>
          <cell r="O1503" t="str">
            <v>CBP</v>
          </cell>
          <cell r="P1503" t="str">
            <v>A</v>
          </cell>
          <cell r="Q1503" t="str">
            <v>PS</v>
          </cell>
          <cell r="R1503" t="str">
            <v>PERMANENT</v>
          </cell>
          <cell r="S1503" t="str">
            <v>PRM</v>
          </cell>
          <cell r="T1503" t="str">
            <v>TKN</v>
          </cell>
          <cell r="U1503" t="str">
            <v>-</v>
          </cell>
          <cell r="V1503" t="str">
            <v>L</v>
          </cell>
          <cell r="W1503">
            <v>25</v>
          </cell>
        </row>
        <row r="1504">
          <cell r="A1504">
            <v>11724</v>
          </cell>
          <cell r="B1504" t="str">
            <v>011724</v>
          </cell>
          <cell r="C1504" t="str">
            <v>KHOLIS FATKHIYATUR ROHMANIYAH</v>
          </cell>
          <cell r="D1504" t="str">
            <v>SAMI</v>
          </cell>
          <cell r="E1504" t="str">
            <v>OPT-308</v>
          </cell>
          <cell r="F1504">
            <v>40714</v>
          </cell>
          <cell r="G1504" t="str">
            <v>-</v>
          </cell>
          <cell r="H1504" t="str">
            <v>-</v>
          </cell>
          <cell r="I1504" t="str">
            <v>PRD</v>
          </cell>
          <cell r="J1504" t="str">
            <v>NON LINE</v>
          </cell>
          <cell r="K1504" t="str">
            <v>ALL</v>
          </cell>
          <cell r="L1504" t="str">
            <v>ALL</v>
          </cell>
          <cell r="M1504" t="str">
            <v>TRAINER 1</v>
          </cell>
          <cell r="N1504" t="str">
            <v>TRAINER</v>
          </cell>
          <cell r="O1504" t="str">
            <v>RELIEF</v>
          </cell>
          <cell r="P1504" t="str">
            <v>A (NS)</v>
          </cell>
          <cell r="Q1504" t="str">
            <v>PI</v>
          </cell>
          <cell r="R1504" t="str">
            <v>PERMANENT</v>
          </cell>
          <cell r="S1504" t="str">
            <v>PRM</v>
          </cell>
          <cell r="T1504" t="str">
            <v>PJK</v>
          </cell>
          <cell r="U1504" t="str">
            <v>-</v>
          </cell>
          <cell r="V1504" t="str">
            <v>P</v>
          </cell>
          <cell r="W1504">
            <v>31</v>
          </cell>
        </row>
        <row r="1505">
          <cell r="A1505">
            <v>12068</v>
          </cell>
          <cell r="B1505" t="str">
            <v>012068</v>
          </cell>
          <cell r="C1505" t="str">
            <v>AIMATUS SHOLEKHAH</v>
          </cell>
          <cell r="D1505" t="str">
            <v>SAMI</v>
          </cell>
          <cell r="E1505" t="str">
            <v>OPT-314</v>
          </cell>
          <cell r="F1505">
            <v>40798</v>
          </cell>
          <cell r="G1505" t="str">
            <v>-</v>
          </cell>
          <cell r="H1505" t="str">
            <v>-</v>
          </cell>
          <cell r="I1505" t="str">
            <v>PRD</v>
          </cell>
          <cell r="J1505" t="str">
            <v>NON LINE</v>
          </cell>
          <cell r="K1505" t="str">
            <v>ALL</v>
          </cell>
          <cell r="L1505" t="str">
            <v>ALL</v>
          </cell>
          <cell r="M1505" t="str">
            <v>TRAINER 1</v>
          </cell>
          <cell r="N1505" t="str">
            <v>TRAINER</v>
          </cell>
          <cell r="O1505" t="str">
            <v>RELIEF</v>
          </cell>
          <cell r="P1505" t="str">
            <v>A (NS)</v>
          </cell>
          <cell r="Q1505" t="str">
            <v>PI</v>
          </cell>
          <cell r="R1505" t="str">
            <v>PERMANENT</v>
          </cell>
          <cell r="S1505" t="str">
            <v>PRM</v>
          </cell>
          <cell r="T1505" t="str">
            <v>PJK</v>
          </cell>
          <cell r="U1505" t="str">
            <v>-</v>
          </cell>
          <cell r="V1505" t="str">
            <v>P</v>
          </cell>
          <cell r="W1505">
            <v>31</v>
          </cell>
        </row>
        <row r="1506">
          <cell r="A1506">
            <v>25200</v>
          </cell>
          <cell r="B1506" t="str">
            <v>025200</v>
          </cell>
          <cell r="C1506" t="str">
            <v>IMROATUT TOHIROH</v>
          </cell>
          <cell r="D1506" t="str">
            <v>SAMI</v>
          </cell>
          <cell r="E1506" t="str">
            <v>OPT-611</v>
          </cell>
          <cell r="F1506">
            <v>43836</v>
          </cell>
          <cell r="G1506" t="str">
            <v>-</v>
          </cell>
          <cell r="H1506" t="str">
            <v>-</v>
          </cell>
          <cell r="I1506" t="str">
            <v>PRD</v>
          </cell>
          <cell r="J1506" t="str">
            <v>PRE ASSY</v>
          </cell>
          <cell r="K1506" t="str">
            <v>HONDA NES</v>
          </cell>
          <cell r="L1506" t="str">
            <v>HONDA NES</v>
          </cell>
          <cell r="M1506" t="str">
            <v>CPA HONDA NES HEV/PET</v>
          </cell>
          <cell r="N1506" t="str">
            <v>CUTTING AC90-3MO-01</v>
          </cell>
          <cell r="O1506" t="str">
            <v>CUTTING WIRE</v>
          </cell>
          <cell r="P1506" t="str">
            <v>B</v>
          </cell>
          <cell r="Q1506" t="str">
            <v>DL</v>
          </cell>
          <cell r="R1506" t="str">
            <v>PERMANENT</v>
          </cell>
          <cell r="S1506" t="str">
            <v>PRM</v>
          </cell>
          <cell r="T1506" t="str">
            <v>OPT</v>
          </cell>
          <cell r="U1506" t="str">
            <v>-</v>
          </cell>
          <cell r="V1506" t="str">
            <v>P</v>
          </cell>
          <cell r="W1506">
            <v>25</v>
          </cell>
        </row>
        <row r="1507">
          <cell r="A1507">
            <v>25249</v>
          </cell>
          <cell r="B1507" t="str">
            <v>025249</v>
          </cell>
          <cell r="C1507" t="str">
            <v>RIKA PUSPITASARI</v>
          </cell>
          <cell r="D1507" t="str">
            <v>SAMI</v>
          </cell>
          <cell r="E1507" t="str">
            <v>OPT-612</v>
          </cell>
          <cell r="F1507">
            <v>43839</v>
          </cell>
          <cell r="G1507" t="str">
            <v>-</v>
          </cell>
          <cell r="H1507" t="str">
            <v>-</v>
          </cell>
          <cell r="I1507" t="str">
            <v>LOG</v>
          </cell>
          <cell r="J1507" t="str">
            <v>WHS</v>
          </cell>
          <cell r="K1507" t="str">
            <v>ALL</v>
          </cell>
          <cell r="L1507" t="str">
            <v>ALL</v>
          </cell>
          <cell r="M1507" t="str">
            <v>WHS</v>
          </cell>
          <cell r="N1507" t="str">
            <v>Parts supply (piking &amp; material handling) from material werahouse</v>
          </cell>
          <cell r="O1507" t="str">
            <v>WHS SUPPLY</v>
          </cell>
          <cell r="P1507" t="str">
            <v>A (NS)</v>
          </cell>
          <cell r="Q1507" t="str">
            <v>PS</v>
          </cell>
          <cell r="R1507" t="str">
            <v>PERMANENT</v>
          </cell>
          <cell r="S1507" t="str">
            <v>PRM</v>
          </cell>
          <cell r="T1507" t="str">
            <v>OPT</v>
          </cell>
          <cell r="U1507" t="str">
            <v>-</v>
          </cell>
          <cell r="V1507" t="str">
            <v>P</v>
          </cell>
          <cell r="W1507">
            <v>23</v>
          </cell>
        </row>
        <row r="1508">
          <cell r="A1508">
            <v>25251</v>
          </cell>
          <cell r="B1508" t="str">
            <v>025251</v>
          </cell>
          <cell r="C1508" t="str">
            <v>TEPPEI MIMURA</v>
          </cell>
          <cell r="D1508" t="str">
            <v>SAMI</v>
          </cell>
          <cell r="E1508" t="str">
            <v>SPV UP</v>
          </cell>
          <cell r="F1508">
            <v>43864</v>
          </cell>
          <cell r="G1508" t="str">
            <v>-</v>
          </cell>
          <cell r="H1508" t="str">
            <v>-</v>
          </cell>
          <cell r="I1508" t="str">
            <v>PGA</v>
          </cell>
          <cell r="J1508" t="str">
            <v>MANAGEMENT</v>
          </cell>
          <cell r="K1508" t="str">
            <v>ALL</v>
          </cell>
          <cell r="L1508" t="str">
            <v>ALL</v>
          </cell>
          <cell r="M1508" t="str">
            <v>MANAGEMENT</v>
          </cell>
          <cell r="N1508" t="str">
            <v>GENERAL MANAGER</v>
          </cell>
          <cell r="O1508" t="str">
            <v>FM</v>
          </cell>
          <cell r="P1508" t="str">
            <v>A (NS)</v>
          </cell>
          <cell r="Q1508" t="str">
            <v>ADM</v>
          </cell>
          <cell r="R1508" t="str">
            <v>PERMANENT</v>
          </cell>
          <cell r="S1508" t="str">
            <v>PRM</v>
          </cell>
          <cell r="T1508" t="str">
            <v>GM</v>
          </cell>
          <cell r="U1508" t="str">
            <v>-</v>
          </cell>
          <cell r="V1508" t="str">
            <v>L</v>
          </cell>
          <cell r="W1508">
            <v>51</v>
          </cell>
        </row>
        <row r="1509">
          <cell r="A1509">
            <v>25252</v>
          </cell>
          <cell r="B1509" t="str">
            <v>025252</v>
          </cell>
          <cell r="C1509" t="str">
            <v>KATSUHITO GONDA</v>
          </cell>
          <cell r="D1509" t="str">
            <v>SAMI</v>
          </cell>
          <cell r="E1509" t="str">
            <v>SPV UP</v>
          </cell>
          <cell r="F1509">
            <v>43866</v>
          </cell>
          <cell r="G1509" t="str">
            <v>-</v>
          </cell>
          <cell r="H1509" t="str">
            <v>-</v>
          </cell>
          <cell r="I1509" t="str">
            <v>QA</v>
          </cell>
          <cell r="J1509" t="str">
            <v>MANAGEMENT</v>
          </cell>
          <cell r="K1509" t="str">
            <v>ALL</v>
          </cell>
          <cell r="L1509" t="str">
            <v>ALL</v>
          </cell>
          <cell r="M1509" t="str">
            <v>MANAGEMENT</v>
          </cell>
          <cell r="N1509" t="str">
            <v>SENIOR MANAGER QA</v>
          </cell>
          <cell r="O1509" t="str">
            <v>MGR FPS</v>
          </cell>
          <cell r="P1509" t="str">
            <v>A (NS)</v>
          </cell>
          <cell r="Q1509" t="str">
            <v>PS</v>
          </cell>
          <cell r="R1509" t="str">
            <v>PERMANENT</v>
          </cell>
          <cell r="S1509" t="str">
            <v>PRM</v>
          </cell>
          <cell r="T1509" t="str">
            <v>SM</v>
          </cell>
          <cell r="U1509" t="str">
            <v>-</v>
          </cell>
          <cell r="V1509" t="str">
            <v>L</v>
          </cell>
          <cell r="W1509">
            <v>54</v>
          </cell>
        </row>
        <row r="1510">
          <cell r="A1510">
            <v>12476</v>
          </cell>
          <cell r="B1510" t="str">
            <v>012476</v>
          </cell>
          <cell r="C1510" t="str">
            <v>JANATUN</v>
          </cell>
          <cell r="D1510" t="str">
            <v>SAMI</v>
          </cell>
          <cell r="E1510" t="str">
            <v>OPT-318</v>
          </cell>
          <cell r="F1510">
            <v>40812</v>
          </cell>
          <cell r="G1510" t="str">
            <v>-</v>
          </cell>
          <cell r="H1510" t="str">
            <v>-</v>
          </cell>
          <cell r="I1510" t="str">
            <v>PRD</v>
          </cell>
          <cell r="J1510" t="str">
            <v>NON LINE</v>
          </cell>
          <cell r="K1510" t="str">
            <v>ALL</v>
          </cell>
          <cell r="L1510" t="str">
            <v>ALL</v>
          </cell>
          <cell r="M1510" t="str">
            <v>TRAINER 1</v>
          </cell>
          <cell r="N1510" t="str">
            <v>TRAINER</v>
          </cell>
          <cell r="O1510" t="str">
            <v>RELIEF</v>
          </cell>
          <cell r="P1510" t="str">
            <v>A (NS)</v>
          </cell>
          <cell r="Q1510" t="str">
            <v>PI</v>
          </cell>
          <cell r="R1510" t="str">
            <v>PERMANENT</v>
          </cell>
          <cell r="S1510" t="str">
            <v>PRM</v>
          </cell>
          <cell r="T1510" t="str">
            <v>PJK</v>
          </cell>
          <cell r="U1510" t="str">
            <v>-</v>
          </cell>
          <cell r="V1510" t="str">
            <v>P</v>
          </cell>
          <cell r="W1510">
            <v>36</v>
          </cell>
        </row>
        <row r="1511">
          <cell r="A1511">
            <v>25380</v>
          </cell>
          <cell r="B1511" t="str">
            <v>025380</v>
          </cell>
          <cell r="C1511" t="str">
            <v>DEMA FEBIA</v>
          </cell>
          <cell r="D1511" t="str">
            <v>SAMI</v>
          </cell>
          <cell r="E1511" t="str">
            <v>OPT-619</v>
          </cell>
          <cell r="F1511">
            <v>44085</v>
          </cell>
          <cell r="G1511" t="str">
            <v>-</v>
          </cell>
          <cell r="H1511" t="str">
            <v>-</v>
          </cell>
          <cell r="I1511" t="str">
            <v>PRD</v>
          </cell>
          <cell r="J1511" t="str">
            <v>FINAL ASSY</v>
          </cell>
          <cell r="K1511" t="str">
            <v>HONDA BBP</v>
          </cell>
          <cell r="L1511" t="str">
            <v>HV HONDA 30B</v>
          </cell>
          <cell r="M1511" t="str">
            <v>CV HV 11B</v>
          </cell>
          <cell r="N1511" t="str">
            <v>S/A 131-3, 132-3</v>
          </cell>
          <cell r="O1511" t="str">
            <v>SUB ASSY</v>
          </cell>
          <cell r="P1511" t="str">
            <v>B</v>
          </cell>
          <cell r="Q1511" t="str">
            <v>DL</v>
          </cell>
          <cell r="R1511" t="str">
            <v>PERMANENT</v>
          </cell>
          <cell r="S1511" t="str">
            <v>PRM</v>
          </cell>
          <cell r="T1511" t="str">
            <v>OPT</v>
          </cell>
          <cell r="U1511" t="str">
            <v>-</v>
          </cell>
          <cell r="V1511" t="str">
            <v>P</v>
          </cell>
          <cell r="W1511">
            <v>25</v>
          </cell>
        </row>
        <row r="1512">
          <cell r="A1512">
            <v>25413</v>
          </cell>
          <cell r="B1512" t="str">
            <v>025413</v>
          </cell>
          <cell r="C1512" t="str">
            <v>TRI AJI SUJATMIKO</v>
          </cell>
          <cell r="D1512" t="str">
            <v>SAMI</v>
          </cell>
          <cell r="E1512" t="str">
            <v>TKN-227</v>
          </cell>
          <cell r="F1512">
            <v>44102</v>
          </cell>
          <cell r="G1512" t="str">
            <v>-</v>
          </cell>
          <cell r="H1512" t="str">
            <v>-</v>
          </cell>
          <cell r="I1512" t="str">
            <v>PE</v>
          </cell>
          <cell r="J1512" t="str">
            <v>J/C BP</v>
          </cell>
          <cell r="K1512" t="str">
            <v>ALL</v>
          </cell>
          <cell r="L1512" t="str">
            <v>ALL</v>
          </cell>
          <cell r="M1512" t="str">
            <v>JCN</v>
          </cell>
          <cell r="N1512" t="str">
            <v>BREAKDOWN FA</v>
          </cell>
          <cell r="O1512" t="str">
            <v>CBP</v>
          </cell>
          <cell r="P1512" t="str">
            <v>A</v>
          </cell>
          <cell r="Q1512" t="str">
            <v>PI</v>
          </cell>
          <cell r="R1512" t="str">
            <v>PERMANENT</v>
          </cell>
          <cell r="S1512" t="str">
            <v>PRM</v>
          </cell>
          <cell r="T1512" t="str">
            <v>TKN</v>
          </cell>
          <cell r="U1512" t="str">
            <v>-</v>
          </cell>
          <cell r="V1512" t="str">
            <v>L</v>
          </cell>
          <cell r="W1512">
            <v>24</v>
          </cell>
        </row>
        <row r="1513">
          <cell r="A1513">
            <v>25998</v>
          </cell>
          <cell r="B1513" t="str">
            <v>025998</v>
          </cell>
          <cell r="C1513" t="str">
            <v>ELFIRA LUTFIA WAHYUDIN</v>
          </cell>
          <cell r="D1513" t="str">
            <v>SAMI</v>
          </cell>
          <cell r="E1513" t="str">
            <v>OPT-629</v>
          </cell>
          <cell r="F1513">
            <v>44167</v>
          </cell>
          <cell r="G1513" t="str">
            <v>-</v>
          </cell>
          <cell r="H1513" t="str">
            <v>-</v>
          </cell>
          <cell r="I1513" t="str">
            <v>PP</v>
          </cell>
          <cell r="J1513" t="str">
            <v>PPM</v>
          </cell>
          <cell r="K1513" t="str">
            <v>ALL</v>
          </cell>
          <cell r="L1513" t="str">
            <v>ALL</v>
          </cell>
          <cell r="M1513" t="str">
            <v>PPM/PPC/PLCT</v>
          </cell>
          <cell r="N1513" t="str">
            <v>INTERPRETER, DOKUMEN PPM</v>
          </cell>
          <cell r="O1513" t="str">
            <v>PROCESS ENG</v>
          </cell>
          <cell r="P1513" t="str">
            <v>A (NS)</v>
          </cell>
          <cell r="Q1513" t="str">
            <v>PS</v>
          </cell>
          <cell r="R1513" t="str">
            <v>PERMANENT</v>
          </cell>
          <cell r="S1513" t="str">
            <v>PRM</v>
          </cell>
          <cell r="T1513" t="str">
            <v>OPT</v>
          </cell>
          <cell r="U1513" t="str">
            <v>-</v>
          </cell>
          <cell r="V1513" t="str">
            <v>P</v>
          </cell>
          <cell r="W1513">
            <v>28</v>
          </cell>
        </row>
        <row r="1514">
          <cell r="A1514">
            <v>26848</v>
          </cell>
          <cell r="B1514" t="str">
            <v>026848</v>
          </cell>
          <cell r="C1514" t="str">
            <v>SHINICHI KISHIMOTO</v>
          </cell>
          <cell r="D1514" t="str">
            <v>SAMI</v>
          </cell>
          <cell r="E1514" t="str">
            <v>SPV UP</v>
          </cell>
          <cell r="F1514">
            <v>44354</v>
          </cell>
          <cell r="G1514" t="str">
            <v>-</v>
          </cell>
          <cell r="H1514" t="str">
            <v>-</v>
          </cell>
          <cell r="I1514" t="str">
            <v>PP</v>
          </cell>
          <cell r="J1514" t="str">
            <v>MANAGEMENT</v>
          </cell>
          <cell r="K1514" t="str">
            <v>ALL</v>
          </cell>
          <cell r="L1514" t="str">
            <v>ALL</v>
          </cell>
          <cell r="M1514" t="str">
            <v>MANAGEMENT</v>
          </cell>
          <cell r="N1514" t="str">
            <v>SENIOR MANAGER PP</v>
          </cell>
          <cell r="O1514" t="str">
            <v>MGR FPS</v>
          </cell>
          <cell r="P1514" t="str">
            <v>A (NS)</v>
          </cell>
          <cell r="Q1514" t="str">
            <v>PS</v>
          </cell>
          <cell r="R1514" t="str">
            <v>PERMANENT</v>
          </cell>
          <cell r="S1514" t="str">
            <v>PRM</v>
          </cell>
          <cell r="T1514" t="str">
            <v>SM</v>
          </cell>
          <cell r="U1514" t="str">
            <v>-</v>
          </cell>
          <cell r="V1514" t="str">
            <v>L</v>
          </cell>
          <cell r="W1514">
            <v>56</v>
          </cell>
        </row>
        <row r="1515">
          <cell r="A1515">
            <v>12525</v>
          </cell>
          <cell r="B1515" t="str">
            <v>012525</v>
          </cell>
          <cell r="C1515" t="str">
            <v>RUMIYATI</v>
          </cell>
          <cell r="D1515" t="str">
            <v>SAMI</v>
          </cell>
          <cell r="E1515" t="str">
            <v>OPT-318</v>
          </cell>
          <cell r="F1515">
            <v>40812</v>
          </cell>
          <cell r="G1515" t="str">
            <v>-</v>
          </cell>
          <cell r="H1515" t="str">
            <v>-</v>
          </cell>
          <cell r="I1515" t="str">
            <v>PRD</v>
          </cell>
          <cell r="J1515" t="str">
            <v>NON LINE</v>
          </cell>
          <cell r="K1515" t="str">
            <v>ALL</v>
          </cell>
          <cell r="L1515" t="str">
            <v>ALL</v>
          </cell>
          <cell r="M1515" t="str">
            <v>TRAINER 1</v>
          </cell>
          <cell r="N1515" t="str">
            <v>TRAINER</v>
          </cell>
          <cell r="O1515" t="str">
            <v>RELIEF</v>
          </cell>
          <cell r="P1515" t="str">
            <v>A (NS)</v>
          </cell>
          <cell r="Q1515" t="str">
            <v>PI</v>
          </cell>
          <cell r="R1515" t="str">
            <v>PERMANENT</v>
          </cell>
          <cell r="S1515" t="str">
            <v>PRM</v>
          </cell>
          <cell r="T1515" t="str">
            <v>OPT</v>
          </cell>
          <cell r="U1515" t="str">
            <v>-</v>
          </cell>
          <cell r="V1515" t="str">
            <v>P</v>
          </cell>
          <cell r="W1515">
            <v>30</v>
          </cell>
        </row>
        <row r="1516">
          <cell r="A1516">
            <v>27681</v>
          </cell>
          <cell r="B1516" t="str">
            <v>027681</v>
          </cell>
          <cell r="C1516" t="str">
            <v>TRIYONO SALAFUDIN</v>
          </cell>
          <cell r="D1516" t="str">
            <v>SAMI</v>
          </cell>
          <cell r="E1516" t="str">
            <v>ES-78</v>
          </cell>
          <cell r="F1516">
            <v>44501</v>
          </cell>
          <cell r="G1516" t="str">
            <v>-</v>
          </cell>
          <cell r="H1516" t="str">
            <v>-</v>
          </cell>
          <cell r="I1516" t="str">
            <v>LOG</v>
          </cell>
          <cell r="J1516" t="str">
            <v>PPIC</v>
          </cell>
          <cell r="K1516" t="str">
            <v>ALL</v>
          </cell>
          <cell r="L1516" t="str">
            <v>ALL</v>
          </cell>
          <cell r="M1516" t="str">
            <v>PPIC</v>
          </cell>
          <cell r="N1516" t="str">
            <v>INTERPRETER</v>
          </cell>
          <cell r="O1516" t="str">
            <v>FPS LL</v>
          </cell>
          <cell r="P1516" t="str">
            <v>A (NS)</v>
          </cell>
          <cell r="Q1516" t="str">
            <v>PS</v>
          </cell>
          <cell r="R1516" t="str">
            <v>PERMANENT</v>
          </cell>
          <cell r="S1516" t="str">
            <v>PRM</v>
          </cell>
          <cell r="T1516" t="str">
            <v>ES</v>
          </cell>
          <cell r="U1516" t="str">
            <v>-</v>
          </cell>
          <cell r="V1516" t="str">
            <v>L</v>
          </cell>
          <cell r="W1516">
            <v>35</v>
          </cell>
        </row>
        <row r="1517">
          <cell r="A1517">
            <v>27944</v>
          </cell>
          <cell r="B1517" t="str">
            <v>027944</v>
          </cell>
          <cell r="C1517" t="str">
            <v>MASLAKHATUL MAFTUKHAH</v>
          </cell>
          <cell r="D1517" t="str">
            <v>SAMI</v>
          </cell>
          <cell r="E1517" t="str">
            <v>ES-79</v>
          </cell>
          <cell r="F1517">
            <v>44564</v>
          </cell>
          <cell r="G1517" t="str">
            <v>-</v>
          </cell>
          <cell r="H1517" t="str">
            <v>-</v>
          </cell>
          <cell r="I1517" t="str">
            <v>LOG</v>
          </cell>
          <cell r="J1517" t="str">
            <v>PPIC</v>
          </cell>
          <cell r="K1517" t="str">
            <v>ALL</v>
          </cell>
          <cell r="L1517" t="str">
            <v>ALL</v>
          </cell>
          <cell r="M1517" t="str">
            <v>PPIC</v>
          </cell>
          <cell r="N1517" t="str">
            <v>Line Leader (PS) - Planner Masspro</v>
          </cell>
          <cell r="O1517" t="str">
            <v>FPS LL</v>
          </cell>
          <cell r="P1517" t="str">
            <v>A (NS)</v>
          </cell>
          <cell r="Q1517" t="str">
            <v>PS</v>
          </cell>
          <cell r="R1517" t="str">
            <v>PERMANENT</v>
          </cell>
          <cell r="S1517" t="str">
            <v>PRM</v>
          </cell>
          <cell r="T1517" t="str">
            <v>ES</v>
          </cell>
          <cell r="U1517" t="str">
            <v>-</v>
          </cell>
          <cell r="V1517" t="str">
            <v>P</v>
          </cell>
          <cell r="W1517">
            <v>25</v>
          </cell>
        </row>
        <row r="1518">
          <cell r="A1518">
            <v>27945</v>
          </cell>
          <cell r="B1518" t="str">
            <v>027945</v>
          </cell>
          <cell r="C1518" t="str">
            <v>NARASWARI BASANTA</v>
          </cell>
          <cell r="D1518" t="str">
            <v>SAMI</v>
          </cell>
          <cell r="E1518" t="str">
            <v>ES-79</v>
          </cell>
          <cell r="F1518">
            <v>44564</v>
          </cell>
          <cell r="G1518" t="str">
            <v>-</v>
          </cell>
          <cell r="H1518" t="str">
            <v>-</v>
          </cell>
          <cell r="I1518" t="str">
            <v>LOG</v>
          </cell>
          <cell r="J1518" t="str">
            <v>PPIC</v>
          </cell>
          <cell r="K1518" t="str">
            <v>ALL</v>
          </cell>
          <cell r="L1518" t="str">
            <v>ALL</v>
          </cell>
          <cell r="M1518" t="str">
            <v>PPIC</v>
          </cell>
          <cell r="N1518" t="str">
            <v>LEADER ANALISYS</v>
          </cell>
          <cell r="O1518" t="str">
            <v>FPS LL</v>
          </cell>
          <cell r="P1518" t="str">
            <v>A (NS)</v>
          </cell>
          <cell r="Q1518" t="str">
            <v>PS</v>
          </cell>
          <cell r="R1518" t="str">
            <v>PERMANENT</v>
          </cell>
          <cell r="S1518" t="str">
            <v>PRM</v>
          </cell>
          <cell r="T1518" t="str">
            <v>ES</v>
          </cell>
          <cell r="U1518" t="str">
            <v>-</v>
          </cell>
          <cell r="V1518" t="str">
            <v>P</v>
          </cell>
          <cell r="W1518">
            <v>24</v>
          </cell>
        </row>
        <row r="1519">
          <cell r="A1519">
            <v>27946</v>
          </cell>
          <cell r="B1519" t="str">
            <v>027946</v>
          </cell>
          <cell r="C1519" t="str">
            <v>NOZOMI KAWASAKI</v>
          </cell>
          <cell r="D1519" t="str">
            <v>SAMI</v>
          </cell>
          <cell r="E1519" t="str">
            <v>SPV UP</v>
          </cell>
          <cell r="F1519">
            <v>44572</v>
          </cell>
          <cell r="G1519" t="str">
            <v>-</v>
          </cell>
          <cell r="H1519" t="str">
            <v>-</v>
          </cell>
          <cell r="I1519" t="str">
            <v>PGA</v>
          </cell>
          <cell r="J1519" t="str">
            <v>MANAGEMENT</v>
          </cell>
          <cell r="K1519" t="str">
            <v>ALL</v>
          </cell>
          <cell r="L1519" t="str">
            <v>ALL</v>
          </cell>
          <cell r="M1519" t="str">
            <v>MANAGEMENT</v>
          </cell>
          <cell r="N1519" t="str">
            <v>PRESIDENT DIRECTOR</v>
          </cell>
          <cell r="O1519" t="str">
            <v>P.DIR</v>
          </cell>
          <cell r="P1519" t="str">
            <v>A (NS)</v>
          </cell>
          <cell r="Q1519" t="str">
            <v>ADM</v>
          </cell>
          <cell r="R1519" t="str">
            <v>PERMANENT</v>
          </cell>
          <cell r="S1519" t="str">
            <v>PRM</v>
          </cell>
          <cell r="T1519" t="str">
            <v>P.DIR</v>
          </cell>
          <cell r="U1519" t="str">
            <v>-</v>
          </cell>
          <cell r="V1519" t="str">
            <v>L</v>
          </cell>
          <cell r="W1519">
            <v>59</v>
          </cell>
        </row>
        <row r="1520">
          <cell r="A1520">
            <v>27983</v>
          </cell>
          <cell r="B1520" t="str">
            <v>027983</v>
          </cell>
          <cell r="C1520" t="str">
            <v>KENTA KATO</v>
          </cell>
          <cell r="D1520" t="str">
            <v>SAMI</v>
          </cell>
          <cell r="E1520" t="str">
            <v>SPV UP</v>
          </cell>
          <cell r="F1520">
            <v>44599</v>
          </cell>
          <cell r="G1520" t="str">
            <v>-</v>
          </cell>
          <cell r="H1520" t="str">
            <v>-</v>
          </cell>
          <cell r="I1520" t="str">
            <v>MTC</v>
          </cell>
          <cell r="J1520" t="str">
            <v>MANAGEMENT</v>
          </cell>
          <cell r="K1520" t="str">
            <v>ALL</v>
          </cell>
          <cell r="L1520" t="str">
            <v>ALL</v>
          </cell>
          <cell r="M1520" t="str">
            <v>MANAGEMENT</v>
          </cell>
          <cell r="N1520" t="str">
            <v>SENIOR MANAGER MTC</v>
          </cell>
          <cell r="O1520" t="str">
            <v>MGR FPS</v>
          </cell>
          <cell r="P1520" t="str">
            <v>A (NS)</v>
          </cell>
          <cell r="Q1520" t="str">
            <v>PS</v>
          </cell>
          <cell r="R1520" t="str">
            <v>PERMANENT</v>
          </cell>
          <cell r="S1520" t="str">
            <v>PRM</v>
          </cell>
          <cell r="T1520" t="str">
            <v>SM</v>
          </cell>
          <cell r="U1520" t="str">
            <v>-</v>
          </cell>
          <cell r="V1520" t="str">
            <v>L</v>
          </cell>
          <cell r="W1520">
            <v>38</v>
          </cell>
        </row>
        <row r="1521">
          <cell r="A1521">
            <v>28032</v>
          </cell>
          <cell r="B1521" t="str">
            <v>028032</v>
          </cell>
          <cell r="C1521" t="str">
            <v>TORU YAMAMOTO</v>
          </cell>
          <cell r="D1521" t="str">
            <v>SAMI</v>
          </cell>
          <cell r="E1521" t="str">
            <v>SPV UP</v>
          </cell>
          <cell r="F1521">
            <v>44621</v>
          </cell>
          <cell r="G1521" t="str">
            <v>-</v>
          </cell>
          <cell r="H1521" t="str">
            <v>-</v>
          </cell>
          <cell r="I1521" t="str">
            <v>PE</v>
          </cell>
          <cell r="J1521" t="str">
            <v>MANAGEMENT</v>
          </cell>
          <cell r="K1521" t="str">
            <v>ALL</v>
          </cell>
          <cell r="L1521" t="str">
            <v>ALL</v>
          </cell>
          <cell r="M1521" t="str">
            <v>MANAGEMENT</v>
          </cell>
          <cell r="N1521" t="str">
            <v>SENIOR MANAGER PE</v>
          </cell>
          <cell r="O1521" t="str">
            <v>MGR FPS</v>
          </cell>
          <cell r="P1521" t="str">
            <v>A (NS)</v>
          </cell>
          <cell r="Q1521" t="str">
            <v>PS</v>
          </cell>
          <cell r="R1521" t="str">
            <v>PERMANENT</v>
          </cell>
          <cell r="S1521" t="str">
            <v>PRM</v>
          </cell>
          <cell r="T1521" t="str">
            <v>SM</v>
          </cell>
          <cell r="U1521" t="str">
            <v>-</v>
          </cell>
          <cell r="V1521" t="str">
            <v>L</v>
          </cell>
          <cell r="W1521">
            <v>57</v>
          </cell>
        </row>
        <row r="1522">
          <cell r="A1522">
            <v>28106</v>
          </cell>
          <cell r="B1522" t="str">
            <v>028106</v>
          </cell>
          <cell r="C1522" t="str">
            <v>ANISA FETI AZIZAH</v>
          </cell>
          <cell r="D1522" t="str">
            <v>SAMI</v>
          </cell>
          <cell r="E1522" t="str">
            <v>ES-81</v>
          </cell>
          <cell r="F1522">
            <v>44823</v>
          </cell>
          <cell r="G1522" t="str">
            <v>-</v>
          </cell>
          <cell r="H1522" t="str">
            <v>-</v>
          </cell>
          <cell r="I1522" t="str">
            <v>FA</v>
          </cell>
          <cell r="J1522" t="str">
            <v>ACC</v>
          </cell>
          <cell r="K1522" t="str">
            <v>ALL</v>
          </cell>
          <cell r="L1522" t="str">
            <v>ALL</v>
          </cell>
          <cell r="M1522" t="str">
            <v>ACCOUNTING</v>
          </cell>
          <cell r="N1522" t="str">
            <v>LEADER</v>
          </cell>
          <cell r="O1522" t="str">
            <v>IDL LL</v>
          </cell>
          <cell r="P1522" t="str">
            <v>A (NS)</v>
          </cell>
          <cell r="Q1522" t="str">
            <v>ADM</v>
          </cell>
          <cell r="R1522" t="str">
            <v>PERMANENT</v>
          </cell>
          <cell r="S1522" t="str">
            <v>PRM</v>
          </cell>
          <cell r="T1522" t="str">
            <v>ES</v>
          </cell>
          <cell r="U1522" t="str">
            <v>-</v>
          </cell>
          <cell r="V1522" t="str">
            <v>P</v>
          </cell>
          <cell r="W1522">
            <v>25</v>
          </cell>
        </row>
        <row r="1523">
          <cell r="A1523">
            <v>28613</v>
          </cell>
          <cell r="B1523" t="str">
            <v>028613</v>
          </cell>
          <cell r="C1523" t="str">
            <v>DIAN FITRIA SARI</v>
          </cell>
          <cell r="D1523" t="str">
            <v>SAMI</v>
          </cell>
          <cell r="E1523" t="str">
            <v>SPV UP</v>
          </cell>
          <cell r="F1523">
            <v>44942</v>
          </cell>
          <cell r="G1523" t="str">
            <v>-</v>
          </cell>
          <cell r="H1523" t="str">
            <v>-</v>
          </cell>
          <cell r="I1523" t="str">
            <v>FA</v>
          </cell>
          <cell r="J1523" t="str">
            <v>TAX</v>
          </cell>
          <cell r="K1523" t="str">
            <v>ALL</v>
          </cell>
          <cell r="L1523" t="str">
            <v>ALL</v>
          </cell>
          <cell r="M1523" t="str">
            <v>TAX</v>
          </cell>
          <cell r="N1523" t="str">
            <v>SUPERVISOR TAX</v>
          </cell>
          <cell r="O1523" t="str">
            <v>IDL SPV</v>
          </cell>
          <cell r="P1523" t="str">
            <v>A (NS)</v>
          </cell>
          <cell r="Q1523" t="str">
            <v>ADM</v>
          </cell>
          <cell r="R1523" t="str">
            <v>PERMANENT</v>
          </cell>
          <cell r="S1523" t="str">
            <v>PRM</v>
          </cell>
          <cell r="T1523" t="str">
            <v>SPV</v>
          </cell>
          <cell r="U1523" t="str">
            <v>-</v>
          </cell>
          <cell r="V1523" t="str">
            <v>P</v>
          </cell>
          <cell r="W1523">
            <v>30</v>
          </cell>
        </row>
        <row r="1524">
          <cell r="A1524">
            <v>12837</v>
          </cell>
          <cell r="B1524" t="str">
            <v>012837</v>
          </cell>
          <cell r="C1524" t="str">
            <v>ZAINAL KAFIDZIN</v>
          </cell>
          <cell r="D1524" t="str">
            <v>SAMI</v>
          </cell>
          <cell r="E1524" t="str">
            <v>OPT-321</v>
          </cell>
          <cell r="F1524">
            <v>40826</v>
          </cell>
          <cell r="G1524" t="str">
            <v>-</v>
          </cell>
          <cell r="H1524" t="str">
            <v>-</v>
          </cell>
          <cell r="I1524" t="str">
            <v>PRD</v>
          </cell>
          <cell r="J1524" t="str">
            <v>NON LINE</v>
          </cell>
          <cell r="K1524" t="str">
            <v>ALL</v>
          </cell>
          <cell r="L1524" t="str">
            <v>ALL</v>
          </cell>
          <cell r="M1524" t="str">
            <v>TRAINER 1</v>
          </cell>
          <cell r="N1524" t="str">
            <v>TRAINER</v>
          </cell>
          <cell r="O1524" t="str">
            <v>RELIEF</v>
          </cell>
          <cell r="P1524" t="str">
            <v>A (NS)</v>
          </cell>
          <cell r="Q1524" t="str">
            <v>PI</v>
          </cell>
          <cell r="R1524" t="str">
            <v>PERMANENT</v>
          </cell>
          <cell r="S1524" t="str">
            <v>PRM</v>
          </cell>
          <cell r="T1524" t="str">
            <v>PJK</v>
          </cell>
          <cell r="U1524" t="str">
            <v>-</v>
          </cell>
          <cell r="V1524" t="str">
            <v>L</v>
          </cell>
          <cell r="W1524">
            <v>30</v>
          </cell>
        </row>
        <row r="1525">
          <cell r="A1525">
            <v>13064</v>
          </cell>
          <cell r="B1525" t="str">
            <v>013064</v>
          </cell>
          <cell r="C1525" t="str">
            <v>MARGARETA PUJI RAHAYU</v>
          </cell>
          <cell r="D1525" t="str">
            <v>SAMI</v>
          </cell>
          <cell r="E1525" t="str">
            <v>OPT-326</v>
          </cell>
          <cell r="F1525">
            <v>40854</v>
          </cell>
          <cell r="G1525" t="str">
            <v>-</v>
          </cell>
          <cell r="H1525" t="str">
            <v>-</v>
          </cell>
          <cell r="I1525" t="str">
            <v>PRD</v>
          </cell>
          <cell r="J1525" t="str">
            <v>NON LINE</v>
          </cell>
          <cell r="K1525" t="str">
            <v>ALL</v>
          </cell>
          <cell r="L1525" t="str">
            <v>ALL</v>
          </cell>
          <cell r="M1525" t="str">
            <v>TRAINER 1</v>
          </cell>
          <cell r="N1525" t="str">
            <v>TRAINER</v>
          </cell>
          <cell r="O1525" t="str">
            <v>RELIEF</v>
          </cell>
          <cell r="P1525" t="str">
            <v>A (NS)</v>
          </cell>
          <cell r="Q1525" t="str">
            <v>PI</v>
          </cell>
          <cell r="R1525" t="str">
            <v>PERMANENT</v>
          </cell>
          <cell r="S1525" t="str">
            <v>PRM</v>
          </cell>
          <cell r="T1525" t="str">
            <v>PJK</v>
          </cell>
          <cell r="U1525" t="str">
            <v>-</v>
          </cell>
          <cell r="V1525" t="str">
            <v>P</v>
          </cell>
          <cell r="W1525">
            <v>34</v>
          </cell>
        </row>
        <row r="1526">
          <cell r="A1526" t="str">
            <v>B00085</v>
          </cell>
          <cell r="B1526" t="str">
            <v>B00085</v>
          </cell>
          <cell r="C1526" t="str">
            <v>SUHESTI</v>
          </cell>
          <cell r="D1526" t="str">
            <v>SAMI</v>
          </cell>
          <cell r="E1526" t="str">
            <v>BBF-001</v>
          </cell>
          <cell r="F1526">
            <v>40826</v>
          </cell>
          <cell r="G1526" t="str">
            <v>-</v>
          </cell>
          <cell r="H1526" t="str">
            <v>-</v>
          </cell>
          <cell r="I1526" t="str">
            <v>QA</v>
          </cell>
          <cell r="J1526" t="str">
            <v>FINAL ASSY</v>
          </cell>
          <cell r="K1526" t="str">
            <v>HONDA NES</v>
          </cell>
          <cell r="L1526" t="str">
            <v>HONDA NES HEV PET ENGINE</v>
          </cell>
          <cell r="M1526" t="str">
            <v>CV H03</v>
          </cell>
          <cell r="N1526" t="str">
            <v>GL INSPECTION</v>
          </cell>
          <cell r="O1526" t="str">
            <v>GL</v>
          </cell>
          <cell r="P1526" t="str">
            <v>A</v>
          </cell>
          <cell r="Q1526" t="str">
            <v>PI</v>
          </cell>
          <cell r="R1526" t="str">
            <v>PERMANENT</v>
          </cell>
          <cell r="S1526" t="str">
            <v>PRM</v>
          </cell>
          <cell r="T1526" t="str">
            <v>GL</v>
          </cell>
          <cell r="U1526" t="str">
            <v>-</v>
          </cell>
          <cell r="V1526" t="str">
            <v>P</v>
          </cell>
          <cell r="W1526">
            <v>33</v>
          </cell>
        </row>
        <row r="1527">
          <cell r="A1527" t="str">
            <v>B00092</v>
          </cell>
          <cell r="B1527" t="str">
            <v>B00092</v>
          </cell>
          <cell r="C1527" t="str">
            <v>TRI WIDIYASTUTI</v>
          </cell>
          <cell r="D1527" t="str">
            <v>SAMI</v>
          </cell>
          <cell r="E1527" t="str">
            <v>BBF-001</v>
          </cell>
          <cell r="F1527">
            <v>40826</v>
          </cell>
          <cell r="G1527" t="str">
            <v>-</v>
          </cell>
          <cell r="H1527" t="str">
            <v>-</v>
          </cell>
          <cell r="I1527" t="str">
            <v>PRD</v>
          </cell>
          <cell r="J1527" t="str">
            <v>FINAL ASSY</v>
          </cell>
          <cell r="K1527" t="str">
            <v>HONDA NES</v>
          </cell>
          <cell r="L1527" t="str">
            <v>HONDA NES HEV PET ENGINE</v>
          </cell>
          <cell r="M1527" t="str">
            <v>CV H04</v>
          </cell>
          <cell r="N1527" t="str">
            <v>VISUAL 1.3</v>
          </cell>
          <cell r="O1527" t="str">
            <v>VISUAL INSPECTION</v>
          </cell>
          <cell r="P1527" t="str">
            <v>B</v>
          </cell>
          <cell r="Q1527" t="str">
            <v>DL</v>
          </cell>
          <cell r="R1527" t="str">
            <v>PERMANENT</v>
          </cell>
          <cell r="S1527" t="str">
            <v>PRM</v>
          </cell>
          <cell r="T1527" t="str">
            <v>OPT</v>
          </cell>
          <cell r="U1527" t="str">
            <v>-</v>
          </cell>
          <cell r="V1527" t="str">
            <v>P</v>
          </cell>
          <cell r="W1527">
            <v>33</v>
          </cell>
        </row>
        <row r="1528">
          <cell r="A1528">
            <v>16108</v>
          </cell>
          <cell r="B1528" t="str">
            <v>016108</v>
          </cell>
          <cell r="C1528" t="str">
            <v>SITI NELI ROHMAH</v>
          </cell>
          <cell r="D1528" t="str">
            <v>SAMI</v>
          </cell>
          <cell r="E1528" t="str">
            <v>OPT-404</v>
          </cell>
          <cell r="F1528">
            <v>41586</v>
          </cell>
          <cell r="G1528" t="str">
            <v>-</v>
          </cell>
          <cell r="H1528" t="str">
            <v>-</v>
          </cell>
          <cell r="I1528" t="str">
            <v>PRD</v>
          </cell>
          <cell r="J1528" t="str">
            <v>NON LINE</v>
          </cell>
          <cell r="K1528" t="str">
            <v>ALL</v>
          </cell>
          <cell r="L1528" t="str">
            <v>ALL</v>
          </cell>
          <cell r="M1528" t="str">
            <v>TRAINER 1</v>
          </cell>
          <cell r="N1528" t="str">
            <v>TRAINER</v>
          </cell>
          <cell r="O1528" t="str">
            <v>RELIEF</v>
          </cell>
          <cell r="P1528" t="str">
            <v>A (NS)</v>
          </cell>
          <cell r="Q1528" t="str">
            <v>PI</v>
          </cell>
          <cell r="R1528" t="str">
            <v>PERMANENT</v>
          </cell>
          <cell r="S1528" t="str">
            <v>PRM</v>
          </cell>
          <cell r="T1528" t="str">
            <v>PJK</v>
          </cell>
          <cell r="U1528" t="str">
            <v>-</v>
          </cell>
          <cell r="V1528" t="str">
            <v>P</v>
          </cell>
          <cell r="W1528">
            <v>28</v>
          </cell>
        </row>
        <row r="1529">
          <cell r="A1529" t="str">
            <v>B00127</v>
          </cell>
          <cell r="B1529" t="str">
            <v>B00127</v>
          </cell>
          <cell r="C1529" t="str">
            <v>EMMI OKTAVIANI</v>
          </cell>
          <cell r="D1529" t="str">
            <v>SAMI</v>
          </cell>
          <cell r="E1529" t="str">
            <v>BBF-003</v>
          </cell>
          <cell r="F1529">
            <v>40840</v>
          </cell>
          <cell r="G1529" t="str">
            <v>-</v>
          </cell>
          <cell r="H1529" t="str">
            <v>-</v>
          </cell>
          <cell r="I1529" t="str">
            <v>PRD</v>
          </cell>
          <cell r="J1529" t="str">
            <v>FINAL ASSY</v>
          </cell>
          <cell r="K1529" t="str">
            <v>HONDA NES</v>
          </cell>
          <cell r="L1529" t="str">
            <v>HONDA NES HEV PET ENGINE</v>
          </cell>
          <cell r="M1529" t="str">
            <v>CV H04</v>
          </cell>
          <cell r="N1529" t="str">
            <v>VISUAL 2.1</v>
          </cell>
          <cell r="O1529" t="str">
            <v>VISUAL INSPECTION</v>
          </cell>
          <cell r="P1529" t="str">
            <v>B</v>
          </cell>
          <cell r="Q1529" t="str">
            <v>DL</v>
          </cell>
          <cell r="R1529" t="str">
            <v>PERMANENT</v>
          </cell>
          <cell r="S1529" t="str">
            <v>PRM</v>
          </cell>
          <cell r="T1529" t="str">
            <v>OPT</v>
          </cell>
          <cell r="U1529" t="str">
            <v>-</v>
          </cell>
          <cell r="V1529" t="str">
            <v>P</v>
          </cell>
          <cell r="W1529">
            <v>31</v>
          </cell>
        </row>
        <row r="1530">
          <cell r="A1530" t="str">
            <v>B00854</v>
          </cell>
          <cell r="B1530" t="str">
            <v>B00854</v>
          </cell>
          <cell r="C1530" t="str">
            <v>EKO TRI ROHMANTO</v>
          </cell>
          <cell r="D1530" t="str">
            <v>SAMI</v>
          </cell>
          <cell r="E1530" t="str">
            <v>BBF-016</v>
          </cell>
          <cell r="F1530">
            <v>40938</v>
          </cell>
          <cell r="G1530" t="str">
            <v>-</v>
          </cell>
          <cell r="H1530" t="str">
            <v>-</v>
          </cell>
          <cell r="I1530" t="str">
            <v>PRD</v>
          </cell>
          <cell r="J1530" t="str">
            <v>NON LINE</v>
          </cell>
          <cell r="K1530" t="str">
            <v>ALL</v>
          </cell>
          <cell r="L1530" t="str">
            <v>ALL</v>
          </cell>
          <cell r="M1530" t="str">
            <v>TRAINER 1</v>
          </cell>
          <cell r="N1530" t="str">
            <v>TRAINER</v>
          </cell>
          <cell r="O1530" t="str">
            <v>RELIEF</v>
          </cell>
          <cell r="P1530" t="str">
            <v>A (NS)</v>
          </cell>
          <cell r="Q1530" t="str">
            <v>PI</v>
          </cell>
          <cell r="R1530" t="str">
            <v>PERMANENT</v>
          </cell>
          <cell r="S1530" t="str">
            <v>PRM</v>
          </cell>
          <cell r="T1530" t="str">
            <v>PJK</v>
          </cell>
          <cell r="U1530" t="str">
            <v>-</v>
          </cell>
          <cell r="V1530" t="str">
            <v>L</v>
          </cell>
          <cell r="W1530">
            <v>36</v>
          </cell>
        </row>
        <row r="1531">
          <cell r="A1531" t="str">
            <v>B01176</v>
          </cell>
          <cell r="B1531" t="str">
            <v>B01176</v>
          </cell>
          <cell r="C1531" t="str">
            <v>WAHYUNI</v>
          </cell>
          <cell r="D1531" t="str">
            <v>SAMI</v>
          </cell>
          <cell r="E1531" t="str">
            <v>BBF-030</v>
          </cell>
          <cell r="F1531">
            <v>41165</v>
          </cell>
          <cell r="G1531" t="str">
            <v>-</v>
          </cell>
          <cell r="H1531" t="str">
            <v>-</v>
          </cell>
          <cell r="I1531" t="str">
            <v>PRD</v>
          </cell>
          <cell r="J1531" t="str">
            <v>NON LINE</v>
          </cell>
          <cell r="K1531" t="str">
            <v>ALL</v>
          </cell>
          <cell r="L1531" t="str">
            <v>ALL</v>
          </cell>
          <cell r="M1531" t="str">
            <v>TRAINER 1</v>
          </cell>
          <cell r="N1531" t="str">
            <v>TRAINER</v>
          </cell>
          <cell r="O1531" t="str">
            <v>RELIEF</v>
          </cell>
          <cell r="P1531" t="str">
            <v>A (NS)</v>
          </cell>
          <cell r="Q1531" t="str">
            <v>PI</v>
          </cell>
          <cell r="R1531" t="str">
            <v>PERMANENT</v>
          </cell>
          <cell r="S1531" t="str">
            <v>PRM</v>
          </cell>
          <cell r="T1531" t="str">
            <v>PJK</v>
          </cell>
          <cell r="U1531" t="str">
            <v>-</v>
          </cell>
          <cell r="V1531" t="str">
            <v>P</v>
          </cell>
          <cell r="W1531">
            <v>30</v>
          </cell>
        </row>
        <row r="1532">
          <cell r="A1532">
            <v>74</v>
          </cell>
          <cell r="B1532" t="str">
            <v>000074</v>
          </cell>
          <cell r="C1532" t="str">
            <v>TRI UTARI</v>
          </cell>
          <cell r="D1532" t="str">
            <v>SAMI</v>
          </cell>
          <cell r="E1532" t="str">
            <v>OPT-1</v>
          </cell>
          <cell r="F1532">
            <v>37578</v>
          </cell>
          <cell r="G1532" t="str">
            <v>-</v>
          </cell>
          <cell r="H1532" t="str">
            <v>-</v>
          </cell>
          <cell r="I1532" t="str">
            <v>PRD</v>
          </cell>
          <cell r="J1532" t="str">
            <v>NON LINE</v>
          </cell>
          <cell r="K1532" t="str">
            <v>ALL</v>
          </cell>
          <cell r="L1532" t="str">
            <v>ALL</v>
          </cell>
          <cell r="M1532" t="str">
            <v>TRAINER 2</v>
          </cell>
          <cell r="N1532" t="str">
            <v>KONTROL OJT LINE</v>
          </cell>
          <cell r="O1532" t="str">
            <v>GL</v>
          </cell>
          <cell r="P1532" t="str">
            <v>A (NS)</v>
          </cell>
          <cell r="Q1532" t="str">
            <v>PI</v>
          </cell>
          <cell r="R1532" t="str">
            <v>PERMANENT</v>
          </cell>
          <cell r="S1532" t="str">
            <v>PRM</v>
          </cell>
          <cell r="T1532" t="str">
            <v>GL</v>
          </cell>
          <cell r="U1532" t="str">
            <v>-</v>
          </cell>
          <cell r="V1532" t="str">
            <v>P</v>
          </cell>
          <cell r="W1532">
            <v>41</v>
          </cell>
        </row>
        <row r="1533">
          <cell r="A1533">
            <v>213</v>
          </cell>
          <cell r="B1533" t="str">
            <v>000213</v>
          </cell>
          <cell r="C1533" t="str">
            <v>NISWATIN FAUZIAH</v>
          </cell>
          <cell r="D1533" t="str">
            <v>SAMI</v>
          </cell>
          <cell r="E1533" t="str">
            <v>OPT-6</v>
          </cell>
          <cell r="F1533">
            <v>37697</v>
          </cell>
          <cell r="G1533" t="str">
            <v>-</v>
          </cell>
          <cell r="H1533" t="str">
            <v>-</v>
          </cell>
          <cell r="I1533" t="str">
            <v>PRD</v>
          </cell>
          <cell r="J1533" t="str">
            <v>NON LINE</v>
          </cell>
          <cell r="K1533" t="str">
            <v>DAIHATSU</v>
          </cell>
          <cell r="L1533" t="str">
            <v>ALL</v>
          </cell>
          <cell r="M1533" t="str">
            <v>TRAINER 2</v>
          </cell>
          <cell r="N1533" t="str">
            <v>KONTROL OJT LINE</v>
          </cell>
          <cell r="O1533" t="str">
            <v>GL</v>
          </cell>
          <cell r="P1533" t="str">
            <v>A (NS)</v>
          </cell>
          <cell r="Q1533" t="str">
            <v>PI</v>
          </cell>
          <cell r="R1533" t="str">
            <v>PERMANENT</v>
          </cell>
          <cell r="S1533" t="str">
            <v>PRM</v>
          </cell>
          <cell r="T1533" t="str">
            <v>GL</v>
          </cell>
          <cell r="U1533" t="str">
            <v>-</v>
          </cell>
          <cell r="V1533" t="str">
            <v>P</v>
          </cell>
          <cell r="W1533">
            <v>41</v>
          </cell>
        </row>
        <row r="1534">
          <cell r="A1534">
            <v>244</v>
          </cell>
          <cell r="B1534" t="str">
            <v>000244</v>
          </cell>
          <cell r="C1534" t="str">
            <v>SRIANAH</v>
          </cell>
          <cell r="D1534" t="str">
            <v>SAMI</v>
          </cell>
          <cell r="E1534" t="str">
            <v>OPT-7</v>
          </cell>
          <cell r="F1534">
            <v>37704</v>
          </cell>
          <cell r="G1534" t="str">
            <v>-</v>
          </cell>
          <cell r="H1534" t="str">
            <v>-</v>
          </cell>
          <cell r="I1534" t="str">
            <v>PRD</v>
          </cell>
          <cell r="J1534" t="str">
            <v>NON LINE</v>
          </cell>
          <cell r="K1534" t="str">
            <v>ALL</v>
          </cell>
          <cell r="L1534" t="str">
            <v>ALL</v>
          </cell>
          <cell r="M1534" t="str">
            <v>TRAINER 2</v>
          </cell>
          <cell r="N1534" t="str">
            <v>KONTROL OJT LINE</v>
          </cell>
          <cell r="O1534" t="str">
            <v>GL</v>
          </cell>
          <cell r="P1534" t="str">
            <v>A (NS)</v>
          </cell>
          <cell r="Q1534" t="str">
            <v>PI</v>
          </cell>
          <cell r="R1534" t="str">
            <v>PERMANENT</v>
          </cell>
          <cell r="S1534" t="str">
            <v>PRM</v>
          </cell>
          <cell r="T1534" t="str">
            <v>GL</v>
          </cell>
          <cell r="U1534" t="str">
            <v>-</v>
          </cell>
          <cell r="V1534" t="str">
            <v>P</v>
          </cell>
          <cell r="W1534">
            <v>41</v>
          </cell>
        </row>
        <row r="1535">
          <cell r="A1535">
            <v>305</v>
          </cell>
          <cell r="B1535" t="str">
            <v>000305</v>
          </cell>
          <cell r="C1535" t="str">
            <v>SARI RAHAYU</v>
          </cell>
          <cell r="D1535" t="str">
            <v>SAMI</v>
          </cell>
          <cell r="E1535" t="str">
            <v>OPT-9</v>
          </cell>
          <cell r="F1535">
            <v>37725</v>
          </cell>
          <cell r="G1535" t="str">
            <v>-</v>
          </cell>
          <cell r="H1535" t="str">
            <v>-</v>
          </cell>
          <cell r="I1535" t="str">
            <v>PRD</v>
          </cell>
          <cell r="J1535" t="str">
            <v>NON LINE</v>
          </cell>
          <cell r="K1535" t="str">
            <v>DAIHATSU</v>
          </cell>
          <cell r="L1535" t="str">
            <v>ALL</v>
          </cell>
          <cell r="M1535" t="str">
            <v>TRAINER 2</v>
          </cell>
          <cell r="N1535" t="str">
            <v>KONTROL OJT LINE</v>
          </cell>
          <cell r="O1535" t="str">
            <v>GL</v>
          </cell>
          <cell r="P1535" t="str">
            <v>A (NS)</v>
          </cell>
          <cell r="Q1535" t="str">
            <v>PI</v>
          </cell>
          <cell r="R1535" t="str">
            <v>PERMANENT</v>
          </cell>
          <cell r="S1535" t="str">
            <v>PRM</v>
          </cell>
          <cell r="T1535" t="str">
            <v>GL</v>
          </cell>
          <cell r="U1535" t="str">
            <v>-</v>
          </cell>
          <cell r="V1535" t="str">
            <v>P</v>
          </cell>
          <cell r="W1535">
            <v>41</v>
          </cell>
        </row>
        <row r="1536">
          <cell r="A1536">
            <v>389</v>
          </cell>
          <cell r="B1536" t="str">
            <v>000389</v>
          </cell>
          <cell r="C1536" t="str">
            <v>SITI AISAH</v>
          </cell>
          <cell r="D1536" t="str">
            <v>SAMI</v>
          </cell>
          <cell r="E1536" t="str">
            <v>OPT-10</v>
          </cell>
          <cell r="F1536">
            <v>37732</v>
          </cell>
          <cell r="G1536" t="str">
            <v>-</v>
          </cell>
          <cell r="H1536" t="str">
            <v>-</v>
          </cell>
          <cell r="I1536" t="str">
            <v>PRD</v>
          </cell>
          <cell r="J1536" t="str">
            <v>NON LINE</v>
          </cell>
          <cell r="K1536" t="str">
            <v>DAIHATSU</v>
          </cell>
          <cell r="L1536" t="str">
            <v>ALL</v>
          </cell>
          <cell r="M1536" t="str">
            <v>TRAINER 2</v>
          </cell>
          <cell r="N1536" t="str">
            <v>KONTROL OJT LINE</v>
          </cell>
          <cell r="O1536" t="str">
            <v>GL</v>
          </cell>
          <cell r="P1536" t="str">
            <v>A (NS)</v>
          </cell>
          <cell r="Q1536" t="str">
            <v>PI</v>
          </cell>
          <cell r="R1536" t="str">
            <v>PERMANENT</v>
          </cell>
          <cell r="S1536" t="str">
            <v>PRM</v>
          </cell>
          <cell r="T1536" t="str">
            <v>GL</v>
          </cell>
          <cell r="U1536" t="str">
            <v>-</v>
          </cell>
          <cell r="V1536" t="str">
            <v>P</v>
          </cell>
          <cell r="W1536">
            <v>41</v>
          </cell>
        </row>
        <row r="1537">
          <cell r="A1537">
            <v>610</v>
          </cell>
          <cell r="B1537" t="str">
            <v>000610</v>
          </cell>
          <cell r="C1537" t="str">
            <v>EKO DANIATI</v>
          </cell>
          <cell r="D1537" t="str">
            <v>SAMI</v>
          </cell>
          <cell r="E1537" t="str">
            <v>OPT-16</v>
          </cell>
          <cell r="F1537">
            <v>37781</v>
          </cell>
          <cell r="G1537" t="str">
            <v>-</v>
          </cell>
          <cell r="H1537" t="str">
            <v>-</v>
          </cell>
          <cell r="I1537" t="str">
            <v>PRD</v>
          </cell>
          <cell r="J1537" t="str">
            <v>NON LINE</v>
          </cell>
          <cell r="K1537" t="str">
            <v>ALL</v>
          </cell>
          <cell r="L1537" t="str">
            <v>ALL</v>
          </cell>
          <cell r="M1537" t="str">
            <v>TRAINER 2</v>
          </cell>
          <cell r="N1537" t="str">
            <v>QC</v>
          </cell>
          <cell r="O1537" t="str">
            <v>GL</v>
          </cell>
          <cell r="P1537" t="str">
            <v>A (NS)</v>
          </cell>
          <cell r="Q1537" t="str">
            <v>PI</v>
          </cell>
          <cell r="R1537" t="str">
            <v>PERMANENT</v>
          </cell>
          <cell r="S1537" t="str">
            <v>PRM</v>
          </cell>
          <cell r="T1537" t="str">
            <v>GL</v>
          </cell>
          <cell r="U1537" t="str">
            <v>-</v>
          </cell>
          <cell r="V1537" t="str">
            <v>P</v>
          </cell>
          <cell r="W1537">
            <v>41</v>
          </cell>
        </row>
        <row r="1538">
          <cell r="A1538" t="str">
            <v>B00229</v>
          </cell>
          <cell r="B1538" t="str">
            <v>B00229</v>
          </cell>
          <cell r="C1538" t="str">
            <v>SANTI PUJI RAHAYU</v>
          </cell>
          <cell r="D1538" t="str">
            <v>SAMI</v>
          </cell>
          <cell r="E1538" t="str">
            <v>BBF-004</v>
          </cell>
          <cell r="F1538">
            <v>40847</v>
          </cell>
          <cell r="G1538" t="str">
            <v>-</v>
          </cell>
          <cell r="H1538" t="str">
            <v>-</v>
          </cell>
          <cell r="I1538" t="str">
            <v>OTHERS</v>
          </cell>
          <cell r="J1538" t="str">
            <v>AT HOME</v>
          </cell>
          <cell r="K1538" t="str">
            <v>ALL</v>
          </cell>
          <cell r="L1538" t="str">
            <v>ALL</v>
          </cell>
          <cell r="M1538" t="str">
            <v>AT HOME</v>
          </cell>
          <cell r="N1538" t="str">
            <v>CUTI KELAHIRAN</v>
          </cell>
          <cell r="O1538" t="str">
            <v>OTHERS IDL</v>
          </cell>
          <cell r="P1538" t="str">
            <v>-</v>
          </cell>
          <cell r="Q1538" t="str">
            <v>ADM</v>
          </cell>
          <cell r="R1538" t="str">
            <v>PERMANENT</v>
          </cell>
          <cell r="S1538" t="str">
            <v>PRM</v>
          </cell>
          <cell r="T1538" t="str">
            <v>PJK</v>
          </cell>
          <cell r="U1538" t="str">
            <v>-</v>
          </cell>
          <cell r="V1538" t="str">
            <v>P</v>
          </cell>
          <cell r="W1538">
            <v>31</v>
          </cell>
        </row>
        <row r="1539">
          <cell r="A1539" t="str">
            <v>B00273</v>
          </cell>
          <cell r="B1539" t="str">
            <v>B00273</v>
          </cell>
          <cell r="C1539" t="str">
            <v>DEWI KHOLIFAH</v>
          </cell>
          <cell r="D1539" t="str">
            <v>SAMI</v>
          </cell>
          <cell r="E1539" t="str">
            <v>BBF-005</v>
          </cell>
          <cell r="F1539">
            <v>40854</v>
          </cell>
          <cell r="G1539" t="str">
            <v>-</v>
          </cell>
          <cell r="H1539" t="str">
            <v>-</v>
          </cell>
          <cell r="I1539" t="str">
            <v>QA</v>
          </cell>
          <cell r="J1539" t="str">
            <v>PRE ASSY</v>
          </cell>
          <cell r="K1539" t="str">
            <v>MAZDA 3</v>
          </cell>
          <cell r="L1539" t="str">
            <v>MAZDA REAR</v>
          </cell>
          <cell r="M1539" t="str">
            <v>CPA MAZDA J03</v>
          </cell>
          <cell r="N1539" t="str">
            <v>INSP TENSILE</v>
          </cell>
          <cell r="O1539" t="str">
            <v>TENSILE TEST</v>
          </cell>
          <cell r="P1539" t="str">
            <v>B</v>
          </cell>
          <cell r="Q1539" t="str">
            <v>PS</v>
          </cell>
          <cell r="R1539" t="str">
            <v>PERMANENT</v>
          </cell>
          <cell r="S1539" t="str">
            <v>PRM</v>
          </cell>
          <cell r="T1539" t="str">
            <v>OPT</v>
          </cell>
          <cell r="U1539" t="str">
            <v>-</v>
          </cell>
          <cell r="V1539" t="str">
            <v>P</v>
          </cell>
          <cell r="W1539">
            <v>32</v>
          </cell>
        </row>
        <row r="1540">
          <cell r="A1540" t="str">
            <v>B00284</v>
          </cell>
          <cell r="B1540" t="str">
            <v>B00284</v>
          </cell>
          <cell r="C1540" t="str">
            <v>ESTER SARI SETYANINGRUM</v>
          </cell>
          <cell r="D1540" t="str">
            <v>SAMI</v>
          </cell>
          <cell r="E1540" t="str">
            <v>BBF-005</v>
          </cell>
          <cell r="F1540">
            <v>40854</v>
          </cell>
          <cell r="G1540" t="str">
            <v>-</v>
          </cell>
          <cell r="H1540" t="str">
            <v>-</v>
          </cell>
          <cell r="I1540" t="str">
            <v>PRD</v>
          </cell>
          <cell r="J1540" t="str">
            <v>PRE ASSY</v>
          </cell>
          <cell r="K1540" t="str">
            <v>MAZDA ATENZA</v>
          </cell>
          <cell r="L1540" t="str">
            <v>MAZDA J72A</v>
          </cell>
          <cell r="M1540" t="str">
            <v>CPA MAZDA CX-5</v>
          </cell>
          <cell r="N1540" t="str">
            <v>INSP CUTTING</v>
          </cell>
          <cell r="O1540" t="str">
            <v>P/A INSPECTOR</v>
          </cell>
          <cell r="P1540" t="str">
            <v>B</v>
          </cell>
          <cell r="Q1540" t="str">
            <v>PI</v>
          </cell>
          <cell r="R1540" t="str">
            <v>PERMANENT</v>
          </cell>
          <cell r="S1540" t="str">
            <v>PRM</v>
          </cell>
          <cell r="T1540" t="str">
            <v>OPT</v>
          </cell>
          <cell r="U1540" t="str">
            <v>-</v>
          </cell>
          <cell r="V1540" t="str">
            <v>P</v>
          </cell>
          <cell r="W1540">
            <v>32</v>
          </cell>
        </row>
        <row r="1541">
          <cell r="A1541" t="str">
            <v>B00314</v>
          </cell>
          <cell r="B1541" t="str">
            <v>B00314</v>
          </cell>
          <cell r="C1541" t="str">
            <v>MEIRATARI MARACHITA</v>
          </cell>
          <cell r="D1541" t="str">
            <v>SAMI</v>
          </cell>
          <cell r="E1541" t="str">
            <v>BBF-005</v>
          </cell>
          <cell r="F1541">
            <v>40854</v>
          </cell>
          <cell r="G1541" t="str">
            <v>-</v>
          </cell>
          <cell r="H1541" t="str">
            <v>-</v>
          </cell>
          <cell r="I1541" t="str">
            <v>PRD</v>
          </cell>
          <cell r="J1541" t="str">
            <v>FINAL ASSY</v>
          </cell>
          <cell r="K1541" t="str">
            <v>TOYOTA</v>
          </cell>
          <cell r="L1541" t="str">
            <v>AQUA SIENTA</v>
          </cell>
          <cell r="M1541" t="str">
            <v>CV T01</v>
          </cell>
          <cell r="N1541" t="str">
            <v>OJT VISUAL 2.1</v>
          </cell>
          <cell r="O1541" t="str">
            <v>OTHERS</v>
          </cell>
          <cell r="P1541" t="str">
            <v>B</v>
          </cell>
          <cell r="Q1541" t="str">
            <v>PI</v>
          </cell>
          <cell r="R1541" t="str">
            <v>PERMANENT</v>
          </cell>
          <cell r="S1541" t="str">
            <v>PRM</v>
          </cell>
          <cell r="T1541" t="str">
            <v>OPT</v>
          </cell>
          <cell r="U1541" t="str">
            <v>-</v>
          </cell>
          <cell r="V1541" t="str">
            <v>P</v>
          </cell>
          <cell r="W1541">
            <v>32</v>
          </cell>
        </row>
        <row r="1542">
          <cell r="A1542" t="str">
            <v>B00329</v>
          </cell>
          <cell r="B1542" t="str">
            <v>B00329</v>
          </cell>
          <cell r="C1542" t="str">
            <v>PUJI LESTARI</v>
          </cell>
          <cell r="D1542" t="str">
            <v>SAMI</v>
          </cell>
          <cell r="E1542" t="str">
            <v>BBF-005</v>
          </cell>
          <cell r="F1542">
            <v>40854</v>
          </cell>
          <cell r="G1542" t="str">
            <v>-</v>
          </cell>
          <cell r="H1542" t="str">
            <v>-</v>
          </cell>
          <cell r="I1542" t="str">
            <v>PRD</v>
          </cell>
          <cell r="J1542" t="str">
            <v>PRE ASSY</v>
          </cell>
          <cell r="K1542" t="str">
            <v>HONDA NES</v>
          </cell>
          <cell r="L1542" t="str">
            <v>HONDA NES</v>
          </cell>
          <cell r="M1542" t="str">
            <v>CPA HONDA NES HEV/PET</v>
          </cell>
          <cell r="N1542" t="str">
            <v>INSP DOUBLE CHECK</v>
          </cell>
          <cell r="O1542" t="str">
            <v>P/A INSPECTOR</v>
          </cell>
          <cell r="P1542" t="str">
            <v>B</v>
          </cell>
          <cell r="Q1542" t="str">
            <v>PI</v>
          </cell>
          <cell r="R1542" t="str">
            <v>PERMANENT</v>
          </cell>
          <cell r="S1542" t="str">
            <v>PRM</v>
          </cell>
          <cell r="T1542" t="str">
            <v>OPT</v>
          </cell>
          <cell r="U1542" t="str">
            <v>-</v>
          </cell>
          <cell r="V1542" t="str">
            <v>P</v>
          </cell>
          <cell r="W1542">
            <v>36</v>
          </cell>
        </row>
        <row r="1543">
          <cell r="A1543" t="str">
            <v>B00362</v>
          </cell>
          <cell r="B1543" t="str">
            <v>B00362</v>
          </cell>
          <cell r="C1543" t="str">
            <v>ETIK SURYANI</v>
          </cell>
          <cell r="D1543" t="str">
            <v>SAMI</v>
          </cell>
          <cell r="E1543" t="str">
            <v>BBF-006</v>
          </cell>
          <cell r="F1543">
            <v>40861</v>
          </cell>
          <cell r="G1543" t="str">
            <v>-</v>
          </cell>
          <cell r="H1543" t="str">
            <v>-</v>
          </cell>
          <cell r="I1543" t="str">
            <v>PRD</v>
          </cell>
          <cell r="J1543" t="str">
            <v>FINAL ASSY</v>
          </cell>
          <cell r="K1543" t="str">
            <v>HONDA FIT</v>
          </cell>
          <cell r="L1543" t="str">
            <v>HONDA FIT HEV PET ENGINE</v>
          </cell>
          <cell r="M1543" t="str">
            <v>CV H02</v>
          </cell>
          <cell r="N1543" t="str">
            <v>VISUAL 1.3</v>
          </cell>
          <cell r="O1543" t="str">
            <v>VISUAL INSPECTION</v>
          </cell>
          <cell r="P1543" t="str">
            <v>B</v>
          </cell>
          <cell r="Q1543" t="str">
            <v>DL</v>
          </cell>
          <cell r="R1543" t="str">
            <v>PERMANENT</v>
          </cell>
          <cell r="S1543" t="str">
            <v>PRM</v>
          </cell>
          <cell r="T1543" t="str">
            <v>OPT</v>
          </cell>
          <cell r="U1543" t="str">
            <v>-</v>
          </cell>
          <cell r="V1543" t="str">
            <v>P</v>
          </cell>
          <cell r="W1543">
            <v>37</v>
          </cell>
        </row>
        <row r="1544">
          <cell r="A1544" t="str">
            <v>B00428</v>
          </cell>
          <cell r="B1544" t="str">
            <v>B00428</v>
          </cell>
          <cell r="C1544" t="str">
            <v>DWI ANGGAR SULISTYO</v>
          </cell>
          <cell r="D1544" t="str">
            <v>SAMI</v>
          </cell>
          <cell r="E1544" t="str">
            <v>BBF-007</v>
          </cell>
          <cell r="F1544">
            <v>40868</v>
          </cell>
          <cell r="G1544" t="str">
            <v>-</v>
          </cell>
          <cell r="H1544" t="str">
            <v>-</v>
          </cell>
          <cell r="I1544" t="str">
            <v>QA</v>
          </cell>
          <cell r="J1544" t="str">
            <v>FINAL ASSY</v>
          </cell>
          <cell r="K1544" t="str">
            <v>HONDA NES</v>
          </cell>
          <cell r="L1544" t="str">
            <v>HONDA NES HEV PET ENGINE</v>
          </cell>
          <cell r="M1544" t="str">
            <v>CV H04</v>
          </cell>
          <cell r="N1544" t="str">
            <v>GL INSPECTION</v>
          </cell>
          <cell r="O1544" t="str">
            <v>GL</v>
          </cell>
          <cell r="P1544" t="str">
            <v>B</v>
          </cell>
          <cell r="Q1544" t="str">
            <v>PI</v>
          </cell>
          <cell r="R1544" t="str">
            <v>PERMANENT</v>
          </cell>
          <cell r="S1544" t="str">
            <v>PRM</v>
          </cell>
          <cell r="T1544" t="str">
            <v>GL</v>
          </cell>
          <cell r="U1544" t="str">
            <v>-</v>
          </cell>
          <cell r="V1544" t="str">
            <v>L</v>
          </cell>
          <cell r="W1544">
            <v>38</v>
          </cell>
        </row>
        <row r="1545">
          <cell r="A1545">
            <v>726</v>
          </cell>
          <cell r="B1545" t="str">
            <v>000726</v>
          </cell>
          <cell r="C1545" t="str">
            <v>NOVI WIDARYANTI</v>
          </cell>
          <cell r="D1545" t="str">
            <v>SAMI</v>
          </cell>
          <cell r="E1545" t="str">
            <v>OPT-19</v>
          </cell>
          <cell r="F1545">
            <v>37816</v>
          </cell>
          <cell r="G1545" t="str">
            <v>-</v>
          </cell>
          <cell r="H1545" t="str">
            <v>-</v>
          </cell>
          <cell r="I1545" t="str">
            <v>PRD</v>
          </cell>
          <cell r="J1545" t="str">
            <v>NON LINE</v>
          </cell>
          <cell r="K1545" t="str">
            <v>ALL</v>
          </cell>
          <cell r="L1545" t="str">
            <v>ALL</v>
          </cell>
          <cell r="M1545" t="str">
            <v>TRAINER 2</v>
          </cell>
          <cell r="N1545" t="str">
            <v>BUFFER</v>
          </cell>
          <cell r="O1545" t="str">
            <v>OTHERS</v>
          </cell>
          <cell r="P1545" t="str">
            <v>A (NS)</v>
          </cell>
          <cell r="Q1545" t="str">
            <v>PI</v>
          </cell>
          <cell r="R1545" t="str">
            <v>PERMANENT</v>
          </cell>
          <cell r="S1545" t="str">
            <v>PRM</v>
          </cell>
          <cell r="T1545" t="str">
            <v>OPT</v>
          </cell>
          <cell r="U1545" t="str">
            <v>-</v>
          </cell>
          <cell r="V1545" t="str">
            <v>P</v>
          </cell>
          <cell r="W1545">
            <v>41</v>
          </cell>
        </row>
        <row r="1546">
          <cell r="A1546" t="str">
            <v>B00441</v>
          </cell>
          <cell r="B1546" t="str">
            <v>B00441</v>
          </cell>
          <cell r="C1546" t="str">
            <v>FERDY ANSYAH</v>
          </cell>
          <cell r="D1546" t="str">
            <v>SAMI</v>
          </cell>
          <cell r="E1546" t="str">
            <v>BBF-007</v>
          </cell>
          <cell r="F1546">
            <v>40868</v>
          </cell>
          <cell r="G1546" t="str">
            <v>-</v>
          </cell>
          <cell r="H1546" t="str">
            <v>-</v>
          </cell>
          <cell r="I1546" t="str">
            <v>PRD</v>
          </cell>
          <cell r="J1546" t="str">
            <v>FINAL ASSY</v>
          </cell>
          <cell r="K1546" t="str">
            <v>HONDA NES</v>
          </cell>
          <cell r="L1546" t="str">
            <v>HONDA NES HEV PET ENGINE</v>
          </cell>
          <cell r="M1546" t="str">
            <v>CV H04</v>
          </cell>
          <cell r="N1546" t="str">
            <v>SHIAGE 3</v>
          </cell>
          <cell r="O1546" t="str">
            <v>ASSEMBLY</v>
          </cell>
          <cell r="P1546" t="str">
            <v>B</v>
          </cell>
          <cell r="Q1546" t="str">
            <v>DL</v>
          </cell>
          <cell r="R1546" t="str">
            <v>PERMANENT</v>
          </cell>
          <cell r="S1546" t="str">
            <v>PRM</v>
          </cell>
          <cell r="T1546" t="str">
            <v>OPT</v>
          </cell>
          <cell r="U1546" t="str">
            <v>-</v>
          </cell>
          <cell r="V1546" t="str">
            <v>L</v>
          </cell>
          <cell r="W1546">
            <v>33</v>
          </cell>
        </row>
        <row r="1547">
          <cell r="A1547">
            <v>1081</v>
          </cell>
          <cell r="B1547" t="str">
            <v>001081</v>
          </cell>
          <cell r="C1547" t="str">
            <v>SRI PURWANTI</v>
          </cell>
          <cell r="D1547" t="str">
            <v>SAMI</v>
          </cell>
          <cell r="E1547" t="str">
            <v>OPT-27</v>
          </cell>
          <cell r="F1547">
            <v>37887</v>
          </cell>
          <cell r="G1547" t="str">
            <v>-</v>
          </cell>
          <cell r="H1547" t="str">
            <v>-</v>
          </cell>
          <cell r="I1547" t="str">
            <v>PRD</v>
          </cell>
          <cell r="J1547" t="str">
            <v>NON LINE</v>
          </cell>
          <cell r="K1547" t="str">
            <v>ALL</v>
          </cell>
          <cell r="L1547" t="str">
            <v>ALL</v>
          </cell>
          <cell r="M1547" t="str">
            <v>TRAINER 2</v>
          </cell>
          <cell r="N1547" t="str">
            <v>CUTI KELAHIRAN</v>
          </cell>
          <cell r="O1547" t="str">
            <v>OTHERS</v>
          </cell>
          <cell r="P1547" t="str">
            <v>A (NS)</v>
          </cell>
          <cell r="Q1547" t="str">
            <v>PI</v>
          </cell>
          <cell r="R1547" t="str">
            <v>PERMANENT</v>
          </cell>
          <cell r="S1547" t="str">
            <v>PRM</v>
          </cell>
          <cell r="T1547" t="str">
            <v>GL</v>
          </cell>
          <cell r="U1547" t="str">
            <v>-</v>
          </cell>
          <cell r="V1547" t="str">
            <v>P</v>
          </cell>
          <cell r="W1547">
            <v>39</v>
          </cell>
        </row>
        <row r="1548">
          <cell r="A1548">
            <v>5796</v>
          </cell>
          <cell r="B1548" t="str">
            <v>005796</v>
          </cell>
          <cell r="C1548" t="str">
            <v>PUJI HARJANTI</v>
          </cell>
          <cell r="D1548" t="str">
            <v>SAMI</v>
          </cell>
          <cell r="E1548" t="str">
            <v>OPT-135</v>
          </cell>
          <cell r="F1548">
            <v>39114</v>
          </cell>
          <cell r="G1548" t="str">
            <v>-</v>
          </cell>
          <cell r="H1548" t="str">
            <v>-</v>
          </cell>
          <cell r="I1548" t="str">
            <v>PRD</v>
          </cell>
          <cell r="J1548" t="str">
            <v>NON LINE</v>
          </cell>
          <cell r="K1548" t="str">
            <v>ALL</v>
          </cell>
          <cell r="L1548" t="str">
            <v>ALL</v>
          </cell>
          <cell r="M1548" t="str">
            <v>TRAINER 2</v>
          </cell>
          <cell r="N1548" t="str">
            <v>QC</v>
          </cell>
          <cell r="O1548" t="str">
            <v>RELIEF</v>
          </cell>
          <cell r="P1548" t="str">
            <v>A (NS)</v>
          </cell>
          <cell r="Q1548" t="str">
            <v>PI</v>
          </cell>
          <cell r="R1548" t="str">
            <v>PERMANENT</v>
          </cell>
          <cell r="S1548" t="str">
            <v>PRM</v>
          </cell>
          <cell r="T1548" t="str">
            <v>PJK</v>
          </cell>
          <cell r="U1548" t="str">
            <v>-</v>
          </cell>
          <cell r="V1548" t="str">
            <v>P</v>
          </cell>
          <cell r="W1548">
            <v>38</v>
          </cell>
        </row>
        <row r="1549">
          <cell r="A1549">
            <v>5813</v>
          </cell>
          <cell r="B1549" t="str">
            <v>005813</v>
          </cell>
          <cell r="C1549" t="str">
            <v>SITI YULI QOIFAH</v>
          </cell>
          <cell r="D1549" t="str">
            <v>SAMI</v>
          </cell>
          <cell r="E1549" t="str">
            <v>OPT-135</v>
          </cell>
          <cell r="F1549">
            <v>39114</v>
          </cell>
          <cell r="G1549" t="str">
            <v>-</v>
          </cell>
          <cell r="H1549" t="str">
            <v>-</v>
          </cell>
          <cell r="I1549" t="str">
            <v>PRD</v>
          </cell>
          <cell r="J1549" t="str">
            <v>NON LINE</v>
          </cell>
          <cell r="K1549" t="str">
            <v>DAIHATSU</v>
          </cell>
          <cell r="L1549" t="str">
            <v>ALL</v>
          </cell>
          <cell r="M1549" t="str">
            <v>TRAINER 2</v>
          </cell>
          <cell r="N1549" t="str">
            <v>KONTROL OJT LINE</v>
          </cell>
          <cell r="O1549" t="str">
            <v>GL</v>
          </cell>
          <cell r="P1549" t="str">
            <v>A (NS)</v>
          </cell>
          <cell r="Q1549" t="str">
            <v>PI</v>
          </cell>
          <cell r="R1549" t="str">
            <v>PERMANENT</v>
          </cell>
          <cell r="S1549" t="str">
            <v>PRM</v>
          </cell>
          <cell r="T1549" t="str">
            <v>GL</v>
          </cell>
          <cell r="U1549" t="str">
            <v>-</v>
          </cell>
          <cell r="V1549" t="str">
            <v>P</v>
          </cell>
          <cell r="W1549">
            <v>39</v>
          </cell>
        </row>
        <row r="1550">
          <cell r="A1550">
            <v>5948</v>
          </cell>
          <cell r="B1550" t="str">
            <v>005948</v>
          </cell>
          <cell r="C1550" t="str">
            <v>SRIYANTI</v>
          </cell>
          <cell r="D1550" t="str">
            <v>SAMI</v>
          </cell>
          <cell r="E1550" t="str">
            <v>OPT-137</v>
          </cell>
          <cell r="F1550">
            <v>39129</v>
          </cell>
          <cell r="G1550" t="str">
            <v>-</v>
          </cell>
          <cell r="H1550" t="str">
            <v>-</v>
          </cell>
          <cell r="I1550" t="str">
            <v>PRD</v>
          </cell>
          <cell r="J1550" t="str">
            <v>NON LINE</v>
          </cell>
          <cell r="K1550" t="str">
            <v>ALL</v>
          </cell>
          <cell r="L1550" t="str">
            <v>ALL</v>
          </cell>
          <cell r="M1550" t="str">
            <v>TRAINER 2</v>
          </cell>
          <cell r="N1550" t="str">
            <v>QC</v>
          </cell>
          <cell r="O1550" t="str">
            <v>GL</v>
          </cell>
          <cell r="P1550" t="str">
            <v>A (NS)</v>
          </cell>
          <cell r="Q1550" t="str">
            <v>PI</v>
          </cell>
          <cell r="R1550" t="str">
            <v>PERMANENT</v>
          </cell>
          <cell r="S1550" t="str">
            <v>PRM</v>
          </cell>
          <cell r="T1550" t="str">
            <v>GL</v>
          </cell>
          <cell r="U1550" t="str">
            <v>-</v>
          </cell>
          <cell r="V1550" t="str">
            <v>P</v>
          </cell>
          <cell r="W1550">
            <v>39</v>
          </cell>
        </row>
        <row r="1551">
          <cell r="A1551" t="str">
            <v>B00558</v>
          </cell>
          <cell r="B1551" t="str">
            <v>B00558</v>
          </cell>
          <cell r="C1551" t="str">
            <v>YULFAN TAUFIK</v>
          </cell>
          <cell r="D1551" t="str">
            <v>SAMI</v>
          </cell>
          <cell r="E1551" t="str">
            <v>BBF-008</v>
          </cell>
          <cell r="F1551">
            <v>40875</v>
          </cell>
          <cell r="G1551" t="str">
            <v>-</v>
          </cell>
          <cell r="H1551" t="str">
            <v>-</v>
          </cell>
          <cell r="I1551" t="str">
            <v>LOG</v>
          </cell>
          <cell r="J1551" t="str">
            <v>L. DOCK</v>
          </cell>
          <cell r="K1551" t="str">
            <v>ALL</v>
          </cell>
          <cell r="L1551" t="str">
            <v>ALL</v>
          </cell>
          <cell r="M1551" t="str">
            <v>L. DOCK</v>
          </cell>
          <cell r="N1551" t="str">
            <v>L. DOCK</v>
          </cell>
          <cell r="O1551" t="str">
            <v>LD</v>
          </cell>
          <cell r="P1551" t="str">
            <v>A</v>
          </cell>
          <cell r="Q1551" t="str">
            <v>PS</v>
          </cell>
          <cell r="R1551" t="str">
            <v>PERMANENT</v>
          </cell>
          <cell r="S1551" t="str">
            <v>PRM</v>
          </cell>
          <cell r="T1551" t="str">
            <v>OPT</v>
          </cell>
          <cell r="U1551" t="str">
            <v>-</v>
          </cell>
          <cell r="V1551" t="str">
            <v>L</v>
          </cell>
          <cell r="W1551">
            <v>38</v>
          </cell>
        </row>
        <row r="1552">
          <cell r="A1552" t="str">
            <v>B00577</v>
          </cell>
          <cell r="B1552" t="str">
            <v>B00577</v>
          </cell>
          <cell r="C1552" t="str">
            <v>GHOFAR ABDUL GANI</v>
          </cell>
          <cell r="D1552" t="str">
            <v>SAMI</v>
          </cell>
          <cell r="E1552" t="str">
            <v>BBF-009</v>
          </cell>
          <cell r="F1552">
            <v>40882</v>
          </cell>
          <cell r="G1552" t="str">
            <v>-</v>
          </cell>
          <cell r="H1552" t="str">
            <v>-</v>
          </cell>
          <cell r="I1552" t="str">
            <v>QA</v>
          </cell>
          <cell r="J1552" t="str">
            <v>NON LINE</v>
          </cell>
          <cell r="K1552" t="str">
            <v>ALL</v>
          </cell>
          <cell r="L1552" t="str">
            <v>ALL</v>
          </cell>
          <cell r="M1552" t="str">
            <v>CALLIBRATION OF TOOL</v>
          </cell>
          <cell r="N1552" t="str">
            <v>ADMINISTRATION</v>
          </cell>
          <cell r="O1552" t="str">
            <v>QS</v>
          </cell>
          <cell r="P1552" t="str">
            <v>A</v>
          </cell>
          <cell r="Q1552" t="str">
            <v>PS</v>
          </cell>
          <cell r="R1552" t="str">
            <v>PERMANENT</v>
          </cell>
          <cell r="S1552" t="str">
            <v>PRM</v>
          </cell>
          <cell r="T1552" t="str">
            <v>OPT</v>
          </cell>
          <cell r="U1552" t="str">
            <v>-</v>
          </cell>
          <cell r="V1552" t="str">
            <v>L</v>
          </cell>
          <cell r="W1552">
            <v>33</v>
          </cell>
        </row>
        <row r="1553">
          <cell r="A1553">
            <v>6061</v>
          </cell>
          <cell r="B1553" t="str">
            <v>006061</v>
          </cell>
          <cell r="C1553" t="str">
            <v>KALISTIYAH</v>
          </cell>
          <cell r="D1553" t="str">
            <v>SAMI</v>
          </cell>
          <cell r="E1553" t="str">
            <v>OPT-139</v>
          </cell>
          <cell r="F1553">
            <v>39142</v>
          </cell>
          <cell r="G1553" t="str">
            <v>-</v>
          </cell>
          <cell r="H1553" t="str">
            <v>-</v>
          </cell>
          <cell r="I1553" t="str">
            <v>PRD</v>
          </cell>
          <cell r="J1553" t="str">
            <v>NON LINE</v>
          </cell>
          <cell r="K1553" t="str">
            <v>ALL</v>
          </cell>
          <cell r="L1553" t="str">
            <v>ALL</v>
          </cell>
          <cell r="M1553" t="str">
            <v>TRAINER 2</v>
          </cell>
          <cell r="N1553" t="str">
            <v>PRD LINE LEADER</v>
          </cell>
          <cell r="O1553" t="str">
            <v>FPI LL</v>
          </cell>
          <cell r="P1553" t="str">
            <v>A</v>
          </cell>
          <cell r="Q1553" t="str">
            <v>PI</v>
          </cell>
          <cell r="R1553" t="str">
            <v>PERMANENT</v>
          </cell>
          <cell r="S1553" t="str">
            <v>PRM</v>
          </cell>
          <cell r="T1553" t="str">
            <v>LL</v>
          </cell>
          <cell r="U1553" t="str">
            <v>-</v>
          </cell>
          <cell r="V1553" t="str">
            <v>P</v>
          </cell>
          <cell r="W1553">
            <v>39</v>
          </cell>
        </row>
        <row r="1554">
          <cell r="A1554" t="str">
            <v>B00599</v>
          </cell>
          <cell r="B1554" t="str">
            <v>B00599</v>
          </cell>
          <cell r="C1554" t="str">
            <v>SITI SUNDARI</v>
          </cell>
          <cell r="D1554" t="str">
            <v>SAMI</v>
          </cell>
          <cell r="E1554" t="str">
            <v>BBF-009</v>
          </cell>
          <cell r="F1554">
            <v>40882</v>
          </cell>
          <cell r="G1554" t="str">
            <v>-</v>
          </cell>
          <cell r="H1554" t="str">
            <v>-</v>
          </cell>
          <cell r="I1554" t="str">
            <v>PRD</v>
          </cell>
          <cell r="J1554" t="str">
            <v>PRE ASSY</v>
          </cell>
          <cell r="K1554" t="str">
            <v>HONDA BBP</v>
          </cell>
          <cell r="L1554" t="str">
            <v>HV HONDA 5JLA BBP</v>
          </cell>
          <cell r="M1554" t="str">
            <v>CPA HONDA HV</v>
          </cell>
          <cell r="N1554" t="str">
            <v>CUTTING AC81-H-02</v>
          </cell>
          <cell r="O1554" t="str">
            <v>CUTTING WIRE</v>
          </cell>
          <cell r="P1554" t="str">
            <v>B</v>
          </cell>
          <cell r="Q1554" t="str">
            <v>DL</v>
          </cell>
          <cell r="R1554" t="str">
            <v>PERMANENT</v>
          </cell>
          <cell r="S1554" t="str">
            <v>PRM</v>
          </cell>
          <cell r="T1554" t="str">
            <v>OPT</v>
          </cell>
          <cell r="U1554" t="str">
            <v>-</v>
          </cell>
          <cell r="V1554" t="str">
            <v>P</v>
          </cell>
          <cell r="W1554">
            <v>34</v>
          </cell>
        </row>
        <row r="1555">
          <cell r="A1555" t="str">
            <v>B00630</v>
          </cell>
          <cell r="B1555" t="str">
            <v>B00630</v>
          </cell>
          <cell r="C1555" t="str">
            <v>NOVINA TRISNA SAPUTRI</v>
          </cell>
          <cell r="D1555" t="str">
            <v>SAMI</v>
          </cell>
          <cell r="E1555" t="str">
            <v>BBF-010</v>
          </cell>
          <cell r="F1555">
            <v>40889</v>
          </cell>
          <cell r="G1555" t="str">
            <v>-</v>
          </cell>
          <cell r="H1555" t="str">
            <v>-</v>
          </cell>
          <cell r="I1555" t="str">
            <v>PRD</v>
          </cell>
          <cell r="J1555" t="str">
            <v>FINAL ASSY</v>
          </cell>
          <cell r="K1555" t="str">
            <v>HONDA FIT</v>
          </cell>
          <cell r="L1555" t="str">
            <v>HONDA FIT HEV PET ENGINE</v>
          </cell>
          <cell r="M1555" t="str">
            <v>CV H02</v>
          </cell>
          <cell r="N1555" t="str">
            <v>S/A AB</v>
          </cell>
          <cell r="O1555" t="str">
            <v>SUB ASSY</v>
          </cell>
          <cell r="P1555" t="str">
            <v>B</v>
          </cell>
          <cell r="Q1555" t="str">
            <v>DL</v>
          </cell>
          <cell r="R1555" t="str">
            <v>PERMANENT</v>
          </cell>
          <cell r="S1555" t="str">
            <v>PRM</v>
          </cell>
          <cell r="T1555" t="str">
            <v>OPT</v>
          </cell>
          <cell r="U1555" t="str">
            <v>-</v>
          </cell>
          <cell r="V1555" t="str">
            <v>P</v>
          </cell>
          <cell r="W1555">
            <v>36</v>
          </cell>
        </row>
        <row r="1556">
          <cell r="A1556">
            <v>8663</v>
          </cell>
          <cell r="B1556" t="str">
            <v>008663</v>
          </cell>
          <cell r="C1556" t="str">
            <v>SITI KOMARIYAH</v>
          </cell>
          <cell r="D1556" t="str">
            <v>SAMI</v>
          </cell>
          <cell r="E1556" t="str">
            <v>OPT-189</v>
          </cell>
          <cell r="F1556">
            <v>39878</v>
          </cell>
          <cell r="G1556" t="str">
            <v>-</v>
          </cell>
          <cell r="H1556" t="str">
            <v>-</v>
          </cell>
          <cell r="I1556" t="str">
            <v>PRD</v>
          </cell>
          <cell r="J1556" t="str">
            <v>NON LINE</v>
          </cell>
          <cell r="K1556" t="str">
            <v>ALL</v>
          </cell>
          <cell r="L1556" t="str">
            <v>ALL</v>
          </cell>
          <cell r="M1556" t="str">
            <v>TRAINER 2</v>
          </cell>
          <cell r="N1556" t="str">
            <v>QC</v>
          </cell>
          <cell r="O1556" t="str">
            <v>GL</v>
          </cell>
          <cell r="P1556" t="str">
            <v>A (NS)</v>
          </cell>
          <cell r="Q1556" t="str">
            <v>PI</v>
          </cell>
          <cell r="R1556" t="str">
            <v>PERMANENT</v>
          </cell>
          <cell r="S1556" t="str">
            <v>PRM</v>
          </cell>
          <cell r="T1556" t="str">
            <v>GL</v>
          </cell>
          <cell r="U1556" t="str">
            <v>-</v>
          </cell>
          <cell r="V1556" t="str">
            <v>P</v>
          </cell>
          <cell r="W1556">
            <v>34</v>
          </cell>
        </row>
        <row r="1557">
          <cell r="A1557">
            <v>8798</v>
          </cell>
          <cell r="B1557" t="str">
            <v>008798</v>
          </cell>
          <cell r="C1557" t="str">
            <v>SRI HIDAYATI</v>
          </cell>
          <cell r="D1557" t="str">
            <v>SAMI</v>
          </cell>
          <cell r="E1557" t="str">
            <v>OPT-194</v>
          </cell>
          <cell r="F1557">
            <v>39931</v>
          </cell>
          <cell r="G1557" t="str">
            <v>-</v>
          </cell>
          <cell r="H1557" t="str">
            <v>-</v>
          </cell>
          <cell r="I1557" t="str">
            <v>PRD</v>
          </cell>
          <cell r="J1557" t="str">
            <v>NON LINE</v>
          </cell>
          <cell r="K1557" t="str">
            <v>ALL</v>
          </cell>
          <cell r="L1557" t="str">
            <v>ALL</v>
          </cell>
          <cell r="M1557" t="str">
            <v>TRAINER 2</v>
          </cell>
          <cell r="N1557" t="str">
            <v>BUFFER</v>
          </cell>
          <cell r="O1557" t="str">
            <v>OTHERS</v>
          </cell>
          <cell r="P1557" t="str">
            <v>A (NS)</v>
          </cell>
          <cell r="Q1557" t="str">
            <v>PI</v>
          </cell>
          <cell r="R1557" t="str">
            <v>PERMANENT</v>
          </cell>
          <cell r="S1557" t="str">
            <v>PRM</v>
          </cell>
          <cell r="T1557" t="str">
            <v>OPT</v>
          </cell>
          <cell r="U1557" t="str">
            <v>-</v>
          </cell>
          <cell r="V1557" t="str">
            <v>P</v>
          </cell>
          <cell r="W1557">
            <v>35</v>
          </cell>
        </row>
        <row r="1558">
          <cell r="A1558" t="str">
            <v>B00677</v>
          </cell>
          <cell r="B1558" t="str">
            <v>B00677</v>
          </cell>
          <cell r="C1558" t="str">
            <v>INAYATUN NURHIKMAWATI</v>
          </cell>
          <cell r="D1558" t="str">
            <v>SAMI</v>
          </cell>
          <cell r="E1558" t="str">
            <v>BBF-011</v>
          </cell>
          <cell r="F1558">
            <v>40896</v>
          </cell>
          <cell r="G1558" t="str">
            <v>-</v>
          </cell>
          <cell r="H1558" t="str">
            <v>-</v>
          </cell>
          <cell r="I1558" t="str">
            <v>PRD</v>
          </cell>
          <cell r="J1558" t="str">
            <v>PRE ASSY</v>
          </cell>
          <cell r="K1558" t="str">
            <v>HONDA BBP</v>
          </cell>
          <cell r="L1558" t="str">
            <v>HV HONDA 5JLA BBP</v>
          </cell>
          <cell r="M1558" t="str">
            <v>CPA HONDA HV</v>
          </cell>
          <cell r="N1558" t="str">
            <v>INSP CUTTING</v>
          </cell>
          <cell r="O1558" t="str">
            <v>P/A INSPECTOR</v>
          </cell>
          <cell r="P1558" t="str">
            <v>B</v>
          </cell>
          <cell r="Q1558" t="str">
            <v>PI</v>
          </cell>
          <cell r="R1558" t="str">
            <v>PERMANENT</v>
          </cell>
          <cell r="S1558" t="str">
            <v>PRM</v>
          </cell>
          <cell r="T1558" t="str">
            <v>OPT</v>
          </cell>
          <cell r="U1558" t="str">
            <v>-</v>
          </cell>
          <cell r="V1558" t="str">
            <v>P</v>
          </cell>
          <cell r="W1558">
            <v>36</v>
          </cell>
        </row>
        <row r="1559">
          <cell r="A1559">
            <v>8821</v>
          </cell>
          <cell r="B1559" t="str">
            <v>008821</v>
          </cell>
          <cell r="C1559" t="str">
            <v>EKA RATNAWATI</v>
          </cell>
          <cell r="D1559" t="str">
            <v>SAMI</v>
          </cell>
          <cell r="E1559" t="str">
            <v>OPT-195</v>
          </cell>
          <cell r="F1559">
            <v>39937</v>
          </cell>
          <cell r="G1559" t="str">
            <v>-</v>
          </cell>
          <cell r="H1559" t="str">
            <v>-</v>
          </cell>
          <cell r="I1559" t="str">
            <v>PRD</v>
          </cell>
          <cell r="J1559" t="str">
            <v>NON LINE</v>
          </cell>
          <cell r="K1559" t="str">
            <v>ALL</v>
          </cell>
          <cell r="L1559" t="str">
            <v>ALL</v>
          </cell>
          <cell r="M1559" t="str">
            <v>TRAINER 2</v>
          </cell>
          <cell r="N1559" t="str">
            <v>KONTROL OJT LINE</v>
          </cell>
          <cell r="O1559" t="str">
            <v>GL</v>
          </cell>
          <cell r="P1559" t="str">
            <v>A</v>
          </cell>
          <cell r="Q1559" t="str">
            <v>PI</v>
          </cell>
          <cell r="R1559" t="str">
            <v>PERMANENT</v>
          </cell>
          <cell r="S1559" t="str">
            <v>PRM</v>
          </cell>
          <cell r="T1559" t="str">
            <v>GL</v>
          </cell>
          <cell r="U1559" t="str">
            <v>-</v>
          </cell>
          <cell r="V1559" t="str">
            <v>P</v>
          </cell>
          <cell r="W1559">
            <v>33</v>
          </cell>
        </row>
        <row r="1560">
          <cell r="A1560" t="str">
            <v>B00720</v>
          </cell>
          <cell r="B1560" t="str">
            <v>B00720</v>
          </cell>
          <cell r="C1560" t="str">
            <v>EMA AYUNINGTIAS</v>
          </cell>
          <cell r="D1560" t="str">
            <v>SAMI</v>
          </cell>
          <cell r="E1560" t="str">
            <v>BBF-012</v>
          </cell>
          <cell r="F1560">
            <v>40904</v>
          </cell>
          <cell r="G1560" t="str">
            <v>-</v>
          </cell>
          <cell r="H1560" t="str">
            <v>-</v>
          </cell>
          <cell r="I1560" t="str">
            <v>QA</v>
          </cell>
          <cell r="J1560" t="str">
            <v>PRE ASSY</v>
          </cell>
          <cell r="K1560" t="str">
            <v>SUZUKI WAGON R/HUSTLER</v>
          </cell>
          <cell r="L1560" t="str">
            <v>SUZUKI YW0/Y0C/YEV</v>
          </cell>
          <cell r="M1560" t="str">
            <v>CPA SUZUKI</v>
          </cell>
          <cell r="N1560" t="str">
            <v>CROSS SECTION</v>
          </cell>
          <cell r="O1560" t="str">
            <v>CROSS SECT.</v>
          </cell>
          <cell r="P1560" t="str">
            <v>A</v>
          </cell>
          <cell r="Q1560" t="str">
            <v>PS</v>
          </cell>
          <cell r="R1560" t="str">
            <v>PERMANENT</v>
          </cell>
          <cell r="S1560" t="str">
            <v>PRM</v>
          </cell>
          <cell r="T1560" t="str">
            <v>OPT</v>
          </cell>
          <cell r="U1560" t="str">
            <v>-</v>
          </cell>
          <cell r="V1560" t="str">
            <v>P</v>
          </cell>
          <cell r="W1560">
            <v>32</v>
          </cell>
        </row>
        <row r="1561">
          <cell r="A1561" t="str">
            <v>B00741</v>
          </cell>
          <cell r="B1561" t="str">
            <v>B00741</v>
          </cell>
          <cell r="C1561" t="str">
            <v>NURHAYATI</v>
          </cell>
          <cell r="D1561" t="str">
            <v>SAMI</v>
          </cell>
          <cell r="E1561" t="str">
            <v>BBF-012</v>
          </cell>
          <cell r="F1561">
            <v>40904</v>
          </cell>
          <cell r="G1561" t="str">
            <v>-</v>
          </cell>
          <cell r="H1561" t="str">
            <v>-</v>
          </cell>
          <cell r="I1561" t="str">
            <v>OTHERS</v>
          </cell>
          <cell r="J1561" t="str">
            <v>AT HOME</v>
          </cell>
          <cell r="K1561" t="str">
            <v>ALL</v>
          </cell>
          <cell r="L1561" t="str">
            <v>ALL</v>
          </cell>
          <cell r="M1561" t="str">
            <v>AT HOME</v>
          </cell>
          <cell r="N1561" t="str">
            <v>CUTI KELAHIRAN</v>
          </cell>
          <cell r="O1561" t="str">
            <v>OTHERS IDL</v>
          </cell>
          <cell r="P1561" t="str">
            <v>-</v>
          </cell>
          <cell r="Q1561" t="str">
            <v>ADM</v>
          </cell>
          <cell r="R1561" t="str">
            <v>PERMANENT</v>
          </cell>
          <cell r="S1561" t="str">
            <v>PRM</v>
          </cell>
          <cell r="T1561" t="str">
            <v>OPT</v>
          </cell>
          <cell r="U1561" t="str">
            <v>-</v>
          </cell>
          <cell r="V1561" t="str">
            <v>P</v>
          </cell>
          <cell r="W1561">
            <v>32</v>
          </cell>
        </row>
        <row r="1562">
          <cell r="A1562">
            <v>8846</v>
          </cell>
          <cell r="B1562" t="str">
            <v>008846</v>
          </cell>
          <cell r="C1562" t="str">
            <v>NURUL AINI</v>
          </cell>
          <cell r="D1562" t="str">
            <v>SAMI</v>
          </cell>
          <cell r="E1562" t="str">
            <v>OPT-195</v>
          </cell>
          <cell r="F1562">
            <v>39937</v>
          </cell>
          <cell r="G1562" t="str">
            <v>-</v>
          </cell>
          <cell r="H1562" t="str">
            <v>-</v>
          </cell>
          <cell r="I1562" t="str">
            <v>PRD</v>
          </cell>
          <cell r="J1562" t="str">
            <v>NON LINE</v>
          </cell>
          <cell r="K1562" t="str">
            <v>ALL</v>
          </cell>
          <cell r="L1562" t="str">
            <v>ALL</v>
          </cell>
          <cell r="M1562" t="str">
            <v>TRAINER 2</v>
          </cell>
          <cell r="N1562" t="str">
            <v>KONTROL OJT LINE</v>
          </cell>
          <cell r="O1562" t="str">
            <v>GL</v>
          </cell>
          <cell r="P1562" t="str">
            <v>A</v>
          </cell>
          <cell r="Q1562" t="str">
            <v>PI</v>
          </cell>
          <cell r="R1562" t="str">
            <v>PERMANENT</v>
          </cell>
          <cell r="S1562" t="str">
            <v>PRM</v>
          </cell>
          <cell r="T1562" t="str">
            <v>GL</v>
          </cell>
          <cell r="U1562" t="str">
            <v>-</v>
          </cell>
          <cell r="V1562" t="str">
            <v>P</v>
          </cell>
          <cell r="W1562">
            <v>35</v>
          </cell>
        </row>
        <row r="1563">
          <cell r="A1563" t="str">
            <v>B00759</v>
          </cell>
          <cell r="B1563" t="str">
            <v>B00759</v>
          </cell>
          <cell r="C1563" t="str">
            <v>ALFIATU ROCHMANIA</v>
          </cell>
          <cell r="D1563" t="str">
            <v>SAMI</v>
          </cell>
          <cell r="E1563" t="str">
            <v>BBF-013</v>
          </cell>
          <cell r="F1563">
            <v>40910</v>
          </cell>
          <cell r="G1563" t="str">
            <v>-</v>
          </cell>
          <cell r="H1563" t="str">
            <v>-</v>
          </cell>
          <cell r="I1563" t="str">
            <v>PRD</v>
          </cell>
          <cell r="J1563" t="str">
            <v>PRE ASSY</v>
          </cell>
          <cell r="K1563" t="str">
            <v>MAZDA ATENZA</v>
          </cell>
          <cell r="L1563" t="str">
            <v>MAZDA J72A</v>
          </cell>
          <cell r="M1563" t="str">
            <v>CPA MAZDA CX-5</v>
          </cell>
          <cell r="N1563" t="str">
            <v>INSP CUTTING</v>
          </cell>
          <cell r="O1563" t="str">
            <v>P/A INSPECTOR</v>
          </cell>
          <cell r="P1563" t="str">
            <v>B</v>
          </cell>
          <cell r="Q1563" t="str">
            <v>PI</v>
          </cell>
          <cell r="R1563" t="str">
            <v>PERMANENT</v>
          </cell>
          <cell r="S1563" t="str">
            <v>PRM</v>
          </cell>
          <cell r="T1563" t="str">
            <v>OPT</v>
          </cell>
          <cell r="U1563" t="str">
            <v>-</v>
          </cell>
          <cell r="V1563" t="str">
            <v>P</v>
          </cell>
          <cell r="W1563">
            <v>31</v>
          </cell>
        </row>
        <row r="1564">
          <cell r="A1564" t="str">
            <v>B00764</v>
          </cell>
          <cell r="B1564" t="str">
            <v>B00764</v>
          </cell>
          <cell r="C1564" t="str">
            <v>ENI NURHIKMAH</v>
          </cell>
          <cell r="D1564" t="str">
            <v>SAMI</v>
          </cell>
          <cell r="E1564" t="str">
            <v>BBF-013</v>
          </cell>
          <cell r="F1564">
            <v>40910</v>
          </cell>
          <cell r="G1564" t="str">
            <v>-</v>
          </cell>
          <cell r="H1564" t="str">
            <v>-</v>
          </cell>
          <cell r="I1564" t="str">
            <v>OTHERS</v>
          </cell>
          <cell r="J1564" t="str">
            <v>AT HOME</v>
          </cell>
          <cell r="K1564" t="str">
            <v>ALL</v>
          </cell>
          <cell r="L1564" t="str">
            <v>ALL</v>
          </cell>
          <cell r="M1564" t="str">
            <v>AT HOME</v>
          </cell>
          <cell r="N1564" t="str">
            <v>CUTI KELAHIRAN</v>
          </cell>
          <cell r="O1564" t="str">
            <v>OTHERS IDL</v>
          </cell>
          <cell r="P1564" t="str">
            <v>-</v>
          </cell>
          <cell r="Q1564" t="str">
            <v>ADM</v>
          </cell>
          <cell r="R1564" t="str">
            <v>PERMANENT</v>
          </cell>
          <cell r="S1564" t="str">
            <v>PRM</v>
          </cell>
          <cell r="T1564" t="str">
            <v>OPT</v>
          </cell>
          <cell r="U1564" t="str">
            <v>-</v>
          </cell>
          <cell r="V1564" t="str">
            <v>P</v>
          </cell>
          <cell r="W1564">
            <v>31</v>
          </cell>
        </row>
        <row r="1565">
          <cell r="A1565">
            <v>8899</v>
          </cell>
          <cell r="B1565" t="str">
            <v>008899</v>
          </cell>
          <cell r="C1565" t="str">
            <v>ZULITA</v>
          </cell>
          <cell r="D1565" t="str">
            <v>SAMI</v>
          </cell>
          <cell r="E1565" t="str">
            <v>OPT-196</v>
          </cell>
          <cell r="F1565">
            <v>39961</v>
          </cell>
          <cell r="G1565" t="str">
            <v>-</v>
          </cell>
          <cell r="H1565" t="str">
            <v>-</v>
          </cell>
          <cell r="I1565" t="str">
            <v>PRD</v>
          </cell>
          <cell r="J1565" t="str">
            <v>NON LINE</v>
          </cell>
          <cell r="K1565" t="str">
            <v>DAIHATSU</v>
          </cell>
          <cell r="L1565" t="str">
            <v>ALL</v>
          </cell>
          <cell r="M1565" t="str">
            <v>TRAINER 2</v>
          </cell>
          <cell r="N1565" t="str">
            <v>KONTROL OJT LINE</v>
          </cell>
          <cell r="O1565" t="str">
            <v>GL</v>
          </cell>
          <cell r="P1565" t="str">
            <v>A (NS)</v>
          </cell>
          <cell r="Q1565" t="str">
            <v>PI</v>
          </cell>
          <cell r="R1565" t="str">
            <v>PERMANENT</v>
          </cell>
          <cell r="S1565" t="str">
            <v>PRM</v>
          </cell>
          <cell r="T1565" t="str">
            <v>GL</v>
          </cell>
          <cell r="U1565" t="str">
            <v>-</v>
          </cell>
          <cell r="V1565" t="str">
            <v>P</v>
          </cell>
          <cell r="W1565">
            <v>35</v>
          </cell>
        </row>
        <row r="1566">
          <cell r="A1566" t="str">
            <v>B00816</v>
          </cell>
          <cell r="B1566" t="str">
            <v>B00816</v>
          </cell>
          <cell r="C1566" t="str">
            <v>ESTI PURWANINGSIH</v>
          </cell>
          <cell r="D1566" t="str">
            <v>SAMI</v>
          </cell>
          <cell r="E1566" t="str">
            <v>BBF-014</v>
          </cell>
          <cell r="F1566">
            <v>40917</v>
          </cell>
          <cell r="G1566" t="str">
            <v>-</v>
          </cell>
          <cell r="H1566" t="str">
            <v>-</v>
          </cell>
          <cell r="I1566" t="str">
            <v>PRD</v>
          </cell>
          <cell r="J1566" t="str">
            <v>PRE ASSY</v>
          </cell>
          <cell r="K1566" t="str">
            <v>HONDA FIT</v>
          </cell>
          <cell r="L1566" t="str">
            <v>HONDA FIT</v>
          </cell>
          <cell r="M1566" t="str">
            <v>CPA HONDA FIT HEV/PET</v>
          </cell>
          <cell r="N1566" t="str">
            <v>INSP PRE ASSY</v>
          </cell>
          <cell r="O1566" t="str">
            <v>P/A INSPECTOR</v>
          </cell>
          <cell r="P1566" t="str">
            <v>B</v>
          </cell>
          <cell r="Q1566" t="str">
            <v>PI</v>
          </cell>
          <cell r="R1566" t="str">
            <v>PERMANENT</v>
          </cell>
          <cell r="S1566" t="str">
            <v>PRM</v>
          </cell>
          <cell r="T1566" t="str">
            <v>OPT</v>
          </cell>
          <cell r="U1566" t="str">
            <v>-</v>
          </cell>
          <cell r="V1566" t="str">
            <v>P</v>
          </cell>
          <cell r="W1566">
            <v>33</v>
          </cell>
        </row>
        <row r="1567">
          <cell r="A1567">
            <v>9028</v>
          </cell>
          <cell r="B1567" t="str">
            <v>009028</v>
          </cell>
          <cell r="C1567" t="str">
            <v>TATIS DEVI M.</v>
          </cell>
          <cell r="D1567" t="str">
            <v>SAMI</v>
          </cell>
          <cell r="E1567" t="str">
            <v>OPT-201</v>
          </cell>
          <cell r="F1567">
            <v>39975</v>
          </cell>
          <cell r="G1567" t="str">
            <v>-</v>
          </cell>
          <cell r="H1567" t="str">
            <v>-</v>
          </cell>
          <cell r="I1567" t="str">
            <v>PRD</v>
          </cell>
          <cell r="J1567" t="str">
            <v>NON LINE</v>
          </cell>
          <cell r="K1567" t="str">
            <v>ALL</v>
          </cell>
          <cell r="L1567" t="str">
            <v>ALL</v>
          </cell>
          <cell r="M1567" t="str">
            <v>TRAINER 2</v>
          </cell>
          <cell r="N1567" t="str">
            <v>KONTROL OJT LINE</v>
          </cell>
          <cell r="O1567" t="str">
            <v>GL</v>
          </cell>
          <cell r="P1567" t="str">
            <v>A (NS)</v>
          </cell>
          <cell r="Q1567" t="str">
            <v>PI</v>
          </cell>
          <cell r="R1567" t="str">
            <v>PERMANENT</v>
          </cell>
          <cell r="S1567" t="str">
            <v>PRM</v>
          </cell>
          <cell r="T1567" t="str">
            <v>GL</v>
          </cell>
          <cell r="U1567" t="str">
            <v>-</v>
          </cell>
          <cell r="V1567" t="str">
            <v>P</v>
          </cell>
          <cell r="W1567">
            <v>37</v>
          </cell>
        </row>
        <row r="1568">
          <cell r="A1568">
            <v>9598</v>
          </cell>
          <cell r="B1568" t="str">
            <v>009598</v>
          </cell>
          <cell r="C1568" t="str">
            <v>HERU PONCO NUGROHO</v>
          </cell>
          <cell r="D1568" t="str">
            <v>SAMI</v>
          </cell>
          <cell r="E1568" t="str">
            <v>OPT-218</v>
          </cell>
          <cell r="F1568">
            <v>40179</v>
          </cell>
          <cell r="G1568" t="str">
            <v>-</v>
          </cell>
          <cell r="H1568" t="str">
            <v>-</v>
          </cell>
          <cell r="I1568" t="str">
            <v>PRD</v>
          </cell>
          <cell r="J1568" t="str">
            <v>NON LINE</v>
          </cell>
          <cell r="K1568" t="str">
            <v>ALL</v>
          </cell>
          <cell r="L1568" t="str">
            <v>ALL</v>
          </cell>
          <cell r="M1568" t="str">
            <v>TRAINER 2</v>
          </cell>
          <cell r="N1568" t="str">
            <v>QC</v>
          </cell>
          <cell r="O1568" t="str">
            <v>GL</v>
          </cell>
          <cell r="P1568" t="str">
            <v>A (NS)</v>
          </cell>
          <cell r="Q1568" t="str">
            <v>PI</v>
          </cell>
          <cell r="R1568" t="str">
            <v>PERMANENT</v>
          </cell>
          <cell r="S1568" t="str">
            <v>PRM</v>
          </cell>
          <cell r="T1568" t="str">
            <v>GL</v>
          </cell>
          <cell r="U1568" t="str">
            <v>-</v>
          </cell>
          <cell r="V1568" t="str">
            <v>L</v>
          </cell>
          <cell r="W1568">
            <v>36</v>
          </cell>
        </row>
        <row r="1569">
          <cell r="A1569" t="str">
            <v>B00872</v>
          </cell>
          <cell r="B1569" t="str">
            <v>B00872</v>
          </cell>
          <cell r="C1569" t="str">
            <v>DESI ISTIQOMAH LESTARI H.</v>
          </cell>
          <cell r="D1569" t="str">
            <v>SAMI</v>
          </cell>
          <cell r="E1569" t="str">
            <v>BBF-018</v>
          </cell>
          <cell r="F1569">
            <v>40948</v>
          </cell>
          <cell r="G1569" t="str">
            <v>-</v>
          </cell>
          <cell r="H1569" t="str">
            <v>-</v>
          </cell>
          <cell r="I1569" t="str">
            <v>QA</v>
          </cell>
          <cell r="J1569" t="str">
            <v>FINAL ASSY</v>
          </cell>
          <cell r="K1569" t="str">
            <v>TOYOTA HV</v>
          </cell>
          <cell r="L1569" t="str">
            <v>TOYOTA HV 10PL</v>
          </cell>
          <cell r="M1569" t="str">
            <v>CV HV 14A</v>
          </cell>
          <cell r="N1569" t="str">
            <v>SCANNER</v>
          </cell>
          <cell r="O1569" t="str">
            <v>QA APPROVE</v>
          </cell>
          <cell r="P1569" t="str">
            <v>B</v>
          </cell>
          <cell r="Q1569" t="str">
            <v>PI</v>
          </cell>
          <cell r="R1569" t="str">
            <v>PERMANENT</v>
          </cell>
          <cell r="S1569" t="str">
            <v>PRM</v>
          </cell>
          <cell r="T1569" t="str">
            <v>OPT</v>
          </cell>
          <cell r="U1569" t="str">
            <v>-</v>
          </cell>
          <cell r="V1569" t="str">
            <v>P</v>
          </cell>
          <cell r="W1569">
            <v>31</v>
          </cell>
        </row>
        <row r="1570">
          <cell r="A1570">
            <v>10142</v>
          </cell>
          <cell r="B1570" t="str">
            <v>010142</v>
          </cell>
          <cell r="C1570" t="str">
            <v>MERY ZUNIANINGSIH</v>
          </cell>
          <cell r="D1570" t="str">
            <v>SAMI</v>
          </cell>
          <cell r="E1570" t="str">
            <v>OPT-251</v>
          </cell>
          <cell r="F1570">
            <v>40452</v>
          </cell>
          <cell r="G1570" t="str">
            <v>-</v>
          </cell>
          <cell r="H1570" t="str">
            <v>-</v>
          </cell>
          <cell r="I1570" t="str">
            <v>PRD</v>
          </cell>
          <cell r="J1570" t="str">
            <v>NON LINE</v>
          </cell>
          <cell r="K1570" t="str">
            <v>ALL</v>
          </cell>
          <cell r="L1570" t="str">
            <v>ALL</v>
          </cell>
          <cell r="M1570" t="str">
            <v>TRAINER 2</v>
          </cell>
          <cell r="N1570" t="str">
            <v>QC</v>
          </cell>
          <cell r="O1570" t="str">
            <v>GL</v>
          </cell>
          <cell r="P1570" t="str">
            <v>A (NS)</v>
          </cell>
          <cell r="Q1570" t="str">
            <v>PI</v>
          </cell>
          <cell r="R1570" t="str">
            <v>PERMANENT</v>
          </cell>
          <cell r="S1570" t="str">
            <v>PRM</v>
          </cell>
          <cell r="T1570" t="str">
            <v>GL</v>
          </cell>
          <cell r="U1570" t="str">
            <v>-</v>
          </cell>
          <cell r="V1570" t="str">
            <v>P</v>
          </cell>
          <cell r="W1570">
            <v>35</v>
          </cell>
        </row>
        <row r="1571">
          <cell r="A1571">
            <v>10485</v>
          </cell>
          <cell r="B1571" t="str">
            <v>010485</v>
          </cell>
          <cell r="C1571" t="str">
            <v>TIWI NOVIANA</v>
          </cell>
          <cell r="D1571" t="str">
            <v>SAMI</v>
          </cell>
          <cell r="E1571" t="str">
            <v>OPT-270</v>
          </cell>
          <cell r="F1571">
            <v>40524</v>
          </cell>
          <cell r="G1571" t="str">
            <v>-</v>
          </cell>
          <cell r="H1571" t="str">
            <v>-</v>
          </cell>
          <cell r="I1571" t="str">
            <v>PRD</v>
          </cell>
          <cell r="J1571" t="str">
            <v>NON LINE</v>
          </cell>
          <cell r="K1571" t="str">
            <v>ALL</v>
          </cell>
          <cell r="L1571" t="str">
            <v>ALL</v>
          </cell>
          <cell r="M1571" t="str">
            <v>TRAINER 2</v>
          </cell>
          <cell r="N1571" t="str">
            <v>BUFFER</v>
          </cell>
          <cell r="O1571" t="str">
            <v>OTHERS</v>
          </cell>
          <cell r="P1571" t="str">
            <v>A (NS)</v>
          </cell>
          <cell r="Q1571" t="str">
            <v>PI</v>
          </cell>
          <cell r="R1571" t="str">
            <v>PERMANENT</v>
          </cell>
          <cell r="S1571" t="str">
            <v>PRM</v>
          </cell>
          <cell r="T1571" t="str">
            <v>OPT</v>
          </cell>
          <cell r="U1571" t="str">
            <v>-</v>
          </cell>
          <cell r="V1571" t="str">
            <v>P</v>
          </cell>
          <cell r="W1571">
            <v>32</v>
          </cell>
        </row>
        <row r="1572">
          <cell r="A1572" t="str">
            <v>B00956</v>
          </cell>
          <cell r="B1572" t="str">
            <v>B00956</v>
          </cell>
          <cell r="C1572" t="str">
            <v>AYU SILFIANI</v>
          </cell>
          <cell r="D1572" t="str">
            <v>SAMI</v>
          </cell>
          <cell r="E1572" t="str">
            <v>BBF-023</v>
          </cell>
          <cell r="F1572">
            <v>41015</v>
          </cell>
          <cell r="G1572" t="str">
            <v>-</v>
          </cell>
          <cell r="H1572" t="str">
            <v>-</v>
          </cell>
          <cell r="I1572" t="str">
            <v>QA</v>
          </cell>
          <cell r="J1572" t="str">
            <v>NON LINE</v>
          </cell>
          <cell r="K1572" t="str">
            <v>ALL</v>
          </cell>
          <cell r="L1572" t="str">
            <v>ALL</v>
          </cell>
          <cell r="M1572" t="str">
            <v>OTHERS (BUFFER)</v>
          </cell>
          <cell r="N1572" t="str">
            <v>SUPPORT QA ADM</v>
          </cell>
          <cell r="O1572" t="str">
            <v>OTHERS</v>
          </cell>
          <cell r="P1572" t="str">
            <v>A (NS)</v>
          </cell>
          <cell r="Q1572" t="str">
            <v>PI</v>
          </cell>
          <cell r="R1572" t="str">
            <v>PERMANENT</v>
          </cell>
          <cell r="S1572" t="str">
            <v>PRM</v>
          </cell>
          <cell r="T1572" t="str">
            <v>OPT</v>
          </cell>
          <cell r="U1572" t="str">
            <v>-</v>
          </cell>
          <cell r="V1572" t="str">
            <v>P</v>
          </cell>
          <cell r="W1572">
            <v>31</v>
          </cell>
        </row>
        <row r="1573">
          <cell r="A1573">
            <v>10528</v>
          </cell>
          <cell r="B1573" t="str">
            <v>010528</v>
          </cell>
          <cell r="C1573" t="str">
            <v>SITI MUNFAATUN</v>
          </cell>
          <cell r="D1573" t="str">
            <v>SAMI</v>
          </cell>
          <cell r="E1573" t="str">
            <v>OPT-273</v>
          </cell>
          <cell r="F1573">
            <v>40535</v>
          </cell>
          <cell r="G1573" t="str">
            <v>-</v>
          </cell>
          <cell r="H1573" t="str">
            <v>-</v>
          </cell>
          <cell r="I1573" t="str">
            <v>PRD</v>
          </cell>
          <cell r="J1573" t="str">
            <v>NON LINE</v>
          </cell>
          <cell r="K1573" t="str">
            <v>ALL</v>
          </cell>
          <cell r="L1573" t="str">
            <v>ALL</v>
          </cell>
          <cell r="M1573" t="str">
            <v>TRAINER 2</v>
          </cell>
          <cell r="N1573" t="str">
            <v>BUFFER</v>
          </cell>
          <cell r="O1573" t="str">
            <v>OTHERS</v>
          </cell>
          <cell r="P1573" t="str">
            <v>A (NS)</v>
          </cell>
          <cell r="Q1573" t="str">
            <v>PI</v>
          </cell>
          <cell r="R1573" t="str">
            <v>PERMANENT</v>
          </cell>
          <cell r="S1573" t="str">
            <v>PRM</v>
          </cell>
          <cell r="T1573" t="str">
            <v>OPT</v>
          </cell>
          <cell r="U1573" t="str">
            <v>-</v>
          </cell>
          <cell r="V1573" t="str">
            <v>P</v>
          </cell>
          <cell r="W1573">
            <v>33</v>
          </cell>
        </row>
        <row r="1574">
          <cell r="A1574">
            <v>12477</v>
          </cell>
          <cell r="B1574" t="str">
            <v>012477</v>
          </cell>
          <cell r="C1574" t="str">
            <v>JAYANTO</v>
          </cell>
          <cell r="D1574" t="str">
            <v>SAMI</v>
          </cell>
          <cell r="E1574" t="str">
            <v>OPT-318</v>
          </cell>
          <cell r="F1574">
            <v>40812</v>
          </cell>
          <cell r="G1574" t="str">
            <v>-</v>
          </cell>
          <cell r="H1574" t="str">
            <v>-</v>
          </cell>
          <cell r="I1574" t="str">
            <v>PRD</v>
          </cell>
          <cell r="J1574" t="str">
            <v>NON LINE</v>
          </cell>
          <cell r="K1574" t="str">
            <v>DAIHATSU</v>
          </cell>
          <cell r="L1574" t="str">
            <v>ALL</v>
          </cell>
          <cell r="M1574" t="str">
            <v>TRAINER 2</v>
          </cell>
          <cell r="N1574" t="str">
            <v>KONTROL OJT LINE</v>
          </cell>
          <cell r="O1574" t="str">
            <v>GL</v>
          </cell>
          <cell r="P1574" t="str">
            <v>A (NS)</v>
          </cell>
          <cell r="Q1574" t="str">
            <v>PI</v>
          </cell>
          <cell r="R1574" t="str">
            <v>PERMANENT</v>
          </cell>
          <cell r="S1574" t="str">
            <v>PRM</v>
          </cell>
          <cell r="T1574" t="str">
            <v>GL</v>
          </cell>
          <cell r="U1574" t="str">
            <v>-</v>
          </cell>
          <cell r="V1574" t="str">
            <v>L</v>
          </cell>
          <cell r="W1574">
            <v>35</v>
          </cell>
        </row>
        <row r="1575">
          <cell r="A1575">
            <v>12727</v>
          </cell>
          <cell r="B1575" t="str">
            <v>012727</v>
          </cell>
          <cell r="C1575" t="str">
            <v>ROMDONI</v>
          </cell>
          <cell r="D1575" t="str">
            <v>SAMI</v>
          </cell>
          <cell r="E1575" t="str">
            <v>OPT-320</v>
          </cell>
          <cell r="F1575">
            <v>40819</v>
          </cell>
          <cell r="G1575" t="str">
            <v>-</v>
          </cell>
          <cell r="H1575" t="str">
            <v>-</v>
          </cell>
          <cell r="I1575" t="str">
            <v>PRD</v>
          </cell>
          <cell r="J1575" t="str">
            <v>NON LINE</v>
          </cell>
          <cell r="K1575" t="str">
            <v>ALL</v>
          </cell>
          <cell r="L1575" t="str">
            <v>ALL</v>
          </cell>
          <cell r="M1575" t="str">
            <v>TRAINER 2</v>
          </cell>
          <cell r="N1575" t="str">
            <v>QC</v>
          </cell>
          <cell r="O1575" t="str">
            <v>GL</v>
          </cell>
          <cell r="P1575" t="str">
            <v>A (NS)</v>
          </cell>
          <cell r="Q1575" t="str">
            <v>PI</v>
          </cell>
          <cell r="R1575" t="str">
            <v>PERMANENT</v>
          </cell>
          <cell r="S1575" t="str">
            <v>PRM</v>
          </cell>
          <cell r="T1575" t="str">
            <v>GL</v>
          </cell>
          <cell r="U1575" t="str">
            <v>-</v>
          </cell>
          <cell r="V1575" t="str">
            <v>L</v>
          </cell>
          <cell r="W1575">
            <v>33</v>
          </cell>
        </row>
        <row r="1576">
          <cell r="A1576" t="str">
            <v>B00999</v>
          </cell>
          <cell r="B1576" t="str">
            <v>B00999</v>
          </cell>
          <cell r="C1576" t="str">
            <v>EVA NOVIANTI</v>
          </cell>
          <cell r="D1576" t="str">
            <v>SAMI</v>
          </cell>
          <cell r="E1576" t="str">
            <v>BBF-026</v>
          </cell>
          <cell r="F1576">
            <v>41078</v>
          </cell>
          <cell r="G1576" t="str">
            <v>-</v>
          </cell>
          <cell r="H1576" t="str">
            <v>-</v>
          </cell>
          <cell r="I1576" t="str">
            <v>QA</v>
          </cell>
          <cell r="J1576" t="str">
            <v>NON LINE</v>
          </cell>
          <cell r="K1576" t="str">
            <v>ALL</v>
          </cell>
          <cell r="L1576" t="str">
            <v>ALL</v>
          </cell>
          <cell r="M1576" t="str">
            <v>RCV - CANDI</v>
          </cell>
          <cell r="N1576" t="str">
            <v>SAMPLING &amp; CHECK 100%</v>
          </cell>
          <cell r="O1576" t="str">
            <v>RCV</v>
          </cell>
          <cell r="P1576" t="str">
            <v>A</v>
          </cell>
          <cell r="Q1576" t="str">
            <v>PS</v>
          </cell>
          <cell r="R1576" t="str">
            <v>PERMANENT</v>
          </cell>
          <cell r="S1576" t="str">
            <v>PRM</v>
          </cell>
          <cell r="T1576" t="str">
            <v>OPT</v>
          </cell>
          <cell r="U1576" t="str">
            <v>-</v>
          </cell>
          <cell r="V1576" t="str">
            <v>P</v>
          </cell>
          <cell r="W1576">
            <v>31</v>
          </cell>
        </row>
        <row r="1577">
          <cell r="A1577" t="str">
            <v>B01016</v>
          </cell>
          <cell r="B1577" t="str">
            <v>B01016</v>
          </cell>
          <cell r="C1577" t="str">
            <v>ERNA RISTIOWATI</v>
          </cell>
          <cell r="D1577" t="str">
            <v>SAMI</v>
          </cell>
          <cell r="E1577" t="str">
            <v>OPT-345</v>
          </cell>
          <cell r="F1577">
            <v>41087</v>
          </cell>
          <cell r="G1577" t="str">
            <v>-</v>
          </cell>
          <cell r="H1577" t="str">
            <v>-</v>
          </cell>
          <cell r="I1577" t="str">
            <v>PRD</v>
          </cell>
          <cell r="J1577" t="str">
            <v>FINAL ASSY</v>
          </cell>
          <cell r="K1577" t="str">
            <v>TOYOTA HV</v>
          </cell>
          <cell r="L1577" t="str">
            <v>HV TOYOTA UNDERFLOOR</v>
          </cell>
          <cell r="M1577" t="str">
            <v>CV HV 09</v>
          </cell>
          <cell r="N1577" t="str">
            <v>OJT VISUAL 2.1</v>
          </cell>
          <cell r="O1577" t="str">
            <v>OTHERS</v>
          </cell>
          <cell r="P1577" t="str">
            <v>B</v>
          </cell>
          <cell r="Q1577" t="str">
            <v>PI</v>
          </cell>
          <cell r="R1577" t="str">
            <v>PERMANENT</v>
          </cell>
          <cell r="S1577" t="str">
            <v>PRM</v>
          </cell>
          <cell r="T1577" t="str">
            <v>OPT</v>
          </cell>
          <cell r="U1577" t="str">
            <v>-</v>
          </cell>
          <cell r="V1577" t="str">
            <v>P</v>
          </cell>
          <cell r="W1577">
            <v>31</v>
          </cell>
        </row>
        <row r="1578">
          <cell r="A1578" t="str">
            <v>B01057</v>
          </cell>
          <cell r="B1578" t="str">
            <v>B01057</v>
          </cell>
          <cell r="C1578" t="str">
            <v>ANGGUN PUSPITA DEWI</v>
          </cell>
          <cell r="D1578" t="str">
            <v>SAMI</v>
          </cell>
          <cell r="E1578" t="str">
            <v>BBF-028</v>
          </cell>
          <cell r="F1578">
            <v>41099</v>
          </cell>
          <cell r="G1578" t="str">
            <v>-</v>
          </cell>
          <cell r="H1578" t="str">
            <v>-</v>
          </cell>
          <cell r="I1578" t="str">
            <v>PRD</v>
          </cell>
          <cell r="J1578" t="str">
            <v>PRE ASSY</v>
          </cell>
          <cell r="K1578" t="str">
            <v>HONDA BBP</v>
          </cell>
          <cell r="L1578" t="str">
            <v>HONDA 36 CELL</v>
          </cell>
          <cell r="M1578" t="str">
            <v>CPA HONDA 36 CELL</v>
          </cell>
          <cell r="N1578" t="str">
            <v>CUTTING AC90-H-03</v>
          </cell>
          <cell r="O1578" t="str">
            <v>CUTTING WIRE</v>
          </cell>
          <cell r="P1578" t="str">
            <v>B</v>
          </cell>
          <cell r="Q1578" t="str">
            <v>DL</v>
          </cell>
          <cell r="R1578" t="str">
            <v>PERMANENT</v>
          </cell>
          <cell r="S1578" t="str">
            <v>PRM</v>
          </cell>
          <cell r="T1578" t="str">
            <v>OPT</v>
          </cell>
          <cell r="U1578" t="str">
            <v>-</v>
          </cell>
          <cell r="V1578" t="str">
            <v>P</v>
          </cell>
          <cell r="W1578">
            <v>30</v>
          </cell>
        </row>
        <row r="1579">
          <cell r="A1579" t="str">
            <v>B01085</v>
          </cell>
          <cell r="B1579" t="str">
            <v>B01085</v>
          </cell>
          <cell r="C1579" t="str">
            <v>NURKHAMILIA FITRIYANI</v>
          </cell>
          <cell r="D1579" t="str">
            <v>SAMI</v>
          </cell>
          <cell r="E1579" t="str">
            <v>BBF-028</v>
          </cell>
          <cell r="F1579">
            <v>41099</v>
          </cell>
          <cell r="G1579" t="str">
            <v>-</v>
          </cell>
          <cell r="H1579" t="str">
            <v>-</v>
          </cell>
          <cell r="I1579" t="str">
            <v>OTHERS</v>
          </cell>
          <cell r="J1579" t="str">
            <v>AT HOME</v>
          </cell>
          <cell r="K1579" t="str">
            <v>ALL</v>
          </cell>
          <cell r="L1579" t="str">
            <v>ALL</v>
          </cell>
          <cell r="M1579" t="str">
            <v>AT HOME</v>
          </cell>
          <cell r="N1579" t="str">
            <v>CUTI DI LUAR TANGGUNGAN</v>
          </cell>
          <cell r="O1579" t="str">
            <v>OTHERS IDL</v>
          </cell>
          <cell r="P1579" t="str">
            <v>-</v>
          </cell>
          <cell r="Q1579" t="str">
            <v>ADM</v>
          </cell>
          <cell r="R1579" t="str">
            <v>PERMANENT</v>
          </cell>
          <cell r="S1579" t="str">
            <v>PRM</v>
          </cell>
          <cell r="T1579" t="str">
            <v>OPT</v>
          </cell>
          <cell r="U1579" t="str">
            <v>-</v>
          </cell>
          <cell r="V1579" t="str">
            <v>P</v>
          </cell>
          <cell r="W1579">
            <v>30</v>
          </cell>
        </row>
        <row r="1580">
          <cell r="A1580">
            <v>12936</v>
          </cell>
          <cell r="B1580" t="str">
            <v>012936</v>
          </cell>
          <cell r="C1580" t="str">
            <v>SITI MARFUAH</v>
          </cell>
          <cell r="D1580" t="str">
            <v>SAMI</v>
          </cell>
          <cell r="E1580" t="str">
            <v>OPT-322</v>
          </cell>
          <cell r="F1580">
            <v>40833</v>
          </cell>
          <cell r="G1580" t="str">
            <v>-</v>
          </cell>
          <cell r="H1580" t="str">
            <v>-</v>
          </cell>
          <cell r="I1580" t="str">
            <v>PRD</v>
          </cell>
          <cell r="J1580" t="str">
            <v>NON LINE</v>
          </cell>
          <cell r="K1580" t="str">
            <v>ALL</v>
          </cell>
          <cell r="L1580" t="str">
            <v>ALL</v>
          </cell>
          <cell r="M1580" t="str">
            <v>TRAINER 2</v>
          </cell>
          <cell r="N1580" t="str">
            <v>BUFFER</v>
          </cell>
          <cell r="O1580" t="str">
            <v>OTHERS</v>
          </cell>
          <cell r="P1580" t="str">
            <v>A (NS)</v>
          </cell>
          <cell r="Q1580" t="str">
            <v>PI</v>
          </cell>
          <cell r="R1580" t="str">
            <v>PERMANENT</v>
          </cell>
          <cell r="S1580" t="str">
            <v>PRM</v>
          </cell>
          <cell r="T1580" t="str">
            <v>OPT</v>
          </cell>
          <cell r="U1580" t="str">
            <v>-</v>
          </cell>
          <cell r="V1580" t="str">
            <v>P</v>
          </cell>
          <cell r="W1580">
            <v>31</v>
          </cell>
        </row>
        <row r="1581">
          <cell r="A1581">
            <v>13283</v>
          </cell>
          <cell r="B1581" t="str">
            <v>013283</v>
          </cell>
          <cell r="C1581" t="str">
            <v>JOKO SANTOSO</v>
          </cell>
          <cell r="D1581" t="str">
            <v>SAMI</v>
          </cell>
          <cell r="E1581" t="str">
            <v>TKN-62</v>
          </cell>
          <cell r="F1581">
            <v>40917</v>
          </cell>
          <cell r="G1581" t="str">
            <v>-</v>
          </cell>
          <cell r="H1581" t="str">
            <v>-</v>
          </cell>
          <cell r="I1581" t="str">
            <v>PRD</v>
          </cell>
          <cell r="J1581" t="str">
            <v>NON LINE</v>
          </cell>
          <cell r="K1581" t="str">
            <v>ALL</v>
          </cell>
          <cell r="L1581" t="str">
            <v>ALL</v>
          </cell>
          <cell r="M1581" t="str">
            <v>TRAINER 2</v>
          </cell>
          <cell r="N1581" t="str">
            <v>BUFFER</v>
          </cell>
          <cell r="O1581" t="str">
            <v>OTHERS</v>
          </cell>
          <cell r="P1581" t="str">
            <v>A (NS)</v>
          </cell>
          <cell r="Q1581" t="str">
            <v>PI</v>
          </cell>
          <cell r="R1581" t="str">
            <v>PERMANENT</v>
          </cell>
          <cell r="S1581" t="str">
            <v>PRM</v>
          </cell>
          <cell r="T1581" t="str">
            <v>TKN</v>
          </cell>
          <cell r="U1581" t="str">
            <v>-</v>
          </cell>
          <cell r="V1581" t="str">
            <v>L</v>
          </cell>
          <cell r="W1581">
            <v>37</v>
          </cell>
        </row>
        <row r="1582">
          <cell r="A1582">
            <v>20613</v>
          </cell>
          <cell r="B1582" t="str">
            <v>020613</v>
          </cell>
          <cell r="C1582" t="str">
            <v>MEILISTIA SARI</v>
          </cell>
          <cell r="D1582" t="str">
            <v>SAMI</v>
          </cell>
          <cell r="E1582" t="str">
            <v>OPT-505</v>
          </cell>
          <cell r="F1582">
            <v>42639</v>
          </cell>
          <cell r="G1582" t="str">
            <v>-</v>
          </cell>
          <cell r="H1582" t="str">
            <v>-</v>
          </cell>
          <cell r="I1582" t="str">
            <v>PRD</v>
          </cell>
          <cell r="J1582" t="str">
            <v>NON LINE</v>
          </cell>
          <cell r="K1582" t="str">
            <v>ALL</v>
          </cell>
          <cell r="L1582" t="str">
            <v>ALL</v>
          </cell>
          <cell r="M1582" t="str">
            <v>TRAINER 2</v>
          </cell>
          <cell r="N1582" t="str">
            <v>BUFFER</v>
          </cell>
          <cell r="O1582" t="str">
            <v>OTHERS</v>
          </cell>
          <cell r="P1582" t="str">
            <v>A (NS)</v>
          </cell>
          <cell r="Q1582" t="str">
            <v>PI</v>
          </cell>
          <cell r="R1582" t="str">
            <v>PERMANENT</v>
          </cell>
          <cell r="S1582" t="str">
            <v>PRM</v>
          </cell>
          <cell r="T1582" t="str">
            <v>OPT</v>
          </cell>
          <cell r="U1582" t="str">
            <v>-</v>
          </cell>
          <cell r="V1582" t="str">
            <v>P</v>
          </cell>
          <cell r="W1582">
            <v>26</v>
          </cell>
        </row>
        <row r="1583">
          <cell r="A1583" t="str">
            <v>B00078</v>
          </cell>
          <cell r="B1583" t="str">
            <v>B00078</v>
          </cell>
          <cell r="C1583" t="str">
            <v>SITI REFATIN</v>
          </cell>
          <cell r="D1583" t="str">
            <v>SAMI</v>
          </cell>
          <cell r="E1583" t="str">
            <v>BBF-001</v>
          </cell>
          <cell r="F1583">
            <v>40826</v>
          </cell>
          <cell r="G1583" t="str">
            <v>-</v>
          </cell>
          <cell r="H1583" t="str">
            <v>-</v>
          </cell>
          <cell r="I1583" t="str">
            <v>PRD</v>
          </cell>
          <cell r="J1583" t="str">
            <v>NON LINE</v>
          </cell>
          <cell r="K1583" t="str">
            <v>ALL</v>
          </cell>
          <cell r="L1583" t="str">
            <v>ALL</v>
          </cell>
          <cell r="M1583" t="str">
            <v>TRAINER 2</v>
          </cell>
          <cell r="N1583" t="str">
            <v>BUFFER</v>
          </cell>
          <cell r="O1583" t="str">
            <v>OTHERS</v>
          </cell>
          <cell r="P1583" t="str">
            <v>A (NS)</v>
          </cell>
          <cell r="Q1583" t="str">
            <v>PI</v>
          </cell>
          <cell r="R1583" t="str">
            <v>PERMANENT</v>
          </cell>
          <cell r="S1583" t="str">
            <v>PRM</v>
          </cell>
          <cell r="T1583" t="str">
            <v>OPT</v>
          </cell>
          <cell r="U1583" t="str">
            <v>-</v>
          </cell>
          <cell r="V1583" t="str">
            <v>P</v>
          </cell>
          <cell r="W1583">
            <v>31</v>
          </cell>
        </row>
        <row r="1584">
          <cell r="A1584" t="str">
            <v>B00865</v>
          </cell>
          <cell r="B1584" t="str">
            <v>B00865</v>
          </cell>
          <cell r="C1584" t="str">
            <v>NUGROHO ADI SAPUTRO</v>
          </cell>
          <cell r="D1584" t="str">
            <v>SAMI</v>
          </cell>
          <cell r="E1584" t="str">
            <v>BBF-017</v>
          </cell>
          <cell r="F1584">
            <v>40945</v>
          </cell>
          <cell r="G1584" t="str">
            <v>-</v>
          </cell>
          <cell r="H1584" t="str">
            <v>-</v>
          </cell>
          <cell r="I1584" t="str">
            <v>PRD</v>
          </cell>
          <cell r="J1584" t="str">
            <v>NON LINE</v>
          </cell>
          <cell r="K1584" t="str">
            <v>ALL</v>
          </cell>
          <cell r="L1584" t="str">
            <v>ALL</v>
          </cell>
          <cell r="M1584" t="str">
            <v>TRAINER 2</v>
          </cell>
          <cell r="N1584" t="str">
            <v>QC</v>
          </cell>
          <cell r="O1584" t="str">
            <v>GL</v>
          </cell>
          <cell r="P1584" t="str">
            <v>A (NS)</v>
          </cell>
          <cell r="Q1584" t="str">
            <v>PI</v>
          </cell>
          <cell r="R1584" t="str">
            <v>PERMANENT</v>
          </cell>
          <cell r="S1584" t="str">
            <v>PRM</v>
          </cell>
          <cell r="T1584" t="str">
            <v>GL</v>
          </cell>
          <cell r="U1584" t="str">
            <v>-</v>
          </cell>
          <cell r="V1584" t="str">
            <v>L</v>
          </cell>
          <cell r="W1584">
            <v>34</v>
          </cell>
        </row>
        <row r="1585">
          <cell r="A1585" t="str">
            <v>B01434</v>
          </cell>
          <cell r="B1585" t="str">
            <v>B01434</v>
          </cell>
          <cell r="C1585" t="str">
            <v>NURCAHYO RUSBIANTORO</v>
          </cell>
          <cell r="D1585" t="str">
            <v>SAMI</v>
          </cell>
          <cell r="E1585" t="str">
            <v>TKN-72</v>
          </cell>
          <cell r="F1585">
            <v>41306</v>
          </cell>
          <cell r="G1585" t="str">
            <v>-</v>
          </cell>
          <cell r="H1585" t="str">
            <v>-</v>
          </cell>
          <cell r="I1585" t="str">
            <v>PRD</v>
          </cell>
          <cell r="J1585" t="str">
            <v>NON LINE</v>
          </cell>
          <cell r="K1585" t="str">
            <v>ALL</v>
          </cell>
          <cell r="L1585" t="str">
            <v>ALL</v>
          </cell>
          <cell r="M1585" t="str">
            <v>TRAINER 2</v>
          </cell>
          <cell r="N1585" t="str">
            <v>BUFFER</v>
          </cell>
          <cell r="O1585" t="str">
            <v>OTHERS</v>
          </cell>
          <cell r="P1585" t="str">
            <v>A (NS)</v>
          </cell>
          <cell r="Q1585" t="str">
            <v>PI</v>
          </cell>
          <cell r="R1585" t="str">
            <v>PERMANENT</v>
          </cell>
          <cell r="S1585" t="str">
            <v>PRM</v>
          </cell>
          <cell r="T1585" t="str">
            <v>TKN</v>
          </cell>
          <cell r="U1585" t="str">
            <v>-</v>
          </cell>
          <cell r="V1585" t="str">
            <v>L</v>
          </cell>
          <cell r="W1585">
            <v>40</v>
          </cell>
        </row>
        <row r="1586">
          <cell r="A1586">
            <v>607</v>
          </cell>
          <cell r="B1586" t="str">
            <v>000607</v>
          </cell>
          <cell r="C1586" t="str">
            <v>ANI LUSIANA</v>
          </cell>
          <cell r="D1586" t="str">
            <v>SAMI</v>
          </cell>
          <cell r="E1586" t="str">
            <v>OPT-16</v>
          </cell>
          <cell r="F1586">
            <v>37781</v>
          </cell>
          <cell r="G1586" t="str">
            <v>-</v>
          </cell>
          <cell r="H1586" t="str">
            <v>-</v>
          </cell>
          <cell r="I1586" t="str">
            <v>PRD</v>
          </cell>
          <cell r="J1586" t="str">
            <v>NON LINE</v>
          </cell>
          <cell r="K1586" t="str">
            <v>ALL</v>
          </cell>
          <cell r="L1586" t="str">
            <v>ALL</v>
          </cell>
          <cell r="M1586" t="str">
            <v>TRAINER CPA</v>
          </cell>
          <cell r="N1586" t="str">
            <v>TRAINER</v>
          </cell>
          <cell r="O1586" t="str">
            <v>GL</v>
          </cell>
          <cell r="P1586" t="str">
            <v>A (NS)</v>
          </cell>
          <cell r="Q1586" t="str">
            <v>PI</v>
          </cell>
          <cell r="R1586" t="str">
            <v>PERMANENT</v>
          </cell>
          <cell r="S1586" t="str">
            <v>PRM</v>
          </cell>
          <cell r="T1586" t="str">
            <v>GL</v>
          </cell>
          <cell r="U1586" t="str">
            <v>-</v>
          </cell>
          <cell r="V1586" t="str">
            <v>P</v>
          </cell>
          <cell r="W1586">
            <v>42</v>
          </cell>
        </row>
        <row r="1587">
          <cell r="A1587" t="str">
            <v>B01436</v>
          </cell>
          <cell r="B1587" t="str">
            <v>B01436</v>
          </cell>
          <cell r="C1587" t="str">
            <v>MUNDAKIR</v>
          </cell>
          <cell r="D1587" t="str">
            <v>SAMI</v>
          </cell>
          <cell r="E1587" t="str">
            <v>TKN-72</v>
          </cell>
          <cell r="F1587">
            <v>41306</v>
          </cell>
          <cell r="G1587" t="str">
            <v>-</v>
          </cell>
          <cell r="H1587" t="str">
            <v>-</v>
          </cell>
          <cell r="I1587" t="str">
            <v>PE</v>
          </cell>
          <cell r="J1587" t="str">
            <v>J/C BP</v>
          </cell>
          <cell r="K1587" t="str">
            <v>ALL</v>
          </cell>
          <cell r="L1587" t="str">
            <v>ALL</v>
          </cell>
          <cell r="M1587" t="str">
            <v>JCN</v>
          </cell>
          <cell r="N1587" t="str">
            <v>BREAKDOWN FA</v>
          </cell>
          <cell r="O1587" t="str">
            <v>MTC</v>
          </cell>
          <cell r="P1587" t="str">
            <v>A</v>
          </cell>
          <cell r="Q1587" t="str">
            <v>PI</v>
          </cell>
          <cell r="R1587" t="str">
            <v>PERMANENT</v>
          </cell>
          <cell r="S1587" t="str">
            <v>PRM</v>
          </cell>
          <cell r="T1587" t="str">
            <v>TKN</v>
          </cell>
          <cell r="U1587" t="str">
            <v>-</v>
          </cell>
          <cell r="V1587" t="str">
            <v>L</v>
          </cell>
          <cell r="W1587">
            <v>35</v>
          </cell>
        </row>
        <row r="1588">
          <cell r="A1588">
            <v>938</v>
          </cell>
          <cell r="B1588" t="str">
            <v>000938</v>
          </cell>
          <cell r="C1588" t="str">
            <v>PUDJI RAHAYU</v>
          </cell>
          <cell r="D1588" t="str">
            <v>SAMI</v>
          </cell>
          <cell r="E1588" t="str">
            <v>OPT-24</v>
          </cell>
          <cell r="F1588">
            <v>37865</v>
          </cell>
          <cell r="G1588" t="str">
            <v>-</v>
          </cell>
          <cell r="H1588" t="str">
            <v>-</v>
          </cell>
          <cell r="I1588" t="str">
            <v>PRD</v>
          </cell>
          <cell r="J1588" t="str">
            <v>NON LINE</v>
          </cell>
          <cell r="K1588" t="str">
            <v>ALL</v>
          </cell>
          <cell r="L1588" t="str">
            <v>ALL</v>
          </cell>
          <cell r="M1588" t="str">
            <v>TRAINER CPA</v>
          </cell>
          <cell r="N1588" t="str">
            <v>PRD LINE LEADER</v>
          </cell>
          <cell r="O1588" t="str">
            <v>FPI LL</v>
          </cell>
          <cell r="P1588" t="str">
            <v>A (NS)</v>
          </cell>
          <cell r="Q1588" t="str">
            <v>PI</v>
          </cell>
          <cell r="R1588" t="str">
            <v>PERMANENT</v>
          </cell>
          <cell r="S1588" t="str">
            <v>PRM</v>
          </cell>
          <cell r="T1588" t="str">
            <v>LL</v>
          </cell>
          <cell r="U1588" t="str">
            <v>-</v>
          </cell>
          <cell r="V1588" t="str">
            <v>P</v>
          </cell>
          <cell r="W1588">
            <v>41</v>
          </cell>
        </row>
        <row r="1589">
          <cell r="A1589" t="str">
            <v>B01765</v>
          </cell>
          <cell r="B1589" t="str">
            <v>B01765</v>
          </cell>
          <cell r="C1589" t="str">
            <v>ANISA FITRIANI</v>
          </cell>
          <cell r="D1589" t="str">
            <v>SAMI</v>
          </cell>
          <cell r="E1589" t="str">
            <v>BBF-066</v>
          </cell>
          <cell r="F1589">
            <v>41435</v>
          </cell>
          <cell r="G1589" t="str">
            <v>-</v>
          </cell>
          <cell r="H1589" t="str">
            <v>-</v>
          </cell>
          <cell r="I1589" t="str">
            <v>PRD</v>
          </cell>
          <cell r="J1589" t="str">
            <v>FINAL ASSY</v>
          </cell>
          <cell r="K1589" t="str">
            <v>TOYOTA HV</v>
          </cell>
          <cell r="L1589" t="str">
            <v>HV TOYOTA 10PL</v>
          </cell>
          <cell r="M1589" t="str">
            <v>CV HV 14B</v>
          </cell>
          <cell r="N1589" t="str">
            <v>VISUAL U2.2</v>
          </cell>
          <cell r="O1589" t="str">
            <v>VISUAL INSPECTION</v>
          </cell>
          <cell r="P1589" t="str">
            <v>B</v>
          </cell>
          <cell r="Q1589" t="str">
            <v>DL</v>
          </cell>
          <cell r="R1589" t="str">
            <v>PERMANENT</v>
          </cell>
          <cell r="S1589" t="str">
            <v>PRM</v>
          </cell>
          <cell r="T1589" t="str">
            <v>OPT</v>
          </cell>
          <cell r="U1589" t="str">
            <v>-</v>
          </cell>
          <cell r="V1589" t="str">
            <v>P</v>
          </cell>
          <cell r="W1589">
            <v>29</v>
          </cell>
        </row>
        <row r="1590">
          <cell r="A1590" t="str">
            <v>B01848</v>
          </cell>
          <cell r="B1590" t="str">
            <v>B01848</v>
          </cell>
          <cell r="C1590" t="str">
            <v>ARIF AFANDI</v>
          </cell>
          <cell r="D1590" t="str">
            <v>SAMI</v>
          </cell>
          <cell r="E1590" t="str">
            <v>BBF-069</v>
          </cell>
          <cell r="F1590">
            <v>41445</v>
          </cell>
          <cell r="G1590" t="str">
            <v>-</v>
          </cell>
          <cell r="H1590" t="str">
            <v>-</v>
          </cell>
          <cell r="I1590" t="str">
            <v>LOG</v>
          </cell>
          <cell r="J1590" t="str">
            <v>WHS</v>
          </cell>
          <cell r="K1590" t="str">
            <v>ALL</v>
          </cell>
          <cell r="L1590" t="str">
            <v>ALL</v>
          </cell>
          <cell r="M1590" t="str">
            <v>WHS</v>
          </cell>
          <cell r="N1590" t="str">
            <v>Parts supply (piking &amp; material handling) from material werahouse</v>
          </cell>
          <cell r="O1590" t="str">
            <v>WHS SUPPLY</v>
          </cell>
          <cell r="P1590" t="str">
            <v>A</v>
          </cell>
          <cell r="Q1590" t="str">
            <v>PS</v>
          </cell>
          <cell r="R1590" t="str">
            <v>PERMANENT</v>
          </cell>
          <cell r="S1590" t="str">
            <v>PRM</v>
          </cell>
          <cell r="T1590" t="str">
            <v>OPT</v>
          </cell>
          <cell r="U1590" t="str">
            <v>-</v>
          </cell>
          <cell r="V1590" t="str">
            <v>L</v>
          </cell>
          <cell r="W1590">
            <v>39</v>
          </cell>
        </row>
        <row r="1591">
          <cell r="A1591" t="str">
            <v>B01913</v>
          </cell>
          <cell r="B1591" t="str">
            <v>B01913</v>
          </cell>
          <cell r="C1591" t="str">
            <v>SISKA RAHMAWATI</v>
          </cell>
          <cell r="D1591" t="str">
            <v>SAMI</v>
          </cell>
          <cell r="E1591" t="str">
            <v>BBF-071</v>
          </cell>
          <cell r="F1591">
            <v>41452</v>
          </cell>
          <cell r="G1591" t="str">
            <v>-</v>
          </cell>
          <cell r="H1591" t="str">
            <v>-</v>
          </cell>
          <cell r="I1591" t="str">
            <v>PRD</v>
          </cell>
          <cell r="J1591" t="str">
            <v>FINAL ASSY</v>
          </cell>
          <cell r="K1591" t="str">
            <v>MAZDA ATENZA</v>
          </cell>
          <cell r="L1591" t="str">
            <v>MAZDA J72A</v>
          </cell>
          <cell r="M1591" t="str">
            <v>CV M03</v>
          </cell>
          <cell r="N1591" t="str">
            <v>CHECKER 1</v>
          </cell>
          <cell r="O1591" t="str">
            <v>ELECTRICAL INSPECTION</v>
          </cell>
          <cell r="P1591" t="str">
            <v>B</v>
          </cell>
          <cell r="Q1591" t="str">
            <v>DL</v>
          </cell>
          <cell r="R1591" t="str">
            <v>PERMANENT</v>
          </cell>
          <cell r="S1591" t="str">
            <v>PRM</v>
          </cell>
          <cell r="T1591" t="str">
            <v>OPT</v>
          </cell>
          <cell r="U1591" t="str">
            <v>-</v>
          </cell>
          <cell r="V1591" t="str">
            <v>P</v>
          </cell>
          <cell r="W1591">
            <v>31</v>
          </cell>
        </row>
        <row r="1592">
          <cell r="A1592" t="str">
            <v>B02122</v>
          </cell>
          <cell r="B1592" t="str">
            <v>B02122</v>
          </cell>
          <cell r="C1592" t="str">
            <v>ISNAINI</v>
          </cell>
          <cell r="D1592" t="str">
            <v>SAMI</v>
          </cell>
          <cell r="E1592" t="str">
            <v>BBF-085</v>
          </cell>
          <cell r="F1592">
            <v>41654</v>
          </cell>
          <cell r="G1592" t="str">
            <v>-</v>
          </cell>
          <cell r="H1592" t="str">
            <v>-</v>
          </cell>
          <cell r="I1592" t="str">
            <v>PRD</v>
          </cell>
          <cell r="J1592" t="str">
            <v>FINAL ASSY</v>
          </cell>
          <cell r="K1592" t="str">
            <v>TOYOTA HV</v>
          </cell>
          <cell r="L1592" t="str">
            <v xml:space="preserve">HV TOYOTA AC </v>
          </cell>
          <cell r="M1592" t="str">
            <v>CV HV 10A</v>
          </cell>
          <cell r="N1592" t="str">
            <v>VISUAL 1</v>
          </cell>
          <cell r="O1592" t="str">
            <v>VISUAL INSPECTION</v>
          </cell>
          <cell r="P1592" t="str">
            <v>B</v>
          </cell>
          <cell r="Q1592" t="str">
            <v>DL</v>
          </cell>
          <cell r="R1592" t="str">
            <v>PERMANENT</v>
          </cell>
          <cell r="S1592" t="str">
            <v>PRM</v>
          </cell>
          <cell r="T1592" t="str">
            <v>OPT</v>
          </cell>
          <cell r="U1592" t="str">
            <v>-</v>
          </cell>
          <cell r="V1592" t="str">
            <v>P</v>
          </cell>
          <cell r="W1592">
            <v>31</v>
          </cell>
        </row>
        <row r="1593">
          <cell r="A1593">
            <v>1093</v>
          </cell>
          <cell r="B1593" t="str">
            <v>001093</v>
          </cell>
          <cell r="C1593" t="str">
            <v>ARI WIDIYANTI</v>
          </cell>
          <cell r="D1593" t="str">
            <v>SAMI</v>
          </cell>
          <cell r="E1593" t="str">
            <v>OPT-27</v>
          </cell>
          <cell r="F1593">
            <v>37887</v>
          </cell>
          <cell r="G1593" t="str">
            <v>-</v>
          </cell>
          <cell r="H1593" t="str">
            <v>-</v>
          </cell>
          <cell r="I1593" t="str">
            <v>PRD</v>
          </cell>
          <cell r="J1593" t="str">
            <v>NON LINE</v>
          </cell>
          <cell r="K1593" t="str">
            <v>ALL</v>
          </cell>
          <cell r="L1593" t="str">
            <v>ALL</v>
          </cell>
          <cell r="M1593" t="str">
            <v>TRAINER CPA</v>
          </cell>
          <cell r="N1593" t="str">
            <v>TRAINER</v>
          </cell>
          <cell r="O1593" t="str">
            <v>GL</v>
          </cell>
          <cell r="P1593" t="str">
            <v>A (NS)</v>
          </cell>
          <cell r="Q1593" t="str">
            <v>PI</v>
          </cell>
          <cell r="R1593" t="str">
            <v>PERMANENT</v>
          </cell>
          <cell r="S1593" t="str">
            <v>PRM</v>
          </cell>
          <cell r="T1593" t="str">
            <v>GL</v>
          </cell>
          <cell r="U1593" t="str">
            <v>-</v>
          </cell>
          <cell r="V1593" t="str">
            <v>P</v>
          </cell>
          <cell r="W1593">
            <v>38</v>
          </cell>
        </row>
        <row r="1594">
          <cell r="A1594">
            <v>5401</v>
          </cell>
          <cell r="B1594" t="str">
            <v>005401</v>
          </cell>
          <cell r="C1594" t="str">
            <v>DIYAH KUMOROWATI</v>
          </cell>
          <cell r="D1594" t="str">
            <v>SAMI</v>
          </cell>
          <cell r="E1594" t="str">
            <v>OPT-128</v>
          </cell>
          <cell r="F1594">
            <v>38991</v>
          </cell>
          <cell r="G1594" t="str">
            <v>-</v>
          </cell>
          <cell r="H1594" t="str">
            <v>-</v>
          </cell>
          <cell r="I1594" t="str">
            <v>PRD</v>
          </cell>
          <cell r="J1594" t="str">
            <v>NON LINE</v>
          </cell>
          <cell r="K1594" t="str">
            <v>ALL</v>
          </cell>
          <cell r="L1594" t="str">
            <v>ALL</v>
          </cell>
          <cell r="M1594" t="str">
            <v>TRAINER CPA</v>
          </cell>
          <cell r="N1594" t="str">
            <v>TRAINER</v>
          </cell>
          <cell r="O1594" t="str">
            <v>RELIEF</v>
          </cell>
          <cell r="P1594" t="str">
            <v>A (NS)</v>
          </cell>
          <cell r="Q1594" t="str">
            <v>PI</v>
          </cell>
          <cell r="R1594" t="str">
            <v>PERMANENT</v>
          </cell>
          <cell r="S1594" t="str">
            <v>PRM</v>
          </cell>
          <cell r="T1594" t="str">
            <v>PJK</v>
          </cell>
          <cell r="U1594" t="str">
            <v>-</v>
          </cell>
          <cell r="V1594" t="str">
            <v>P</v>
          </cell>
          <cell r="W1594">
            <v>40</v>
          </cell>
        </row>
        <row r="1595">
          <cell r="A1595" t="str">
            <v>B02422</v>
          </cell>
          <cell r="B1595" t="str">
            <v>B02422</v>
          </cell>
          <cell r="C1595" t="str">
            <v>PORWANTO</v>
          </cell>
          <cell r="D1595" t="str">
            <v>SAMI</v>
          </cell>
          <cell r="E1595" t="str">
            <v>BBF-105</v>
          </cell>
          <cell r="F1595">
            <v>41778</v>
          </cell>
          <cell r="G1595" t="str">
            <v>-</v>
          </cell>
          <cell r="H1595" t="str">
            <v>-</v>
          </cell>
          <cell r="I1595" t="str">
            <v>LOG</v>
          </cell>
          <cell r="J1595" t="str">
            <v>L. DOCK</v>
          </cell>
          <cell r="K1595" t="str">
            <v>ALL</v>
          </cell>
          <cell r="L1595" t="str">
            <v>ALL</v>
          </cell>
          <cell r="M1595" t="str">
            <v>L. DOCK</v>
          </cell>
          <cell r="N1595" t="str">
            <v>L. DOCK</v>
          </cell>
          <cell r="O1595" t="str">
            <v>LD</v>
          </cell>
          <cell r="P1595" t="str">
            <v>B</v>
          </cell>
          <cell r="Q1595" t="str">
            <v>PS</v>
          </cell>
          <cell r="R1595" t="str">
            <v>PERMANENT</v>
          </cell>
          <cell r="S1595" t="str">
            <v>PRM</v>
          </cell>
          <cell r="T1595" t="str">
            <v>OPT</v>
          </cell>
          <cell r="U1595" t="str">
            <v>-</v>
          </cell>
          <cell r="V1595" t="str">
            <v>L</v>
          </cell>
          <cell r="W1595">
            <v>36</v>
          </cell>
        </row>
        <row r="1596">
          <cell r="A1596">
            <v>5421</v>
          </cell>
          <cell r="B1596" t="str">
            <v>005421</v>
          </cell>
          <cell r="C1596" t="str">
            <v>IKA SULISTYOWATI</v>
          </cell>
          <cell r="D1596" t="str">
            <v>SAMI</v>
          </cell>
          <cell r="E1596" t="str">
            <v>OPT-128</v>
          </cell>
          <cell r="F1596">
            <v>38991</v>
          </cell>
          <cell r="G1596" t="str">
            <v>-</v>
          </cell>
          <cell r="H1596" t="str">
            <v>-</v>
          </cell>
          <cell r="I1596" t="str">
            <v>PRD</v>
          </cell>
          <cell r="J1596" t="str">
            <v>NON LINE</v>
          </cell>
          <cell r="K1596" t="str">
            <v>ALL</v>
          </cell>
          <cell r="L1596" t="str">
            <v>ALL</v>
          </cell>
          <cell r="M1596" t="str">
            <v>TRAINER CPA</v>
          </cell>
          <cell r="N1596" t="str">
            <v>TRAINER</v>
          </cell>
          <cell r="O1596" t="str">
            <v>GL</v>
          </cell>
          <cell r="P1596" t="str">
            <v>A (NS)</v>
          </cell>
          <cell r="Q1596" t="str">
            <v>PI</v>
          </cell>
          <cell r="R1596" t="str">
            <v>PERMANENT</v>
          </cell>
          <cell r="S1596" t="str">
            <v>PRM</v>
          </cell>
          <cell r="T1596" t="str">
            <v>GL</v>
          </cell>
          <cell r="U1596" t="str">
            <v>-</v>
          </cell>
          <cell r="V1596" t="str">
            <v>P</v>
          </cell>
          <cell r="W1596">
            <v>41</v>
          </cell>
        </row>
        <row r="1597">
          <cell r="A1597">
            <v>5550</v>
          </cell>
          <cell r="B1597" t="str">
            <v>005550</v>
          </cell>
          <cell r="C1597" t="str">
            <v>SUPRIYANTO</v>
          </cell>
          <cell r="D1597" t="str">
            <v>SAMI</v>
          </cell>
          <cell r="E1597" t="str">
            <v>OPT-130</v>
          </cell>
          <cell r="F1597">
            <v>39052</v>
          </cell>
          <cell r="G1597" t="str">
            <v>-</v>
          </cell>
          <cell r="H1597" t="str">
            <v>-</v>
          </cell>
          <cell r="I1597" t="str">
            <v>PRD</v>
          </cell>
          <cell r="J1597" t="str">
            <v>NON LINE</v>
          </cell>
          <cell r="K1597" t="str">
            <v>ALL</v>
          </cell>
          <cell r="L1597" t="str">
            <v>ALL</v>
          </cell>
          <cell r="M1597" t="str">
            <v>TRAINER CPA</v>
          </cell>
          <cell r="N1597" t="str">
            <v>PRD LINE LEADER</v>
          </cell>
          <cell r="O1597" t="str">
            <v>FPI LL</v>
          </cell>
          <cell r="P1597" t="str">
            <v>A (NS)</v>
          </cell>
          <cell r="Q1597" t="str">
            <v>PI</v>
          </cell>
          <cell r="R1597" t="str">
            <v>PERMANENT</v>
          </cell>
          <cell r="S1597" t="str">
            <v>PRM</v>
          </cell>
          <cell r="T1597" t="str">
            <v>LL</v>
          </cell>
          <cell r="U1597" t="str">
            <v>-</v>
          </cell>
          <cell r="V1597" t="str">
            <v>L</v>
          </cell>
          <cell r="W1597">
            <v>40</v>
          </cell>
        </row>
        <row r="1598">
          <cell r="A1598">
            <v>9753</v>
          </cell>
          <cell r="B1598" t="str">
            <v>009753</v>
          </cell>
          <cell r="C1598" t="str">
            <v>SEFTI PURWANTI</v>
          </cell>
          <cell r="D1598" t="str">
            <v>SAMI</v>
          </cell>
          <cell r="E1598" t="str">
            <v>OPT-224</v>
          </cell>
          <cell r="F1598">
            <v>40301</v>
          </cell>
          <cell r="G1598" t="str">
            <v>-</v>
          </cell>
          <cell r="H1598" t="str">
            <v>-</v>
          </cell>
          <cell r="I1598" t="str">
            <v>PRD</v>
          </cell>
          <cell r="J1598" t="str">
            <v>NON LINE</v>
          </cell>
          <cell r="K1598" t="str">
            <v>ALL</v>
          </cell>
          <cell r="L1598" t="str">
            <v>ALL</v>
          </cell>
          <cell r="M1598" t="str">
            <v>TRAINER CPA</v>
          </cell>
          <cell r="N1598" t="str">
            <v>TRAINER</v>
          </cell>
          <cell r="O1598" t="str">
            <v>GL</v>
          </cell>
          <cell r="P1598" t="str">
            <v>A (NS)</v>
          </cell>
          <cell r="Q1598" t="str">
            <v>PI</v>
          </cell>
          <cell r="R1598" t="str">
            <v>PERMANENT</v>
          </cell>
          <cell r="S1598" t="str">
            <v>PRM</v>
          </cell>
          <cell r="T1598" t="str">
            <v>GL</v>
          </cell>
          <cell r="U1598" t="str">
            <v>-</v>
          </cell>
          <cell r="V1598" t="str">
            <v>P</v>
          </cell>
          <cell r="W1598">
            <v>33</v>
          </cell>
        </row>
        <row r="1599">
          <cell r="A1599" t="str">
            <v>B03009</v>
          </cell>
          <cell r="B1599" t="str">
            <v>B03009</v>
          </cell>
          <cell r="C1599" t="str">
            <v>ANDI PRASETYO</v>
          </cell>
          <cell r="D1599" t="str">
            <v>SAMI</v>
          </cell>
          <cell r="E1599" t="str">
            <v>BBF-140</v>
          </cell>
          <cell r="F1599">
            <v>42289</v>
          </cell>
          <cell r="G1599" t="str">
            <v>-</v>
          </cell>
          <cell r="H1599" t="str">
            <v>-</v>
          </cell>
          <cell r="I1599" t="str">
            <v>PRD</v>
          </cell>
          <cell r="J1599" t="str">
            <v>FINAL ASSY</v>
          </cell>
          <cell r="K1599" t="str">
            <v>MAZDA ATENZA</v>
          </cell>
          <cell r="L1599" t="str">
            <v>MAZDA J72A</v>
          </cell>
          <cell r="M1599" t="str">
            <v>CV M03</v>
          </cell>
          <cell r="N1599" t="str">
            <v>LQC</v>
          </cell>
          <cell r="O1599" t="str">
            <v>RELIEF</v>
          </cell>
          <cell r="P1599" t="str">
            <v>B</v>
          </cell>
          <cell r="Q1599" t="str">
            <v>PI</v>
          </cell>
          <cell r="R1599" t="str">
            <v>PERMANENT</v>
          </cell>
          <cell r="S1599" t="str">
            <v>PRM</v>
          </cell>
          <cell r="T1599" t="str">
            <v>PJK</v>
          </cell>
          <cell r="U1599" t="str">
            <v>-</v>
          </cell>
          <cell r="V1599" t="str">
            <v>L</v>
          </cell>
          <cell r="W1599">
            <v>27</v>
          </cell>
        </row>
        <row r="1600">
          <cell r="A1600" t="str">
            <v>B03209</v>
          </cell>
          <cell r="B1600" t="str">
            <v>B03209</v>
          </cell>
          <cell r="C1600" t="str">
            <v>RATIH APRILIA</v>
          </cell>
          <cell r="D1600" t="str">
            <v>SAMI</v>
          </cell>
          <cell r="E1600" t="str">
            <v>BBF-148</v>
          </cell>
          <cell r="F1600">
            <v>42390</v>
          </cell>
          <cell r="G1600" t="str">
            <v>-</v>
          </cell>
          <cell r="H1600" t="str">
            <v>-</v>
          </cell>
          <cell r="I1600" t="str">
            <v>PRD</v>
          </cell>
          <cell r="J1600" t="str">
            <v>FINAL ASSY</v>
          </cell>
          <cell r="K1600" t="str">
            <v>MAZDA 3</v>
          </cell>
          <cell r="L1600" t="str">
            <v>MAZDA REAR</v>
          </cell>
          <cell r="M1600" t="str">
            <v>CV M01</v>
          </cell>
          <cell r="N1600" t="str">
            <v>S/A AB</v>
          </cell>
          <cell r="O1600" t="str">
            <v>SUB ASSY</v>
          </cell>
          <cell r="P1600" t="str">
            <v>B</v>
          </cell>
          <cell r="Q1600" t="str">
            <v>DL</v>
          </cell>
          <cell r="R1600" t="str">
            <v>PERMANENT</v>
          </cell>
          <cell r="S1600" t="str">
            <v>PRM</v>
          </cell>
          <cell r="T1600" t="str">
            <v>OPT</v>
          </cell>
          <cell r="U1600" t="str">
            <v>-</v>
          </cell>
          <cell r="V1600" t="str">
            <v>P</v>
          </cell>
          <cell r="W1600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8552-120E-4F37-A352-68C7FB9789DA}">
  <sheetPr filterMode="1"/>
  <dimension ref="A1:X1621"/>
  <sheetViews>
    <sheetView zoomScale="68" zoomScaleNormal="68" workbookViewId="0">
      <selection activeCell="L1615" sqref="L1615"/>
    </sheetView>
  </sheetViews>
  <sheetFormatPr defaultRowHeight="15" x14ac:dyDescent="0.25"/>
  <cols>
    <col min="3" max="3" width="17.5703125" customWidth="1"/>
    <col min="6" max="6" width="10.85546875" customWidth="1"/>
    <col min="10" max="10" width="18.140625" customWidth="1"/>
    <col min="11" max="11" width="14.85546875" customWidth="1"/>
    <col min="12" max="12" width="18.85546875" customWidth="1"/>
    <col min="13" max="13" width="22.28515625" customWidth="1"/>
    <col min="14" max="14" width="18.7109375" customWidth="1"/>
    <col min="18" max="18" width="11.7109375" customWidth="1"/>
    <col min="24" max="24" width="16.28515625" customWidth="1"/>
  </cols>
  <sheetData>
    <row r="1" spans="1:24" x14ac:dyDescent="0.25">
      <c r="A1" s="65" t="s">
        <v>4326</v>
      </c>
      <c r="B1" s="65" t="s">
        <v>4325</v>
      </c>
      <c r="C1" s="65" t="s">
        <v>4324</v>
      </c>
      <c r="D1" s="65" t="s">
        <v>4323</v>
      </c>
      <c r="E1" s="65" t="s">
        <v>4322</v>
      </c>
      <c r="F1" s="65" t="s">
        <v>4321</v>
      </c>
      <c r="G1" s="65" t="s">
        <v>4320</v>
      </c>
      <c r="H1" s="65" t="s">
        <v>4319</v>
      </c>
      <c r="I1" s="65" t="s">
        <v>4318</v>
      </c>
      <c r="J1" s="65" t="s">
        <v>4317</v>
      </c>
      <c r="K1" s="65" t="s">
        <v>4316</v>
      </c>
      <c r="L1" s="65" t="s">
        <v>4315</v>
      </c>
      <c r="M1" s="65" t="s">
        <v>4314</v>
      </c>
      <c r="N1" s="65" t="s">
        <v>4313</v>
      </c>
      <c r="O1" s="65" t="s">
        <v>4312</v>
      </c>
      <c r="P1" s="65" t="s">
        <v>4311</v>
      </c>
      <c r="Q1" s="65" t="s">
        <v>4310</v>
      </c>
      <c r="R1" s="65" t="s">
        <v>4309</v>
      </c>
      <c r="S1" s="65" t="s">
        <v>4308</v>
      </c>
      <c r="T1" s="65" t="s">
        <v>4307</v>
      </c>
      <c r="U1" s="65" t="s">
        <v>4306</v>
      </c>
      <c r="V1" s="65" t="s">
        <v>4305</v>
      </c>
      <c r="W1" s="65" t="s">
        <v>4304</v>
      </c>
      <c r="X1" s="64" t="s">
        <v>4303</v>
      </c>
    </row>
    <row r="2" spans="1:24" s="9" customFormat="1" hidden="1" x14ac:dyDescent="0.25">
      <c r="A2" s="17">
        <v>10</v>
      </c>
      <c r="B2" s="17" t="s">
        <v>4302</v>
      </c>
      <c r="C2" s="16" t="s">
        <v>4301</v>
      </c>
      <c r="D2" s="42" t="s">
        <v>15</v>
      </c>
      <c r="E2" s="14" t="s">
        <v>343</v>
      </c>
      <c r="F2" s="13">
        <v>36073</v>
      </c>
      <c r="G2" s="13" t="s">
        <v>1</v>
      </c>
      <c r="H2" s="13" t="s">
        <v>1</v>
      </c>
      <c r="I2" s="14" t="s">
        <v>365</v>
      </c>
      <c r="J2" s="14" t="s">
        <v>357</v>
      </c>
      <c r="K2" s="14" t="s">
        <v>33</v>
      </c>
      <c r="L2" s="14" t="s">
        <v>33</v>
      </c>
      <c r="M2" s="14" t="s">
        <v>357</v>
      </c>
      <c r="N2" s="14" t="s">
        <v>4300</v>
      </c>
      <c r="O2" s="14" t="s">
        <v>4299</v>
      </c>
      <c r="P2" s="14" t="s">
        <v>30</v>
      </c>
      <c r="Q2" s="14" t="s">
        <v>121</v>
      </c>
      <c r="R2" s="12" t="s">
        <v>4</v>
      </c>
      <c r="S2" s="12" t="s">
        <v>3</v>
      </c>
      <c r="T2" s="12" t="s">
        <v>4299</v>
      </c>
      <c r="U2" s="12" t="s">
        <v>1</v>
      </c>
      <c r="V2" s="12" t="s">
        <v>18</v>
      </c>
      <c r="W2" s="11">
        <v>51</v>
      </c>
      <c r="X2" s="49"/>
    </row>
    <row r="3" spans="1:24" s="9" customFormat="1" hidden="1" x14ac:dyDescent="0.25">
      <c r="A3" s="17">
        <v>12</v>
      </c>
      <c r="B3" s="17" t="s">
        <v>4298</v>
      </c>
      <c r="C3" s="16" t="s">
        <v>4297</v>
      </c>
      <c r="D3" s="42" t="s">
        <v>15</v>
      </c>
      <c r="E3" s="14" t="s">
        <v>343</v>
      </c>
      <c r="F3" s="13">
        <v>37411</v>
      </c>
      <c r="G3" s="13" t="s">
        <v>1</v>
      </c>
      <c r="H3" s="13" t="s">
        <v>1</v>
      </c>
      <c r="I3" s="14" t="s">
        <v>365</v>
      </c>
      <c r="J3" s="14" t="s">
        <v>357</v>
      </c>
      <c r="K3" s="14" t="s">
        <v>33</v>
      </c>
      <c r="L3" s="14" t="s">
        <v>33</v>
      </c>
      <c r="M3" s="14" t="s">
        <v>357</v>
      </c>
      <c r="N3" s="14" t="s">
        <v>4296</v>
      </c>
      <c r="O3" s="14" t="s">
        <v>921</v>
      </c>
      <c r="P3" s="14" t="s">
        <v>30</v>
      </c>
      <c r="Q3" s="14" t="s">
        <v>121</v>
      </c>
      <c r="R3" s="12" t="s">
        <v>4</v>
      </c>
      <c r="S3" s="12" t="s">
        <v>3</v>
      </c>
      <c r="T3" s="12" t="s">
        <v>1394</v>
      </c>
      <c r="U3" s="12" t="s">
        <v>1</v>
      </c>
      <c r="V3" s="12" t="s">
        <v>0</v>
      </c>
      <c r="W3" s="11">
        <v>45</v>
      </c>
      <c r="X3" s="10"/>
    </row>
    <row r="4" spans="1:24" s="9" customFormat="1" hidden="1" x14ac:dyDescent="0.25">
      <c r="A4" s="17">
        <v>13</v>
      </c>
      <c r="B4" s="17" t="s">
        <v>4295</v>
      </c>
      <c r="C4" s="43" t="s">
        <v>4294</v>
      </c>
      <c r="D4" s="15" t="s">
        <v>15</v>
      </c>
      <c r="E4" s="14" t="s">
        <v>343</v>
      </c>
      <c r="F4" s="13">
        <v>37411</v>
      </c>
      <c r="G4" s="13" t="s">
        <v>1</v>
      </c>
      <c r="H4" s="13" t="s">
        <v>1</v>
      </c>
      <c r="I4" s="14" t="s">
        <v>365</v>
      </c>
      <c r="J4" s="14" t="s">
        <v>1601</v>
      </c>
      <c r="K4" s="14" t="s">
        <v>33</v>
      </c>
      <c r="L4" s="14" t="s">
        <v>33</v>
      </c>
      <c r="M4" s="14" t="s">
        <v>1601</v>
      </c>
      <c r="N4" s="14" t="s">
        <v>4293</v>
      </c>
      <c r="O4" s="14" t="s">
        <v>339</v>
      </c>
      <c r="P4" s="14" t="s">
        <v>30</v>
      </c>
      <c r="Q4" s="14" t="s">
        <v>121</v>
      </c>
      <c r="R4" s="12" t="s">
        <v>4</v>
      </c>
      <c r="S4" s="12" t="s">
        <v>3</v>
      </c>
      <c r="T4" s="12" t="s">
        <v>338</v>
      </c>
      <c r="U4" s="12" t="s">
        <v>1</v>
      </c>
      <c r="V4" s="12" t="s">
        <v>18</v>
      </c>
      <c r="W4" s="11">
        <v>47</v>
      </c>
      <c r="X4" s="10"/>
    </row>
    <row r="5" spans="1:24" s="78" customFormat="1" hidden="1" x14ac:dyDescent="0.25">
      <c r="A5" s="73">
        <v>37</v>
      </c>
      <c r="B5" s="73" t="s">
        <v>4292</v>
      </c>
      <c r="C5" s="87" t="s">
        <v>4291</v>
      </c>
      <c r="D5" s="88" t="s">
        <v>15</v>
      </c>
      <c r="E5" s="89" t="s">
        <v>343</v>
      </c>
      <c r="F5" s="90">
        <v>37529</v>
      </c>
      <c r="G5" s="90" t="s">
        <v>1</v>
      </c>
      <c r="H5" s="90" t="s">
        <v>1</v>
      </c>
      <c r="I5" s="89" t="s">
        <v>50</v>
      </c>
      <c r="J5" s="89" t="s">
        <v>75</v>
      </c>
      <c r="K5" s="89" t="s">
        <v>33</v>
      </c>
      <c r="L5" s="89" t="s">
        <v>33</v>
      </c>
      <c r="M5" s="89" t="s">
        <v>75</v>
      </c>
      <c r="N5" s="89" t="s">
        <v>3606</v>
      </c>
      <c r="O5" s="89" t="s">
        <v>624</v>
      </c>
      <c r="P5" s="91" t="s">
        <v>30</v>
      </c>
      <c r="Q5" s="89" t="s">
        <v>47</v>
      </c>
      <c r="R5" s="92" t="s">
        <v>4</v>
      </c>
      <c r="S5" s="92" t="s">
        <v>3</v>
      </c>
      <c r="T5" s="92" t="s">
        <v>3065</v>
      </c>
      <c r="U5" s="92" t="s">
        <v>1</v>
      </c>
      <c r="V5" s="92" t="s">
        <v>18</v>
      </c>
      <c r="W5" s="93">
        <v>47</v>
      </c>
      <c r="X5" s="94"/>
    </row>
    <row r="6" spans="1:24" hidden="1" x14ac:dyDescent="0.25">
      <c r="A6" s="8">
        <v>44</v>
      </c>
      <c r="B6" s="8" t="s">
        <v>4290</v>
      </c>
      <c r="C6" s="7" t="s">
        <v>4289</v>
      </c>
      <c r="D6" s="6" t="s">
        <v>15</v>
      </c>
      <c r="E6" s="5" t="s">
        <v>4286</v>
      </c>
      <c r="F6" s="4">
        <v>37529</v>
      </c>
      <c r="G6" s="4" t="s">
        <v>1</v>
      </c>
      <c r="H6" s="4" t="s">
        <v>1</v>
      </c>
      <c r="I6" s="5" t="s">
        <v>93</v>
      </c>
      <c r="J6" s="5" t="s">
        <v>92</v>
      </c>
      <c r="K6" s="5" t="s">
        <v>33</v>
      </c>
      <c r="L6" s="5" t="s">
        <v>33</v>
      </c>
      <c r="M6" s="5" t="s">
        <v>91</v>
      </c>
      <c r="N6" s="5" t="s">
        <v>3175</v>
      </c>
      <c r="O6" s="5" t="s">
        <v>368</v>
      </c>
      <c r="P6" s="5" t="s">
        <v>6</v>
      </c>
      <c r="Q6" s="5" t="s">
        <v>47</v>
      </c>
      <c r="R6" s="3" t="s">
        <v>4</v>
      </c>
      <c r="S6" s="3" t="s">
        <v>3</v>
      </c>
      <c r="T6" s="3" t="s">
        <v>38</v>
      </c>
      <c r="U6" s="3" t="s">
        <v>1</v>
      </c>
      <c r="V6" s="3" t="s">
        <v>18</v>
      </c>
      <c r="W6" s="2">
        <v>42</v>
      </c>
    </row>
    <row r="7" spans="1:24" hidden="1" x14ac:dyDescent="0.25">
      <c r="A7" s="8">
        <v>48</v>
      </c>
      <c r="B7" s="8" t="s">
        <v>4288</v>
      </c>
      <c r="C7" s="7" t="s">
        <v>4287</v>
      </c>
      <c r="D7" s="6" t="s">
        <v>15</v>
      </c>
      <c r="E7" s="5" t="s">
        <v>4286</v>
      </c>
      <c r="F7" s="4">
        <v>37529</v>
      </c>
      <c r="G7" s="4" t="s">
        <v>1</v>
      </c>
      <c r="H7" s="4" t="s">
        <v>1</v>
      </c>
      <c r="I7" s="18" t="s">
        <v>93</v>
      </c>
      <c r="J7" s="5" t="s">
        <v>466</v>
      </c>
      <c r="K7" s="5" t="s">
        <v>33</v>
      </c>
      <c r="L7" s="5" t="s">
        <v>33</v>
      </c>
      <c r="M7" s="5" t="s">
        <v>466</v>
      </c>
      <c r="N7" s="5" t="s">
        <v>930</v>
      </c>
      <c r="O7" s="5" t="s">
        <v>464</v>
      </c>
      <c r="P7" s="5" t="s">
        <v>6</v>
      </c>
      <c r="Q7" s="5" t="s">
        <v>47</v>
      </c>
      <c r="R7" s="3" t="s">
        <v>4</v>
      </c>
      <c r="S7" s="3" t="s">
        <v>3</v>
      </c>
      <c r="T7" s="3" t="s">
        <v>88</v>
      </c>
      <c r="U7" s="3" t="s">
        <v>1</v>
      </c>
      <c r="V7" s="3" t="s">
        <v>18</v>
      </c>
      <c r="W7" s="2">
        <v>41</v>
      </c>
    </row>
    <row r="8" spans="1:24" s="9" customFormat="1" hidden="1" x14ac:dyDescent="0.25">
      <c r="A8" s="17">
        <v>1098</v>
      </c>
      <c r="B8" s="17" t="s">
        <v>4285</v>
      </c>
      <c r="C8" s="16" t="s">
        <v>4284</v>
      </c>
      <c r="D8" s="15" t="s">
        <v>15</v>
      </c>
      <c r="E8" s="14" t="s">
        <v>56</v>
      </c>
      <c r="F8" s="13">
        <v>37887</v>
      </c>
      <c r="G8" s="13" t="s">
        <v>1</v>
      </c>
      <c r="H8" s="13" t="s">
        <v>1</v>
      </c>
      <c r="I8" s="12" t="s">
        <v>13</v>
      </c>
      <c r="J8" s="12" t="s">
        <v>34</v>
      </c>
      <c r="K8" s="12" t="s">
        <v>33</v>
      </c>
      <c r="L8" s="12" t="s">
        <v>33</v>
      </c>
      <c r="M8" s="12" t="s">
        <v>4276</v>
      </c>
      <c r="N8" s="12" t="s">
        <v>4279</v>
      </c>
      <c r="O8" s="12" t="s">
        <v>100</v>
      </c>
      <c r="P8" s="12" t="s">
        <v>30</v>
      </c>
      <c r="Q8" s="12" t="s">
        <v>20</v>
      </c>
      <c r="R8" s="12" t="s">
        <v>4</v>
      </c>
      <c r="S8" s="12" t="s">
        <v>3</v>
      </c>
      <c r="T8" s="12" t="s">
        <v>2</v>
      </c>
      <c r="U8" s="12" t="s">
        <v>1</v>
      </c>
      <c r="V8" s="12" t="s">
        <v>0</v>
      </c>
      <c r="W8" s="11">
        <v>39</v>
      </c>
      <c r="X8" s="10"/>
    </row>
    <row r="9" spans="1:24" s="9" customFormat="1" hidden="1" x14ac:dyDescent="0.25">
      <c r="A9" s="17">
        <v>8799</v>
      </c>
      <c r="B9" s="17" t="s">
        <v>4283</v>
      </c>
      <c r="C9" s="16" t="s">
        <v>4282</v>
      </c>
      <c r="D9" s="15" t="s">
        <v>15</v>
      </c>
      <c r="E9" s="14" t="s">
        <v>222</v>
      </c>
      <c r="F9" s="13">
        <v>39931</v>
      </c>
      <c r="G9" s="13" t="s">
        <v>1</v>
      </c>
      <c r="H9" s="13" t="s">
        <v>1</v>
      </c>
      <c r="I9" s="12" t="s">
        <v>13</v>
      </c>
      <c r="J9" s="12" t="s">
        <v>34</v>
      </c>
      <c r="K9" s="12" t="s">
        <v>33</v>
      </c>
      <c r="L9" s="12" t="s">
        <v>33</v>
      </c>
      <c r="M9" s="12" t="s">
        <v>4276</v>
      </c>
      <c r="N9" s="12" t="s">
        <v>4275</v>
      </c>
      <c r="O9" s="12" t="s">
        <v>100</v>
      </c>
      <c r="P9" s="12" t="s">
        <v>30</v>
      </c>
      <c r="Q9" s="12" t="s">
        <v>20</v>
      </c>
      <c r="R9" s="12" t="s">
        <v>4</v>
      </c>
      <c r="S9" s="12" t="s">
        <v>3</v>
      </c>
      <c r="T9" s="12" t="s">
        <v>2</v>
      </c>
      <c r="U9" s="12" t="s">
        <v>1</v>
      </c>
      <c r="V9" s="12" t="s">
        <v>0</v>
      </c>
      <c r="W9" s="11">
        <v>35</v>
      </c>
      <c r="X9" s="10"/>
    </row>
    <row r="10" spans="1:24" s="9" customFormat="1" hidden="1" x14ac:dyDescent="0.25">
      <c r="A10" s="17">
        <v>9069</v>
      </c>
      <c r="B10" s="17" t="s">
        <v>4281</v>
      </c>
      <c r="C10" s="16" t="s">
        <v>4280</v>
      </c>
      <c r="D10" s="15" t="s">
        <v>15</v>
      </c>
      <c r="E10" s="14" t="s">
        <v>2013</v>
      </c>
      <c r="F10" s="13">
        <v>39993</v>
      </c>
      <c r="G10" s="13" t="s">
        <v>1</v>
      </c>
      <c r="H10" s="13" t="s">
        <v>1</v>
      </c>
      <c r="I10" s="12" t="s">
        <v>13</v>
      </c>
      <c r="J10" s="12" t="s">
        <v>34</v>
      </c>
      <c r="K10" s="12" t="s">
        <v>33</v>
      </c>
      <c r="L10" s="12" t="s">
        <v>33</v>
      </c>
      <c r="M10" s="12" t="s">
        <v>4276</v>
      </c>
      <c r="N10" s="12" t="s">
        <v>4279</v>
      </c>
      <c r="O10" s="12" t="s">
        <v>100</v>
      </c>
      <c r="P10" s="12" t="s">
        <v>30</v>
      </c>
      <c r="Q10" s="12" t="s">
        <v>20</v>
      </c>
      <c r="R10" s="12" t="s">
        <v>4</v>
      </c>
      <c r="S10" s="12" t="s">
        <v>3</v>
      </c>
      <c r="T10" s="12" t="s">
        <v>2</v>
      </c>
      <c r="U10" s="12" t="s">
        <v>1</v>
      </c>
      <c r="V10" s="12" t="s">
        <v>0</v>
      </c>
      <c r="W10" s="11">
        <v>35</v>
      </c>
      <c r="X10" s="10"/>
    </row>
    <row r="11" spans="1:24" s="9" customFormat="1" hidden="1" x14ac:dyDescent="0.25">
      <c r="A11" s="17">
        <v>10173</v>
      </c>
      <c r="B11" s="17" t="s">
        <v>4278</v>
      </c>
      <c r="C11" s="16" t="s">
        <v>4277</v>
      </c>
      <c r="D11" s="15" t="s">
        <v>15</v>
      </c>
      <c r="E11" s="14" t="s">
        <v>476</v>
      </c>
      <c r="F11" s="13">
        <v>40458</v>
      </c>
      <c r="G11" s="13" t="s">
        <v>1</v>
      </c>
      <c r="H11" s="13" t="s">
        <v>1</v>
      </c>
      <c r="I11" s="12" t="s">
        <v>13</v>
      </c>
      <c r="J11" s="12" t="s">
        <v>34</v>
      </c>
      <c r="K11" s="12" t="s">
        <v>33</v>
      </c>
      <c r="L11" s="12" t="s">
        <v>33</v>
      </c>
      <c r="M11" s="12" t="s">
        <v>4276</v>
      </c>
      <c r="N11" s="12" t="s">
        <v>4275</v>
      </c>
      <c r="O11" s="12" t="s">
        <v>100</v>
      </c>
      <c r="P11" s="12" t="s">
        <v>30</v>
      </c>
      <c r="Q11" s="12" t="s">
        <v>20</v>
      </c>
      <c r="R11" s="12" t="s">
        <v>4</v>
      </c>
      <c r="S11" s="12" t="s">
        <v>3</v>
      </c>
      <c r="T11" s="12" t="s">
        <v>2</v>
      </c>
      <c r="U11" s="12" t="s">
        <v>1</v>
      </c>
      <c r="V11" s="12" t="s">
        <v>0</v>
      </c>
      <c r="W11" s="11">
        <v>32</v>
      </c>
      <c r="X11" s="10"/>
    </row>
    <row r="12" spans="1:24" hidden="1" x14ac:dyDescent="0.25">
      <c r="A12" s="8">
        <v>63</v>
      </c>
      <c r="B12" s="8" t="s">
        <v>4274</v>
      </c>
      <c r="C12" s="7" t="s">
        <v>4273</v>
      </c>
      <c r="D12" s="6" t="s">
        <v>15</v>
      </c>
      <c r="E12" s="5" t="s">
        <v>310</v>
      </c>
      <c r="F12" s="4">
        <v>37578</v>
      </c>
      <c r="G12" s="4" t="s">
        <v>1</v>
      </c>
      <c r="H12" s="4" t="s">
        <v>1</v>
      </c>
      <c r="I12" s="3" t="s">
        <v>13</v>
      </c>
      <c r="J12" s="3" t="s">
        <v>12</v>
      </c>
      <c r="K12" s="3" t="s">
        <v>539</v>
      </c>
      <c r="L12" s="3" t="s">
        <v>1568</v>
      </c>
      <c r="M12" s="3" t="s">
        <v>1567</v>
      </c>
      <c r="N12" s="3" t="s">
        <v>1362</v>
      </c>
      <c r="O12" s="3" t="s">
        <v>39</v>
      </c>
      <c r="P12" s="3" t="s">
        <v>6</v>
      </c>
      <c r="Q12" s="3" t="s">
        <v>20</v>
      </c>
      <c r="R12" s="3" t="s">
        <v>4</v>
      </c>
      <c r="S12" s="3" t="s">
        <v>3</v>
      </c>
      <c r="T12" s="3" t="s">
        <v>1361</v>
      </c>
      <c r="U12" s="3" t="s">
        <v>1</v>
      </c>
      <c r="V12" s="3" t="s">
        <v>0</v>
      </c>
      <c r="W12" s="2">
        <v>41</v>
      </c>
    </row>
    <row r="13" spans="1:24" hidden="1" x14ac:dyDescent="0.25">
      <c r="A13" s="8">
        <v>65</v>
      </c>
      <c r="B13" s="8" t="s">
        <v>4272</v>
      </c>
      <c r="C13" s="7" t="s">
        <v>4271</v>
      </c>
      <c r="D13" s="6" t="s">
        <v>15</v>
      </c>
      <c r="E13" s="5" t="s">
        <v>310</v>
      </c>
      <c r="F13" s="4">
        <v>37578</v>
      </c>
      <c r="G13" s="4" t="s">
        <v>1</v>
      </c>
      <c r="H13" s="4" t="s">
        <v>1</v>
      </c>
      <c r="I13" s="3" t="s">
        <v>13</v>
      </c>
      <c r="J13" s="3" t="s">
        <v>133</v>
      </c>
      <c r="K13" s="3" t="s">
        <v>11</v>
      </c>
      <c r="L13" s="3" t="s">
        <v>10</v>
      </c>
      <c r="M13" s="3" t="s">
        <v>290</v>
      </c>
      <c r="N13" s="3" t="s">
        <v>1362</v>
      </c>
      <c r="O13" s="3" t="s">
        <v>39</v>
      </c>
      <c r="P13" s="3" t="s">
        <v>6</v>
      </c>
      <c r="Q13" s="3" t="s">
        <v>20</v>
      </c>
      <c r="R13" s="3" t="s">
        <v>4</v>
      </c>
      <c r="S13" s="3" t="s">
        <v>3</v>
      </c>
      <c r="T13" s="3" t="s">
        <v>1361</v>
      </c>
      <c r="U13" s="3" t="s">
        <v>1</v>
      </c>
      <c r="V13" s="3" t="s">
        <v>0</v>
      </c>
      <c r="W13" s="2">
        <v>40</v>
      </c>
    </row>
    <row r="14" spans="1:24" hidden="1" x14ac:dyDescent="0.25">
      <c r="A14" s="8">
        <v>66</v>
      </c>
      <c r="B14" s="8" t="s">
        <v>4270</v>
      </c>
      <c r="C14" s="7" t="s">
        <v>4269</v>
      </c>
      <c r="D14" s="6" t="s">
        <v>15</v>
      </c>
      <c r="E14" s="5" t="s">
        <v>310</v>
      </c>
      <c r="F14" s="4">
        <v>37578</v>
      </c>
      <c r="G14" s="4" t="s">
        <v>1</v>
      </c>
      <c r="H14" s="4" t="s">
        <v>1</v>
      </c>
      <c r="I14" s="3" t="s">
        <v>145</v>
      </c>
      <c r="J14" s="3" t="s">
        <v>34</v>
      </c>
      <c r="K14" s="3" t="s">
        <v>33</v>
      </c>
      <c r="L14" s="3" t="s">
        <v>33</v>
      </c>
      <c r="M14" s="3" t="s">
        <v>1094</v>
      </c>
      <c r="N14" s="3" t="s">
        <v>1503</v>
      </c>
      <c r="O14" s="3" t="s">
        <v>1094</v>
      </c>
      <c r="P14" s="3" t="s">
        <v>6</v>
      </c>
      <c r="Q14" s="3" t="s">
        <v>47</v>
      </c>
      <c r="R14" s="3" t="s">
        <v>4</v>
      </c>
      <c r="S14" s="3" t="s">
        <v>3</v>
      </c>
      <c r="T14" s="3" t="s">
        <v>2</v>
      </c>
      <c r="U14" s="3" t="s">
        <v>1</v>
      </c>
      <c r="V14" s="3" t="s">
        <v>0</v>
      </c>
      <c r="W14" s="2">
        <v>42</v>
      </c>
    </row>
    <row r="15" spans="1:24" s="9" customFormat="1" hidden="1" x14ac:dyDescent="0.25">
      <c r="A15" s="17">
        <v>5699</v>
      </c>
      <c r="B15" s="17" t="s">
        <v>4268</v>
      </c>
      <c r="C15" s="16" t="s">
        <v>4267</v>
      </c>
      <c r="D15" s="15" t="s">
        <v>15</v>
      </c>
      <c r="E15" s="14" t="s">
        <v>527</v>
      </c>
      <c r="F15" s="13">
        <v>39098</v>
      </c>
      <c r="G15" s="13" t="s">
        <v>1</v>
      </c>
      <c r="H15" s="13" t="s">
        <v>1</v>
      </c>
      <c r="I15" s="12" t="s">
        <v>13</v>
      </c>
      <c r="J15" s="12" t="s">
        <v>34</v>
      </c>
      <c r="K15" s="12" t="s">
        <v>33</v>
      </c>
      <c r="L15" s="12" t="s">
        <v>33</v>
      </c>
      <c r="M15" s="12" t="s">
        <v>4203</v>
      </c>
      <c r="N15" s="12" t="s">
        <v>4225</v>
      </c>
      <c r="O15" s="12" t="s">
        <v>100</v>
      </c>
      <c r="P15" s="12" t="s">
        <v>30</v>
      </c>
      <c r="Q15" s="12" t="s">
        <v>20</v>
      </c>
      <c r="R15" s="12" t="s">
        <v>4</v>
      </c>
      <c r="S15" s="12" t="s">
        <v>3</v>
      </c>
      <c r="T15" s="12" t="s">
        <v>2</v>
      </c>
      <c r="U15" s="12" t="s">
        <v>1</v>
      </c>
      <c r="V15" s="12" t="s">
        <v>0</v>
      </c>
      <c r="W15" s="11">
        <v>39</v>
      </c>
      <c r="X15" s="10"/>
    </row>
    <row r="16" spans="1:24" s="78" customFormat="1" hidden="1" x14ac:dyDescent="0.25">
      <c r="A16" s="73">
        <v>10207</v>
      </c>
      <c r="B16" s="73" t="s">
        <v>4266</v>
      </c>
      <c r="C16" s="87" t="s">
        <v>4265</v>
      </c>
      <c r="D16" s="88" t="s">
        <v>15</v>
      </c>
      <c r="E16" s="89" t="s">
        <v>476</v>
      </c>
      <c r="F16" s="90">
        <v>40458</v>
      </c>
      <c r="G16" s="90" t="s">
        <v>1</v>
      </c>
      <c r="H16" s="90" t="s">
        <v>1</v>
      </c>
      <c r="I16" s="92" t="s">
        <v>13</v>
      </c>
      <c r="J16" s="92" t="s">
        <v>34</v>
      </c>
      <c r="K16" s="92" t="s">
        <v>33</v>
      </c>
      <c r="L16" s="92" t="s">
        <v>33</v>
      </c>
      <c r="M16" s="92" t="s">
        <v>4203</v>
      </c>
      <c r="N16" s="92" t="s">
        <v>152</v>
      </c>
      <c r="O16" s="92" t="s">
        <v>100</v>
      </c>
      <c r="P16" s="92" t="s">
        <v>30</v>
      </c>
      <c r="Q16" s="92" t="s">
        <v>20</v>
      </c>
      <c r="R16" s="92" t="s">
        <v>4</v>
      </c>
      <c r="S16" s="92" t="s">
        <v>3</v>
      </c>
      <c r="T16" s="92" t="s">
        <v>29</v>
      </c>
      <c r="U16" s="92" t="s">
        <v>1</v>
      </c>
      <c r="V16" s="92" t="s">
        <v>0</v>
      </c>
      <c r="W16" s="93">
        <v>33</v>
      </c>
    </row>
    <row r="17" spans="1:24" hidden="1" x14ac:dyDescent="0.25">
      <c r="A17" s="8">
        <v>77</v>
      </c>
      <c r="B17" s="8" t="s">
        <v>4264</v>
      </c>
      <c r="C17" s="25" t="s">
        <v>4263</v>
      </c>
      <c r="D17" s="6" t="s">
        <v>15</v>
      </c>
      <c r="E17" s="5" t="s">
        <v>310</v>
      </c>
      <c r="F17" s="4">
        <v>37578</v>
      </c>
      <c r="G17" s="4" t="s">
        <v>1</v>
      </c>
      <c r="H17" s="4" t="s">
        <v>1</v>
      </c>
      <c r="I17" s="3" t="s">
        <v>13</v>
      </c>
      <c r="J17" s="3" t="s">
        <v>133</v>
      </c>
      <c r="K17" s="3" t="s">
        <v>212</v>
      </c>
      <c r="L17" s="3" t="s">
        <v>211</v>
      </c>
      <c r="M17" s="3" t="s">
        <v>210</v>
      </c>
      <c r="N17" s="3" t="s">
        <v>1078</v>
      </c>
      <c r="O17" s="3" t="s">
        <v>29</v>
      </c>
      <c r="P17" s="3" t="s">
        <v>6</v>
      </c>
      <c r="Q17" s="3" t="s">
        <v>20</v>
      </c>
      <c r="R17" s="3" t="s">
        <v>4</v>
      </c>
      <c r="S17" s="3" t="s">
        <v>3</v>
      </c>
      <c r="T17" s="3" t="s">
        <v>1077</v>
      </c>
      <c r="U17" s="3" t="s">
        <v>1</v>
      </c>
      <c r="V17" s="3" t="s">
        <v>0</v>
      </c>
      <c r="W17" s="2">
        <v>41</v>
      </c>
    </row>
    <row r="18" spans="1:24" hidden="1" x14ac:dyDescent="0.25">
      <c r="A18" s="29">
        <v>10258</v>
      </c>
      <c r="B18" s="8" t="s">
        <v>4262</v>
      </c>
      <c r="C18" s="19" t="s">
        <v>4261</v>
      </c>
      <c r="D18" s="6" t="s">
        <v>15</v>
      </c>
      <c r="E18" s="18" t="s">
        <v>2467</v>
      </c>
      <c r="F18" s="4">
        <v>40497</v>
      </c>
      <c r="G18" s="4" t="s">
        <v>1</v>
      </c>
      <c r="H18" s="4" t="s">
        <v>1</v>
      </c>
      <c r="I18" s="3" t="s">
        <v>13</v>
      </c>
      <c r="J18" s="3" t="s">
        <v>34</v>
      </c>
      <c r="K18" s="3" t="s">
        <v>33</v>
      </c>
      <c r="L18" s="3" t="s">
        <v>33</v>
      </c>
      <c r="M18" s="3" t="s">
        <v>4203</v>
      </c>
      <c r="N18" s="3" t="s">
        <v>4260</v>
      </c>
      <c r="O18" s="3" t="s">
        <v>100</v>
      </c>
      <c r="P18" s="3" t="s">
        <v>30</v>
      </c>
      <c r="Q18" s="3" t="s">
        <v>20</v>
      </c>
      <c r="R18" s="3" t="s">
        <v>4</v>
      </c>
      <c r="S18" s="3" t="s">
        <v>3</v>
      </c>
      <c r="T18" s="3" t="s">
        <v>2</v>
      </c>
      <c r="U18" s="3" t="s">
        <v>1</v>
      </c>
      <c r="V18" s="5" t="s">
        <v>0</v>
      </c>
      <c r="W18" s="2">
        <v>33</v>
      </c>
    </row>
    <row r="19" spans="1:24" s="78" customFormat="1" hidden="1" x14ac:dyDescent="0.25">
      <c r="A19" s="73">
        <v>11404</v>
      </c>
      <c r="B19" s="73" t="s">
        <v>4259</v>
      </c>
      <c r="C19" s="87" t="s">
        <v>4258</v>
      </c>
      <c r="D19" s="88" t="s">
        <v>15</v>
      </c>
      <c r="E19" s="89" t="s">
        <v>1869</v>
      </c>
      <c r="F19" s="90">
        <v>40701</v>
      </c>
      <c r="G19" s="90" t="s">
        <v>1</v>
      </c>
      <c r="H19" s="90" t="s">
        <v>1</v>
      </c>
      <c r="I19" s="92" t="s">
        <v>13</v>
      </c>
      <c r="J19" s="92" t="s">
        <v>34</v>
      </c>
      <c r="K19" s="92" t="s">
        <v>33</v>
      </c>
      <c r="L19" s="92" t="s">
        <v>33</v>
      </c>
      <c r="M19" s="92" t="s">
        <v>4203</v>
      </c>
      <c r="N19" s="92" t="s">
        <v>152</v>
      </c>
      <c r="O19" s="92" t="s">
        <v>100</v>
      </c>
      <c r="P19" s="92" t="s">
        <v>30</v>
      </c>
      <c r="Q19" s="92" t="s">
        <v>20</v>
      </c>
      <c r="R19" s="92" t="s">
        <v>4</v>
      </c>
      <c r="S19" s="92" t="s">
        <v>3</v>
      </c>
      <c r="T19" s="92" t="s">
        <v>2</v>
      </c>
      <c r="U19" s="92" t="s">
        <v>1</v>
      </c>
      <c r="V19" s="92" t="s">
        <v>0</v>
      </c>
      <c r="W19" s="93">
        <v>31</v>
      </c>
    </row>
    <row r="20" spans="1:24" hidden="1" x14ac:dyDescent="0.25">
      <c r="A20" s="8">
        <v>11416</v>
      </c>
      <c r="B20" s="8" t="s">
        <v>4257</v>
      </c>
      <c r="C20" s="7" t="s">
        <v>4256</v>
      </c>
      <c r="D20" s="6" t="s">
        <v>15</v>
      </c>
      <c r="E20" s="5" t="s">
        <v>1869</v>
      </c>
      <c r="F20" s="4">
        <v>40701</v>
      </c>
      <c r="G20" s="4" t="s">
        <v>1</v>
      </c>
      <c r="H20" s="4" t="s">
        <v>1</v>
      </c>
      <c r="I20" s="3" t="s">
        <v>13</v>
      </c>
      <c r="J20" s="3" t="s">
        <v>34</v>
      </c>
      <c r="K20" s="3" t="s">
        <v>33</v>
      </c>
      <c r="L20" s="3" t="s">
        <v>33</v>
      </c>
      <c r="M20" s="3" t="s">
        <v>4203</v>
      </c>
      <c r="N20" s="3" t="s">
        <v>4255</v>
      </c>
      <c r="O20" s="3" t="s">
        <v>100</v>
      </c>
      <c r="P20" s="3" t="s">
        <v>30</v>
      </c>
      <c r="Q20" s="3" t="s">
        <v>20</v>
      </c>
      <c r="R20" s="3" t="s">
        <v>4</v>
      </c>
      <c r="S20" s="3" t="s">
        <v>3</v>
      </c>
      <c r="T20" s="3" t="s">
        <v>2</v>
      </c>
      <c r="U20" s="3" t="s">
        <v>1</v>
      </c>
      <c r="V20" s="3" t="s">
        <v>0</v>
      </c>
      <c r="W20" s="2">
        <v>30</v>
      </c>
    </row>
    <row r="21" spans="1:24" s="78" customFormat="1" hidden="1" x14ac:dyDescent="0.25">
      <c r="A21" s="73">
        <v>119</v>
      </c>
      <c r="B21" s="73" t="s">
        <v>4254</v>
      </c>
      <c r="C21" s="87" t="s">
        <v>4253</v>
      </c>
      <c r="D21" s="88" t="s">
        <v>15</v>
      </c>
      <c r="E21" s="89" t="s">
        <v>603</v>
      </c>
      <c r="F21" s="90">
        <v>37627</v>
      </c>
      <c r="G21" s="90" t="s">
        <v>1</v>
      </c>
      <c r="H21" s="90" t="s">
        <v>1</v>
      </c>
      <c r="I21" s="91" t="s">
        <v>50</v>
      </c>
      <c r="J21" s="89" t="s">
        <v>370</v>
      </c>
      <c r="K21" s="91" t="s">
        <v>33</v>
      </c>
      <c r="L21" s="91" t="s">
        <v>33</v>
      </c>
      <c r="M21" s="89" t="s">
        <v>370</v>
      </c>
      <c r="N21" s="91" t="s">
        <v>4252</v>
      </c>
      <c r="O21" s="91" t="s">
        <v>368</v>
      </c>
      <c r="P21" s="89" t="s">
        <v>30</v>
      </c>
      <c r="Q21" s="89" t="s">
        <v>47</v>
      </c>
      <c r="R21" s="92" t="s">
        <v>4</v>
      </c>
      <c r="S21" s="92" t="s">
        <v>3</v>
      </c>
      <c r="T21" s="92" t="s">
        <v>38</v>
      </c>
      <c r="U21" s="92" t="s">
        <v>1</v>
      </c>
      <c r="V21" s="92" t="s">
        <v>0</v>
      </c>
      <c r="W21" s="93">
        <v>41</v>
      </c>
      <c r="X21" s="94"/>
    </row>
    <row r="22" spans="1:24" ht="15" hidden="1" customHeight="1" x14ac:dyDescent="0.25">
      <c r="A22" s="8">
        <v>121</v>
      </c>
      <c r="B22" s="8" t="s">
        <v>4251</v>
      </c>
      <c r="C22" s="7" t="s">
        <v>1008</v>
      </c>
      <c r="D22" s="6" t="s">
        <v>15</v>
      </c>
      <c r="E22" s="5" t="s">
        <v>343</v>
      </c>
      <c r="F22" s="4">
        <v>37627</v>
      </c>
      <c r="G22" s="4" t="s">
        <v>1</v>
      </c>
      <c r="H22" s="4" t="s">
        <v>1</v>
      </c>
      <c r="I22" s="3" t="s">
        <v>13</v>
      </c>
      <c r="J22" s="3" t="s">
        <v>133</v>
      </c>
      <c r="K22" s="3" t="s">
        <v>33</v>
      </c>
      <c r="L22" s="3" t="s">
        <v>33</v>
      </c>
      <c r="M22" s="3" t="s">
        <v>687</v>
      </c>
      <c r="N22" s="3" t="s">
        <v>686</v>
      </c>
      <c r="O22" s="3" t="s">
        <v>615</v>
      </c>
      <c r="P22" s="3" t="s">
        <v>6</v>
      </c>
      <c r="Q22" s="3" t="s">
        <v>20</v>
      </c>
      <c r="R22" s="3" t="s">
        <v>4</v>
      </c>
      <c r="S22" s="3" t="s">
        <v>3</v>
      </c>
      <c r="T22" s="3" t="s">
        <v>338</v>
      </c>
      <c r="U22" s="3" t="s">
        <v>1</v>
      </c>
      <c r="V22" s="3" t="s">
        <v>0</v>
      </c>
      <c r="W22" s="2">
        <v>42</v>
      </c>
    </row>
    <row r="23" spans="1:24" hidden="1" x14ac:dyDescent="0.25">
      <c r="A23" s="8">
        <v>11587</v>
      </c>
      <c r="B23" s="8" t="s">
        <v>4250</v>
      </c>
      <c r="C23" s="7" t="s">
        <v>1113</v>
      </c>
      <c r="D23" s="6" t="s">
        <v>15</v>
      </c>
      <c r="E23" s="5" t="s">
        <v>1763</v>
      </c>
      <c r="F23" s="4">
        <v>40707</v>
      </c>
      <c r="G23" s="4" t="s">
        <v>1</v>
      </c>
      <c r="H23" s="4" t="s">
        <v>1</v>
      </c>
      <c r="I23" s="3" t="s">
        <v>13</v>
      </c>
      <c r="J23" s="3" t="s">
        <v>34</v>
      </c>
      <c r="K23" s="3" t="s">
        <v>33</v>
      </c>
      <c r="L23" s="3" t="s">
        <v>33</v>
      </c>
      <c r="M23" s="3" t="s">
        <v>4203</v>
      </c>
      <c r="N23" s="3" t="s">
        <v>152</v>
      </c>
      <c r="O23" s="3" t="s">
        <v>100</v>
      </c>
      <c r="P23" s="3" t="s">
        <v>30</v>
      </c>
      <c r="Q23" s="3" t="s">
        <v>20</v>
      </c>
      <c r="R23" s="3" t="s">
        <v>4</v>
      </c>
      <c r="S23" s="3" t="s">
        <v>3</v>
      </c>
      <c r="T23" s="3" t="s">
        <v>19</v>
      </c>
      <c r="U23" s="3" t="s">
        <v>1</v>
      </c>
      <c r="V23" s="3" t="s">
        <v>0</v>
      </c>
      <c r="W23" s="2">
        <v>32</v>
      </c>
    </row>
    <row r="24" spans="1:24" ht="11.25" hidden="1" customHeight="1" x14ac:dyDescent="0.25">
      <c r="A24" s="8">
        <v>146</v>
      </c>
      <c r="B24" s="8" t="s">
        <v>4249</v>
      </c>
      <c r="C24" s="19" t="s">
        <v>4248</v>
      </c>
      <c r="D24" s="6" t="s">
        <v>15</v>
      </c>
      <c r="E24" s="5" t="s">
        <v>572</v>
      </c>
      <c r="F24" s="4">
        <v>37637</v>
      </c>
      <c r="G24" s="4" t="s">
        <v>1</v>
      </c>
      <c r="H24" s="4" t="s">
        <v>1</v>
      </c>
      <c r="I24" s="3" t="s">
        <v>13</v>
      </c>
      <c r="J24" s="3" t="s">
        <v>12</v>
      </c>
      <c r="K24" s="3" t="s">
        <v>25</v>
      </c>
      <c r="L24" s="3" t="s">
        <v>24</v>
      </c>
      <c r="M24" s="3" t="s">
        <v>23</v>
      </c>
      <c r="N24" s="3" t="s">
        <v>1545</v>
      </c>
      <c r="O24" s="3" t="s">
        <v>258</v>
      </c>
      <c r="P24" s="3" t="s">
        <v>6</v>
      </c>
      <c r="Q24" s="3" t="s">
        <v>5</v>
      </c>
      <c r="R24" s="3" t="s">
        <v>4</v>
      </c>
      <c r="S24" s="3" t="s">
        <v>3</v>
      </c>
      <c r="T24" s="3" t="s">
        <v>121</v>
      </c>
      <c r="U24" s="3" t="s">
        <v>1</v>
      </c>
      <c r="V24" s="3" t="s">
        <v>0</v>
      </c>
      <c r="W24" s="2">
        <v>41</v>
      </c>
    </row>
    <row r="25" spans="1:24" s="9" customFormat="1" hidden="1" x14ac:dyDescent="0.25">
      <c r="A25" s="17">
        <v>148</v>
      </c>
      <c r="B25" s="17" t="s">
        <v>4247</v>
      </c>
      <c r="C25" s="16" t="s">
        <v>4246</v>
      </c>
      <c r="D25" s="15" t="s">
        <v>15</v>
      </c>
      <c r="E25" s="14" t="s">
        <v>343</v>
      </c>
      <c r="F25" s="13">
        <v>37637</v>
      </c>
      <c r="G25" s="13" t="s">
        <v>1</v>
      </c>
      <c r="H25" s="13" t="s">
        <v>1</v>
      </c>
      <c r="I25" s="22" t="s">
        <v>93</v>
      </c>
      <c r="J25" s="14" t="s">
        <v>466</v>
      </c>
      <c r="K25" s="14" t="s">
        <v>33</v>
      </c>
      <c r="L25" s="14" t="s">
        <v>33</v>
      </c>
      <c r="M25" s="14" t="s">
        <v>466</v>
      </c>
      <c r="N25" s="14" t="s">
        <v>3681</v>
      </c>
      <c r="O25" s="12" t="s">
        <v>624</v>
      </c>
      <c r="P25" s="14" t="s">
        <v>30</v>
      </c>
      <c r="Q25" s="12" t="s">
        <v>47</v>
      </c>
      <c r="R25" s="12" t="s">
        <v>4</v>
      </c>
      <c r="S25" s="12" t="s">
        <v>3</v>
      </c>
      <c r="T25" s="12" t="s">
        <v>3065</v>
      </c>
      <c r="U25" s="12" t="s">
        <v>1</v>
      </c>
      <c r="V25" s="12" t="s">
        <v>0</v>
      </c>
      <c r="W25" s="11">
        <v>40</v>
      </c>
      <c r="X25" s="10"/>
    </row>
    <row r="26" spans="1:24" hidden="1" x14ac:dyDescent="0.25">
      <c r="A26" s="8">
        <v>11647</v>
      </c>
      <c r="B26" s="8" t="s">
        <v>4245</v>
      </c>
      <c r="C26" s="7" t="s">
        <v>4244</v>
      </c>
      <c r="D26" s="6" t="s">
        <v>15</v>
      </c>
      <c r="E26" s="5" t="s">
        <v>1763</v>
      </c>
      <c r="F26" s="4">
        <v>40707</v>
      </c>
      <c r="G26" s="4" t="s">
        <v>1</v>
      </c>
      <c r="H26" s="4" t="s">
        <v>1</v>
      </c>
      <c r="I26" s="3" t="s">
        <v>13</v>
      </c>
      <c r="J26" s="3" t="s">
        <v>34</v>
      </c>
      <c r="K26" s="3" t="s">
        <v>33</v>
      </c>
      <c r="L26" s="3" t="s">
        <v>33</v>
      </c>
      <c r="M26" s="3" t="s">
        <v>4203</v>
      </c>
      <c r="N26" s="3" t="s">
        <v>152</v>
      </c>
      <c r="O26" s="3" t="s">
        <v>100</v>
      </c>
      <c r="P26" s="3" t="s">
        <v>30</v>
      </c>
      <c r="Q26" s="3" t="s">
        <v>20</v>
      </c>
      <c r="R26" s="3" t="s">
        <v>4</v>
      </c>
      <c r="S26" s="3" t="s">
        <v>3</v>
      </c>
      <c r="T26" s="3" t="s">
        <v>2</v>
      </c>
      <c r="U26" s="3" t="s">
        <v>1</v>
      </c>
      <c r="V26" s="3" t="s">
        <v>0</v>
      </c>
      <c r="W26" s="2">
        <v>31</v>
      </c>
    </row>
    <row r="27" spans="1:24" s="9" customFormat="1" hidden="1" x14ac:dyDescent="0.25">
      <c r="A27" s="17">
        <v>160</v>
      </c>
      <c r="B27" s="17" t="s">
        <v>4243</v>
      </c>
      <c r="C27" s="16" t="s">
        <v>4242</v>
      </c>
      <c r="D27" s="15" t="s">
        <v>15</v>
      </c>
      <c r="E27" s="14" t="s">
        <v>803</v>
      </c>
      <c r="F27" s="13">
        <v>37679</v>
      </c>
      <c r="G27" s="13" t="s">
        <v>1</v>
      </c>
      <c r="H27" s="13" t="s">
        <v>1</v>
      </c>
      <c r="I27" s="14" t="s">
        <v>50</v>
      </c>
      <c r="J27" s="14" t="s">
        <v>49</v>
      </c>
      <c r="K27" s="14" t="s">
        <v>33</v>
      </c>
      <c r="L27" s="14" t="s">
        <v>33</v>
      </c>
      <c r="M27" s="14" t="s">
        <v>49</v>
      </c>
      <c r="N27" s="14" t="s">
        <v>4241</v>
      </c>
      <c r="O27" s="14" t="s">
        <v>368</v>
      </c>
      <c r="P27" s="14" t="s">
        <v>30</v>
      </c>
      <c r="Q27" s="14" t="s">
        <v>47</v>
      </c>
      <c r="R27" s="12" t="s">
        <v>4</v>
      </c>
      <c r="S27" s="12" t="s">
        <v>3</v>
      </c>
      <c r="T27" s="12" t="s">
        <v>38</v>
      </c>
      <c r="U27" s="12" t="s">
        <v>1</v>
      </c>
      <c r="V27" s="12" t="s">
        <v>0</v>
      </c>
      <c r="W27" s="11">
        <v>43</v>
      </c>
      <c r="X27" s="10"/>
    </row>
    <row r="28" spans="1:24" hidden="1" x14ac:dyDescent="0.25">
      <c r="A28" s="8">
        <v>11881</v>
      </c>
      <c r="B28" s="8" t="s">
        <v>4240</v>
      </c>
      <c r="C28" s="7" t="s">
        <v>4239</v>
      </c>
      <c r="D28" s="6" t="s">
        <v>15</v>
      </c>
      <c r="E28" s="5" t="s">
        <v>1789</v>
      </c>
      <c r="F28" s="4">
        <v>40735</v>
      </c>
      <c r="G28" s="4" t="s">
        <v>1</v>
      </c>
      <c r="H28" s="4" t="s">
        <v>1</v>
      </c>
      <c r="I28" s="3" t="s">
        <v>13</v>
      </c>
      <c r="J28" s="3" t="s">
        <v>34</v>
      </c>
      <c r="K28" s="3" t="s">
        <v>33</v>
      </c>
      <c r="L28" s="3" t="s">
        <v>33</v>
      </c>
      <c r="M28" s="3" t="s">
        <v>4203</v>
      </c>
      <c r="N28" s="3" t="s">
        <v>152</v>
      </c>
      <c r="O28" s="3" t="s">
        <v>100</v>
      </c>
      <c r="P28" s="3" t="s">
        <v>30</v>
      </c>
      <c r="Q28" s="3" t="s">
        <v>20</v>
      </c>
      <c r="R28" s="3" t="s">
        <v>4</v>
      </c>
      <c r="S28" s="3" t="s">
        <v>3</v>
      </c>
      <c r="T28" s="3" t="s">
        <v>2</v>
      </c>
      <c r="U28" s="3" t="s">
        <v>1</v>
      </c>
      <c r="V28" s="3" t="s">
        <v>0</v>
      </c>
      <c r="W28" s="2">
        <v>31</v>
      </c>
    </row>
    <row r="29" spans="1:24" s="78" customFormat="1" hidden="1" x14ac:dyDescent="0.25">
      <c r="A29" s="73">
        <v>21249</v>
      </c>
      <c r="B29" s="73" t="s">
        <v>4238</v>
      </c>
      <c r="C29" s="87" t="s">
        <v>4237</v>
      </c>
      <c r="D29" s="88" t="s">
        <v>15</v>
      </c>
      <c r="E29" s="89" t="s">
        <v>629</v>
      </c>
      <c r="F29" s="90">
        <v>42893</v>
      </c>
      <c r="G29" s="90" t="s">
        <v>1</v>
      </c>
      <c r="H29" s="90" t="s">
        <v>1</v>
      </c>
      <c r="I29" s="92" t="s">
        <v>13</v>
      </c>
      <c r="J29" s="92" t="s">
        <v>34</v>
      </c>
      <c r="K29" s="92" t="s">
        <v>33</v>
      </c>
      <c r="L29" s="92" t="s">
        <v>33</v>
      </c>
      <c r="M29" s="92" t="s">
        <v>4203</v>
      </c>
      <c r="N29" s="92" t="s">
        <v>152</v>
      </c>
      <c r="O29" s="92" t="s">
        <v>100</v>
      </c>
      <c r="P29" s="92" t="s">
        <v>30</v>
      </c>
      <c r="Q29" s="92" t="s">
        <v>20</v>
      </c>
      <c r="R29" s="92" t="s">
        <v>4</v>
      </c>
      <c r="S29" s="92" t="s">
        <v>3</v>
      </c>
      <c r="T29" s="92" t="s">
        <v>19</v>
      </c>
      <c r="U29" s="92" t="s">
        <v>1</v>
      </c>
      <c r="V29" s="92" t="s">
        <v>0</v>
      </c>
      <c r="W29" s="93">
        <v>26</v>
      </c>
    </row>
    <row r="30" spans="1:24" s="9" customFormat="1" hidden="1" x14ac:dyDescent="0.25">
      <c r="A30" s="17">
        <v>169</v>
      </c>
      <c r="B30" s="17" t="s">
        <v>4236</v>
      </c>
      <c r="C30" s="24" t="s">
        <v>4235</v>
      </c>
      <c r="D30" s="15" t="s">
        <v>15</v>
      </c>
      <c r="E30" s="22" t="s">
        <v>803</v>
      </c>
      <c r="F30" s="13">
        <v>37679</v>
      </c>
      <c r="G30" s="13" t="s">
        <v>1</v>
      </c>
      <c r="H30" s="13" t="s">
        <v>1</v>
      </c>
      <c r="I30" s="12" t="s">
        <v>145</v>
      </c>
      <c r="J30" s="12" t="s">
        <v>12</v>
      </c>
      <c r="K30" s="12" t="s">
        <v>25</v>
      </c>
      <c r="L30" s="12" t="s">
        <v>24</v>
      </c>
      <c r="M30" s="12" t="s">
        <v>23</v>
      </c>
      <c r="N30" s="12" t="s">
        <v>1196</v>
      </c>
      <c r="O30" s="12" t="s">
        <v>21</v>
      </c>
      <c r="P30" s="12" t="s">
        <v>72</v>
      </c>
      <c r="Q30" s="12" t="s">
        <v>20</v>
      </c>
      <c r="R30" s="12" t="s">
        <v>4</v>
      </c>
      <c r="S30" s="12" t="s">
        <v>3</v>
      </c>
      <c r="T30" s="12" t="s">
        <v>19</v>
      </c>
      <c r="U30" s="12" t="s">
        <v>1</v>
      </c>
      <c r="V30" s="12" t="s">
        <v>0</v>
      </c>
      <c r="W30" s="11">
        <v>40</v>
      </c>
      <c r="X30" s="10"/>
    </row>
    <row r="31" spans="1:24" hidden="1" x14ac:dyDescent="0.25">
      <c r="A31" s="8">
        <v>181</v>
      </c>
      <c r="B31" s="8" t="s">
        <v>4234</v>
      </c>
      <c r="C31" s="7" t="s">
        <v>4233</v>
      </c>
      <c r="D31" s="6" t="s">
        <v>15</v>
      </c>
      <c r="E31" s="5" t="s">
        <v>803</v>
      </c>
      <c r="F31" s="4">
        <v>37679</v>
      </c>
      <c r="G31" s="4" t="s">
        <v>1</v>
      </c>
      <c r="H31" s="4" t="s">
        <v>1</v>
      </c>
      <c r="I31" s="3" t="s">
        <v>145</v>
      </c>
      <c r="J31" s="3" t="s">
        <v>34</v>
      </c>
      <c r="K31" s="3" t="s">
        <v>33</v>
      </c>
      <c r="L31" s="3" t="s">
        <v>4196</v>
      </c>
      <c r="M31" s="3" t="s">
        <v>953</v>
      </c>
      <c r="N31" s="3" t="s">
        <v>952</v>
      </c>
      <c r="O31" s="3" t="s">
        <v>39</v>
      </c>
      <c r="P31" s="3" t="s">
        <v>6</v>
      </c>
      <c r="Q31" s="3" t="s">
        <v>20</v>
      </c>
      <c r="R31" s="3" t="s">
        <v>4</v>
      </c>
      <c r="S31" s="3" t="s">
        <v>3</v>
      </c>
      <c r="T31" s="3" t="s">
        <v>38</v>
      </c>
      <c r="U31" s="3" t="s">
        <v>1</v>
      </c>
      <c r="V31" s="3" t="s">
        <v>0</v>
      </c>
      <c r="W31" s="2">
        <v>40</v>
      </c>
    </row>
    <row r="32" spans="1:24" hidden="1" x14ac:dyDescent="0.25">
      <c r="A32" s="8">
        <v>182</v>
      </c>
      <c r="B32" s="8" t="s">
        <v>4232</v>
      </c>
      <c r="C32" s="7" t="s">
        <v>4231</v>
      </c>
      <c r="D32" s="6" t="s">
        <v>15</v>
      </c>
      <c r="E32" s="5" t="s">
        <v>803</v>
      </c>
      <c r="F32" s="4">
        <v>37679</v>
      </c>
      <c r="G32" s="4" t="s">
        <v>1</v>
      </c>
      <c r="H32" s="4" t="s">
        <v>1</v>
      </c>
      <c r="I32" s="3" t="s">
        <v>145</v>
      </c>
      <c r="J32" s="3" t="s">
        <v>34</v>
      </c>
      <c r="K32" s="3" t="s">
        <v>33</v>
      </c>
      <c r="L32" s="3" t="s">
        <v>33</v>
      </c>
      <c r="M32" s="3" t="s">
        <v>144</v>
      </c>
      <c r="N32" s="3" t="s">
        <v>143</v>
      </c>
      <c r="O32" s="3" t="s">
        <v>142</v>
      </c>
      <c r="P32" s="3" t="s">
        <v>6</v>
      </c>
      <c r="Q32" s="3" t="s">
        <v>47</v>
      </c>
      <c r="R32" s="3" t="s">
        <v>4</v>
      </c>
      <c r="S32" s="3" t="s">
        <v>3</v>
      </c>
      <c r="T32" s="3" t="s">
        <v>2</v>
      </c>
      <c r="U32" s="3" t="s">
        <v>1</v>
      </c>
      <c r="V32" s="3" t="s">
        <v>0</v>
      </c>
      <c r="W32" s="2">
        <v>40</v>
      </c>
    </row>
    <row r="33" spans="1:24" hidden="1" x14ac:dyDescent="0.25">
      <c r="A33" s="8">
        <v>22417</v>
      </c>
      <c r="B33" s="8" t="s">
        <v>4230</v>
      </c>
      <c r="C33" s="19" t="s">
        <v>4229</v>
      </c>
      <c r="D33" s="6" t="s">
        <v>15</v>
      </c>
      <c r="E33" s="18" t="s">
        <v>4228</v>
      </c>
      <c r="F33" s="4">
        <v>43213</v>
      </c>
      <c r="G33" s="4" t="s">
        <v>1</v>
      </c>
      <c r="H33" s="4" t="s">
        <v>1</v>
      </c>
      <c r="I33" s="3" t="s">
        <v>13</v>
      </c>
      <c r="J33" s="3" t="s">
        <v>34</v>
      </c>
      <c r="K33" s="3" t="s">
        <v>33</v>
      </c>
      <c r="L33" s="3" t="s">
        <v>33</v>
      </c>
      <c r="M33" s="3" t="s">
        <v>4203</v>
      </c>
      <c r="N33" s="3" t="s">
        <v>152</v>
      </c>
      <c r="O33" s="3" t="s">
        <v>100</v>
      </c>
      <c r="P33" s="3" t="s">
        <v>30</v>
      </c>
      <c r="Q33" s="3" t="s">
        <v>20</v>
      </c>
      <c r="R33" s="3" t="s">
        <v>4</v>
      </c>
      <c r="S33" s="3" t="s">
        <v>3</v>
      </c>
      <c r="T33" s="3" t="s">
        <v>19</v>
      </c>
      <c r="U33" s="3" t="s">
        <v>1</v>
      </c>
      <c r="V33" s="3" t="s">
        <v>0</v>
      </c>
      <c r="W33" s="2">
        <v>28</v>
      </c>
    </row>
    <row r="34" spans="1:24" hidden="1" x14ac:dyDescent="0.25">
      <c r="A34" s="8" t="s">
        <v>4227</v>
      </c>
      <c r="B34" s="8" t="s">
        <v>4227</v>
      </c>
      <c r="C34" s="7" t="s">
        <v>4226</v>
      </c>
      <c r="D34" s="6" t="s">
        <v>15</v>
      </c>
      <c r="E34" s="5" t="s">
        <v>321</v>
      </c>
      <c r="F34" s="4">
        <v>40840</v>
      </c>
      <c r="G34" s="4" t="s">
        <v>1</v>
      </c>
      <c r="H34" s="4" t="s">
        <v>1</v>
      </c>
      <c r="I34" s="3" t="s">
        <v>13</v>
      </c>
      <c r="J34" s="3" t="s">
        <v>34</v>
      </c>
      <c r="K34" s="3" t="s">
        <v>33</v>
      </c>
      <c r="L34" s="3" t="s">
        <v>33</v>
      </c>
      <c r="M34" s="3" t="s">
        <v>4203</v>
      </c>
      <c r="N34" s="3" t="s">
        <v>4225</v>
      </c>
      <c r="O34" s="3" t="s">
        <v>100</v>
      </c>
      <c r="P34" s="3" t="s">
        <v>30</v>
      </c>
      <c r="Q34" s="3" t="s">
        <v>20</v>
      </c>
      <c r="R34" s="3" t="s">
        <v>4</v>
      </c>
      <c r="S34" s="3" t="s">
        <v>3</v>
      </c>
      <c r="T34" s="3" t="s">
        <v>2</v>
      </c>
      <c r="U34" s="3" t="s">
        <v>1</v>
      </c>
      <c r="V34" s="3" t="s">
        <v>0</v>
      </c>
      <c r="W34" s="2">
        <v>38</v>
      </c>
    </row>
    <row r="35" spans="1:24" hidden="1" x14ac:dyDescent="0.25">
      <c r="A35" s="8">
        <v>190</v>
      </c>
      <c r="B35" s="8" t="s">
        <v>4224</v>
      </c>
      <c r="C35" s="19" t="s">
        <v>4223</v>
      </c>
      <c r="D35" s="6" t="s">
        <v>15</v>
      </c>
      <c r="E35" s="5" t="s">
        <v>803</v>
      </c>
      <c r="F35" s="4">
        <v>37679</v>
      </c>
      <c r="G35" s="4" t="s">
        <v>1</v>
      </c>
      <c r="H35" s="4" t="s">
        <v>1</v>
      </c>
      <c r="I35" s="3" t="s">
        <v>13</v>
      </c>
      <c r="J35" s="3" t="s">
        <v>34</v>
      </c>
      <c r="K35" s="3" t="s">
        <v>33</v>
      </c>
      <c r="L35" s="3" t="s">
        <v>33</v>
      </c>
      <c r="M35" s="3" t="s">
        <v>102</v>
      </c>
      <c r="N35" s="3" t="s">
        <v>152</v>
      </c>
      <c r="O35" s="3" t="s">
        <v>29</v>
      </c>
      <c r="P35" s="3" t="s">
        <v>6</v>
      </c>
      <c r="Q35" s="3" t="s">
        <v>20</v>
      </c>
      <c r="R35" s="3" t="s">
        <v>4</v>
      </c>
      <c r="S35" s="3" t="s">
        <v>3</v>
      </c>
      <c r="T35" s="3" t="s">
        <v>29</v>
      </c>
      <c r="U35" s="3" t="s">
        <v>1</v>
      </c>
      <c r="V35" s="3" t="s">
        <v>0</v>
      </c>
      <c r="W35" s="2">
        <v>42</v>
      </c>
    </row>
    <row r="36" spans="1:24" s="78" customFormat="1" hidden="1" x14ac:dyDescent="0.25">
      <c r="A36" s="73">
        <v>197</v>
      </c>
      <c r="B36" s="73" t="s">
        <v>4222</v>
      </c>
      <c r="C36" s="87" t="s">
        <v>4221</v>
      </c>
      <c r="D36" s="88" t="s">
        <v>15</v>
      </c>
      <c r="E36" s="89" t="s">
        <v>4215</v>
      </c>
      <c r="F36" s="90">
        <v>37679</v>
      </c>
      <c r="G36" s="90" t="s">
        <v>1</v>
      </c>
      <c r="H36" s="90" t="s">
        <v>1</v>
      </c>
      <c r="I36" s="89" t="s">
        <v>93</v>
      </c>
      <c r="J36" s="89" t="s">
        <v>89</v>
      </c>
      <c r="K36" s="89" t="s">
        <v>33</v>
      </c>
      <c r="L36" s="89" t="s">
        <v>33</v>
      </c>
      <c r="M36" s="89" t="s">
        <v>936</v>
      </c>
      <c r="N36" s="89" t="s">
        <v>4220</v>
      </c>
      <c r="O36" s="89" t="s">
        <v>368</v>
      </c>
      <c r="P36" s="89" t="s">
        <v>30</v>
      </c>
      <c r="Q36" s="89" t="s">
        <v>47</v>
      </c>
      <c r="R36" s="92" t="s">
        <v>4</v>
      </c>
      <c r="S36" s="92" t="s">
        <v>3</v>
      </c>
      <c r="T36" s="92" t="s">
        <v>38</v>
      </c>
      <c r="U36" s="92" t="s">
        <v>1</v>
      </c>
      <c r="V36" s="92" t="s">
        <v>18</v>
      </c>
      <c r="W36" s="93">
        <v>41</v>
      </c>
    </row>
    <row r="37" spans="1:24" s="78" customFormat="1" hidden="1" x14ac:dyDescent="0.25">
      <c r="A37" s="73">
        <v>198</v>
      </c>
      <c r="B37" s="73" t="s">
        <v>4219</v>
      </c>
      <c r="C37" s="87" t="s">
        <v>976</v>
      </c>
      <c r="D37" s="88" t="s">
        <v>15</v>
      </c>
      <c r="E37" s="89" t="s">
        <v>4215</v>
      </c>
      <c r="F37" s="90">
        <v>37679</v>
      </c>
      <c r="G37" s="90" t="s">
        <v>1</v>
      </c>
      <c r="H37" s="90" t="s">
        <v>1</v>
      </c>
      <c r="I37" s="89" t="s">
        <v>93</v>
      </c>
      <c r="J37" s="89" t="s">
        <v>89</v>
      </c>
      <c r="K37" s="89" t="s">
        <v>33</v>
      </c>
      <c r="L37" s="89" t="s">
        <v>33</v>
      </c>
      <c r="M37" s="89" t="s">
        <v>2611</v>
      </c>
      <c r="N37" s="89" t="s">
        <v>4218</v>
      </c>
      <c r="O37" s="89" t="s">
        <v>934</v>
      </c>
      <c r="P37" s="89" t="s">
        <v>30</v>
      </c>
      <c r="Q37" s="89" t="s">
        <v>47</v>
      </c>
      <c r="R37" s="92" t="s">
        <v>4</v>
      </c>
      <c r="S37" s="92" t="s">
        <v>3</v>
      </c>
      <c r="T37" s="92" t="s">
        <v>88</v>
      </c>
      <c r="U37" s="92" t="s">
        <v>1</v>
      </c>
      <c r="V37" s="92" t="s">
        <v>18</v>
      </c>
      <c r="W37" s="93">
        <v>42</v>
      </c>
    </row>
    <row r="38" spans="1:24" s="9" customFormat="1" hidden="1" x14ac:dyDescent="0.25">
      <c r="A38" s="17">
        <v>199</v>
      </c>
      <c r="B38" s="17" t="s">
        <v>4217</v>
      </c>
      <c r="C38" s="16" t="s">
        <v>4216</v>
      </c>
      <c r="D38" s="15" t="s">
        <v>15</v>
      </c>
      <c r="E38" s="14" t="s">
        <v>4215</v>
      </c>
      <c r="F38" s="13">
        <v>37679</v>
      </c>
      <c r="G38" s="13" t="s">
        <v>1</v>
      </c>
      <c r="H38" s="13" t="s">
        <v>1</v>
      </c>
      <c r="I38" s="14" t="s">
        <v>93</v>
      </c>
      <c r="J38" s="14" t="s">
        <v>89</v>
      </c>
      <c r="K38" s="14" t="s">
        <v>33</v>
      </c>
      <c r="L38" s="14" t="s">
        <v>33</v>
      </c>
      <c r="M38" s="14" t="s">
        <v>1167</v>
      </c>
      <c r="N38" s="12" t="s">
        <v>4214</v>
      </c>
      <c r="O38" s="14" t="s">
        <v>368</v>
      </c>
      <c r="P38" s="14" t="s">
        <v>30</v>
      </c>
      <c r="Q38" s="14" t="s">
        <v>47</v>
      </c>
      <c r="R38" s="12" t="s">
        <v>4</v>
      </c>
      <c r="S38" s="12" t="s">
        <v>3</v>
      </c>
      <c r="T38" s="12" t="s">
        <v>38</v>
      </c>
      <c r="U38" s="12" t="s">
        <v>1</v>
      </c>
      <c r="V38" s="12" t="s">
        <v>18</v>
      </c>
      <c r="W38" s="11">
        <v>41</v>
      </c>
    </row>
    <row r="39" spans="1:24" hidden="1" x14ac:dyDescent="0.25">
      <c r="A39" s="8">
        <v>204</v>
      </c>
      <c r="B39" s="8" t="s">
        <v>4213</v>
      </c>
      <c r="C39" s="7" t="s">
        <v>4212</v>
      </c>
      <c r="D39" s="6" t="s">
        <v>15</v>
      </c>
      <c r="E39" s="5" t="s">
        <v>307</v>
      </c>
      <c r="F39" s="4">
        <v>37697</v>
      </c>
      <c r="G39" s="4" t="s">
        <v>1</v>
      </c>
      <c r="H39" s="4" t="s">
        <v>1</v>
      </c>
      <c r="I39" s="3" t="s">
        <v>13</v>
      </c>
      <c r="J39" s="3" t="s">
        <v>133</v>
      </c>
      <c r="K39" s="3" t="s">
        <v>25</v>
      </c>
      <c r="L39" s="3" t="s">
        <v>24</v>
      </c>
      <c r="M39" s="3" t="s">
        <v>199</v>
      </c>
      <c r="N39" s="3" t="s">
        <v>198</v>
      </c>
      <c r="O39" s="3" t="s">
        <v>184</v>
      </c>
      <c r="P39" s="3" t="s">
        <v>6</v>
      </c>
      <c r="Q39" s="3" t="s">
        <v>20</v>
      </c>
      <c r="R39" s="3" t="s">
        <v>4</v>
      </c>
      <c r="S39" s="3" t="s">
        <v>3</v>
      </c>
      <c r="T39" s="3" t="s">
        <v>2</v>
      </c>
      <c r="U39" s="3" t="s">
        <v>1</v>
      </c>
      <c r="V39" s="3" t="s">
        <v>0</v>
      </c>
      <c r="W39" s="2">
        <v>40</v>
      </c>
    </row>
    <row r="40" spans="1:24" s="78" customFormat="1" hidden="1" x14ac:dyDescent="0.25">
      <c r="A40" s="73">
        <v>206</v>
      </c>
      <c r="B40" s="73" t="s">
        <v>4211</v>
      </c>
      <c r="C40" s="87" t="s">
        <v>4210</v>
      </c>
      <c r="D40" s="88" t="s">
        <v>15</v>
      </c>
      <c r="E40" s="89" t="s">
        <v>307</v>
      </c>
      <c r="F40" s="90">
        <v>37697</v>
      </c>
      <c r="G40" s="90" t="s">
        <v>1</v>
      </c>
      <c r="H40" s="90" t="s">
        <v>1</v>
      </c>
      <c r="I40" s="92" t="s">
        <v>145</v>
      </c>
      <c r="J40" s="92" t="s">
        <v>12</v>
      </c>
      <c r="K40" s="92" t="s">
        <v>132</v>
      </c>
      <c r="L40" s="92" t="s">
        <v>218</v>
      </c>
      <c r="M40" s="92" t="s">
        <v>1968</v>
      </c>
      <c r="N40" s="92" t="s">
        <v>269</v>
      </c>
      <c r="O40" s="92" t="s">
        <v>29</v>
      </c>
      <c r="P40" s="92" t="s">
        <v>72</v>
      </c>
      <c r="Q40" s="92" t="s">
        <v>20</v>
      </c>
      <c r="R40" s="92" t="s">
        <v>4</v>
      </c>
      <c r="S40" s="92" t="s">
        <v>3</v>
      </c>
      <c r="T40" s="92" t="s">
        <v>29</v>
      </c>
      <c r="U40" s="92" t="s">
        <v>1</v>
      </c>
      <c r="V40" s="92" t="s">
        <v>0</v>
      </c>
      <c r="W40" s="93">
        <v>41</v>
      </c>
    </row>
    <row r="41" spans="1:24" hidden="1" x14ac:dyDescent="0.25">
      <c r="A41" s="8">
        <v>208</v>
      </c>
      <c r="B41" s="8" t="s">
        <v>4209</v>
      </c>
      <c r="C41" s="7" t="s">
        <v>4208</v>
      </c>
      <c r="D41" s="6" t="s">
        <v>15</v>
      </c>
      <c r="E41" s="5" t="s">
        <v>307</v>
      </c>
      <c r="F41" s="4">
        <v>37697</v>
      </c>
      <c r="G41" s="4" t="s">
        <v>1</v>
      </c>
      <c r="H41" s="4" t="s">
        <v>1</v>
      </c>
      <c r="I41" s="3" t="s">
        <v>13</v>
      </c>
      <c r="J41" s="3" t="s">
        <v>12</v>
      </c>
      <c r="K41" s="3" t="s">
        <v>187</v>
      </c>
      <c r="L41" s="3" t="s">
        <v>229</v>
      </c>
      <c r="M41" s="3" t="s">
        <v>228</v>
      </c>
      <c r="N41" s="3" t="s">
        <v>1362</v>
      </c>
      <c r="O41" s="3" t="s">
        <v>39</v>
      </c>
      <c r="P41" s="3" t="s">
        <v>6</v>
      </c>
      <c r="Q41" s="3" t="s">
        <v>20</v>
      </c>
      <c r="R41" s="3" t="s">
        <v>4</v>
      </c>
      <c r="S41" s="3" t="s">
        <v>3</v>
      </c>
      <c r="T41" s="3" t="s">
        <v>1361</v>
      </c>
      <c r="U41" s="3" t="s">
        <v>1</v>
      </c>
      <c r="V41" s="3" t="s">
        <v>0</v>
      </c>
      <c r="W41" s="2">
        <v>42</v>
      </c>
    </row>
    <row r="42" spans="1:24" hidden="1" x14ac:dyDescent="0.25">
      <c r="A42" s="36" t="s">
        <v>4207</v>
      </c>
      <c r="B42" s="8" t="s">
        <v>4207</v>
      </c>
      <c r="C42" s="7" t="s">
        <v>4206</v>
      </c>
      <c r="D42" s="6" t="s">
        <v>15</v>
      </c>
      <c r="E42" s="5" t="s">
        <v>321</v>
      </c>
      <c r="F42" s="4">
        <v>40840</v>
      </c>
      <c r="G42" s="4" t="s">
        <v>1</v>
      </c>
      <c r="H42" s="4" t="s">
        <v>1</v>
      </c>
      <c r="I42" s="3" t="s">
        <v>13</v>
      </c>
      <c r="J42" s="3" t="s">
        <v>34</v>
      </c>
      <c r="K42" s="3" t="s">
        <v>33</v>
      </c>
      <c r="L42" s="3" t="s">
        <v>33</v>
      </c>
      <c r="M42" s="3" t="s">
        <v>4203</v>
      </c>
      <c r="N42" s="3" t="s">
        <v>152</v>
      </c>
      <c r="O42" s="3" t="s">
        <v>100</v>
      </c>
      <c r="P42" s="3" t="s">
        <v>30</v>
      </c>
      <c r="Q42" s="3" t="s">
        <v>20</v>
      </c>
      <c r="R42" s="3" t="s">
        <v>4</v>
      </c>
      <c r="S42" s="3" t="s">
        <v>3</v>
      </c>
      <c r="T42" s="3" t="s">
        <v>2</v>
      </c>
      <c r="U42" s="3" t="s">
        <v>1</v>
      </c>
      <c r="V42" s="3" t="s">
        <v>0</v>
      </c>
      <c r="W42" s="2">
        <v>36</v>
      </c>
    </row>
    <row r="43" spans="1:24" hidden="1" x14ac:dyDescent="0.25">
      <c r="A43" s="8" t="s">
        <v>4205</v>
      </c>
      <c r="B43" s="8" t="s">
        <v>4205</v>
      </c>
      <c r="C43" s="7" t="s">
        <v>4204</v>
      </c>
      <c r="D43" s="6" t="s">
        <v>15</v>
      </c>
      <c r="E43" s="5" t="s">
        <v>314</v>
      </c>
      <c r="F43" s="4">
        <v>41165</v>
      </c>
      <c r="G43" s="4" t="s">
        <v>1</v>
      </c>
      <c r="H43" s="4" t="s">
        <v>1</v>
      </c>
      <c r="I43" s="3" t="s">
        <v>13</v>
      </c>
      <c r="J43" s="3" t="s">
        <v>34</v>
      </c>
      <c r="K43" s="3" t="s">
        <v>33</v>
      </c>
      <c r="L43" s="3" t="s">
        <v>33</v>
      </c>
      <c r="M43" s="3" t="s">
        <v>4203</v>
      </c>
      <c r="N43" s="3" t="s">
        <v>152</v>
      </c>
      <c r="O43" s="3" t="s">
        <v>100</v>
      </c>
      <c r="P43" s="3" t="s">
        <v>30</v>
      </c>
      <c r="Q43" s="3" t="s">
        <v>20</v>
      </c>
      <c r="R43" s="3" t="s">
        <v>4</v>
      </c>
      <c r="S43" s="3" t="s">
        <v>3</v>
      </c>
      <c r="T43" s="3" t="s">
        <v>2</v>
      </c>
      <c r="U43" s="3" t="s">
        <v>1</v>
      </c>
      <c r="V43" s="3" t="s">
        <v>0</v>
      </c>
      <c r="W43" s="2">
        <v>30</v>
      </c>
    </row>
    <row r="44" spans="1:24" hidden="1" x14ac:dyDescent="0.25">
      <c r="A44" s="8">
        <v>220</v>
      </c>
      <c r="B44" s="8" t="s">
        <v>4202</v>
      </c>
      <c r="C44" s="7" t="s">
        <v>4201</v>
      </c>
      <c r="D44" s="6" t="s">
        <v>15</v>
      </c>
      <c r="E44" s="5" t="s">
        <v>307</v>
      </c>
      <c r="F44" s="4">
        <v>37697</v>
      </c>
      <c r="G44" s="4" t="s">
        <v>1</v>
      </c>
      <c r="H44" s="4" t="s">
        <v>1</v>
      </c>
      <c r="I44" s="3" t="s">
        <v>145</v>
      </c>
      <c r="J44" s="3" t="s">
        <v>12</v>
      </c>
      <c r="K44" s="3" t="s">
        <v>758</v>
      </c>
      <c r="L44" s="3" t="s">
        <v>757</v>
      </c>
      <c r="M44" s="3" t="s">
        <v>756</v>
      </c>
      <c r="N44" s="3" t="s">
        <v>269</v>
      </c>
      <c r="O44" s="3" t="s">
        <v>29</v>
      </c>
      <c r="P44" s="3" t="s">
        <v>6</v>
      </c>
      <c r="Q44" s="3" t="s">
        <v>20</v>
      </c>
      <c r="R44" s="3" t="s">
        <v>4</v>
      </c>
      <c r="S44" s="3" t="s">
        <v>3</v>
      </c>
      <c r="T44" s="3" t="s">
        <v>29</v>
      </c>
      <c r="U44" s="3" t="s">
        <v>1</v>
      </c>
      <c r="V44" s="3" t="s">
        <v>0</v>
      </c>
      <c r="W44" s="2">
        <v>41</v>
      </c>
    </row>
    <row r="45" spans="1:24" hidden="1" x14ac:dyDescent="0.25">
      <c r="A45" s="8">
        <v>226</v>
      </c>
      <c r="B45" s="8" t="s">
        <v>4200</v>
      </c>
      <c r="C45" s="7" t="s">
        <v>4199</v>
      </c>
      <c r="D45" s="6" t="s">
        <v>15</v>
      </c>
      <c r="E45" s="5" t="s">
        <v>307</v>
      </c>
      <c r="F45" s="4">
        <v>37697</v>
      </c>
      <c r="G45" s="4" t="s">
        <v>1</v>
      </c>
      <c r="H45" s="4" t="s">
        <v>1</v>
      </c>
      <c r="I45" s="3" t="s">
        <v>13</v>
      </c>
      <c r="J45" s="3" t="s">
        <v>12</v>
      </c>
      <c r="K45" s="3" t="s">
        <v>25</v>
      </c>
      <c r="L45" s="3" t="s">
        <v>24</v>
      </c>
      <c r="M45" s="3" t="s">
        <v>23</v>
      </c>
      <c r="N45" s="3" t="s">
        <v>1100</v>
      </c>
      <c r="O45" s="3" t="s">
        <v>59</v>
      </c>
      <c r="P45" s="3" t="s">
        <v>6</v>
      </c>
      <c r="Q45" s="3" t="s">
        <v>5</v>
      </c>
      <c r="R45" s="3" t="s">
        <v>4</v>
      </c>
      <c r="S45" s="3" t="s">
        <v>3</v>
      </c>
      <c r="T45" s="3" t="s">
        <v>2</v>
      </c>
      <c r="U45" s="3" t="s">
        <v>1</v>
      </c>
      <c r="V45" s="3" t="s">
        <v>0</v>
      </c>
      <c r="W45" s="2">
        <v>42</v>
      </c>
    </row>
    <row r="46" spans="1:24" s="9" customFormat="1" hidden="1" x14ac:dyDescent="0.25">
      <c r="A46" s="17">
        <v>228</v>
      </c>
      <c r="B46" s="17" t="s">
        <v>4198</v>
      </c>
      <c r="C46" s="16" t="s">
        <v>4197</v>
      </c>
      <c r="D46" s="15" t="s">
        <v>15</v>
      </c>
      <c r="E46" s="14" t="s">
        <v>307</v>
      </c>
      <c r="F46" s="13">
        <v>37697</v>
      </c>
      <c r="G46" s="13" t="s">
        <v>1</v>
      </c>
      <c r="H46" s="13" t="s">
        <v>1</v>
      </c>
      <c r="I46" s="12" t="s">
        <v>145</v>
      </c>
      <c r="J46" s="12" t="s">
        <v>34</v>
      </c>
      <c r="K46" s="12" t="s">
        <v>33</v>
      </c>
      <c r="L46" s="12" t="s">
        <v>4196</v>
      </c>
      <c r="M46" s="12" t="s">
        <v>953</v>
      </c>
      <c r="N46" s="12" t="s">
        <v>952</v>
      </c>
      <c r="O46" s="12" t="s">
        <v>39</v>
      </c>
      <c r="P46" s="12" t="s">
        <v>72</v>
      </c>
      <c r="Q46" s="12" t="s">
        <v>20</v>
      </c>
      <c r="R46" s="12" t="s">
        <v>4</v>
      </c>
      <c r="S46" s="12" t="s">
        <v>3</v>
      </c>
      <c r="T46" s="12" t="s">
        <v>38</v>
      </c>
      <c r="U46" s="12" t="s">
        <v>1</v>
      </c>
      <c r="V46" s="12" t="s">
        <v>0</v>
      </c>
      <c r="W46" s="11">
        <v>41</v>
      </c>
      <c r="X46" s="10"/>
    </row>
    <row r="47" spans="1:24" s="78" customFormat="1" hidden="1" x14ac:dyDescent="0.25">
      <c r="A47" s="73">
        <v>233</v>
      </c>
      <c r="B47" s="73" t="s">
        <v>4195</v>
      </c>
      <c r="C47" s="87" t="s">
        <v>4194</v>
      </c>
      <c r="D47" s="88" t="s">
        <v>15</v>
      </c>
      <c r="E47" s="89" t="s">
        <v>307</v>
      </c>
      <c r="F47" s="90">
        <v>37697</v>
      </c>
      <c r="G47" s="90" t="s">
        <v>1</v>
      </c>
      <c r="H47" s="90" t="s">
        <v>1</v>
      </c>
      <c r="I47" s="89" t="s">
        <v>384</v>
      </c>
      <c r="J47" s="89" t="s">
        <v>2827</v>
      </c>
      <c r="K47" s="89" t="s">
        <v>33</v>
      </c>
      <c r="L47" s="89" t="s">
        <v>33</v>
      </c>
      <c r="M47" s="89" t="s">
        <v>2827</v>
      </c>
      <c r="N47" s="89" t="s">
        <v>4193</v>
      </c>
      <c r="O47" s="89" t="s">
        <v>2825</v>
      </c>
      <c r="P47" s="89" t="s">
        <v>30</v>
      </c>
      <c r="Q47" s="89" t="s">
        <v>47</v>
      </c>
      <c r="R47" s="92" t="s">
        <v>4</v>
      </c>
      <c r="S47" s="92" t="s">
        <v>3</v>
      </c>
      <c r="T47" s="92" t="s">
        <v>29</v>
      </c>
      <c r="U47" s="92" t="s">
        <v>1</v>
      </c>
      <c r="V47" s="92" t="s">
        <v>0</v>
      </c>
      <c r="W47" s="93">
        <v>41</v>
      </c>
    </row>
    <row r="48" spans="1:24" s="9" customFormat="1" hidden="1" x14ac:dyDescent="0.25">
      <c r="A48" s="17">
        <v>241</v>
      </c>
      <c r="B48" s="17" t="s">
        <v>4192</v>
      </c>
      <c r="C48" s="16" t="s">
        <v>4191</v>
      </c>
      <c r="D48" s="15" t="s">
        <v>15</v>
      </c>
      <c r="E48" s="14" t="s">
        <v>304</v>
      </c>
      <c r="F48" s="13">
        <v>37704</v>
      </c>
      <c r="G48" s="13" t="s">
        <v>1</v>
      </c>
      <c r="H48" s="13" t="s">
        <v>1</v>
      </c>
      <c r="I48" s="12" t="s">
        <v>384</v>
      </c>
      <c r="J48" s="12" t="s">
        <v>2360</v>
      </c>
      <c r="K48" s="12" t="s">
        <v>33</v>
      </c>
      <c r="L48" s="12" t="s">
        <v>33</v>
      </c>
      <c r="M48" s="12" t="s">
        <v>2360</v>
      </c>
      <c r="N48" s="12" t="s">
        <v>1708</v>
      </c>
      <c r="O48" s="12" t="s">
        <v>387</v>
      </c>
      <c r="P48" s="12" t="s">
        <v>30</v>
      </c>
      <c r="Q48" s="12" t="s">
        <v>47</v>
      </c>
      <c r="R48" s="12" t="s">
        <v>4</v>
      </c>
      <c r="S48" s="12" t="s">
        <v>3</v>
      </c>
      <c r="T48" s="12" t="s">
        <v>2</v>
      </c>
      <c r="U48" s="12" t="s">
        <v>1</v>
      </c>
      <c r="V48" s="12" t="s">
        <v>0</v>
      </c>
      <c r="W48" s="11">
        <v>40</v>
      </c>
      <c r="X48" s="10"/>
    </row>
    <row r="49" spans="1:24" hidden="1" x14ac:dyDescent="0.25">
      <c r="A49" s="8">
        <v>243</v>
      </c>
      <c r="B49" s="8" t="s">
        <v>4190</v>
      </c>
      <c r="C49" s="7" t="s">
        <v>4189</v>
      </c>
      <c r="D49" s="6" t="s">
        <v>15</v>
      </c>
      <c r="E49" s="5" t="s">
        <v>304</v>
      </c>
      <c r="F49" s="4">
        <v>37704</v>
      </c>
      <c r="G49" s="4" t="s">
        <v>1</v>
      </c>
      <c r="H49" s="4" t="s">
        <v>1</v>
      </c>
      <c r="I49" s="3" t="s">
        <v>145</v>
      </c>
      <c r="J49" s="3" t="s">
        <v>34</v>
      </c>
      <c r="K49" s="3" t="s">
        <v>33</v>
      </c>
      <c r="L49" s="3" t="s">
        <v>3669</v>
      </c>
      <c r="M49" s="3" t="s">
        <v>953</v>
      </c>
      <c r="N49" s="3" t="s">
        <v>952</v>
      </c>
      <c r="O49" s="3" t="s">
        <v>39</v>
      </c>
      <c r="P49" s="3" t="s">
        <v>6</v>
      </c>
      <c r="Q49" s="3" t="s">
        <v>20</v>
      </c>
      <c r="R49" s="3" t="s">
        <v>4</v>
      </c>
      <c r="S49" s="3" t="s">
        <v>3</v>
      </c>
      <c r="T49" s="3" t="s">
        <v>38</v>
      </c>
      <c r="U49" s="3" t="s">
        <v>1</v>
      </c>
      <c r="V49" s="3" t="s">
        <v>0</v>
      </c>
      <c r="W49" s="2">
        <v>41</v>
      </c>
    </row>
    <row r="50" spans="1:24" s="9" customFormat="1" hidden="1" x14ac:dyDescent="0.25">
      <c r="A50" s="17">
        <v>706</v>
      </c>
      <c r="B50" s="17" t="s">
        <v>4188</v>
      </c>
      <c r="C50" s="16" t="s">
        <v>4187</v>
      </c>
      <c r="D50" s="15" t="s">
        <v>15</v>
      </c>
      <c r="E50" s="14" t="s">
        <v>343</v>
      </c>
      <c r="F50" s="13">
        <v>37802</v>
      </c>
      <c r="G50" s="13" t="s">
        <v>1</v>
      </c>
      <c r="H50" s="13" t="s">
        <v>1</v>
      </c>
      <c r="I50" s="12" t="s">
        <v>13</v>
      </c>
      <c r="J50" s="12" t="s">
        <v>34</v>
      </c>
      <c r="K50" s="12" t="s">
        <v>33</v>
      </c>
      <c r="L50" s="12" t="s">
        <v>33</v>
      </c>
      <c r="M50" s="12" t="s">
        <v>3606</v>
      </c>
      <c r="N50" s="12" t="s">
        <v>3690</v>
      </c>
      <c r="O50" s="12" t="s">
        <v>615</v>
      </c>
      <c r="P50" s="12" t="s">
        <v>72</v>
      </c>
      <c r="Q50" s="12" t="s">
        <v>20</v>
      </c>
      <c r="R50" s="12" t="s">
        <v>4</v>
      </c>
      <c r="S50" s="12" t="s">
        <v>3</v>
      </c>
      <c r="T50" s="12" t="s">
        <v>3065</v>
      </c>
      <c r="U50" s="12" t="s">
        <v>1</v>
      </c>
      <c r="V50" s="12" t="s">
        <v>18</v>
      </c>
      <c r="W50" s="11">
        <v>43</v>
      </c>
      <c r="X50" s="10"/>
    </row>
    <row r="51" spans="1:24" hidden="1" x14ac:dyDescent="0.25">
      <c r="A51" s="8">
        <v>245</v>
      </c>
      <c r="B51" s="8" t="s">
        <v>4186</v>
      </c>
      <c r="C51" s="7" t="s">
        <v>4185</v>
      </c>
      <c r="D51" s="6" t="s">
        <v>15</v>
      </c>
      <c r="E51" s="5" t="s">
        <v>304</v>
      </c>
      <c r="F51" s="4">
        <v>37704</v>
      </c>
      <c r="G51" s="4" t="s">
        <v>1</v>
      </c>
      <c r="H51" s="4" t="s">
        <v>1</v>
      </c>
      <c r="I51" s="18" t="s">
        <v>50</v>
      </c>
      <c r="J51" s="5" t="s">
        <v>75</v>
      </c>
      <c r="K51" s="5" t="s">
        <v>33</v>
      </c>
      <c r="L51" s="5" t="s">
        <v>33</v>
      </c>
      <c r="M51" s="5" t="s">
        <v>75</v>
      </c>
      <c r="N51" s="5" t="s">
        <v>3204</v>
      </c>
      <c r="O51" s="5" t="s">
        <v>73</v>
      </c>
      <c r="P51" s="5" t="s">
        <v>6</v>
      </c>
      <c r="Q51" s="5" t="s">
        <v>47</v>
      </c>
      <c r="R51" s="3" t="s">
        <v>4</v>
      </c>
      <c r="S51" s="3" t="s">
        <v>3</v>
      </c>
      <c r="T51" s="3" t="s">
        <v>29</v>
      </c>
      <c r="U51" s="3" t="s">
        <v>1</v>
      </c>
      <c r="V51" s="3" t="s">
        <v>0</v>
      </c>
      <c r="W51" s="2">
        <v>40</v>
      </c>
    </row>
    <row r="52" spans="1:24" s="9" customFormat="1" hidden="1" x14ac:dyDescent="0.25">
      <c r="A52" s="17">
        <v>5533</v>
      </c>
      <c r="B52" s="17" t="s">
        <v>4184</v>
      </c>
      <c r="C52" s="16" t="s">
        <v>4183</v>
      </c>
      <c r="D52" s="15" t="s">
        <v>15</v>
      </c>
      <c r="E52" s="14" t="s">
        <v>343</v>
      </c>
      <c r="F52" s="13">
        <v>39027</v>
      </c>
      <c r="G52" s="13" t="s">
        <v>1</v>
      </c>
      <c r="H52" s="13" t="s">
        <v>1</v>
      </c>
      <c r="I52" s="12" t="s">
        <v>13</v>
      </c>
      <c r="J52" s="12" t="s">
        <v>34</v>
      </c>
      <c r="K52" s="12" t="s">
        <v>33</v>
      </c>
      <c r="L52" s="12" t="s">
        <v>33</v>
      </c>
      <c r="M52" s="12" t="s">
        <v>3606</v>
      </c>
      <c r="N52" s="12" t="s">
        <v>3690</v>
      </c>
      <c r="O52" s="12" t="s">
        <v>615</v>
      </c>
      <c r="P52" s="12" t="s">
        <v>30</v>
      </c>
      <c r="Q52" s="12" t="s">
        <v>20</v>
      </c>
      <c r="R52" s="12" t="s">
        <v>4</v>
      </c>
      <c r="S52" s="12" t="s">
        <v>3</v>
      </c>
      <c r="T52" s="12" t="s">
        <v>3065</v>
      </c>
      <c r="U52" s="12" t="s">
        <v>1</v>
      </c>
      <c r="V52" s="12" t="s">
        <v>18</v>
      </c>
      <c r="W52" s="11">
        <v>44</v>
      </c>
      <c r="X52" s="10"/>
    </row>
    <row r="53" spans="1:24" s="9" customFormat="1" hidden="1" x14ac:dyDescent="0.25">
      <c r="A53" s="17">
        <v>187</v>
      </c>
      <c r="B53" s="17" t="s">
        <v>4182</v>
      </c>
      <c r="C53" s="16" t="s">
        <v>4181</v>
      </c>
      <c r="D53" s="15" t="s">
        <v>15</v>
      </c>
      <c r="E53" s="14" t="s">
        <v>803</v>
      </c>
      <c r="F53" s="13">
        <v>37679</v>
      </c>
      <c r="G53" s="13" t="s">
        <v>1</v>
      </c>
      <c r="H53" s="13" t="s">
        <v>1</v>
      </c>
      <c r="I53" s="12" t="s">
        <v>13</v>
      </c>
      <c r="J53" s="12" t="s">
        <v>133</v>
      </c>
      <c r="K53" s="12" t="s">
        <v>4107</v>
      </c>
      <c r="L53" s="12" t="s">
        <v>4106</v>
      </c>
      <c r="M53" s="12" t="s">
        <v>4105</v>
      </c>
      <c r="N53" s="12" t="s">
        <v>1078</v>
      </c>
      <c r="O53" s="12" t="s">
        <v>29</v>
      </c>
      <c r="P53" s="12" t="s">
        <v>30</v>
      </c>
      <c r="Q53" s="12" t="s">
        <v>20</v>
      </c>
      <c r="R53" s="12" t="s">
        <v>4</v>
      </c>
      <c r="S53" s="12" t="s">
        <v>3</v>
      </c>
      <c r="T53" s="12" t="s">
        <v>1077</v>
      </c>
      <c r="U53" s="12" t="s">
        <v>1</v>
      </c>
      <c r="V53" s="12" t="s">
        <v>0</v>
      </c>
      <c r="W53" s="11">
        <v>43</v>
      </c>
      <c r="X53" s="10"/>
    </row>
    <row r="54" spans="1:24" s="9" customFormat="1" hidden="1" x14ac:dyDescent="0.25">
      <c r="A54" s="17">
        <v>249</v>
      </c>
      <c r="B54" s="17" t="s">
        <v>4180</v>
      </c>
      <c r="C54" s="43" t="s">
        <v>4179</v>
      </c>
      <c r="D54" s="15" t="s">
        <v>15</v>
      </c>
      <c r="E54" s="14" t="s">
        <v>304</v>
      </c>
      <c r="F54" s="13">
        <v>37704</v>
      </c>
      <c r="G54" s="13" t="s">
        <v>1</v>
      </c>
      <c r="H54" s="13" t="s">
        <v>1</v>
      </c>
      <c r="I54" s="14" t="s">
        <v>365</v>
      </c>
      <c r="J54" s="14" t="s">
        <v>530</v>
      </c>
      <c r="K54" s="14" t="s">
        <v>33</v>
      </c>
      <c r="L54" s="14" t="s">
        <v>33</v>
      </c>
      <c r="M54" s="14" t="s">
        <v>530</v>
      </c>
      <c r="N54" s="14" t="s">
        <v>348</v>
      </c>
      <c r="O54" s="14" t="s">
        <v>347</v>
      </c>
      <c r="P54" s="14" t="s">
        <v>30</v>
      </c>
      <c r="Q54" s="14" t="s">
        <v>121</v>
      </c>
      <c r="R54" s="12" t="s">
        <v>4</v>
      </c>
      <c r="S54" s="12" t="s">
        <v>3</v>
      </c>
      <c r="T54" s="12" t="s">
        <v>38</v>
      </c>
      <c r="U54" s="12" t="s">
        <v>1</v>
      </c>
      <c r="V54" s="12" t="s">
        <v>0</v>
      </c>
      <c r="W54" s="11">
        <v>41</v>
      </c>
    </row>
    <row r="55" spans="1:24" ht="15.75" hidden="1" customHeight="1" x14ac:dyDescent="0.25">
      <c r="A55" s="8">
        <v>263</v>
      </c>
      <c r="B55" s="8" t="s">
        <v>4178</v>
      </c>
      <c r="C55" s="7" t="s">
        <v>4177</v>
      </c>
      <c r="D55" s="6" t="s">
        <v>15</v>
      </c>
      <c r="E55" s="5" t="s">
        <v>304</v>
      </c>
      <c r="F55" s="4">
        <v>37704</v>
      </c>
      <c r="G55" s="4" t="s">
        <v>1</v>
      </c>
      <c r="H55" s="4" t="s">
        <v>1</v>
      </c>
      <c r="I55" s="3" t="s">
        <v>13</v>
      </c>
      <c r="J55" s="3" t="s">
        <v>133</v>
      </c>
      <c r="K55" s="3" t="s">
        <v>212</v>
      </c>
      <c r="L55" s="3" t="s">
        <v>211</v>
      </c>
      <c r="M55" s="3" t="s">
        <v>210</v>
      </c>
      <c r="N55" s="3" t="s">
        <v>198</v>
      </c>
      <c r="O55" s="3" t="s">
        <v>184</v>
      </c>
      <c r="P55" s="3" t="s">
        <v>6</v>
      </c>
      <c r="Q55" s="3" t="s">
        <v>20</v>
      </c>
      <c r="R55" s="3" t="s">
        <v>4</v>
      </c>
      <c r="S55" s="3" t="s">
        <v>3</v>
      </c>
      <c r="T55" s="3" t="s">
        <v>2</v>
      </c>
      <c r="U55" s="3" t="s">
        <v>1</v>
      </c>
      <c r="V55" s="3" t="s">
        <v>0</v>
      </c>
      <c r="W55" s="2">
        <v>42</v>
      </c>
    </row>
    <row r="56" spans="1:24" ht="15.75" hidden="1" customHeight="1" x14ac:dyDescent="0.25">
      <c r="A56" s="8">
        <v>264</v>
      </c>
      <c r="B56" s="8" t="s">
        <v>4176</v>
      </c>
      <c r="C56" s="25" t="s">
        <v>4175</v>
      </c>
      <c r="D56" s="6" t="s">
        <v>15</v>
      </c>
      <c r="E56" s="5" t="s">
        <v>304</v>
      </c>
      <c r="F56" s="4">
        <v>37704</v>
      </c>
      <c r="G56" s="4" t="s">
        <v>1</v>
      </c>
      <c r="H56" s="4" t="s">
        <v>1</v>
      </c>
      <c r="I56" s="3" t="s">
        <v>13</v>
      </c>
      <c r="J56" s="3" t="s">
        <v>12</v>
      </c>
      <c r="K56" s="3" t="s">
        <v>262</v>
      </c>
      <c r="L56" s="3" t="s">
        <v>261</v>
      </c>
      <c r="M56" s="3" t="s">
        <v>260</v>
      </c>
      <c r="N56" s="3" t="s">
        <v>606</v>
      </c>
      <c r="O56" s="3" t="s">
        <v>59</v>
      </c>
      <c r="P56" s="3" t="s">
        <v>6</v>
      </c>
      <c r="Q56" s="3" t="s">
        <v>5</v>
      </c>
      <c r="R56" s="3" t="s">
        <v>4</v>
      </c>
      <c r="S56" s="3" t="s">
        <v>3</v>
      </c>
      <c r="T56" s="3" t="s">
        <v>2</v>
      </c>
      <c r="U56" s="3" t="s">
        <v>1</v>
      </c>
      <c r="V56" s="3" t="s">
        <v>0</v>
      </c>
      <c r="W56" s="2">
        <v>40</v>
      </c>
    </row>
    <row r="57" spans="1:24" s="9" customFormat="1" hidden="1" x14ac:dyDescent="0.25">
      <c r="A57" s="17">
        <v>247</v>
      </c>
      <c r="B57" s="17" t="s">
        <v>4174</v>
      </c>
      <c r="C57" s="16" t="s">
        <v>4173</v>
      </c>
      <c r="D57" s="15" t="s">
        <v>15</v>
      </c>
      <c r="E57" s="14" t="s">
        <v>304</v>
      </c>
      <c r="F57" s="13">
        <v>37704</v>
      </c>
      <c r="G57" s="13" t="s">
        <v>1</v>
      </c>
      <c r="H57" s="13" t="s">
        <v>1</v>
      </c>
      <c r="I57" s="12" t="s">
        <v>13</v>
      </c>
      <c r="J57" s="12" t="s">
        <v>133</v>
      </c>
      <c r="K57" s="12" t="s">
        <v>4107</v>
      </c>
      <c r="L57" s="12" t="s">
        <v>4106</v>
      </c>
      <c r="M57" s="12" t="s">
        <v>4105</v>
      </c>
      <c r="N57" s="12" t="s">
        <v>1362</v>
      </c>
      <c r="O57" s="12" t="s">
        <v>39</v>
      </c>
      <c r="P57" s="12" t="s">
        <v>30</v>
      </c>
      <c r="Q57" s="12" t="s">
        <v>20</v>
      </c>
      <c r="R57" s="12" t="s">
        <v>4</v>
      </c>
      <c r="S57" s="12" t="s">
        <v>3</v>
      </c>
      <c r="T57" s="12" t="s">
        <v>1361</v>
      </c>
      <c r="U57" s="12" t="s">
        <v>1</v>
      </c>
      <c r="V57" s="12" t="s">
        <v>0</v>
      </c>
      <c r="W57" s="11">
        <v>43</v>
      </c>
      <c r="X57" s="10"/>
    </row>
    <row r="58" spans="1:24" s="78" customFormat="1" hidden="1" x14ac:dyDescent="0.25">
      <c r="A58" s="73">
        <v>624</v>
      </c>
      <c r="B58" s="73" t="s">
        <v>4172</v>
      </c>
      <c r="C58" s="87" t="s">
        <v>4171</v>
      </c>
      <c r="D58" s="88" t="s">
        <v>15</v>
      </c>
      <c r="E58" s="89" t="s">
        <v>97</v>
      </c>
      <c r="F58" s="90">
        <v>37781</v>
      </c>
      <c r="G58" s="90" t="s">
        <v>1</v>
      </c>
      <c r="H58" s="90" t="s">
        <v>1</v>
      </c>
      <c r="I58" s="92" t="s">
        <v>13</v>
      </c>
      <c r="J58" s="92" t="s">
        <v>133</v>
      </c>
      <c r="K58" s="92" t="s">
        <v>4107</v>
      </c>
      <c r="L58" s="92" t="s">
        <v>4106</v>
      </c>
      <c r="M58" s="92" t="s">
        <v>4105</v>
      </c>
      <c r="N58" s="92" t="s">
        <v>4114</v>
      </c>
      <c r="O58" s="92" t="s">
        <v>100</v>
      </c>
      <c r="P58" s="92" t="s">
        <v>30</v>
      </c>
      <c r="Q58" s="92" t="s">
        <v>20</v>
      </c>
      <c r="R58" s="92" t="s">
        <v>4</v>
      </c>
      <c r="S58" s="92" t="s">
        <v>3</v>
      </c>
      <c r="T58" s="92" t="s">
        <v>2</v>
      </c>
      <c r="U58" s="92" t="s">
        <v>1</v>
      </c>
      <c r="V58" s="92" t="s">
        <v>0</v>
      </c>
      <c r="W58" s="93">
        <v>41</v>
      </c>
    </row>
    <row r="59" spans="1:24" s="78" customFormat="1" hidden="1" x14ac:dyDescent="0.25">
      <c r="A59" s="73">
        <v>678</v>
      </c>
      <c r="B59" s="73" t="s">
        <v>4170</v>
      </c>
      <c r="C59" s="87" t="s">
        <v>4169</v>
      </c>
      <c r="D59" s="88" t="s">
        <v>15</v>
      </c>
      <c r="E59" s="89" t="s">
        <v>4168</v>
      </c>
      <c r="F59" s="90">
        <v>37795</v>
      </c>
      <c r="G59" s="90" t="s">
        <v>1</v>
      </c>
      <c r="H59" s="90" t="s">
        <v>1</v>
      </c>
      <c r="I59" s="92" t="s">
        <v>13</v>
      </c>
      <c r="J59" s="92" t="s">
        <v>133</v>
      </c>
      <c r="K59" s="92" t="s">
        <v>4107</v>
      </c>
      <c r="L59" s="92" t="s">
        <v>4106</v>
      </c>
      <c r="M59" s="92" t="s">
        <v>4105</v>
      </c>
      <c r="N59" s="92" t="s">
        <v>4114</v>
      </c>
      <c r="O59" s="92" t="s">
        <v>100</v>
      </c>
      <c r="P59" s="92" t="s">
        <v>30</v>
      </c>
      <c r="Q59" s="92" t="s">
        <v>20</v>
      </c>
      <c r="R59" s="92" t="s">
        <v>4</v>
      </c>
      <c r="S59" s="92" t="s">
        <v>3</v>
      </c>
      <c r="T59" s="92" t="s">
        <v>2</v>
      </c>
      <c r="U59" s="92" t="s">
        <v>1</v>
      </c>
      <c r="V59" s="92" t="s">
        <v>0</v>
      </c>
      <c r="W59" s="93">
        <v>41</v>
      </c>
    </row>
    <row r="60" spans="1:24" hidden="1" x14ac:dyDescent="0.25">
      <c r="A60" s="8">
        <v>281</v>
      </c>
      <c r="B60" s="8" t="s">
        <v>4167</v>
      </c>
      <c r="C60" s="7" t="s">
        <v>4166</v>
      </c>
      <c r="D60" s="6" t="s">
        <v>15</v>
      </c>
      <c r="E60" s="5" t="s">
        <v>1947</v>
      </c>
      <c r="F60" s="4">
        <v>37718</v>
      </c>
      <c r="G60" s="4" t="s">
        <v>1</v>
      </c>
      <c r="H60" s="4" t="s">
        <v>1</v>
      </c>
      <c r="I60" s="3" t="s">
        <v>13</v>
      </c>
      <c r="J60" s="3" t="s">
        <v>133</v>
      </c>
      <c r="K60" s="3" t="s">
        <v>25</v>
      </c>
      <c r="L60" s="3" t="s">
        <v>24</v>
      </c>
      <c r="M60" s="3" t="s">
        <v>199</v>
      </c>
      <c r="N60" s="3" t="s">
        <v>1362</v>
      </c>
      <c r="O60" s="3" t="s">
        <v>39</v>
      </c>
      <c r="P60" s="3" t="s">
        <v>6</v>
      </c>
      <c r="Q60" s="3" t="s">
        <v>20</v>
      </c>
      <c r="R60" s="3" t="s">
        <v>4</v>
      </c>
      <c r="S60" s="3" t="s">
        <v>3</v>
      </c>
      <c r="T60" s="3" t="s">
        <v>1361</v>
      </c>
      <c r="U60" s="3" t="s">
        <v>1</v>
      </c>
      <c r="V60" s="3" t="s">
        <v>0</v>
      </c>
      <c r="W60" s="2">
        <v>42</v>
      </c>
    </row>
    <row r="61" spans="1:24" hidden="1" x14ac:dyDescent="0.25">
      <c r="A61" s="8">
        <v>282</v>
      </c>
      <c r="B61" s="8" t="s">
        <v>4165</v>
      </c>
      <c r="C61" s="7" t="s">
        <v>4164</v>
      </c>
      <c r="D61" s="6" t="s">
        <v>15</v>
      </c>
      <c r="E61" s="5" t="s">
        <v>1947</v>
      </c>
      <c r="F61" s="4">
        <v>37718</v>
      </c>
      <c r="G61" s="4" t="s">
        <v>1</v>
      </c>
      <c r="H61" s="4" t="s">
        <v>1</v>
      </c>
      <c r="I61" s="18" t="s">
        <v>100</v>
      </c>
      <c r="J61" s="18" t="s">
        <v>124</v>
      </c>
      <c r="K61" s="18" t="s">
        <v>33</v>
      </c>
      <c r="L61" s="18" t="s">
        <v>33</v>
      </c>
      <c r="M61" s="18" t="s">
        <v>124</v>
      </c>
      <c r="N61" s="18" t="s">
        <v>194</v>
      </c>
      <c r="O61" s="18" t="s">
        <v>122</v>
      </c>
      <c r="P61" s="5" t="s">
        <v>1</v>
      </c>
      <c r="Q61" s="5" t="s">
        <v>121</v>
      </c>
      <c r="R61" s="3" t="s">
        <v>4</v>
      </c>
      <c r="S61" s="3" t="s">
        <v>3</v>
      </c>
      <c r="T61" s="3" t="s">
        <v>38</v>
      </c>
      <c r="U61" s="3" t="s">
        <v>1</v>
      </c>
      <c r="V61" s="3" t="s">
        <v>0</v>
      </c>
      <c r="W61" s="2">
        <v>41</v>
      </c>
    </row>
    <row r="62" spans="1:24" hidden="1" x14ac:dyDescent="0.25">
      <c r="A62" s="8">
        <v>284</v>
      </c>
      <c r="B62" s="8" t="s">
        <v>4163</v>
      </c>
      <c r="C62" s="7" t="s">
        <v>4162</v>
      </c>
      <c r="D62" s="6" t="s">
        <v>15</v>
      </c>
      <c r="E62" s="5" t="s">
        <v>343</v>
      </c>
      <c r="F62" s="4">
        <v>37718</v>
      </c>
      <c r="G62" s="4" t="s">
        <v>1</v>
      </c>
      <c r="H62" s="4" t="s">
        <v>1</v>
      </c>
      <c r="I62" s="3" t="s">
        <v>13</v>
      </c>
      <c r="J62" s="3" t="s">
        <v>12</v>
      </c>
      <c r="K62" s="3" t="s">
        <v>33</v>
      </c>
      <c r="L62" s="3" t="s">
        <v>33</v>
      </c>
      <c r="M62" s="3" t="s">
        <v>654</v>
      </c>
      <c r="N62" s="3" t="s">
        <v>683</v>
      </c>
      <c r="O62" s="3" t="s">
        <v>615</v>
      </c>
      <c r="P62" s="3" t="s">
        <v>6</v>
      </c>
      <c r="Q62" s="3" t="s">
        <v>20</v>
      </c>
      <c r="R62" s="3" t="s">
        <v>4</v>
      </c>
      <c r="S62" s="3" t="s">
        <v>3</v>
      </c>
      <c r="T62" s="3" t="s">
        <v>338</v>
      </c>
      <c r="U62" s="3" t="s">
        <v>1</v>
      </c>
      <c r="V62" s="3" t="s">
        <v>0</v>
      </c>
      <c r="W62" s="2">
        <v>41</v>
      </c>
    </row>
    <row r="63" spans="1:24" hidden="1" x14ac:dyDescent="0.25">
      <c r="A63" s="8">
        <v>285</v>
      </c>
      <c r="B63" s="8" t="s">
        <v>4161</v>
      </c>
      <c r="C63" s="7" t="s">
        <v>4160</v>
      </c>
      <c r="D63" s="6" t="s">
        <v>15</v>
      </c>
      <c r="E63" s="5" t="s">
        <v>1947</v>
      </c>
      <c r="F63" s="4">
        <v>37718</v>
      </c>
      <c r="G63" s="4" t="s">
        <v>1</v>
      </c>
      <c r="H63" s="4" t="s">
        <v>1</v>
      </c>
      <c r="I63" s="3" t="s">
        <v>13</v>
      </c>
      <c r="J63" s="3" t="s">
        <v>12</v>
      </c>
      <c r="K63" s="3" t="s">
        <v>539</v>
      </c>
      <c r="L63" s="3" t="s">
        <v>538</v>
      </c>
      <c r="M63" s="3" t="s">
        <v>537</v>
      </c>
      <c r="N63" s="3" t="s">
        <v>1362</v>
      </c>
      <c r="O63" s="3" t="s">
        <v>39</v>
      </c>
      <c r="P63" s="3" t="s">
        <v>6</v>
      </c>
      <c r="Q63" s="3" t="s">
        <v>20</v>
      </c>
      <c r="R63" s="3" t="s">
        <v>4</v>
      </c>
      <c r="S63" s="3" t="s">
        <v>3</v>
      </c>
      <c r="T63" s="3" t="s">
        <v>1361</v>
      </c>
      <c r="U63" s="3" t="s">
        <v>1</v>
      </c>
      <c r="V63" s="3" t="s">
        <v>0</v>
      </c>
      <c r="W63" s="2">
        <v>40</v>
      </c>
    </row>
    <row r="64" spans="1:24" s="9" customFormat="1" hidden="1" x14ac:dyDescent="0.25">
      <c r="A64" s="17">
        <v>290</v>
      </c>
      <c r="B64" s="17" t="s">
        <v>4159</v>
      </c>
      <c r="C64" s="43" t="s">
        <v>4158</v>
      </c>
      <c r="D64" s="15" t="s">
        <v>15</v>
      </c>
      <c r="E64" s="14" t="s">
        <v>343</v>
      </c>
      <c r="F64" s="13">
        <v>37718</v>
      </c>
      <c r="G64" s="13" t="s">
        <v>1</v>
      </c>
      <c r="H64" s="13" t="s">
        <v>1</v>
      </c>
      <c r="I64" s="14" t="s">
        <v>365</v>
      </c>
      <c r="J64" s="14" t="s">
        <v>918</v>
      </c>
      <c r="K64" s="14" t="s">
        <v>33</v>
      </c>
      <c r="L64" s="14" t="s">
        <v>33</v>
      </c>
      <c r="M64" s="14" t="s">
        <v>918</v>
      </c>
      <c r="N64" s="14" t="s">
        <v>3066</v>
      </c>
      <c r="O64" s="14" t="s">
        <v>339</v>
      </c>
      <c r="P64" s="14" t="s">
        <v>30</v>
      </c>
      <c r="Q64" s="14" t="s">
        <v>121</v>
      </c>
      <c r="R64" s="12" t="s">
        <v>4</v>
      </c>
      <c r="S64" s="12" t="s">
        <v>3</v>
      </c>
      <c r="T64" s="12" t="s">
        <v>3065</v>
      </c>
      <c r="U64" s="12" t="s">
        <v>1</v>
      </c>
      <c r="V64" s="12" t="s">
        <v>0</v>
      </c>
      <c r="W64" s="11">
        <v>40</v>
      </c>
      <c r="X64" s="10"/>
    </row>
    <row r="65" spans="1:23" hidden="1" x14ac:dyDescent="0.25">
      <c r="A65" s="8">
        <v>294</v>
      </c>
      <c r="B65" s="8" t="s">
        <v>4157</v>
      </c>
      <c r="C65" s="7" t="s">
        <v>4156</v>
      </c>
      <c r="D65" s="6" t="s">
        <v>15</v>
      </c>
      <c r="E65" s="5" t="s">
        <v>1947</v>
      </c>
      <c r="F65" s="4">
        <v>37718</v>
      </c>
      <c r="G65" s="4" t="s">
        <v>1</v>
      </c>
      <c r="H65" s="4" t="s">
        <v>1</v>
      </c>
      <c r="I65" s="3" t="s">
        <v>145</v>
      </c>
      <c r="J65" s="3" t="s">
        <v>12</v>
      </c>
      <c r="K65" s="3" t="s">
        <v>539</v>
      </c>
      <c r="L65" s="3" t="s">
        <v>538</v>
      </c>
      <c r="M65" s="3" t="s">
        <v>537</v>
      </c>
      <c r="N65" s="3" t="s">
        <v>2218</v>
      </c>
      <c r="O65" s="3" t="s">
        <v>2217</v>
      </c>
      <c r="P65" s="3" t="s">
        <v>6</v>
      </c>
      <c r="Q65" s="3" t="s">
        <v>20</v>
      </c>
      <c r="R65" s="3" t="s">
        <v>4</v>
      </c>
      <c r="S65" s="3" t="s">
        <v>3</v>
      </c>
      <c r="T65" s="3" t="s">
        <v>29</v>
      </c>
      <c r="U65" s="3" t="s">
        <v>1</v>
      </c>
      <c r="V65" s="3" t="s">
        <v>0</v>
      </c>
      <c r="W65" s="2">
        <v>42</v>
      </c>
    </row>
    <row r="66" spans="1:23" hidden="1" x14ac:dyDescent="0.25">
      <c r="A66" s="8">
        <v>298</v>
      </c>
      <c r="B66" s="8" t="s">
        <v>4155</v>
      </c>
      <c r="C66" s="19" t="s">
        <v>4154</v>
      </c>
      <c r="D66" s="6" t="s">
        <v>15</v>
      </c>
      <c r="E66" s="18" t="s">
        <v>1947</v>
      </c>
      <c r="F66" s="4">
        <v>37718</v>
      </c>
      <c r="G66" s="4" t="s">
        <v>1</v>
      </c>
      <c r="H66" s="4" t="s">
        <v>1</v>
      </c>
      <c r="I66" s="3" t="s">
        <v>13</v>
      </c>
      <c r="J66" s="3" t="s">
        <v>12</v>
      </c>
      <c r="K66" s="3" t="s">
        <v>283</v>
      </c>
      <c r="L66" s="3" t="s">
        <v>282</v>
      </c>
      <c r="M66" s="3" t="s">
        <v>281</v>
      </c>
      <c r="N66" s="3" t="s">
        <v>1078</v>
      </c>
      <c r="O66" s="3" t="s">
        <v>29</v>
      </c>
      <c r="P66" s="3" t="s">
        <v>6</v>
      </c>
      <c r="Q66" s="3" t="s">
        <v>20</v>
      </c>
      <c r="R66" s="3" t="s">
        <v>4</v>
      </c>
      <c r="S66" s="3" t="s">
        <v>3</v>
      </c>
      <c r="T66" s="3" t="s">
        <v>1077</v>
      </c>
      <c r="U66" s="3" t="s">
        <v>1</v>
      </c>
      <c r="V66" s="3" t="s">
        <v>0</v>
      </c>
      <c r="W66" s="2">
        <v>40</v>
      </c>
    </row>
    <row r="67" spans="1:23" hidden="1" x14ac:dyDescent="0.25">
      <c r="A67" s="8">
        <v>994</v>
      </c>
      <c r="B67" s="8" t="s">
        <v>4153</v>
      </c>
      <c r="C67" s="7" t="s">
        <v>4152</v>
      </c>
      <c r="D67" s="6" t="s">
        <v>15</v>
      </c>
      <c r="E67" s="5" t="s">
        <v>3903</v>
      </c>
      <c r="F67" s="4">
        <v>37872</v>
      </c>
      <c r="G67" s="4" t="s">
        <v>1</v>
      </c>
      <c r="H67" s="4" t="s">
        <v>1</v>
      </c>
      <c r="I67" s="3" t="s">
        <v>13</v>
      </c>
      <c r="J67" s="3" t="s">
        <v>133</v>
      </c>
      <c r="K67" s="3" t="s">
        <v>4107</v>
      </c>
      <c r="L67" s="3" t="s">
        <v>4106</v>
      </c>
      <c r="M67" s="3" t="s">
        <v>4105</v>
      </c>
      <c r="N67" s="3" t="s">
        <v>4110</v>
      </c>
      <c r="O67" s="3" t="s">
        <v>100</v>
      </c>
      <c r="P67" s="3" t="s">
        <v>30</v>
      </c>
      <c r="Q67" s="3" t="s">
        <v>20</v>
      </c>
      <c r="R67" s="3" t="s">
        <v>4</v>
      </c>
      <c r="S67" s="3" t="s">
        <v>3</v>
      </c>
      <c r="T67" s="3" t="s">
        <v>2</v>
      </c>
      <c r="U67" s="3" t="s">
        <v>1</v>
      </c>
      <c r="V67" s="3" t="s">
        <v>0</v>
      </c>
      <c r="W67" s="2">
        <v>41</v>
      </c>
    </row>
    <row r="68" spans="1:23" hidden="1" x14ac:dyDescent="0.25">
      <c r="A68" s="8">
        <v>303</v>
      </c>
      <c r="B68" s="8" t="s">
        <v>4151</v>
      </c>
      <c r="C68" s="7" t="s">
        <v>4150</v>
      </c>
      <c r="D68" s="6" t="s">
        <v>15</v>
      </c>
      <c r="E68" s="5" t="s">
        <v>1947</v>
      </c>
      <c r="F68" s="4">
        <v>37718</v>
      </c>
      <c r="G68" s="4" t="s">
        <v>1</v>
      </c>
      <c r="H68" s="4" t="s">
        <v>1</v>
      </c>
      <c r="I68" s="3" t="s">
        <v>145</v>
      </c>
      <c r="J68" s="3" t="s">
        <v>12</v>
      </c>
      <c r="K68" s="3" t="s">
        <v>539</v>
      </c>
      <c r="L68" s="3" t="s">
        <v>1568</v>
      </c>
      <c r="M68" s="3" t="s">
        <v>1567</v>
      </c>
      <c r="N68" s="3" t="s">
        <v>771</v>
      </c>
      <c r="O68" s="3" t="s">
        <v>771</v>
      </c>
      <c r="P68" s="3" t="s">
        <v>6</v>
      </c>
      <c r="Q68" s="3" t="s">
        <v>20</v>
      </c>
      <c r="R68" s="3" t="s">
        <v>4</v>
      </c>
      <c r="S68" s="3" t="s">
        <v>3</v>
      </c>
      <c r="T68" s="3" t="s">
        <v>2</v>
      </c>
      <c r="U68" s="3" t="s">
        <v>1</v>
      </c>
      <c r="V68" s="3" t="s">
        <v>0</v>
      </c>
      <c r="W68" s="2">
        <v>41</v>
      </c>
    </row>
    <row r="69" spans="1:23" s="78" customFormat="1" hidden="1" x14ac:dyDescent="0.25">
      <c r="A69" s="73">
        <v>5249</v>
      </c>
      <c r="B69" s="73" t="s">
        <v>4149</v>
      </c>
      <c r="C69" s="87" t="s">
        <v>4148</v>
      </c>
      <c r="D69" s="88" t="s">
        <v>15</v>
      </c>
      <c r="E69" s="89" t="s">
        <v>1177</v>
      </c>
      <c r="F69" s="90">
        <v>38961</v>
      </c>
      <c r="G69" s="90" t="s">
        <v>1</v>
      </c>
      <c r="H69" s="90" t="s">
        <v>1</v>
      </c>
      <c r="I69" s="92" t="s">
        <v>13</v>
      </c>
      <c r="J69" s="92" t="s">
        <v>133</v>
      </c>
      <c r="K69" s="92" t="s">
        <v>4107</v>
      </c>
      <c r="L69" s="92" t="s">
        <v>4106</v>
      </c>
      <c r="M69" s="92" t="s">
        <v>4105</v>
      </c>
      <c r="N69" s="92" t="s">
        <v>4110</v>
      </c>
      <c r="O69" s="92" t="s">
        <v>100</v>
      </c>
      <c r="P69" s="92" t="s">
        <v>30</v>
      </c>
      <c r="Q69" s="92" t="s">
        <v>20</v>
      </c>
      <c r="R69" s="92" t="s">
        <v>4</v>
      </c>
      <c r="S69" s="92" t="s">
        <v>3</v>
      </c>
      <c r="T69" s="92" t="s">
        <v>2</v>
      </c>
      <c r="U69" s="92" t="s">
        <v>1</v>
      </c>
      <c r="V69" s="92" t="s">
        <v>0</v>
      </c>
      <c r="W69" s="93">
        <v>40</v>
      </c>
    </row>
    <row r="70" spans="1:23" hidden="1" x14ac:dyDescent="0.25">
      <c r="A70" s="8">
        <v>5420</v>
      </c>
      <c r="B70" s="8" t="s">
        <v>4147</v>
      </c>
      <c r="C70" s="7" t="s">
        <v>4146</v>
      </c>
      <c r="D70" s="6" t="s">
        <v>15</v>
      </c>
      <c r="E70" s="5" t="s">
        <v>44</v>
      </c>
      <c r="F70" s="4">
        <v>38991</v>
      </c>
      <c r="G70" s="4" t="s">
        <v>1</v>
      </c>
      <c r="H70" s="4" t="s">
        <v>1</v>
      </c>
      <c r="I70" s="3" t="s">
        <v>13</v>
      </c>
      <c r="J70" s="3" t="s">
        <v>133</v>
      </c>
      <c r="K70" s="3" t="s">
        <v>4107</v>
      </c>
      <c r="L70" s="3" t="s">
        <v>4106</v>
      </c>
      <c r="M70" s="3" t="s">
        <v>4105</v>
      </c>
      <c r="N70" s="3" t="s">
        <v>4110</v>
      </c>
      <c r="O70" s="3" t="s">
        <v>100</v>
      </c>
      <c r="P70" s="3" t="s">
        <v>30</v>
      </c>
      <c r="Q70" s="3" t="s">
        <v>20</v>
      </c>
      <c r="R70" s="3" t="s">
        <v>4</v>
      </c>
      <c r="S70" s="3" t="s">
        <v>3</v>
      </c>
      <c r="T70" s="3" t="s">
        <v>2</v>
      </c>
      <c r="U70" s="3" t="s">
        <v>1</v>
      </c>
      <c r="V70" s="3" t="s">
        <v>0</v>
      </c>
      <c r="W70" s="2">
        <v>40</v>
      </c>
    </row>
    <row r="71" spans="1:23" hidden="1" x14ac:dyDescent="0.25">
      <c r="A71" s="8">
        <v>311</v>
      </c>
      <c r="B71" s="8" t="s">
        <v>4145</v>
      </c>
      <c r="C71" s="7" t="s">
        <v>4144</v>
      </c>
      <c r="D71" s="6" t="s">
        <v>15</v>
      </c>
      <c r="E71" s="5" t="s">
        <v>301</v>
      </c>
      <c r="F71" s="4">
        <v>37725</v>
      </c>
      <c r="G71" s="4" t="s">
        <v>1</v>
      </c>
      <c r="H71" s="4" t="s">
        <v>1</v>
      </c>
      <c r="I71" s="3" t="s">
        <v>13</v>
      </c>
      <c r="J71" s="3" t="s">
        <v>133</v>
      </c>
      <c r="K71" s="3" t="s">
        <v>25</v>
      </c>
      <c r="L71" s="3" t="s">
        <v>24</v>
      </c>
      <c r="M71" s="3" t="s">
        <v>199</v>
      </c>
      <c r="N71" s="3" t="s">
        <v>1078</v>
      </c>
      <c r="O71" s="3" t="s">
        <v>29</v>
      </c>
      <c r="P71" s="3" t="s">
        <v>6</v>
      </c>
      <c r="Q71" s="3" t="s">
        <v>20</v>
      </c>
      <c r="R71" s="3" t="s">
        <v>4</v>
      </c>
      <c r="S71" s="3" t="s">
        <v>3</v>
      </c>
      <c r="T71" s="3" t="s">
        <v>1077</v>
      </c>
      <c r="U71" s="3" t="s">
        <v>1</v>
      </c>
      <c r="V71" s="3" t="s">
        <v>0</v>
      </c>
      <c r="W71" s="2">
        <v>41</v>
      </c>
    </row>
    <row r="72" spans="1:23" hidden="1" x14ac:dyDescent="0.25">
      <c r="A72" s="26">
        <v>5801</v>
      </c>
      <c r="B72" s="8" t="s">
        <v>4143</v>
      </c>
      <c r="C72" s="19" t="s">
        <v>4142</v>
      </c>
      <c r="D72" s="6" t="s">
        <v>15</v>
      </c>
      <c r="E72" s="18" t="s">
        <v>251</v>
      </c>
      <c r="F72" s="4">
        <v>39114</v>
      </c>
      <c r="G72" s="4" t="s">
        <v>1</v>
      </c>
      <c r="H72" s="4" t="s">
        <v>1</v>
      </c>
      <c r="I72" s="3" t="s">
        <v>13</v>
      </c>
      <c r="J72" s="3" t="s">
        <v>133</v>
      </c>
      <c r="K72" s="3" t="s">
        <v>4107</v>
      </c>
      <c r="L72" s="3" t="s">
        <v>4106</v>
      </c>
      <c r="M72" s="3" t="s">
        <v>4105</v>
      </c>
      <c r="N72" s="3" t="s">
        <v>4114</v>
      </c>
      <c r="O72" s="3" t="s">
        <v>100</v>
      </c>
      <c r="P72" s="3" t="s">
        <v>30</v>
      </c>
      <c r="Q72" s="3" t="s">
        <v>20</v>
      </c>
      <c r="R72" s="3" t="s">
        <v>4</v>
      </c>
      <c r="S72" s="3" t="s">
        <v>3</v>
      </c>
      <c r="T72" s="3" t="s">
        <v>2</v>
      </c>
      <c r="U72" s="3" t="s">
        <v>1</v>
      </c>
      <c r="V72" s="3" t="s">
        <v>0</v>
      </c>
      <c r="W72" s="2">
        <v>38</v>
      </c>
    </row>
    <row r="73" spans="1:23" hidden="1" x14ac:dyDescent="0.25">
      <c r="A73" s="8">
        <v>9579</v>
      </c>
      <c r="B73" s="8" t="s">
        <v>4141</v>
      </c>
      <c r="C73" s="7" t="s">
        <v>4140</v>
      </c>
      <c r="D73" s="6" t="s">
        <v>15</v>
      </c>
      <c r="E73" s="5" t="s">
        <v>178</v>
      </c>
      <c r="F73" s="4">
        <v>40179</v>
      </c>
      <c r="G73" s="4" t="s">
        <v>1</v>
      </c>
      <c r="H73" s="4" t="s">
        <v>1</v>
      </c>
      <c r="I73" s="3" t="s">
        <v>13</v>
      </c>
      <c r="J73" s="3" t="s">
        <v>133</v>
      </c>
      <c r="K73" s="3" t="s">
        <v>4107</v>
      </c>
      <c r="L73" s="3" t="s">
        <v>4106</v>
      </c>
      <c r="M73" s="3" t="s">
        <v>4105</v>
      </c>
      <c r="N73" s="3" t="s">
        <v>4114</v>
      </c>
      <c r="O73" s="3" t="s">
        <v>100</v>
      </c>
      <c r="P73" s="3" t="s">
        <v>30</v>
      </c>
      <c r="Q73" s="3" t="s">
        <v>20</v>
      </c>
      <c r="R73" s="3" t="s">
        <v>4</v>
      </c>
      <c r="S73" s="3" t="s">
        <v>3</v>
      </c>
      <c r="T73" s="3" t="s">
        <v>2</v>
      </c>
      <c r="U73" s="3" t="s">
        <v>1</v>
      </c>
      <c r="V73" s="3" t="s">
        <v>0</v>
      </c>
      <c r="W73" s="2">
        <v>34</v>
      </c>
    </row>
    <row r="74" spans="1:23" hidden="1" x14ac:dyDescent="0.25">
      <c r="A74" s="8">
        <v>319</v>
      </c>
      <c r="B74" s="8" t="s">
        <v>4139</v>
      </c>
      <c r="C74" s="7" t="s">
        <v>4138</v>
      </c>
      <c r="D74" s="6" t="s">
        <v>15</v>
      </c>
      <c r="E74" s="5" t="s">
        <v>301</v>
      </c>
      <c r="F74" s="4">
        <v>37725</v>
      </c>
      <c r="G74" s="4" t="s">
        <v>1</v>
      </c>
      <c r="H74" s="4" t="s">
        <v>1</v>
      </c>
      <c r="I74" s="3" t="s">
        <v>145</v>
      </c>
      <c r="J74" s="3" t="s">
        <v>12</v>
      </c>
      <c r="K74" s="3" t="s">
        <v>283</v>
      </c>
      <c r="L74" s="3" t="s">
        <v>282</v>
      </c>
      <c r="M74" s="3" t="s">
        <v>281</v>
      </c>
      <c r="N74" s="3" t="s">
        <v>269</v>
      </c>
      <c r="O74" s="3" t="s">
        <v>29</v>
      </c>
      <c r="P74" s="3" t="s">
        <v>6</v>
      </c>
      <c r="Q74" s="3" t="s">
        <v>20</v>
      </c>
      <c r="R74" s="3" t="s">
        <v>4</v>
      </c>
      <c r="S74" s="3" t="s">
        <v>3</v>
      </c>
      <c r="T74" s="3" t="s">
        <v>29</v>
      </c>
      <c r="U74" s="3" t="s">
        <v>1</v>
      </c>
      <c r="V74" s="3" t="s">
        <v>0</v>
      </c>
      <c r="W74" s="2">
        <v>40</v>
      </c>
    </row>
    <row r="75" spans="1:23" hidden="1" x14ac:dyDescent="0.25">
      <c r="A75" s="8">
        <v>320</v>
      </c>
      <c r="B75" s="8" t="s">
        <v>4137</v>
      </c>
      <c r="C75" s="7" t="s">
        <v>4136</v>
      </c>
      <c r="D75" s="6" t="s">
        <v>15</v>
      </c>
      <c r="E75" s="5" t="s">
        <v>301</v>
      </c>
      <c r="F75" s="4">
        <v>37725</v>
      </c>
      <c r="G75" s="4" t="s">
        <v>1</v>
      </c>
      <c r="H75" s="4" t="s">
        <v>1</v>
      </c>
      <c r="I75" s="3" t="s">
        <v>13</v>
      </c>
      <c r="J75" s="3" t="s">
        <v>12</v>
      </c>
      <c r="K75" s="3" t="s">
        <v>63</v>
      </c>
      <c r="L75" s="3" t="s">
        <v>81</v>
      </c>
      <c r="M75" s="3" t="s">
        <v>80</v>
      </c>
      <c r="N75" s="3" t="s">
        <v>4135</v>
      </c>
      <c r="O75" s="3" t="s">
        <v>1115</v>
      </c>
      <c r="P75" s="3" t="s">
        <v>6</v>
      </c>
      <c r="Q75" s="3" t="s">
        <v>20</v>
      </c>
      <c r="R75" s="3" t="s">
        <v>4</v>
      </c>
      <c r="S75" s="3" t="s">
        <v>3</v>
      </c>
      <c r="T75" s="3" t="s">
        <v>2</v>
      </c>
      <c r="U75" s="3" t="s">
        <v>1</v>
      </c>
      <c r="V75" s="3" t="s">
        <v>0</v>
      </c>
      <c r="W75" s="2">
        <v>41</v>
      </c>
    </row>
    <row r="76" spans="1:23" hidden="1" x14ac:dyDescent="0.25">
      <c r="A76" s="8">
        <v>322</v>
      </c>
      <c r="B76" s="8" t="s">
        <v>4134</v>
      </c>
      <c r="C76" s="7" t="s">
        <v>4133</v>
      </c>
      <c r="D76" s="6" t="s">
        <v>15</v>
      </c>
      <c r="E76" s="5" t="s">
        <v>301</v>
      </c>
      <c r="F76" s="4">
        <v>37725</v>
      </c>
      <c r="G76" s="4" t="s">
        <v>1</v>
      </c>
      <c r="H76" s="4" t="s">
        <v>1</v>
      </c>
      <c r="I76" s="3" t="s">
        <v>13</v>
      </c>
      <c r="J76" s="3" t="s">
        <v>133</v>
      </c>
      <c r="K76" s="3" t="s">
        <v>283</v>
      </c>
      <c r="L76" s="3" t="s">
        <v>999</v>
      </c>
      <c r="M76" s="3" t="s">
        <v>998</v>
      </c>
      <c r="N76" s="3" t="s">
        <v>1362</v>
      </c>
      <c r="O76" s="3" t="s">
        <v>39</v>
      </c>
      <c r="P76" s="3" t="s">
        <v>6</v>
      </c>
      <c r="Q76" s="3" t="s">
        <v>20</v>
      </c>
      <c r="R76" s="3" t="s">
        <v>4</v>
      </c>
      <c r="S76" s="3" t="s">
        <v>3</v>
      </c>
      <c r="T76" s="3" t="s">
        <v>1361</v>
      </c>
      <c r="U76" s="3" t="s">
        <v>1</v>
      </c>
      <c r="V76" s="3" t="s">
        <v>0</v>
      </c>
      <c r="W76" s="2">
        <v>40</v>
      </c>
    </row>
    <row r="77" spans="1:23" hidden="1" x14ac:dyDescent="0.25">
      <c r="A77" s="8">
        <v>9679</v>
      </c>
      <c r="B77" s="8" t="s">
        <v>4132</v>
      </c>
      <c r="C77" s="7" t="s">
        <v>4131</v>
      </c>
      <c r="D77" s="6" t="s">
        <v>15</v>
      </c>
      <c r="E77" s="5" t="s">
        <v>1237</v>
      </c>
      <c r="F77" s="4">
        <v>40297</v>
      </c>
      <c r="G77" s="4" t="s">
        <v>1</v>
      </c>
      <c r="H77" s="4" t="s">
        <v>1</v>
      </c>
      <c r="I77" s="3" t="s">
        <v>13</v>
      </c>
      <c r="J77" s="3" t="s">
        <v>133</v>
      </c>
      <c r="K77" s="3" t="s">
        <v>4107</v>
      </c>
      <c r="L77" s="3" t="s">
        <v>4106</v>
      </c>
      <c r="M77" s="3" t="s">
        <v>4105</v>
      </c>
      <c r="N77" s="3" t="s">
        <v>4114</v>
      </c>
      <c r="O77" s="3" t="s">
        <v>100</v>
      </c>
      <c r="P77" s="3" t="s">
        <v>30</v>
      </c>
      <c r="Q77" s="3" t="s">
        <v>20</v>
      </c>
      <c r="R77" s="3" t="s">
        <v>4</v>
      </c>
      <c r="S77" s="3" t="s">
        <v>3</v>
      </c>
      <c r="T77" s="3" t="s">
        <v>2</v>
      </c>
      <c r="U77" s="3" t="s">
        <v>1</v>
      </c>
      <c r="V77" s="3" t="s">
        <v>0</v>
      </c>
      <c r="W77" s="2">
        <v>36</v>
      </c>
    </row>
    <row r="78" spans="1:23" s="9" customFormat="1" hidden="1" x14ac:dyDescent="0.25">
      <c r="A78" s="17">
        <v>9683</v>
      </c>
      <c r="B78" s="17" t="s">
        <v>4130</v>
      </c>
      <c r="C78" s="16" t="s">
        <v>4129</v>
      </c>
      <c r="D78" s="15" t="s">
        <v>15</v>
      </c>
      <c r="E78" s="14" t="s">
        <v>1237</v>
      </c>
      <c r="F78" s="13">
        <v>40297</v>
      </c>
      <c r="G78" s="13" t="s">
        <v>1</v>
      </c>
      <c r="H78" s="13" t="s">
        <v>1</v>
      </c>
      <c r="I78" s="12" t="s">
        <v>13</v>
      </c>
      <c r="J78" s="12" t="s">
        <v>133</v>
      </c>
      <c r="K78" s="12" t="s">
        <v>4107</v>
      </c>
      <c r="L78" s="12" t="s">
        <v>4106</v>
      </c>
      <c r="M78" s="12" t="s">
        <v>4105</v>
      </c>
      <c r="N78" s="12" t="s">
        <v>3327</v>
      </c>
      <c r="O78" s="12" t="s">
        <v>100</v>
      </c>
      <c r="P78" s="12" t="s">
        <v>30</v>
      </c>
      <c r="Q78" s="12" t="s">
        <v>20</v>
      </c>
      <c r="R78" s="12" t="s">
        <v>4</v>
      </c>
      <c r="S78" s="12" t="s">
        <v>3</v>
      </c>
      <c r="T78" s="12" t="s">
        <v>2</v>
      </c>
      <c r="U78" s="12" t="s">
        <v>1</v>
      </c>
      <c r="V78" s="12" t="s">
        <v>0</v>
      </c>
      <c r="W78" s="11">
        <v>35</v>
      </c>
    </row>
    <row r="79" spans="1:23" hidden="1" x14ac:dyDescent="0.25">
      <c r="A79" s="8">
        <v>329</v>
      </c>
      <c r="B79" s="8" t="s">
        <v>4128</v>
      </c>
      <c r="C79" s="7" t="s">
        <v>65</v>
      </c>
      <c r="D79" s="6" t="s">
        <v>15</v>
      </c>
      <c r="E79" s="5" t="s">
        <v>301</v>
      </c>
      <c r="F79" s="4">
        <v>37725</v>
      </c>
      <c r="G79" s="4" t="s">
        <v>1</v>
      </c>
      <c r="H79" s="4" t="s">
        <v>1</v>
      </c>
      <c r="I79" s="3" t="s">
        <v>13</v>
      </c>
      <c r="J79" s="3" t="s">
        <v>133</v>
      </c>
      <c r="K79" s="3" t="s">
        <v>879</v>
      </c>
      <c r="L79" s="3" t="s">
        <v>879</v>
      </c>
      <c r="M79" s="3" t="s">
        <v>878</v>
      </c>
      <c r="N79" s="3" t="s">
        <v>198</v>
      </c>
      <c r="O79" s="3" t="s">
        <v>184</v>
      </c>
      <c r="P79" s="3" t="s">
        <v>6</v>
      </c>
      <c r="Q79" s="3" t="s">
        <v>20</v>
      </c>
      <c r="R79" s="3" t="s">
        <v>4</v>
      </c>
      <c r="S79" s="3" t="s">
        <v>3</v>
      </c>
      <c r="T79" s="3" t="s">
        <v>2</v>
      </c>
      <c r="U79" s="3" t="s">
        <v>1</v>
      </c>
      <c r="V79" s="3" t="s">
        <v>0</v>
      </c>
      <c r="W79" s="2">
        <v>42</v>
      </c>
    </row>
    <row r="80" spans="1:23" s="9" customFormat="1" hidden="1" x14ac:dyDescent="0.25">
      <c r="A80" s="17">
        <v>10273</v>
      </c>
      <c r="B80" s="17" t="s">
        <v>4127</v>
      </c>
      <c r="C80" s="16" t="s">
        <v>4126</v>
      </c>
      <c r="D80" s="15" t="s">
        <v>15</v>
      </c>
      <c r="E80" s="14" t="s">
        <v>2467</v>
      </c>
      <c r="F80" s="13">
        <v>40497</v>
      </c>
      <c r="G80" s="13" t="s">
        <v>1</v>
      </c>
      <c r="H80" s="13" t="s">
        <v>1</v>
      </c>
      <c r="I80" s="12" t="s">
        <v>13</v>
      </c>
      <c r="J80" s="12" t="s">
        <v>133</v>
      </c>
      <c r="K80" s="12" t="s">
        <v>4107</v>
      </c>
      <c r="L80" s="12" t="s">
        <v>4106</v>
      </c>
      <c r="M80" s="12" t="s">
        <v>4105</v>
      </c>
      <c r="N80" s="12" t="s">
        <v>4104</v>
      </c>
      <c r="O80" s="12" t="s">
        <v>100</v>
      </c>
      <c r="P80" s="12" t="s">
        <v>30</v>
      </c>
      <c r="Q80" s="12" t="s">
        <v>20</v>
      </c>
      <c r="R80" s="12" t="s">
        <v>4</v>
      </c>
      <c r="S80" s="12" t="s">
        <v>3</v>
      </c>
      <c r="T80" s="12" t="s">
        <v>2</v>
      </c>
      <c r="U80" s="12" t="s">
        <v>1</v>
      </c>
      <c r="V80" s="12" t="s">
        <v>0</v>
      </c>
      <c r="W80" s="11">
        <v>32</v>
      </c>
    </row>
    <row r="81" spans="1:24" s="78" customFormat="1" hidden="1" x14ac:dyDescent="0.25">
      <c r="A81" s="73">
        <v>10763</v>
      </c>
      <c r="B81" s="73" t="s">
        <v>4125</v>
      </c>
      <c r="C81" s="87" t="s">
        <v>4124</v>
      </c>
      <c r="D81" s="88" t="s">
        <v>15</v>
      </c>
      <c r="E81" s="89" t="s">
        <v>2231</v>
      </c>
      <c r="F81" s="90">
        <v>40566</v>
      </c>
      <c r="G81" s="90" t="s">
        <v>1</v>
      </c>
      <c r="H81" s="90" t="s">
        <v>1</v>
      </c>
      <c r="I81" s="92" t="s">
        <v>13</v>
      </c>
      <c r="J81" s="92" t="s">
        <v>133</v>
      </c>
      <c r="K81" s="92" t="s">
        <v>4107</v>
      </c>
      <c r="L81" s="92" t="s">
        <v>4106</v>
      </c>
      <c r="M81" s="92" t="s">
        <v>4105</v>
      </c>
      <c r="N81" s="92" t="s">
        <v>4110</v>
      </c>
      <c r="O81" s="92" t="s">
        <v>100</v>
      </c>
      <c r="P81" s="92" t="s">
        <v>30</v>
      </c>
      <c r="Q81" s="92" t="s">
        <v>20</v>
      </c>
      <c r="R81" s="92" t="s">
        <v>4</v>
      </c>
      <c r="S81" s="92" t="s">
        <v>3</v>
      </c>
      <c r="T81" s="92" t="s">
        <v>2</v>
      </c>
      <c r="U81" s="92" t="s">
        <v>1</v>
      </c>
      <c r="V81" s="92" t="s">
        <v>0</v>
      </c>
      <c r="W81" s="93">
        <v>33</v>
      </c>
    </row>
    <row r="82" spans="1:24" hidden="1" x14ac:dyDescent="0.25">
      <c r="A82" s="8">
        <v>10933</v>
      </c>
      <c r="B82" s="8" t="s">
        <v>4123</v>
      </c>
      <c r="C82" s="19" t="s">
        <v>4122</v>
      </c>
      <c r="D82" s="6" t="s">
        <v>15</v>
      </c>
      <c r="E82" s="18" t="s">
        <v>1639</v>
      </c>
      <c r="F82" s="4">
        <v>40578</v>
      </c>
      <c r="G82" s="4" t="s">
        <v>1</v>
      </c>
      <c r="H82" s="4" t="s">
        <v>1</v>
      </c>
      <c r="I82" s="3" t="s">
        <v>13</v>
      </c>
      <c r="J82" s="3" t="s">
        <v>133</v>
      </c>
      <c r="K82" s="3" t="s">
        <v>4107</v>
      </c>
      <c r="L82" s="3" t="s">
        <v>4106</v>
      </c>
      <c r="M82" s="3" t="s">
        <v>4105</v>
      </c>
      <c r="N82" s="3" t="s">
        <v>4114</v>
      </c>
      <c r="O82" s="3" t="s">
        <v>100</v>
      </c>
      <c r="P82" s="3" t="s">
        <v>30</v>
      </c>
      <c r="Q82" s="3" t="s">
        <v>20</v>
      </c>
      <c r="R82" s="3" t="s">
        <v>4</v>
      </c>
      <c r="S82" s="3" t="s">
        <v>3</v>
      </c>
      <c r="T82" s="3" t="s">
        <v>2</v>
      </c>
      <c r="U82" s="3" t="s">
        <v>1</v>
      </c>
      <c r="V82" s="3" t="s">
        <v>0</v>
      </c>
      <c r="W82" s="2">
        <v>33</v>
      </c>
    </row>
    <row r="83" spans="1:24" s="78" customFormat="1" hidden="1" x14ac:dyDescent="0.25">
      <c r="A83" s="73">
        <v>345</v>
      </c>
      <c r="B83" s="73" t="s">
        <v>4121</v>
      </c>
      <c r="C83" s="95" t="s">
        <v>4120</v>
      </c>
      <c r="D83" s="88" t="s">
        <v>15</v>
      </c>
      <c r="E83" s="89" t="s">
        <v>4119</v>
      </c>
      <c r="F83" s="90">
        <v>37725</v>
      </c>
      <c r="G83" s="90" t="s">
        <v>1</v>
      </c>
      <c r="H83" s="90" t="s">
        <v>1</v>
      </c>
      <c r="I83" s="89" t="s">
        <v>365</v>
      </c>
      <c r="J83" s="89" t="s">
        <v>1142</v>
      </c>
      <c r="K83" s="89" t="s">
        <v>33</v>
      </c>
      <c r="L83" s="89" t="s">
        <v>33</v>
      </c>
      <c r="M83" s="89" t="s">
        <v>1142</v>
      </c>
      <c r="N83" s="89" t="s">
        <v>348</v>
      </c>
      <c r="O83" s="89" t="s">
        <v>347</v>
      </c>
      <c r="P83" s="89" t="s">
        <v>30</v>
      </c>
      <c r="Q83" s="89" t="s">
        <v>121</v>
      </c>
      <c r="R83" s="92" t="s">
        <v>4</v>
      </c>
      <c r="S83" s="92" t="s">
        <v>3</v>
      </c>
      <c r="T83" s="92" t="s">
        <v>38</v>
      </c>
      <c r="U83" s="92" t="s">
        <v>1</v>
      </c>
      <c r="V83" s="92" t="s">
        <v>0</v>
      </c>
      <c r="W83" s="93">
        <v>43</v>
      </c>
    </row>
    <row r="84" spans="1:24" s="78" customFormat="1" hidden="1" x14ac:dyDescent="0.25">
      <c r="A84" s="73">
        <v>356</v>
      </c>
      <c r="B84" s="73" t="s">
        <v>4118</v>
      </c>
      <c r="C84" s="87" t="s">
        <v>4117</v>
      </c>
      <c r="D84" s="88" t="s">
        <v>15</v>
      </c>
      <c r="E84" s="89" t="s">
        <v>298</v>
      </c>
      <c r="F84" s="90">
        <v>37732</v>
      </c>
      <c r="G84" s="90" t="s">
        <v>1</v>
      </c>
      <c r="H84" s="90" t="s">
        <v>1</v>
      </c>
      <c r="I84" s="92" t="s">
        <v>145</v>
      </c>
      <c r="J84" s="92" t="s">
        <v>12</v>
      </c>
      <c r="K84" s="92" t="s">
        <v>758</v>
      </c>
      <c r="L84" s="92" t="s">
        <v>757</v>
      </c>
      <c r="M84" s="92" t="s">
        <v>756</v>
      </c>
      <c r="N84" s="92" t="s">
        <v>2218</v>
      </c>
      <c r="O84" s="92" t="s">
        <v>2217</v>
      </c>
      <c r="P84" s="92" t="s">
        <v>72</v>
      </c>
      <c r="Q84" s="92" t="s">
        <v>20</v>
      </c>
      <c r="R84" s="92" t="s">
        <v>4</v>
      </c>
      <c r="S84" s="92" t="s">
        <v>3</v>
      </c>
      <c r="T84" s="92" t="s">
        <v>29</v>
      </c>
      <c r="U84" s="92" t="s">
        <v>1</v>
      </c>
      <c r="V84" s="92" t="s">
        <v>0</v>
      </c>
      <c r="W84" s="93">
        <v>41</v>
      </c>
    </row>
    <row r="85" spans="1:24" hidden="1" x14ac:dyDescent="0.25">
      <c r="A85" s="8">
        <v>11046</v>
      </c>
      <c r="B85" s="8" t="s">
        <v>4116</v>
      </c>
      <c r="C85" s="7" t="s">
        <v>4115</v>
      </c>
      <c r="D85" s="6" t="s">
        <v>15</v>
      </c>
      <c r="E85" s="5" t="s">
        <v>1108</v>
      </c>
      <c r="F85" s="4">
        <v>40592</v>
      </c>
      <c r="G85" s="4" t="s">
        <v>1</v>
      </c>
      <c r="H85" s="4" t="s">
        <v>1</v>
      </c>
      <c r="I85" s="3" t="s">
        <v>13</v>
      </c>
      <c r="J85" s="3" t="s">
        <v>133</v>
      </c>
      <c r="K85" s="3" t="s">
        <v>4107</v>
      </c>
      <c r="L85" s="3" t="s">
        <v>4106</v>
      </c>
      <c r="M85" s="3" t="s">
        <v>4105</v>
      </c>
      <c r="N85" s="3" t="s">
        <v>4114</v>
      </c>
      <c r="O85" s="3" t="s">
        <v>100</v>
      </c>
      <c r="P85" s="3" t="s">
        <v>30</v>
      </c>
      <c r="Q85" s="3" t="s">
        <v>20</v>
      </c>
      <c r="R85" s="3" t="s">
        <v>4</v>
      </c>
      <c r="S85" s="3" t="s">
        <v>3</v>
      </c>
      <c r="T85" s="3" t="s">
        <v>2</v>
      </c>
      <c r="U85" s="3" t="s">
        <v>1</v>
      </c>
      <c r="V85" s="3" t="s">
        <v>0</v>
      </c>
      <c r="W85" s="2">
        <v>33</v>
      </c>
    </row>
    <row r="86" spans="1:24" s="78" customFormat="1" hidden="1" x14ac:dyDescent="0.25">
      <c r="A86" s="73">
        <v>11709</v>
      </c>
      <c r="B86" s="73" t="s">
        <v>4113</v>
      </c>
      <c r="C86" s="87" t="s">
        <v>4112</v>
      </c>
      <c r="D86" s="88" t="s">
        <v>15</v>
      </c>
      <c r="E86" s="89" t="s">
        <v>424</v>
      </c>
      <c r="F86" s="90">
        <v>40714</v>
      </c>
      <c r="G86" s="90" t="s">
        <v>1</v>
      </c>
      <c r="H86" s="90" t="s">
        <v>1</v>
      </c>
      <c r="I86" s="92" t="s">
        <v>13</v>
      </c>
      <c r="J86" s="92" t="s">
        <v>133</v>
      </c>
      <c r="K86" s="92" t="s">
        <v>153</v>
      </c>
      <c r="L86" s="92" t="s">
        <v>4106</v>
      </c>
      <c r="M86" s="92" t="s">
        <v>4105</v>
      </c>
      <c r="N86" s="92" t="s">
        <v>4104</v>
      </c>
      <c r="O86" s="92" t="s">
        <v>100</v>
      </c>
      <c r="P86" s="92" t="s">
        <v>30</v>
      </c>
      <c r="Q86" s="92" t="s">
        <v>20</v>
      </c>
      <c r="R86" s="92" t="s">
        <v>4</v>
      </c>
      <c r="S86" s="92" t="s">
        <v>3</v>
      </c>
      <c r="T86" s="92" t="s">
        <v>2</v>
      </c>
      <c r="U86" s="92" t="s">
        <v>1</v>
      </c>
      <c r="V86" s="92" t="s">
        <v>0</v>
      </c>
      <c r="W86" s="93">
        <v>31</v>
      </c>
    </row>
    <row r="87" spans="1:24" hidden="1" x14ac:dyDescent="0.25">
      <c r="A87" s="8">
        <v>12211</v>
      </c>
      <c r="B87" s="8" t="s">
        <v>4111</v>
      </c>
      <c r="C87" s="7" t="s">
        <v>299</v>
      </c>
      <c r="D87" s="6" t="s">
        <v>15</v>
      </c>
      <c r="E87" s="5" t="s">
        <v>1666</v>
      </c>
      <c r="F87" s="4">
        <v>40802</v>
      </c>
      <c r="G87" s="4" t="s">
        <v>1</v>
      </c>
      <c r="H87" s="4" t="s">
        <v>1</v>
      </c>
      <c r="I87" s="3" t="s">
        <v>13</v>
      </c>
      <c r="J87" s="3" t="s">
        <v>133</v>
      </c>
      <c r="K87" s="3" t="s">
        <v>4107</v>
      </c>
      <c r="L87" s="3" t="s">
        <v>4106</v>
      </c>
      <c r="M87" s="3" t="s">
        <v>4105</v>
      </c>
      <c r="N87" s="3" t="s">
        <v>4110</v>
      </c>
      <c r="O87" s="3" t="s">
        <v>100</v>
      </c>
      <c r="P87" s="3" t="s">
        <v>30</v>
      </c>
      <c r="Q87" s="3" t="s">
        <v>20</v>
      </c>
      <c r="R87" s="3" t="s">
        <v>4</v>
      </c>
      <c r="S87" s="3" t="s">
        <v>3</v>
      </c>
      <c r="T87" s="3" t="s">
        <v>2</v>
      </c>
      <c r="U87" s="3" t="s">
        <v>1</v>
      </c>
      <c r="V87" s="3" t="s">
        <v>0</v>
      </c>
      <c r="W87" s="2">
        <v>30</v>
      </c>
    </row>
    <row r="88" spans="1:24" hidden="1" x14ac:dyDescent="0.25">
      <c r="A88" s="8">
        <v>12271</v>
      </c>
      <c r="B88" s="8" t="s">
        <v>4109</v>
      </c>
      <c r="C88" s="35" t="s">
        <v>4108</v>
      </c>
      <c r="D88" s="6" t="s">
        <v>15</v>
      </c>
      <c r="E88" s="8" t="s">
        <v>1630</v>
      </c>
      <c r="F88" s="4">
        <v>40805</v>
      </c>
      <c r="G88" s="4" t="s">
        <v>1</v>
      </c>
      <c r="H88" s="4" t="s">
        <v>1</v>
      </c>
      <c r="I88" s="3" t="s">
        <v>13</v>
      </c>
      <c r="J88" s="3" t="s">
        <v>133</v>
      </c>
      <c r="K88" s="3" t="s">
        <v>4107</v>
      </c>
      <c r="L88" s="3" t="s">
        <v>4106</v>
      </c>
      <c r="M88" s="3" t="s">
        <v>4105</v>
      </c>
      <c r="N88" s="3" t="s">
        <v>4104</v>
      </c>
      <c r="O88" s="3" t="s">
        <v>100</v>
      </c>
      <c r="P88" s="3" t="s">
        <v>30</v>
      </c>
      <c r="Q88" s="3" t="s">
        <v>20</v>
      </c>
      <c r="R88" s="3" t="s">
        <v>4</v>
      </c>
      <c r="S88" s="3" t="s">
        <v>3</v>
      </c>
      <c r="T88" s="3" t="s">
        <v>2</v>
      </c>
      <c r="U88" s="3" t="s">
        <v>1</v>
      </c>
      <c r="V88" s="3" t="s">
        <v>0</v>
      </c>
      <c r="W88" s="2">
        <v>32</v>
      </c>
    </row>
    <row r="89" spans="1:24" hidden="1" x14ac:dyDescent="0.25">
      <c r="A89" s="8">
        <v>5935</v>
      </c>
      <c r="B89" s="8" t="s">
        <v>4103</v>
      </c>
      <c r="C89" s="7" t="s">
        <v>4102</v>
      </c>
      <c r="D89" s="6" t="s">
        <v>15</v>
      </c>
      <c r="E89" s="5" t="s">
        <v>248</v>
      </c>
      <c r="F89" s="4">
        <v>39129</v>
      </c>
      <c r="G89" s="4" t="s">
        <v>1</v>
      </c>
      <c r="H89" s="4" t="s">
        <v>1</v>
      </c>
      <c r="I89" s="3" t="s">
        <v>13</v>
      </c>
      <c r="J89" s="3" t="s">
        <v>133</v>
      </c>
      <c r="K89" s="3" t="s">
        <v>132</v>
      </c>
      <c r="L89" s="3" t="s">
        <v>131</v>
      </c>
      <c r="M89" s="3" t="s">
        <v>130</v>
      </c>
      <c r="N89" s="3" t="s">
        <v>4101</v>
      </c>
      <c r="O89" s="3" t="s">
        <v>184</v>
      </c>
      <c r="P89" s="3" t="s">
        <v>72</v>
      </c>
      <c r="Q89" s="3" t="s">
        <v>20</v>
      </c>
      <c r="R89" s="3" t="s">
        <v>4</v>
      </c>
      <c r="S89" s="3" t="s">
        <v>3</v>
      </c>
      <c r="T89" s="3" t="s">
        <v>2</v>
      </c>
      <c r="U89" s="3" t="s">
        <v>1</v>
      </c>
      <c r="V89" s="3" t="s">
        <v>0</v>
      </c>
      <c r="W89" s="2">
        <v>39</v>
      </c>
    </row>
    <row r="90" spans="1:24" hidden="1" x14ac:dyDescent="0.25">
      <c r="A90" s="8">
        <v>394</v>
      </c>
      <c r="B90" s="8" t="s">
        <v>4100</v>
      </c>
      <c r="C90" s="7" t="s">
        <v>256</v>
      </c>
      <c r="D90" s="6" t="s">
        <v>15</v>
      </c>
      <c r="E90" s="5" t="s">
        <v>4097</v>
      </c>
      <c r="F90" s="4">
        <v>37732</v>
      </c>
      <c r="G90" s="4" t="s">
        <v>1</v>
      </c>
      <c r="H90" s="4" t="s">
        <v>1</v>
      </c>
      <c r="I90" s="3" t="s">
        <v>145</v>
      </c>
      <c r="J90" s="3" t="s">
        <v>34</v>
      </c>
      <c r="K90" s="3" t="s">
        <v>33</v>
      </c>
      <c r="L90" s="3" t="s">
        <v>33</v>
      </c>
      <c r="M90" s="3" t="s">
        <v>3485</v>
      </c>
      <c r="N90" s="3" t="s">
        <v>241</v>
      </c>
      <c r="O90" s="3" t="s">
        <v>3485</v>
      </c>
      <c r="P90" s="3" t="s">
        <v>30</v>
      </c>
      <c r="Q90" s="3" t="s">
        <v>47</v>
      </c>
      <c r="R90" s="3" t="s">
        <v>4</v>
      </c>
      <c r="S90" s="3" t="s">
        <v>3</v>
      </c>
      <c r="T90" s="3" t="s">
        <v>121</v>
      </c>
      <c r="U90" s="3" t="s">
        <v>1</v>
      </c>
      <c r="V90" s="3" t="s">
        <v>0</v>
      </c>
      <c r="W90" s="2">
        <v>41</v>
      </c>
    </row>
    <row r="91" spans="1:24" s="78" customFormat="1" hidden="1" x14ac:dyDescent="0.25">
      <c r="A91" s="73">
        <v>395</v>
      </c>
      <c r="B91" s="73" t="s">
        <v>4099</v>
      </c>
      <c r="C91" s="87" t="s">
        <v>4098</v>
      </c>
      <c r="D91" s="88" t="s">
        <v>15</v>
      </c>
      <c r="E91" s="89" t="s">
        <v>4097</v>
      </c>
      <c r="F91" s="90">
        <v>37732</v>
      </c>
      <c r="G91" s="90" t="s">
        <v>1</v>
      </c>
      <c r="H91" s="90" t="s">
        <v>1</v>
      </c>
      <c r="I91" s="89" t="s">
        <v>50</v>
      </c>
      <c r="J91" s="89" t="s">
        <v>49</v>
      </c>
      <c r="K91" s="89" t="s">
        <v>33</v>
      </c>
      <c r="L91" s="89" t="s">
        <v>33</v>
      </c>
      <c r="M91" s="89" t="s">
        <v>49</v>
      </c>
      <c r="N91" s="89" t="s">
        <v>4096</v>
      </c>
      <c r="O91" s="89" t="s">
        <v>48</v>
      </c>
      <c r="P91" s="89" t="s">
        <v>30</v>
      </c>
      <c r="Q91" s="89" t="s">
        <v>47</v>
      </c>
      <c r="R91" s="92" t="s">
        <v>4</v>
      </c>
      <c r="S91" s="92" t="s">
        <v>3</v>
      </c>
      <c r="T91" s="92" t="s">
        <v>121</v>
      </c>
      <c r="U91" s="92" t="s">
        <v>1</v>
      </c>
      <c r="V91" s="92" t="s">
        <v>0</v>
      </c>
      <c r="W91" s="93">
        <v>43</v>
      </c>
    </row>
    <row r="92" spans="1:24" s="9" customFormat="1" hidden="1" x14ac:dyDescent="0.25">
      <c r="A92" s="17">
        <v>25358</v>
      </c>
      <c r="B92" s="17" t="s">
        <v>4095</v>
      </c>
      <c r="C92" s="24" t="s">
        <v>4094</v>
      </c>
      <c r="D92" s="15" t="s">
        <v>15</v>
      </c>
      <c r="E92" s="22" t="s">
        <v>4093</v>
      </c>
      <c r="F92" s="13">
        <v>44078</v>
      </c>
      <c r="G92" s="13" t="s">
        <v>1</v>
      </c>
      <c r="H92" s="13" t="s">
        <v>1</v>
      </c>
      <c r="I92" s="12" t="s">
        <v>13</v>
      </c>
      <c r="J92" s="12" t="s">
        <v>133</v>
      </c>
      <c r="K92" s="12" t="s">
        <v>132</v>
      </c>
      <c r="L92" s="12" t="s">
        <v>131</v>
      </c>
      <c r="M92" s="12" t="s">
        <v>130</v>
      </c>
      <c r="N92" s="12" t="s">
        <v>4092</v>
      </c>
      <c r="O92" s="12" t="s">
        <v>128</v>
      </c>
      <c r="P92" s="12" t="s">
        <v>72</v>
      </c>
      <c r="Q92" s="12" t="s">
        <v>5</v>
      </c>
      <c r="R92" s="12" t="s">
        <v>4</v>
      </c>
      <c r="S92" s="12" t="s">
        <v>3</v>
      </c>
      <c r="T92" s="12" t="s">
        <v>2</v>
      </c>
      <c r="U92" s="12" t="s">
        <v>1</v>
      </c>
      <c r="V92" s="12" t="s">
        <v>0</v>
      </c>
      <c r="W92" s="11">
        <v>22</v>
      </c>
      <c r="X92" s="10"/>
    </row>
    <row r="93" spans="1:24" s="9" customFormat="1" hidden="1" x14ac:dyDescent="0.25">
      <c r="A93" s="17">
        <v>317</v>
      </c>
      <c r="B93" s="17" t="s">
        <v>4091</v>
      </c>
      <c r="C93" s="16" t="s">
        <v>4090</v>
      </c>
      <c r="D93" s="15" t="s">
        <v>15</v>
      </c>
      <c r="E93" s="14" t="s">
        <v>301</v>
      </c>
      <c r="F93" s="13">
        <v>37725</v>
      </c>
      <c r="G93" s="13" t="s">
        <v>1</v>
      </c>
      <c r="H93" s="13" t="s">
        <v>1</v>
      </c>
      <c r="I93" s="12" t="s">
        <v>13</v>
      </c>
      <c r="J93" s="12" t="s">
        <v>133</v>
      </c>
      <c r="K93" s="12" t="s">
        <v>879</v>
      </c>
      <c r="L93" s="12" t="s">
        <v>879</v>
      </c>
      <c r="M93" s="12" t="s">
        <v>878</v>
      </c>
      <c r="N93" s="12" t="s">
        <v>198</v>
      </c>
      <c r="O93" s="12" t="s">
        <v>184</v>
      </c>
      <c r="P93" s="12" t="s">
        <v>72</v>
      </c>
      <c r="Q93" s="12" t="s">
        <v>20</v>
      </c>
      <c r="R93" s="12" t="s">
        <v>4</v>
      </c>
      <c r="S93" s="12" t="s">
        <v>3</v>
      </c>
      <c r="T93" s="12" t="s">
        <v>2</v>
      </c>
      <c r="U93" s="12" t="s">
        <v>1</v>
      </c>
      <c r="V93" s="12" t="s">
        <v>0</v>
      </c>
      <c r="W93" s="11">
        <v>43</v>
      </c>
      <c r="X93" s="10"/>
    </row>
    <row r="94" spans="1:24" hidden="1" x14ac:dyDescent="0.25">
      <c r="A94" s="8">
        <v>414</v>
      </c>
      <c r="B94" s="8" t="s">
        <v>4089</v>
      </c>
      <c r="C94" s="7" t="s">
        <v>4088</v>
      </c>
      <c r="D94" s="6" t="s">
        <v>15</v>
      </c>
      <c r="E94" s="5" t="s">
        <v>1379</v>
      </c>
      <c r="F94" s="4">
        <v>37739</v>
      </c>
      <c r="G94" s="4" t="s">
        <v>1</v>
      </c>
      <c r="H94" s="4" t="s">
        <v>1</v>
      </c>
      <c r="I94" s="3" t="s">
        <v>13</v>
      </c>
      <c r="J94" s="3" t="s">
        <v>133</v>
      </c>
      <c r="K94" s="3" t="s">
        <v>25</v>
      </c>
      <c r="L94" s="3" t="s">
        <v>24</v>
      </c>
      <c r="M94" s="3" t="s">
        <v>199</v>
      </c>
      <c r="N94" s="3" t="s">
        <v>3591</v>
      </c>
      <c r="O94" s="3" t="s">
        <v>1231</v>
      </c>
      <c r="P94" s="3" t="s">
        <v>6</v>
      </c>
      <c r="Q94" s="3" t="s">
        <v>5</v>
      </c>
      <c r="R94" s="3" t="s">
        <v>4</v>
      </c>
      <c r="S94" s="3" t="s">
        <v>3</v>
      </c>
      <c r="T94" s="3" t="s">
        <v>2</v>
      </c>
      <c r="U94" s="3" t="s">
        <v>1</v>
      </c>
      <c r="V94" s="3" t="s">
        <v>0</v>
      </c>
      <c r="W94" s="2">
        <v>42</v>
      </c>
    </row>
    <row r="95" spans="1:24" s="9" customFormat="1" hidden="1" x14ac:dyDescent="0.25">
      <c r="A95" s="17">
        <v>523</v>
      </c>
      <c r="B95" s="17" t="s">
        <v>4087</v>
      </c>
      <c r="C95" s="16" t="s">
        <v>4086</v>
      </c>
      <c r="D95" s="15" t="s">
        <v>15</v>
      </c>
      <c r="E95" s="14" t="s">
        <v>2123</v>
      </c>
      <c r="F95" s="13">
        <v>37767</v>
      </c>
      <c r="G95" s="13" t="s">
        <v>1</v>
      </c>
      <c r="H95" s="13" t="s">
        <v>1</v>
      </c>
      <c r="I95" s="12" t="s">
        <v>13</v>
      </c>
      <c r="J95" s="12" t="s">
        <v>133</v>
      </c>
      <c r="K95" s="12" t="s">
        <v>879</v>
      </c>
      <c r="L95" s="12" t="s">
        <v>879</v>
      </c>
      <c r="M95" s="12" t="s">
        <v>878</v>
      </c>
      <c r="N95" s="12" t="s">
        <v>1078</v>
      </c>
      <c r="O95" s="12" t="s">
        <v>29</v>
      </c>
      <c r="P95" s="12" t="s">
        <v>72</v>
      </c>
      <c r="Q95" s="12" t="s">
        <v>20</v>
      </c>
      <c r="R95" s="12" t="s">
        <v>4</v>
      </c>
      <c r="S95" s="12" t="s">
        <v>3</v>
      </c>
      <c r="T95" s="12" t="s">
        <v>1077</v>
      </c>
      <c r="U95" s="12" t="s">
        <v>1</v>
      </c>
      <c r="V95" s="12" t="s">
        <v>0</v>
      </c>
      <c r="W95" s="11">
        <v>40</v>
      </c>
      <c r="X95" s="10"/>
    </row>
    <row r="96" spans="1:24" hidden="1" x14ac:dyDescent="0.25">
      <c r="A96" s="8">
        <v>424</v>
      </c>
      <c r="B96" s="8" t="s">
        <v>4085</v>
      </c>
      <c r="C96" s="7" t="s">
        <v>4084</v>
      </c>
      <c r="D96" s="6" t="s">
        <v>15</v>
      </c>
      <c r="E96" s="5" t="s">
        <v>1379</v>
      </c>
      <c r="F96" s="4">
        <v>37739</v>
      </c>
      <c r="G96" s="4" t="s">
        <v>1</v>
      </c>
      <c r="H96" s="4" t="s">
        <v>1</v>
      </c>
      <c r="I96" s="3" t="s">
        <v>145</v>
      </c>
      <c r="J96" s="3" t="s">
        <v>34</v>
      </c>
      <c r="K96" s="3" t="s">
        <v>33</v>
      </c>
      <c r="L96" s="3" t="s">
        <v>33</v>
      </c>
      <c r="M96" s="3" t="s">
        <v>1094</v>
      </c>
      <c r="N96" s="3" t="s">
        <v>1503</v>
      </c>
      <c r="O96" s="3" t="s">
        <v>1094</v>
      </c>
      <c r="P96" s="3" t="s">
        <v>6</v>
      </c>
      <c r="Q96" s="3" t="s">
        <v>47</v>
      </c>
      <c r="R96" s="3" t="s">
        <v>4</v>
      </c>
      <c r="S96" s="3" t="s">
        <v>3</v>
      </c>
      <c r="T96" s="3" t="s">
        <v>2</v>
      </c>
      <c r="U96" s="3" t="s">
        <v>1</v>
      </c>
      <c r="V96" s="3" t="s">
        <v>0</v>
      </c>
      <c r="W96" s="2">
        <v>42</v>
      </c>
    </row>
    <row r="97" spans="1:24" s="78" customFormat="1" hidden="1" x14ac:dyDescent="0.25">
      <c r="A97" s="73">
        <v>430</v>
      </c>
      <c r="B97" s="73" t="s">
        <v>4083</v>
      </c>
      <c r="C97" s="87" t="s">
        <v>4082</v>
      </c>
      <c r="D97" s="88" t="s">
        <v>15</v>
      </c>
      <c r="E97" s="89" t="s">
        <v>1379</v>
      </c>
      <c r="F97" s="90">
        <v>37739</v>
      </c>
      <c r="G97" s="90" t="s">
        <v>1</v>
      </c>
      <c r="H97" s="90" t="s">
        <v>1</v>
      </c>
      <c r="I97" s="91" t="s">
        <v>93</v>
      </c>
      <c r="J97" s="89" t="s">
        <v>92</v>
      </c>
      <c r="K97" s="91" t="s">
        <v>33</v>
      </c>
      <c r="L97" s="91" t="s">
        <v>33</v>
      </c>
      <c r="M97" s="91" t="s">
        <v>1739</v>
      </c>
      <c r="N97" s="89" t="s">
        <v>4081</v>
      </c>
      <c r="O97" s="89" t="s">
        <v>1050</v>
      </c>
      <c r="P97" s="89" t="s">
        <v>30</v>
      </c>
      <c r="Q97" s="89" t="s">
        <v>47</v>
      </c>
      <c r="R97" s="92" t="s">
        <v>4</v>
      </c>
      <c r="S97" s="92" t="s">
        <v>3</v>
      </c>
      <c r="T97" s="92" t="s">
        <v>121</v>
      </c>
      <c r="U97" s="92" t="s">
        <v>1</v>
      </c>
      <c r="V97" s="92" t="s">
        <v>0</v>
      </c>
      <c r="W97" s="93">
        <v>40</v>
      </c>
    </row>
    <row r="98" spans="1:24" hidden="1" x14ac:dyDescent="0.25">
      <c r="A98" s="8">
        <v>439</v>
      </c>
      <c r="B98" s="8" t="s">
        <v>4080</v>
      </c>
      <c r="C98" s="7" t="s">
        <v>4079</v>
      </c>
      <c r="D98" s="6" t="s">
        <v>15</v>
      </c>
      <c r="E98" s="5" t="s">
        <v>3275</v>
      </c>
      <c r="F98" s="4">
        <v>37746</v>
      </c>
      <c r="G98" s="4" t="s">
        <v>1</v>
      </c>
      <c r="H98" s="4" t="s">
        <v>1</v>
      </c>
      <c r="I98" s="3" t="s">
        <v>13</v>
      </c>
      <c r="J98" s="3" t="s">
        <v>133</v>
      </c>
      <c r="K98" s="3" t="s">
        <v>262</v>
      </c>
      <c r="L98" s="3" t="s">
        <v>262</v>
      </c>
      <c r="M98" s="3" t="s">
        <v>277</v>
      </c>
      <c r="N98" s="3" t="s">
        <v>3777</v>
      </c>
      <c r="O98" s="3" t="s">
        <v>128</v>
      </c>
      <c r="P98" s="3" t="s">
        <v>6</v>
      </c>
      <c r="Q98" s="3" t="s">
        <v>5</v>
      </c>
      <c r="R98" s="3" t="s">
        <v>4</v>
      </c>
      <c r="S98" s="3" t="s">
        <v>3</v>
      </c>
      <c r="T98" s="3" t="s">
        <v>2</v>
      </c>
      <c r="U98" s="3" t="s">
        <v>1</v>
      </c>
      <c r="V98" s="3" t="s">
        <v>0</v>
      </c>
      <c r="W98" s="2">
        <v>42</v>
      </c>
    </row>
    <row r="99" spans="1:24" s="9" customFormat="1" hidden="1" x14ac:dyDescent="0.25">
      <c r="A99" s="17">
        <v>616</v>
      </c>
      <c r="B99" s="17" t="s">
        <v>4078</v>
      </c>
      <c r="C99" s="16" t="s">
        <v>4077</v>
      </c>
      <c r="D99" s="15" t="s">
        <v>15</v>
      </c>
      <c r="E99" s="14" t="s">
        <v>97</v>
      </c>
      <c r="F99" s="13">
        <v>37781</v>
      </c>
      <c r="G99" s="13" t="s">
        <v>1</v>
      </c>
      <c r="H99" s="13" t="s">
        <v>1</v>
      </c>
      <c r="I99" s="12" t="s">
        <v>13</v>
      </c>
      <c r="J99" s="12" t="s">
        <v>133</v>
      </c>
      <c r="K99" s="12" t="s">
        <v>879</v>
      </c>
      <c r="L99" s="12" t="s">
        <v>879</v>
      </c>
      <c r="M99" s="12" t="s">
        <v>878</v>
      </c>
      <c r="N99" s="12" t="s">
        <v>185</v>
      </c>
      <c r="O99" s="12" t="s">
        <v>184</v>
      </c>
      <c r="P99" s="12" t="s">
        <v>72</v>
      </c>
      <c r="Q99" s="12" t="s">
        <v>20</v>
      </c>
      <c r="R99" s="12" t="s">
        <v>4</v>
      </c>
      <c r="S99" s="12" t="s">
        <v>3</v>
      </c>
      <c r="T99" s="12" t="s">
        <v>2</v>
      </c>
      <c r="U99" s="12" t="s">
        <v>1</v>
      </c>
      <c r="V99" s="12" t="s">
        <v>0</v>
      </c>
      <c r="W99" s="11">
        <v>40</v>
      </c>
      <c r="X99" s="10"/>
    </row>
    <row r="100" spans="1:24" hidden="1" x14ac:dyDescent="0.25">
      <c r="A100" s="8">
        <v>453</v>
      </c>
      <c r="B100" s="8" t="s">
        <v>4076</v>
      </c>
      <c r="C100" s="7" t="s">
        <v>4075</v>
      </c>
      <c r="D100" s="6" t="s">
        <v>15</v>
      </c>
      <c r="E100" s="5" t="s">
        <v>3275</v>
      </c>
      <c r="F100" s="4">
        <v>37746</v>
      </c>
      <c r="G100" s="4" t="s">
        <v>1</v>
      </c>
      <c r="H100" s="4" t="s">
        <v>1</v>
      </c>
      <c r="I100" s="3" t="s">
        <v>13</v>
      </c>
      <c r="J100" s="3" t="s">
        <v>12</v>
      </c>
      <c r="K100" s="3" t="s">
        <v>63</v>
      </c>
      <c r="L100" s="3" t="s">
        <v>460</v>
      </c>
      <c r="M100" s="3" t="s">
        <v>459</v>
      </c>
      <c r="N100" s="3" t="s">
        <v>4074</v>
      </c>
      <c r="O100" s="3" t="s">
        <v>258</v>
      </c>
      <c r="P100" s="3" t="s">
        <v>6</v>
      </c>
      <c r="Q100" s="3" t="s">
        <v>5</v>
      </c>
      <c r="R100" s="3" t="s">
        <v>4</v>
      </c>
      <c r="S100" s="3" t="s">
        <v>3</v>
      </c>
      <c r="T100" s="3" t="s">
        <v>2</v>
      </c>
      <c r="U100" s="3" t="s">
        <v>1</v>
      </c>
      <c r="V100" s="3" t="s">
        <v>0</v>
      </c>
      <c r="W100" s="2">
        <v>42</v>
      </c>
    </row>
    <row r="101" spans="1:24" hidden="1" x14ac:dyDescent="0.25">
      <c r="A101" s="8">
        <v>454</v>
      </c>
      <c r="B101" s="8" t="s">
        <v>4073</v>
      </c>
      <c r="C101" s="7" t="s">
        <v>4072</v>
      </c>
      <c r="D101" s="6" t="s">
        <v>15</v>
      </c>
      <c r="E101" s="5" t="s">
        <v>3275</v>
      </c>
      <c r="F101" s="4">
        <v>37746</v>
      </c>
      <c r="G101" s="4" t="s">
        <v>1</v>
      </c>
      <c r="H101" s="4" t="s">
        <v>1</v>
      </c>
      <c r="I101" s="3" t="s">
        <v>13</v>
      </c>
      <c r="J101" s="3" t="s">
        <v>133</v>
      </c>
      <c r="K101" s="3" t="s">
        <v>262</v>
      </c>
      <c r="L101" s="3" t="s">
        <v>262</v>
      </c>
      <c r="M101" s="3" t="s">
        <v>277</v>
      </c>
      <c r="N101" s="3" t="s">
        <v>198</v>
      </c>
      <c r="O101" s="3" t="s">
        <v>184</v>
      </c>
      <c r="P101" s="3" t="s">
        <v>6</v>
      </c>
      <c r="Q101" s="3" t="s">
        <v>20</v>
      </c>
      <c r="R101" s="3" t="s">
        <v>4</v>
      </c>
      <c r="S101" s="3" t="s">
        <v>3</v>
      </c>
      <c r="T101" s="3" t="s">
        <v>2</v>
      </c>
      <c r="U101" s="3" t="s">
        <v>1</v>
      </c>
      <c r="V101" s="3" t="s">
        <v>0</v>
      </c>
      <c r="W101" s="2">
        <v>42</v>
      </c>
      <c r="X101" s="10">
        <v>45313</v>
      </c>
    </row>
    <row r="102" spans="1:24" hidden="1" x14ac:dyDescent="0.25">
      <c r="A102" s="8">
        <v>466</v>
      </c>
      <c r="B102" s="8" t="s">
        <v>4071</v>
      </c>
      <c r="C102" s="7" t="s">
        <v>4070</v>
      </c>
      <c r="D102" s="6" t="s">
        <v>15</v>
      </c>
      <c r="E102" s="5" t="s">
        <v>3249</v>
      </c>
      <c r="F102" s="4">
        <v>37760</v>
      </c>
      <c r="G102" s="4" t="s">
        <v>1</v>
      </c>
      <c r="H102" s="4" t="s">
        <v>1</v>
      </c>
      <c r="I102" s="3" t="s">
        <v>13</v>
      </c>
      <c r="J102" s="3" t="s">
        <v>133</v>
      </c>
      <c r="K102" s="3" t="s">
        <v>25</v>
      </c>
      <c r="L102" s="3" t="s">
        <v>24</v>
      </c>
      <c r="M102" s="3" t="s">
        <v>199</v>
      </c>
      <c r="N102" s="3" t="s">
        <v>3578</v>
      </c>
      <c r="O102" s="3" t="s">
        <v>128</v>
      </c>
      <c r="P102" s="3" t="s">
        <v>6</v>
      </c>
      <c r="Q102" s="3" t="s">
        <v>5</v>
      </c>
      <c r="R102" s="3" t="s">
        <v>4</v>
      </c>
      <c r="S102" s="3" t="s">
        <v>3</v>
      </c>
      <c r="T102" s="3" t="s">
        <v>2</v>
      </c>
      <c r="U102" s="3" t="s">
        <v>1</v>
      </c>
      <c r="V102" s="3" t="s">
        <v>0</v>
      </c>
      <c r="W102" s="2">
        <v>42</v>
      </c>
      <c r="X102" s="20">
        <v>45313</v>
      </c>
    </row>
    <row r="103" spans="1:24" hidden="1" x14ac:dyDescent="0.25">
      <c r="A103" s="8">
        <v>468</v>
      </c>
      <c r="B103" s="8" t="s">
        <v>4069</v>
      </c>
      <c r="C103" s="7" t="s">
        <v>4068</v>
      </c>
      <c r="D103" s="6" t="s">
        <v>15</v>
      </c>
      <c r="E103" s="5" t="s">
        <v>3249</v>
      </c>
      <c r="F103" s="4">
        <v>37760</v>
      </c>
      <c r="G103" s="4" t="s">
        <v>1</v>
      </c>
      <c r="H103" s="4" t="s">
        <v>1</v>
      </c>
      <c r="I103" s="3" t="s">
        <v>13</v>
      </c>
      <c r="J103" s="3" t="s">
        <v>133</v>
      </c>
      <c r="K103" s="3" t="s">
        <v>879</v>
      </c>
      <c r="L103" s="3" t="s">
        <v>879</v>
      </c>
      <c r="M103" s="3" t="s">
        <v>878</v>
      </c>
      <c r="N103" s="3" t="s">
        <v>198</v>
      </c>
      <c r="O103" s="3" t="s">
        <v>184</v>
      </c>
      <c r="P103" s="3" t="s">
        <v>6</v>
      </c>
      <c r="Q103" s="3" t="s">
        <v>20</v>
      </c>
      <c r="R103" s="3" t="s">
        <v>4</v>
      </c>
      <c r="S103" s="3" t="s">
        <v>3</v>
      </c>
      <c r="T103" s="3" t="s">
        <v>2</v>
      </c>
      <c r="U103" s="3" t="s">
        <v>1</v>
      </c>
      <c r="V103" s="3" t="s">
        <v>0</v>
      </c>
      <c r="W103" s="2">
        <v>42</v>
      </c>
    </row>
    <row r="104" spans="1:24" s="78" customFormat="1" hidden="1" x14ac:dyDescent="0.25">
      <c r="A104" s="73">
        <v>814</v>
      </c>
      <c r="B104" s="73" t="s">
        <v>4067</v>
      </c>
      <c r="C104" s="87" t="s">
        <v>4066</v>
      </c>
      <c r="D104" s="88" t="s">
        <v>15</v>
      </c>
      <c r="E104" s="89" t="s">
        <v>793</v>
      </c>
      <c r="F104" s="90">
        <v>37837</v>
      </c>
      <c r="G104" s="90" t="s">
        <v>1</v>
      </c>
      <c r="H104" s="90" t="s">
        <v>1</v>
      </c>
      <c r="I104" s="92" t="s">
        <v>13</v>
      </c>
      <c r="J104" s="92" t="s">
        <v>133</v>
      </c>
      <c r="K104" s="92" t="s">
        <v>879</v>
      </c>
      <c r="L104" s="92" t="s">
        <v>879</v>
      </c>
      <c r="M104" s="92" t="s">
        <v>878</v>
      </c>
      <c r="N104" s="92" t="s">
        <v>4065</v>
      </c>
      <c r="O104" s="92" t="s">
        <v>1726</v>
      </c>
      <c r="P104" s="92" t="s">
        <v>72</v>
      </c>
      <c r="Q104" s="92" t="s">
        <v>5</v>
      </c>
      <c r="R104" s="92" t="s">
        <v>4</v>
      </c>
      <c r="S104" s="92" t="s">
        <v>3</v>
      </c>
      <c r="T104" s="92" t="s">
        <v>2</v>
      </c>
      <c r="U104" s="92" t="s">
        <v>1</v>
      </c>
      <c r="V104" s="92" t="s">
        <v>0</v>
      </c>
      <c r="W104" s="93">
        <v>40</v>
      </c>
    </row>
    <row r="105" spans="1:24" s="78" customFormat="1" hidden="1" x14ac:dyDescent="0.25">
      <c r="A105" s="73">
        <v>4521</v>
      </c>
      <c r="B105" s="73" t="s">
        <v>4064</v>
      </c>
      <c r="C105" s="119" t="s">
        <v>4063</v>
      </c>
      <c r="D105" s="88" t="s">
        <v>15</v>
      </c>
      <c r="E105" s="73" t="s">
        <v>3462</v>
      </c>
      <c r="F105" s="90">
        <v>38789</v>
      </c>
      <c r="G105" s="90" t="s">
        <v>1</v>
      </c>
      <c r="H105" s="90" t="s">
        <v>1</v>
      </c>
      <c r="I105" s="92" t="s">
        <v>13</v>
      </c>
      <c r="J105" s="92" t="s">
        <v>133</v>
      </c>
      <c r="K105" s="92" t="s">
        <v>879</v>
      </c>
      <c r="L105" s="92" t="s">
        <v>879</v>
      </c>
      <c r="M105" s="92" t="s">
        <v>878</v>
      </c>
      <c r="N105" s="92" t="s">
        <v>1712</v>
      </c>
      <c r="O105" s="92" t="s">
        <v>128</v>
      </c>
      <c r="P105" s="92" t="s">
        <v>72</v>
      </c>
      <c r="Q105" s="92" t="s">
        <v>5</v>
      </c>
      <c r="R105" s="92" t="s">
        <v>4</v>
      </c>
      <c r="S105" s="92" t="s">
        <v>3</v>
      </c>
      <c r="T105" s="92" t="s">
        <v>2</v>
      </c>
      <c r="U105" s="92" t="s">
        <v>1</v>
      </c>
      <c r="V105" s="92" t="s">
        <v>0</v>
      </c>
      <c r="W105" s="93">
        <v>39</v>
      </c>
    </row>
    <row r="106" spans="1:24" hidden="1" x14ac:dyDescent="0.25">
      <c r="A106" s="8">
        <v>508</v>
      </c>
      <c r="B106" s="8" t="s">
        <v>4062</v>
      </c>
      <c r="C106" s="7" t="s">
        <v>4061</v>
      </c>
      <c r="D106" s="6" t="s">
        <v>15</v>
      </c>
      <c r="E106" s="5" t="s">
        <v>3249</v>
      </c>
      <c r="F106" s="4">
        <v>37760</v>
      </c>
      <c r="G106" s="4" t="s">
        <v>1</v>
      </c>
      <c r="H106" s="4" t="s">
        <v>1</v>
      </c>
      <c r="I106" s="5" t="s">
        <v>50</v>
      </c>
      <c r="J106" s="5" t="s">
        <v>49</v>
      </c>
      <c r="K106" s="5" t="s">
        <v>33</v>
      </c>
      <c r="L106" s="5" t="s">
        <v>33</v>
      </c>
      <c r="M106" s="5" t="s">
        <v>49</v>
      </c>
      <c r="N106" s="5" t="s">
        <v>29</v>
      </c>
      <c r="O106" s="5" t="s">
        <v>48</v>
      </c>
      <c r="P106" s="18" t="s">
        <v>72</v>
      </c>
      <c r="Q106" s="5" t="s">
        <v>47</v>
      </c>
      <c r="R106" s="3" t="s">
        <v>4</v>
      </c>
      <c r="S106" s="3" t="s">
        <v>3</v>
      </c>
      <c r="T106" s="3" t="s">
        <v>29</v>
      </c>
      <c r="U106" s="3" t="s">
        <v>1</v>
      </c>
      <c r="V106" s="3" t="s">
        <v>18</v>
      </c>
      <c r="W106" s="2">
        <v>41</v>
      </c>
      <c r="X106" s="20"/>
    </row>
    <row r="107" spans="1:24" hidden="1" x14ac:dyDescent="0.25">
      <c r="A107" s="8">
        <v>509</v>
      </c>
      <c r="B107" s="8" t="s">
        <v>4060</v>
      </c>
      <c r="C107" s="7" t="s">
        <v>4059</v>
      </c>
      <c r="D107" s="6" t="s">
        <v>15</v>
      </c>
      <c r="E107" s="5" t="s">
        <v>3249</v>
      </c>
      <c r="F107" s="4">
        <v>37760</v>
      </c>
      <c r="G107" s="4" t="s">
        <v>1</v>
      </c>
      <c r="H107" s="4" t="s">
        <v>1</v>
      </c>
      <c r="I107" s="5" t="s">
        <v>50</v>
      </c>
      <c r="J107" s="5" t="s">
        <v>75</v>
      </c>
      <c r="K107" s="5" t="s">
        <v>33</v>
      </c>
      <c r="L107" s="5" t="s">
        <v>33</v>
      </c>
      <c r="M107" s="5" t="s">
        <v>75</v>
      </c>
      <c r="N107" s="21" t="s">
        <v>74</v>
      </c>
      <c r="O107" s="5" t="s">
        <v>73</v>
      </c>
      <c r="P107" s="5" t="s">
        <v>6</v>
      </c>
      <c r="Q107" s="5" t="s">
        <v>47</v>
      </c>
      <c r="R107" s="3" t="s">
        <v>4</v>
      </c>
      <c r="S107" s="3" t="s">
        <v>3</v>
      </c>
      <c r="T107" s="3" t="s">
        <v>2</v>
      </c>
      <c r="U107" s="3" t="s">
        <v>1</v>
      </c>
      <c r="V107" s="3" t="s">
        <v>18</v>
      </c>
      <c r="W107" s="2">
        <v>42</v>
      </c>
    </row>
    <row r="108" spans="1:24" s="78" customFormat="1" hidden="1" x14ac:dyDescent="0.25">
      <c r="A108" s="73">
        <v>515</v>
      </c>
      <c r="B108" s="73" t="s">
        <v>4058</v>
      </c>
      <c r="C108" s="87" t="s">
        <v>4057</v>
      </c>
      <c r="D108" s="88" t="s">
        <v>15</v>
      </c>
      <c r="E108" s="89" t="s">
        <v>2123</v>
      </c>
      <c r="F108" s="90">
        <v>37767</v>
      </c>
      <c r="G108" s="90" t="s">
        <v>1</v>
      </c>
      <c r="H108" s="90" t="s">
        <v>1</v>
      </c>
      <c r="I108" s="89" t="s">
        <v>384</v>
      </c>
      <c r="J108" s="89" t="s">
        <v>2827</v>
      </c>
      <c r="K108" s="89" t="s">
        <v>33</v>
      </c>
      <c r="L108" s="89" t="s">
        <v>33</v>
      </c>
      <c r="M108" s="89" t="s">
        <v>2827</v>
      </c>
      <c r="N108" s="89" t="s">
        <v>2826</v>
      </c>
      <c r="O108" s="89" t="s">
        <v>2825</v>
      </c>
      <c r="P108" s="89" t="s">
        <v>30</v>
      </c>
      <c r="Q108" s="89" t="s">
        <v>47</v>
      </c>
      <c r="R108" s="92" t="s">
        <v>4</v>
      </c>
      <c r="S108" s="92" t="s">
        <v>3</v>
      </c>
      <c r="T108" s="92" t="s">
        <v>121</v>
      </c>
      <c r="U108" s="92" t="s">
        <v>1</v>
      </c>
      <c r="V108" s="92" t="s">
        <v>0</v>
      </c>
      <c r="W108" s="93">
        <v>40</v>
      </c>
    </row>
    <row r="109" spans="1:24" s="78" customFormat="1" hidden="1" x14ac:dyDescent="0.25">
      <c r="A109" s="73">
        <v>5462</v>
      </c>
      <c r="B109" s="73" t="s">
        <v>4056</v>
      </c>
      <c r="C109" s="87" t="s">
        <v>3192</v>
      </c>
      <c r="D109" s="88" t="s">
        <v>15</v>
      </c>
      <c r="E109" s="89" t="s">
        <v>44</v>
      </c>
      <c r="F109" s="90">
        <v>38991</v>
      </c>
      <c r="G109" s="90" t="s">
        <v>1</v>
      </c>
      <c r="H109" s="90" t="s">
        <v>1</v>
      </c>
      <c r="I109" s="92" t="s">
        <v>13</v>
      </c>
      <c r="J109" s="92" t="s">
        <v>133</v>
      </c>
      <c r="K109" s="92" t="s">
        <v>879</v>
      </c>
      <c r="L109" s="92" t="s">
        <v>879</v>
      </c>
      <c r="M109" s="92" t="s">
        <v>878</v>
      </c>
      <c r="N109" s="92" t="s">
        <v>198</v>
      </c>
      <c r="O109" s="92" t="s">
        <v>184</v>
      </c>
      <c r="P109" s="92" t="s">
        <v>72</v>
      </c>
      <c r="Q109" s="92" t="s">
        <v>20</v>
      </c>
      <c r="R109" s="92" t="s">
        <v>4</v>
      </c>
      <c r="S109" s="92" t="s">
        <v>3</v>
      </c>
      <c r="T109" s="92" t="s">
        <v>2</v>
      </c>
      <c r="U109" s="92" t="s">
        <v>1</v>
      </c>
      <c r="V109" s="92" t="s">
        <v>0</v>
      </c>
      <c r="W109" s="93">
        <v>41</v>
      </c>
    </row>
    <row r="110" spans="1:24" s="78" customFormat="1" hidden="1" x14ac:dyDescent="0.25">
      <c r="A110" s="73">
        <v>5705</v>
      </c>
      <c r="B110" s="73" t="s">
        <v>4055</v>
      </c>
      <c r="C110" s="87" t="s">
        <v>4054</v>
      </c>
      <c r="D110" s="88" t="s">
        <v>15</v>
      </c>
      <c r="E110" s="89" t="s">
        <v>527</v>
      </c>
      <c r="F110" s="90">
        <v>39098</v>
      </c>
      <c r="G110" s="90" t="s">
        <v>1</v>
      </c>
      <c r="H110" s="90" t="s">
        <v>1</v>
      </c>
      <c r="I110" s="92" t="s">
        <v>13</v>
      </c>
      <c r="J110" s="92" t="s">
        <v>133</v>
      </c>
      <c r="K110" s="92" t="s">
        <v>879</v>
      </c>
      <c r="L110" s="92" t="s">
        <v>879</v>
      </c>
      <c r="M110" s="92" t="s">
        <v>878</v>
      </c>
      <c r="N110" s="92" t="s">
        <v>4053</v>
      </c>
      <c r="O110" s="92" t="s">
        <v>128</v>
      </c>
      <c r="P110" s="92" t="s">
        <v>72</v>
      </c>
      <c r="Q110" s="92" t="s">
        <v>5</v>
      </c>
      <c r="R110" s="92" t="s">
        <v>4</v>
      </c>
      <c r="S110" s="92" t="s">
        <v>3</v>
      </c>
      <c r="T110" s="92" t="s">
        <v>2</v>
      </c>
      <c r="U110" s="92" t="s">
        <v>1</v>
      </c>
      <c r="V110" s="92" t="s">
        <v>0</v>
      </c>
      <c r="W110" s="93">
        <v>38</v>
      </c>
    </row>
    <row r="111" spans="1:24" hidden="1" x14ac:dyDescent="0.25">
      <c r="A111" s="8">
        <v>530</v>
      </c>
      <c r="B111" s="8" t="s">
        <v>4052</v>
      </c>
      <c r="C111" s="7" t="s">
        <v>4051</v>
      </c>
      <c r="D111" s="6" t="s">
        <v>15</v>
      </c>
      <c r="E111" s="5" t="s">
        <v>2123</v>
      </c>
      <c r="F111" s="4">
        <v>37767</v>
      </c>
      <c r="G111" s="4" t="s">
        <v>1</v>
      </c>
      <c r="H111" s="4" t="s">
        <v>1</v>
      </c>
      <c r="I111" s="3" t="s">
        <v>13</v>
      </c>
      <c r="J111" s="3" t="s">
        <v>12</v>
      </c>
      <c r="K111" s="3" t="s">
        <v>539</v>
      </c>
      <c r="L111" s="3" t="s">
        <v>538</v>
      </c>
      <c r="M111" s="3" t="s">
        <v>537</v>
      </c>
      <c r="N111" s="3" t="s">
        <v>1637</v>
      </c>
      <c r="O111" s="3" t="s">
        <v>1637</v>
      </c>
      <c r="P111" s="3" t="s">
        <v>6</v>
      </c>
      <c r="Q111" s="3" t="s">
        <v>20</v>
      </c>
      <c r="R111" s="3" t="s">
        <v>4</v>
      </c>
      <c r="S111" s="3" t="s">
        <v>3</v>
      </c>
      <c r="T111" s="3" t="s">
        <v>2</v>
      </c>
      <c r="U111" s="3" t="s">
        <v>1</v>
      </c>
      <c r="V111" s="3" t="s">
        <v>0</v>
      </c>
      <c r="W111" s="2">
        <v>41</v>
      </c>
    </row>
    <row r="112" spans="1:24" s="78" customFormat="1" hidden="1" x14ac:dyDescent="0.25">
      <c r="A112" s="73">
        <v>541</v>
      </c>
      <c r="B112" s="73" t="s">
        <v>4050</v>
      </c>
      <c r="C112" s="87" t="s">
        <v>4049</v>
      </c>
      <c r="D112" s="88" t="s">
        <v>15</v>
      </c>
      <c r="E112" s="89" t="s">
        <v>2123</v>
      </c>
      <c r="F112" s="90">
        <v>37767</v>
      </c>
      <c r="G112" s="90" t="s">
        <v>1</v>
      </c>
      <c r="H112" s="90" t="s">
        <v>1</v>
      </c>
      <c r="I112" s="92" t="s">
        <v>384</v>
      </c>
      <c r="J112" s="92" t="s">
        <v>2383</v>
      </c>
      <c r="K112" s="92" t="s">
        <v>33</v>
      </c>
      <c r="L112" s="92" t="s">
        <v>33</v>
      </c>
      <c r="M112" s="92" t="s">
        <v>2383</v>
      </c>
      <c r="N112" s="92" t="s">
        <v>1708</v>
      </c>
      <c r="O112" s="92" t="s">
        <v>387</v>
      </c>
      <c r="P112" s="92" t="s">
        <v>30</v>
      </c>
      <c r="Q112" s="92" t="s">
        <v>47</v>
      </c>
      <c r="R112" s="92" t="s">
        <v>4</v>
      </c>
      <c r="S112" s="92" t="s">
        <v>3</v>
      </c>
      <c r="T112" s="92" t="s">
        <v>2</v>
      </c>
      <c r="U112" s="92" t="s">
        <v>1</v>
      </c>
      <c r="V112" s="92" t="s">
        <v>0</v>
      </c>
      <c r="W112" s="93">
        <v>41</v>
      </c>
    </row>
    <row r="113" spans="1:24" hidden="1" x14ac:dyDescent="0.25">
      <c r="A113" s="8">
        <v>552</v>
      </c>
      <c r="B113" s="8" t="s">
        <v>4048</v>
      </c>
      <c r="C113" s="7" t="s">
        <v>4047</v>
      </c>
      <c r="D113" s="6" t="s">
        <v>15</v>
      </c>
      <c r="E113" s="5" t="s">
        <v>2123</v>
      </c>
      <c r="F113" s="4">
        <v>37767</v>
      </c>
      <c r="G113" s="4" t="s">
        <v>1</v>
      </c>
      <c r="H113" s="4" t="s">
        <v>1</v>
      </c>
      <c r="I113" s="18" t="s">
        <v>93</v>
      </c>
      <c r="J113" s="5" t="s">
        <v>92</v>
      </c>
      <c r="K113" s="18" t="s">
        <v>33</v>
      </c>
      <c r="L113" s="18" t="s">
        <v>33</v>
      </c>
      <c r="M113" s="5" t="s">
        <v>91</v>
      </c>
      <c r="N113" s="3" t="s">
        <v>90</v>
      </c>
      <c r="O113" s="3" t="s">
        <v>89</v>
      </c>
      <c r="P113" s="3" t="s">
        <v>6</v>
      </c>
      <c r="Q113" s="3" t="s">
        <v>20</v>
      </c>
      <c r="R113" s="3" t="s">
        <v>4</v>
      </c>
      <c r="S113" s="3" t="s">
        <v>3</v>
      </c>
      <c r="T113" s="3" t="s">
        <v>88</v>
      </c>
      <c r="U113" s="3" t="s">
        <v>1</v>
      </c>
      <c r="V113" s="3" t="s">
        <v>18</v>
      </c>
      <c r="W113" s="2">
        <v>42</v>
      </c>
    </row>
    <row r="114" spans="1:24" hidden="1" x14ac:dyDescent="0.25">
      <c r="A114" s="8">
        <v>5733</v>
      </c>
      <c r="B114" s="8" t="s">
        <v>4046</v>
      </c>
      <c r="C114" s="7" t="s">
        <v>3141</v>
      </c>
      <c r="D114" s="6" t="s">
        <v>15</v>
      </c>
      <c r="E114" s="5" t="s">
        <v>527</v>
      </c>
      <c r="F114" s="4">
        <v>39098</v>
      </c>
      <c r="G114" s="4" t="s">
        <v>1</v>
      </c>
      <c r="H114" s="4" t="s">
        <v>1</v>
      </c>
      <c r="I114" s="3" t="s">
        <v>13</v>
      </c>
      <c r="J114" s="3" t="s">
        <v>133</v>
      </c>
      <c r="K114" s="3" t="s">
        <v>879</v>
      </c>
      <c r="L114" s="3" t="s">
        <v>879</v>
      </c>
      <c r="M114" s="3" t="s">
        <v>878</v>
      </c>
      <c r="N114" s="3" t="s">
        <v>2844</v>
      </c>
      <c r="O114" s="3" t="s">
        <v>128</v>
      </c>
      <c r="P114" s="3" t="s">
        <v>72</v>
      </c>
      <c r="Q114" s="3" t="s">
        <v>5</v>
      </c>
      <c r="R114" s="3" t="s">
        <v>4</v>
      </c>
      <c r="S114" s="3" t="s">
        <v>3</v>
      </c>
      <c r="T114" s="3" t="s">
        <v>2</v>
      </c>
      <c r="U114" s="3" t="s">
        <v>1</v>
      </c>
      <c r="V114" s="3" t="s">
        <v>0</v>
      </c>
      <c r="W114" s="2">
        <v>41</v>
      </c>
    </row>
    <row r="115" spans="1:24" hidden="1" x14ac:dyDescent="0.25">
      <c r="A115" s="8">
        <v>574</v>
      </c>
      <c r="B115" s="8" t="s">
        <v>4045</v>
      </c>
      <c r="C115" s="7" t="s">
        <v>4044</v>
      </c>
      <c r="D115" s="6" t="s">
        <v>15</v>
      </c>
      <c r="E115" s="5" t="s">
        <v>3261</v>
      </c>
      <c r="F115" s="4">
        <v>37774</v>
      </c>
      <c r="G115" s="4" t="s">
        <v>1</v>
      </c>
      <c r="H115" s="4" t="s">
        <v>1</v>
      </c>
      <c r="I115" s="3" t="s">
        <v>13</v>
      </c>
      <c r="J115" s="3" t="s">
        <v>34</v>
      </c>
      <c r="K115" s="3" t="s">
        <v>33</v>
      </c>
      <c r="L115" s="3" t="s">
        <v>33</v>
      </c>
      <c r="M115" s="3" t="s">
        <v>102</v>
      </c>
      <c r="N115" s="3" t="s">
        <v>40</v>
      </c>
      <c r="O115" s="3" t="s">
        <v>39</v>
      </c>
      <c r="P115" s="3" t="s">
        <v>6</v>
      </c>
      <c r="Q115" s="3" t="s">
        <v>20</v>
      </c>
      <c r="R115" s="3" t="s">
        <v>4</v>
      </c>
      <c r="S115" s="3" t="s">
        <v>3</v>
      </c>
      <c r="T115" s="3" t="s">
        <v>38</v>
      </c>
      <c r="U115" s="3" t="s">
        <v>1</v>
      </c>
      <c r="V115" s="3" t="s">
        <v>0</v>
      </c>
      <c r="W115" s="2">
        <v>41</v>
      </c>
    </row>
    <row r="116" spans="1:24" s="9" customFormat="1" hidden="1" x14ac:dyDescent="0.25">
      <c r="A116" s="17">
        <v>581</v>
      </c>
      <c r="B116" s="17" t="s">
        <v>4043</v>
      </c>
      <c r="C116" s="24" t="s">
        <v>4042</v>
      </c>
      <c r="D116" s="15" t="s">
        <v>15</v>
      </c>
      <c r="E116" s="22" t="s">
        <v>3261</v>
      </c>
      <c r="F116" s="13">
        <v>37774</v>
      </c>
      <c r="G116" s="13" t="s">
        <v>1</v>
      </c>
      <c r="H116" s="13" t="s">
        <v>1</v>
      </c>
      <c r="I116" s="12" t="s">
        <v>145</v>
      </c>
      <c r="J116" s="12" t="s">
        <v>12</v>
      </c>
      <c r="K116" s="12" t="s">
        <v>11</v>
      </c>
      <c r="L116" s="12" t="s">
        <v>10</v>
      </c>
      <c r="M116" s="12" t="s">
        <v>9</v>
      </c>
      <c r="N116" s="12" t="s">
        <v>2218</v>
      </c>
      <c r="O116" s="12" t="s">
        <v>2217</v>
      </c>
      <c r="P116" s="12" t="s">
        <v>72</v>
      </c>
      <c r="Q116" s="12" t="s">
        <v>20</v>
      </c>
      <c r="R116" s="12" t="s">
        <v>4</v>
      </c>
      <c r="S116" s="12" t="s">
        <v>3</v>
      </c>
      <c r="T116" s="12" t="s">
        <v>29</v>
      </c>
      <c r="U116" s="12" t="s">
        <v>1</v>
      </c>
      <c r="V116" s="12" t="s">
        <v>0</v>
      </c>
      <c r="W116" s="11">
        <v>41</v>
      </c>
      <c r="X116" s="49"/>
    </row>
    <row r="117" spans="1:24" hidden="1" x14ac:dyDescent="0.25">
      <c r="A117" s="8">
        <v>585</v>
      </c>
      <c r="B117" s="8" t="s">
        <v>4041</v>
      </c>
      <c r="C117" s="7" t="s">
        <v>4040</v>
      </c>
      <c r="D117" s="6" t="s">
        <v>15</v>
      </c>
      <c r="E117" s="5" t="s">
        <v>3261</v>
      </c>
      <c r="F117" s="4">
        <v>37774</v>
      </c>
      <c r="G117" s="4" t="s">
        <v>1</v>
      </c>
      <c r="H117" s="4" t="s">
        <v>1</v>
      </c>
      <c r="I117" s="5" t="s">
        <v>50</v>
      </c>
      <c r="J117" s="5" t="s">
        <v>49</v>
      </c>
      <c r="K117" s="5" t="s">
        <v>33</v>
      </c>
      <c r="L117" s="5" t="s">
        <v>33</v>
      </c>
      <c r="M117" s="5" t="s">
        <v>49</v>
      </c>
      <c r="N117" s="5" t="s">
        <v>49</v>
      </c>
      <c r="O117" s="5" t="s">
        <v>48</v>
      </c>
      <c r="P117" s="5" t="s">
        <v>6</v>
      </c>
      <c r="Q117" s="5" t="s">
        <v>47</v>
      </c>
      <c r="R117" s="3" t="s">
        <v>4</v>
      </c>
      <c r="S117" s="3" t="s">
        <v>3</v>
      </c>
      <c r="T117" s="3" t="s">
        <v>2</v>
      </c>
      <c r="U117" s="3" t="s">
        <v>1</v>
      </c>
      <c r="V117" s="3" t="s">
        <v>18</v>
      </c>
      <c r="W117" s="2">
        <v>41</v>
      </c>
    </row>
    <row r="118" spans="1:24" s="78" customFormat="1" hidden="1" x14ac:dyDescent="0.25">
      <c r="A118" s="73">
        <v>586</v>
      </c>
      <c r="B118" s="73" t="s">
        <v>4039</v>
      </c>
      <c r="C118" s="95" t="s">
        <v>4038</v>
      </c>
      <c r="D118" s="88" t="s">
        <v>15</v>
      </c>
      <c r="E118" s="89" t="s">
        <v>3261</v>
      </c>
      <c r="F118" s="90">
        <v>37774</v>
      </c>
      <c r="G118" s="90" t="s">
        <v>1</v>
      </c>
      <c r="H118" s="90" t="s">
        <v>1</v>
      </c>
      <c r="I118" s="89" t="s">
        <v>365</v>
      </c>
      <c r="J118" s="89" t="s">
        <v>918</v>
      </c>
      <c r="K118" s="89" t="s">
        <v>33</v>
      </c>
      <c r="L118" s="89" t="s">
        <v>33</v>
      </c>
      <c r="M118" s="89" t="s">
        <v>918</v>
      </c>
      <c r="N118" s="89" t="s">
        <v>348</v>
      </c>
      <c r="O118" s="89" t="s">
        <v>347</v>
      </c>
      <c r="P118" s="89" t="s">
        <v>30</v>
      </c>
      <c r="Q118" s="89" t="s">
        <v>121</v>
      </c>
      <c r="R118" s="92" t="s">
        <v>4</v>
      </c>
      <c r="S118" s="92" t="s">
        <v>3</v>
      </c>
      <c r="T118" s="92" t="s">
        <v>38</v>
      </c>
      <c r="U118" s="92" t="s">
        <v>1</v>
      </c>
      <c r="V118" s="92" t="s">
        <v>18</v>
      </c>
      <c r="W118" s="93">
        <v>42</v>
      </c>
    </row>
    <row r="119" spans="1:24" s="9" customFormat="1" hidden="1" x14ac:dyDescent="0.25">
      <c r="A119" s="17">
        <v>587</v>
      </c>
      <c r="B119" s="17" t="s">
        <v>4037</v>
      </c>
      <c r="C119" s="16" t="s">
        <v>4036</v>
      </c>
      <c r="D119" s="15" t="s">
        <v>15</v>
      </c>
      <c r="E119" s="14" t="s">
        <v>4027</v>
      </c>
      <c r="F119" s="13">
        <v>37774</v>
      </c>
      <c r="G119" s="13" t="s">
        <v>1</v>
      </c>
      <c r="H119" s="13" t="s">
        <v>1</v>
      </c>
      <c r="I119" s="14" t="s">
        <v>50</v>
      </c>
      <c r="J119" s="14" t="s">
        <v>734</v>
      </c>
      <c r="K119" s="14" t="s">
        <v>33</v>
      </c>
      <c r="L119" s="14" t="s">
        <v>33</v>
      </c>
      <c r="M119" s="14" t="s">
        <v>734</v>
      </c>
      <c r="N119" s="14" t="s">
        <v>4035</v>
      </c>
      <c r="O119" s="14" t="s">
        <v>734</v>
      </c>
      <c r="P119" s="22" t="s">
        <v>30</v>
      </c>
      <c r="Q119" s="14" t="s">
        <v>47</v>
      </c>
      <c r="R119" s="12" t="s">
        <v>4</v>
      </c>
      <c r="S119" s="12" t="s">
        <v>3</v>
      </c>
      <c r="T119" s="12" t="s">
        <v>121</v>
      </c>
      <c r="U119" s="12" t="s">
        <v>1</v>
      </c>
      <c r="V119" s="12" t="s">
        <v>0</v>
      </c>
      <c r="W119" s="11">
        <v>41</v>
      </c>
      <c r="X119" s="10"/>
    </row>
    <row r="120" spans="1:24" s="78" customFormat="1" hidden="1" x14ac:dyDescent="0.25">
      <c r="A120" s="73">
        <v>589</v>
      </c>
      <c r="B120" s="73" t="s">
        <v>4034</v>
      </c>
      <c r="C120" s="87" t="s">
        <v>4033</v>
      </c>
      <c r="D120" s="88" t="s">
        <v>15</v>
      </c>
      <c r="E120" s="89" t="s">
        <v>4027</v>
      </c>
      <c r="F120" s="90">
        <v>37774</v>
      </c>
      <c r="G120" s="90" t="s">
        <v>1</v>
      </c>
      <c r="H120" s="90" t="s">
        <v>1</v>
      </c>
      <c r="I120" s="92" t="s">
        <v>145</v>
      </c>
      <c r="J120" s="92" t="s">
        <v>34</v>
      </c>
      <c r="K120" s="92" t="s">
        <v>33</v>
      </c>
      <c r="L120" s="92" t="s">
        <v>33</v>
      </c>
      <c r="M120" s="92" t="s">
        <v>144</v>
      </c>
      <c r="N120" s="92" t="s">
        <v>241</v>
      </c>
      <c r="O120" s="92" t="s">
        <v>142</v>
      </c>
      <c r="P120" s="92" t="s">
        <v>30</v>
      </c>
      <c r="Q120" s="92" t="s">
        <v>47</v>
      </c>
      <c r="R120" s="92" t="s">
        <v>4</v>
      </c>
      <c r="S120" s="92" t="s">
        <v>3</v>
      </c>
      <c r="T120" s="92" t="s">
        <v>121</v>
      </c>
      <c r="U120" s="92" t="s">
        <v>1</v>
      </c>
      <c r="V120" s="92" t="s">
        <v>0</v>
      </c>
      <c r="W120" s="93">
        <v>41</v>
      </c>
    </row>
    <row r="121" spans="1:24" s="9" customFormat="1" hidden="1" x14ac:dyDescent="0.25">
      <c r="A121" s="17">
        <v>591</v>
      </c>
      <c r="B121" s="17" t="s">
        <v>4032</v>
      </c>
      <c r="C121" s="43" t="s">
        <v>4031</v>
      </c>
      <c r="D121" s="15" t="s">
        <v>15</v>
      </c>
      <c r="E121" s="14" t="s">
        <v>4027</v>
      </c>
      <c r="F121" s="13">
        <v>37774</v>
      </c>
      <c r="G121" s="13" t="s">
        <v>1</v>
      </c>
      <c r="H121" s="13" t="s">
        <v>1</v>
      </c>
      <c r="I121" s="14" t="s">
        <v>365</v>
      </c>
      <c r="J121" s="14" t="s">
        <v>1142</v>
      </c>
      <c r="K121" s="14" t="s">
        <v>33</v>
      </c>
      <c r="L121" s="14" t="s">
        <v>33</v>
      </c>
      <c r="M121" s="14" t="s">
        <v>1142</v>
      </c>
      <c r="N121" s="14" t="s">
        <v>4030</v>
      </c>
      <c r="O121" s="14" t="s">
        <v>1142</v>
      </c>
      <c r="P121" s="14" t="s">
        <v>30</v>
      </c>
      <c r="Q121" s="14" t="s">
        <v>121</v>
      </c>
      <c r="R121" s="12" t="s">
        <v>4</v>
      </c>
      <c r="S121" s="12" t="s">
        <v>3</v>
      </c>
      <c r="T121" s="12" t="s">
        <v>121</v>
      </c>
      <c r="U121" s="12" t="s">
        <v>1</v>
      </c>
      <c r="V121" s="12" t="s">
        <v>0</v>
      </c>
      <c r="W121" s="11">
        <v>41</v>
      </c>
      <c r="X121" s="10"/>
    </row>
    <row r="122" spans="1:24" s="9" customFormat="1" hidden="1" x14ac:dyDescent="0.25">
      <c r="A122" s="17">
        <v>594</v>
      </c>
      <c r="B122" s="17" t="s">
        <v>4029</v>
      </c>
      <c r="C122" s="16" t="s">
        <v>4028</v>
      </c>
      <c r="D122" s="15" t="s">
        <v>15</v>
      </c>
      <c r="E122" s="14" t="s">
        <v>4027</v>
      </c>
      <c r="F122" s="13">
        <v>37774</v>
      </c>
      <c r="G122" s="13" t="s">
        <v>1</v>
      </c>
      <c r="H122" s="13" t="s">
        <v>1</v>
      </c>
      <c r="I122" s="14" t="s">
        <v>93</v>
      </c>
      <c r="J122" s="14" t="s">
        <v>466</v>
      </c>
      <c r="K122" s="14" t="s">
        <v>33</v>
      </c>
      <c r="L122" s="14" t="s">
        <v>33</v>
      </c>
      <c r="M122" s="14" t="s">
        <v>466</v>
      </c>
      <c r="N122" s="14" t="s">
        <v>4026</v>
      </c>
      <c r="O122" s="14" t="s">
        <v>464</v>
      </c>
      <c r="P122" s="14" t="s">
        <v>30</v>
      </c>
      <c r="Q122" s="14" t="s">
        <v>47</v>
      </c>
      <c r="R122" s="12" t="s">
        <v>4</v>
      </c>
      <c r="S122" s="12" t="s">
        <v>3</v>
      </c>
      <c r="T122" s="12" t="s">
        <v>121</v>
      </c>
      <c r="U122" s="12" t="s">
        <v>1</v>
      </c>
      <c r="V122" s="12" t="s">
        <v>0</v>
      </c>
      <c r="W122" s="11">
        <v>42</v>
      </c>
      <c r="X122" s="10"/>
    </row>
    <row r="123" spans="1:24" s="9" customFormat="1" hidden="1" x14ac:dyDescent="0.25">
      <c r="A123" s="17">
        <v>596</v>
      </c>
      <c r="B123" s="17" t="s">
        <v>4025</v>
      </c>
      <c r="C123" s="16" t="s">
        <v>4024</v>
      </c>
      <c r="D123" s="15" t="s">
        <v>15</v>
      </c>
      <c r="E123" s="14" t="s">
        <v>343</v>
      </c>
      <c r="F123" s="13">
        <v>37774</v>
      </c>
      <c r="G123" s="13" t="s">
        <v>1</v>
      </c>
      <c r="H123" s="13" t="s">
        <v>1</v>
      </c>
      <c r="I123" s="14" t="s">
        <v>93</v>
      </c>
      <c r="J123" s="14" t="s">
        <v>834</v>
      </c>
      <c r="K123" s="14" t="s">
        <v>33</v>
      </c>
      <c r="L123" s="14" t="s">
        <v>33</v>
      </c>
      <c r="M123" s="14" t="s">
        <v>4023</v>
      </c>
      <c r="N123" s="14" t="s">
        <v>3681</v>
      </c>
      <c r="O123" s="14" t="s">
        <v>624</v>
      </c>
      <c r="P123" s="14" t="s">
        <v>30</v>
      </c>
      <c r="Q123" s="14" t="s">
        <v>47</v>
      </c>
      <c r="R123" s="12" t="s">
        <v>4</v>
      </c>
      <c r="S123" s="12" t="s">
        <v>3</v>
      </c>
      <c r="T123" s="12" t="s">
        <v>3065</v>
      </c>
      <c r="U123" s="12" t="s">
        <v>1</v>
      </c>
      <c r="V123" s="12" t="s">
        <v>18</v>
      </c>
      <c r="W123" s="11">
        <v>44</v>
      </c>
      <c r="X123" s="10"/>
    </row>
    <row r="124" spans="1:24" s="9" customFormat="1" hidden="1" x14ac:dyDescent="0.25">
      <c r="A124" s="17">
        <v>602</v>
      </c>
      <c r="B124" s="17" t="s">
        <v>4022</v>
      </c>
      <c r="C124" s="16" t="s">
        <v>4021</v>
      </c>
      <c r="D124" s="15" t="s">
        <v>15</v>
      </c>
      <c r="E124" s="14" t="s">
        <v>343</v>
      </c>
      <c r="F124" s="13">
        <v>37774</v>
      </c>
      <c r="G124" s="13" t="s">
        <v>1</v>
      </c>
      <c r="H124" s="13" t="s">
        <v>1</v>
      </c>
      <c r="I124" s="14" t="s">
        <v>50</v>
      </c>
      <c r="J124" s="14" t="s">
        <v>1334</v>
      </c>
      <c r="K124" s="14" t="s">
        <v>33</v>
      </c>
      <c r="L124" s="14" t="s">
        <v>33</v>
      </c>
      <c r="M124" s="14" t="s">
        <v>1333</v>
      </c>
      <c r="N124" s="14" t="s">
        <v>939</v>
      </c>
      <c r="O124" s="14" t="s">
        <v>624</v>
      </c>
      <c r="P124" s="14" t="s">
        <v>30</v>
      </c>
      <c r="Q124" s="14" t="s">
        <v>47</v>
      </c>
      <c r="R124" s="12" t="s">
        <v>4</v>
      </c>
      <c r="S124" s="12" t="s">
        <v>3</v>
      </c>
      <c r="T124" s="12" t="s">
        <v>338</v>
      </c>
      <c r="U124" s="12" t="s">
        <v>1</v>
      </c>
      <c r="V124" s="12" t="s">
        <v>18</v>
      </c>
      <c r="W124" s="11">
        <v>44</v>
      </c>
      <c r="X124" s="63"/>
    </row>
    <row r="125" spans="1:24" s="78" customFormat="1" hidden="1" x14ac:dyDescent="0.25">
      <c r="A125" s="73">
        <v>10136</v>
      </c>
      <c r="B125" s="73" t="s">
        <v>4020</v>
      </c>
      <c r="C125" s="102" t="s">
        <v>4019</v>
      </c>
      <c r="D125" s="88" t="s">
        <v>15</v>
      </c>
      <c r="E125" s="91" t="s">
        <v>1034</v>
      </c>
      <c r="F125" s="90">
        <v>40444</v>
      </c>
      <c r="G125" s="90" t="s">
        <v>1</v>
      </c>
      <c r="H125" s="90" t="s">
        <v>1</v>
      </c>
      <c r="I125" s="92" t="s">
        <v>13</v>
      </c>
      <c r="J125" s="92" t="s">
        <v>133</v>
      </c>
      <c r="K125" s="92" t="s">
        <v>879</v>
      </c>
      <c r="L125" s="92" t="s">
        <v>879</v>
      </c>
      <c r="M125" s="92" t="s">
        <v>878</v>
      </c>
      <c r="N125" s="92" t="s">
        <v>198</v>
      </c>
      <c r="O125" s="92" t="s">
        <v>184</v>
      </c>
      <c r="P125" s="92" t="s">
        <v>72</v>
      </c>
      <c r="Q125" s="92" t="s">
        <v>20</v>
      </c>
      <c r="R125" s="92" t="s">
        <v>4</v>
      </c>
      <c r="S125" s="92" t="s">
        <v>3</v>
      </c>
      <c r="T125" s="92" t="s">
        <v>2</v>
      </c>
      <c r="U125" s="92" t="s">
        <v>1</v>
      </c>
      <c r="V125" s="92" t="s">
        <v>0</v>
      </c>
      <c r="W125" s="93">
        <v>32</v>
      </c>
    </row>
    <row r="126" spans="1:24" hidden="1" x14ac:dyDescent="0.25">
      <c r="A126" s="8">
        <v>609</v>
      </c>
      <c r="B126" s="8" t="s">
        <v>4018</v>
      </c>
      <c r="C126" s="7" t="s">
        <v>4017</v>
      </c>
      <c r="D126" s="6" t="s">
        <v>15</v>
      </c>
      <c r="E126" s="5" t="s">
        <v>97</v>
      </c>
      <c r="F126" s="4">
        <v>37781</v>
      </c>
      <c r="G126" s="4" t="s">
        <v>1</v>
      </c>
      <c r="H126" s="4" t="s">
        <v>1</v>
      </c>
      <c r="I126" s="3" t="s">
        <v>13</v>
      </c>
      <c r="J126" s="3" t="s">
        <v>133</v>
      </c>
      <c r="K126" s="3" t="s">
        <v>25</v>
      </c>
      <c r="L126" s="3" t="s">
        <v>24</v>
      </c>
      <c r="M126" s="3" t="s">
        <v>199</v>
      </c>
      <c r="N126" s="3" t="s">
        <v>3586</v>
      </c>
      <c r="O126" s="3" t="s">
        <v>128</v>
      </c>
      <c r="P126" s="3" t="s">
        <v>6</v>
      </c>
      <c r="Q126" s="3" t="s">
        <v>5</v>
      </c>
      <c r="R126" s="3" t="s">
        <v>4</v>
      </c>
      <c r="S126" s="3" t="s">
        <v>3</v>
      </c>
      <c r="T126" s="3" t="s">
        <v>2</v>
      </c>
      <c r="U126" s="3" t="s">
        <v>1</v>
      </c>
      <c r="V126" s="3" t="s">
        <v>0</v>
      </c>
      <c r="W126" s="2">
        <v>41</v>
      </c>
    </row>
    <row r="127" spans="1:24" hidden="1" x14ac:dyDescent="0.25">
      <c r="A127" s="8">
        <v>10248</v>
      </c>
      <c r="B127" s="8" t="s">
        <v>4016</v>
      </c>
      <c r="C127" s="7" t="s">
        <v>4015</v>
      </c>
      <c r="D127" s="6" t="s">
        <v>15</v>
      </c>
      <c r="E127" s="5" t="s">
        <v>2467</v>
      </c>
      <c r="F127" s="4">
        <v>40497</v>
      </c>
      <c r="G127" s="4" t="s">
        <v>1</v>
      </c>
      <c r="H127" s="4" t="s">
        <v>1</v>
      </c>
      <c r="I127" s="3" t="s">
        <v>13</v>
      </c>
      <c r="J127" s="3" t="s">
        <v>133</v>
      </c>
      <c r="K127" s="3" t="s">
        <v>879</v>
      </c>
      <c r="L127" s="3" t="s">
        <v>879</v>
      </c>
      <c r="M127" s="3" t="s">
        <v>878</v>
      </c>
      <c r="N127" s="3" t="s">
        <v>1717</v>
      </c>
      <c r="O127" s="3" t="s">
        <v>184</v>
      </c>
      <c r="P127" s="3" t="s">
        <v>72</v>
      </c>
      <c r="Q127" s="3" t="s">
        <v>20</v>
      </c>
      <c r="R127" s="3" t="s">
        <v>4</v>
      </c>
      <c r="S127" s="3" t="s">
        <v>3</v>
      </c>
      <c r="T127" s="3" t="s">
        <v>2</v>
      </c>
      <c r="U127" s="3" t="s">
        <v>1</v>
      </c>
      <c r="V127" s="3" t="s">
        <v>0</v>
      </c>
      <c r="W127" s="2">
        <v>31</v>
      </c>
    </row>
    <row r="128" spans="1:24" hidden="1" x14ac:dyDescent="0.25">
      <c r="A128" s="8">
        <v>10316</v>
      </c>
      <c r="B128" s="8" t="s">
        <v>4014</v>
      </c>
      <c r="C128" s="19" t="s">
        <v>4013</v>
      </c>
      <c r="D128" s="6" t="s">
        <v>15</v>
      </c>
      <c r="E128" s="18" t="s">
        <v>725</v>
      </c>
      <c r="F128" s="4">
        <v>40511</v>
      </c>
      <c r="G128" s="4" t="s">
        <v>1</v>
      </c>
      <c r="H128" s="4" t="s">
        <v>1</v>
      </c>
      <c r="I128" s="3" t="s">
        <v>13</v>
      </c>
      <c r="J128" s="3" t="s">
        <v>133</v>
      </c>
      <c r="K128" s="3" t="s">
        <v>879</v>
      </c>
      <c r="L128" s="3" t="s">
        <v>879</v>
      </c>
      <c r="M128" s="3" t="s">
        <v>878</v>
      </c>
      <c r="N128" s="3" t="s">
        <v>2955</v>
      </c>
      <c r="O128" s="3" t="s">
        <v>128</v>
      </c>
      <c r="P128" s="3" t="s">
        <v>72</v>
      </c>
      <c r="Q128" s="3" t="s">
        <v>5</v>
      </c>
      <c r="R128" s="3" t="s">
        <v>4</v>
      </c>
      <c r="S128" s="3" t="s">
        <v>3</v>
      </c>
      <c r="T128" s="3" t="s">
        <v>2</v>
      </c>
      <c r="U128" s="3" t="s">
        <v>1</v>
      </c>
      <c r="V128" s="3" t="s">
        <v>0</v>
      </c>
      <c r="W128" s="2">
        <v>32</v>
      </c>
    </row>
    <row r="129" spans="1:24" hidden="1" x14ac:dyDescent="0.25">
      <c r="A129" s="8">
        <v>10319</v>
      </c>
      <c r="B129" s="8" t="s">
        <v>4012</v>
      </c>
      <c r="C129" s="7" t="s">
        <v>4011</v>
      </c>
      <c r="D129" s="6" t="s">
        <v>15</v>
      </c>
      <c r="E129" s="5" t="s">
        <v>725</v>
      </c>
      <c r="F129" s="4">
        <v>40511</v>
      </c>
      <c r="G129" s="4" t="s">
        <v>1</v>
      </c>
      <c r="H129" s="4" t="s">
        <v>1</v>
      </c>
      <c r="I129" s="3" t="s">
        <v>13</v>
      </c>
      <c r="J129" s="3" t="s">
        <v>133</v>
      </c>
      <c r="K129" s="3" t="s">
        <v>879</v>
      </c>
      <c r="L129" s="3" t="s">
        <v>879</v>
      </c>
      <c r="M129" s="3" t="s">
        <v>878</v>
      </c>
      <c r="N129" s="3" t="s">
        <v>198</v>
      </c>
      <c r="O129" s="3" t="s">
        <v>184</v>
      </c>
      <c r="P129" s="3" t="s">
        <v>72</v>
      </c>
      <c r="Q129" s="3" t="s">
        <v>20</v>
      </c>
      <c r="R129" s="3" t="s">
        <v>4</v>
      </c>
      <c r="S129" s="3" t="s">
        <v>3</v>
      </c>
      <c r="T129" s="3" t="s">
        <v>2</v>
      </c>
      <c r="U129" s="3" t="s">
        <v>1</v>
      </c>
      <c r="V129" s="3" t="s">
        <v>0</v>
      </c>
      <c r="W129" s="2">
        <v>33</v>
      </c>
    </row>
    <row r="130" spans="1:24" hidden="1" x14ac:dyDescent="0.25">
      <c r="A130" s="8">
        <v>10390</v>
      </c>
      <c r="B130" s="8" t="s">
        <v>4010</v>
      </c>
      <c r="C130" s="7" t="s">
        <v>4009</v>
      </c>
      <c r="D130" s="6" t="s">
        <v>15</v>
      </c>
      <c r="E130" s="5" t="s">
        <v>1644</v>
      </c>
      <c r="F130" s="4">
        <v>40513</v>
      </c>
      <c r="G130" s="4" t="s">
        <v>1</v>
      </c>
      <c r="H130" s="4" t="s">
        <v>1</v>
      </c>
      <c r="I130" s="3" t="s">
        <v>13</v>
      </c>
      <c r="J130" s="3" t="s">
        <v>133</v>
      </c>
      <c r="K130" s="3" t="s">
        <v>879</v>
      </c>
      <c r="L130" s="3" t="s">
        <v>879</v>
      </c>
      <c r="M130" s="3" t="s">
        <v>878</v>
      </c>
      <c r="N130" s="3" t="s">
        <v>3850</v>
      </c>
      <c r="O130" s="3" t="s">
        <v>128</v>
      </c>
      <c r="P130" s="3" t="s">
        <v>72</v>
      </c>
      <c r="Q130" s="3" t="s">
        <v>5</v>
      </c>
      <c r="R130" s="3" t="s">
        <v>4</v>
      </c>
      <c r="S130" s="3" t="s">
        <v>3</v>
      </c>
      <c r="T130" s="3" t="s">
        <v>2</v>
      </c>
      <c r="U130" s="3" t="s">
        <v>1</v>
      </c>
      <c r="V130" s="3" t="s">
        <v>0</v>
      </c>
      <c r="W130" s="2">
        <v>34</v>
      </c>
    </row>
    <row r="131" spans="1:24" hidden="1" x14ac:dyDescent="0.25">
      <c r="A131" s="8">
        <v>14896</v>
      </c>
      <c r="B131" s="8" t="s">
        <v>4008</v>
      </c>
      <c r="C131" s="7" t="s">
        <v>4007</v>
      </c>
      <c r="D131" s="6" t="s">
        <v>15</v>
      </c>
      <c r="E131" s="5" t="s">
        <v>2973</v>
      </c>
      <c r="F131" s="4">
        <v>41407</v>
      </c>
      <c r="G131" s="4" t="s">
        <v>1</v>
      </c>
      <c r="H131" s="4" t="s">
        <v>1</v>
      </c>
      <c r="I131" s="3" t="s">
        <v>13</v>
      </c>
      <c r="J131" s="3" t="s">
        <v>133</v>
      </c>
      <c r="K131" s="3" t="s">
        <v>879</v>
      </c>
      <c r="L131" s="3" t="s">
        <v>879</v>
      </c>
      <c r="M131" s="3" t="s">
        <v>878</v>
      </c>
      <c r="N131" s="3" t="s">
        <v>4006</v>
      </c>
      <c r="O131" s="3" t="s">
        <v>184</v>
      </c>
      <c r="P131" s="3" t="s">
        <v>72</v>
      </c>
      <c r="Q131" s="3" t="s">
        <v>20</v>
      </c>
      <c r="R131" s="3" t="s">
        <v>4</v>
      </c>
      <c r="S131" s="3" t="s">
        <v>3</v>
      </c>
      <c r="T131" s="3" t="s">
        <v>2</v>
      </c>
      <c r="U131" s="3" t="s">
        <v>1</v>
      </c>
      <c r="V131" s="3" t="s">
        <v>18</v>
      </c>
      <c r="W131" s="2">
        <v>30</v>
      </c>
    </row>
    <row r="132" spans="1:24" hidden="1" x14ac:dyDescent="0.25">
      <c r="A132" s="8">
        <v>628</v>
      </c>
      <c r="B132" s="8" t="s">
        <v>4005</v>
      </c>
      <c r="C132" s="7" t="s">
        <v>4004</v>
      </c>
      <c r="D132" s="6" t="s">
        <v>15</v>
      </c>
      <c r="E132" s="5" t="s">
        <v>97</v>
      </c>
      <c r="F132" s="4">
        <v>37781</v>
      </c>
      <c r="G132" s="4" t="s">
        <v>1</v>
      </c>
      <c r="H132" s="4" t="s">
        <v>1</v>
      </c>
      <c r="I132" s="3" t="s">
        <v>145</v>
      </c>
      <c r="J132" s="3" t="s">
        <v>133</v>
      </c>
      <c r="K132" s="3" t="s">
        <v>879</v>
      </c>
      <c r="L132" s="3" t="s">
        <v>879</v>
      </c>
      <c r="M132" s="3" t="s">
        <v>878</v>
      </c>
      <c r="N132" s="3" t="s">
        <v>269</v>
      </c>
      <c r="O132" s="3" t="s">
        <v>29</v>
      </c>
      <c r="P132" s="3" t="s">
        <v>6</v>
      </c>
      <c r="Q132" s="3" t="s">
        <v>20</v>
      </c>
      <c r="R132" s="3" t="s">
        <v>4</v>
      </c>
      <c r="S132" s="3" t="s">
        <v>3</v>
      </c>
      <c r="T132" s="3" t="s">
        <v>29</v>
      </c>
      <c r="U132" s="3" t="s">
        <v>1</v>
      </c>
      <c r="V132" s="3" t="s">
        <v>0</v>
      </c>
      <c r="W132" s="2">
        <v>42</v>
      </c>
    </row>
    <row r="133" spans="1:24" hidden="1" x14ac:dyDescent="0.25">
      <c r="A133" s="8">
        <v>629</v>
      </c>
      <c r="B133" s="8" t="s">
        <v>4003</v>
      </c>
      <c r="C133" s="7" t="s">
        <v>4002</v>
      </c>
      <c r="D133" s="6" t="s">
        <v>15</v>
      </c>
      <c r="E133" s="5" t="s">
        <v>97</v>
      </c>
      <c r="F133" s="4">
        <v>37781</v>
      </c>
      <c r="G133" s="4" t="s">
        <v>1</v>
      </c>
      <c r="H133" s="4" t="s">
        <v>1</v>
      </c>
      <c r="I133" s="3" t="s">
        <v>13</v>
      </c>
      <c r="J133" s="3" t="s">
        <v>133</v>
      </c>
      <c r="K133" s="3" t="s">
        <v>187</v>
      </c>
      <c r="L133" s="3" t="s">
        <v>187</v>
      </c>
      <c r="M133" s="3" t="s">
        <v>186</v>
      </c>
      <c r="N133" s="3" t="s">
        <v>3861</v>
      </c>
      <c r="O133" s="3" t="s">
        <v>1231</v>
      </c>
      <c r="P133" s="3" t="s">
        <v>6</v>
      </c>
      <c r="Q133" s="3" t="s">
        <v>5</v>
      </c>
      <c r="R133" s="3" t="s">
        <v>4</v>
      </c>
      <c r="S133" s="3" t="s">
        <v>3</v>
      </c>
      <c r="T133" s="3" t="s">
        <v>2</v>
      </c>
      <c r="U133" s="3" t="s">
        <v>1</v>
      </c>
      <c r="V133" s="3" t="s">
        <v>0</v>
      </c>
      <c r="W133" s="2">
        <v>42</v>
      </c>
    </row>
    <row r="134" spans="1:24" hidden="1" x14ac:dyDescent="0.25">
      <c r="A134" s="8">
        <v>16561</v>
      </c>
      <c r="B134" s="8" t="s">
        <v>4001</v>
      </c>
      <c r="C134" s="7" t="s">
        <v>4000</v>
      </c>
      <c r="D134" s="6" t="s">
        <v>15</v>
      </c>
      <c r="E134" s="5" t="s">
        <v>3999</v>
      </c>
      <c r="F134" s="4">
        <v>41667</v>
      </c>
      <c r="G134" s="4" t="s">
        <v>1</v>
      </c>
      <c r="H134" s="4" t="s">
        <v>1</v>
      </c>
      <c r="I134" s="3" t="s">
        <v>13</v>
      </c>
      <c r="J134" s="3" t="s">
        <v>133</v>
      </c>
      <c r="K134" s="3" t="s">
        <v>879</v>
      </c>
      <c r="L134" s="3" t="s">
        <v>879</v>
      </c>
      <c r="M134" s="3" t="s">
        <v>878</v>
      </c>
      <c r="N134" s="3" t="s">
        <v>978</v>
      </c>
      <c r="O134" s="3" t="s">
        <v>128</v>
      </c>
      <c r="P134" s="3" t="s">
        <v>72</v>
      </c>
      <c r="Q134" s="3" t="s">
        <v>5</v>
      </c>
      <c r="R134" s="3" t="s">
        <v>4</v>
      </c>
      <c r="S134" s="3" t="s">
        <v>3</v>
      </c>
      <c r="T134" s="3" t="s">
        <v>2</v>
      </c>
      <c r="U134" s="3" t="s">
        <v>1</v>
      </c>
      <c r="V134" s="3" t="s">
        <v>18</v>
      </c>
      <c r="W134" s="2">
        <v>30</v>
      </c>
    </row>
    <row r="135" spans="1:24" hidden="1" x14ac:dyDescent="0.25">
      <c r="A135" s="8">
        <v>638</v>
      </c>
      <c r="B135" s="8" t="s">
        <v>3998</v>
      </c>
      <c r="C135" s="7" t="s">
        <v>3997</v>
      </c>
      <c r="D135" s="6" t="s">
        <v>15</v>
      </c>
      <c r="E135" s="5" t="s">
        <v>97</v>
      </c>
      <c r="F135" s="4">
        <v>37781</v>
      </c>
      <c r="G135" s="4" t="s">
        <v>1</v>
      </c>
      <c r="H135" s="4" t="s">
        <v>1</v>
      </c>
      <c r="I135" s="3" t="s">
        <v>13</v>
      </c>
      <c r="J135" s="3" t="s">
        <v>133</v>
      </c>
      <c r="K135" s="3" t="s">
        <v>11</v>
      </c>
      <c r="L135" s="3" t="s">
        <v>10</v>
      </c>
      <c r="M135" s="3" t="s">
        <v>290</v>
      </c>
      <c r="N135" s="3" t="s">
        <v>3996</v>
      </c>
      <c r="O135" s="3" t="s">
        <v>1231</v>
      </c>
      <c r="P135" s="3" t="s">
        <v>6</v>
      </c>
      <c r="Q135" s="3" t="s">
        <v>5</v>
      </c>
      <c r="R135" s="3" t="s">
        <v>4</v>
      </c>
      <c r="S135" s="3" t="s">
        <v>3</v>
      </c>
      <c r="T135" s="3" t="s">
        <v>2</v>
      </c>
      <c r="U135" s="3" t="s">
        <v>1</v>
      </c>
      <c r="V135" s="3" t="s">
        <v>0</v>
      </c>
      <c r="W135" s="2">
        <v>41</v>
      </c>
    </row>
    <row r="136" spans="1:24" hidden="1" x14ac:dyDescent="0.25">
      <c r="A136" s="8" t="s">
        <v>3995</v>
      </c>
      <c r="B136" s="8" t="s">
        <v>3995</v>
      </c>
      <c r="C136" s="7" t="s">
        <v>3994</v>
      </c>
      <c r="D136" s="6" t="s">
        <v>15</v>
      </c>
      <c r="E136" s="5" t="s">
        <v>82</v>
      </c>
      <c r="F136" s="4">
        <v>41435</v>
      </c>
      <c r="G136" s="4" t="s">
        <v>1</v>
      </c>
      <c r="H136" s="4" t="s">
        <v>1</v>
      </c>
      <c r="I136" s="3" t="s">
        <v>13</v>
      </c>
      <c r="J136" s="3" t="s">
        <v>133</v>
      </c>
      <c r="K136" s="3" t="s">
        <v>879</v>
      </c>
      <c r="L136" s="3" t="s">
        <v>879</v>
      </c>
      <c r="M136" s="3" t="s">
        <v>878</v>
      </c>
      <c r="N136" s="3" t="s">
        <v>198</v>
      </c>
      <c r="O136" s="3" t="s">
        <v>184</v>
      </c>
      <c r="P136" s="3" t="s">
        <v>72</v>
      </c>
      <c r="Q136" s="3" t="s">
        <v>20</v>
      </c>
      <c r="R136" s="3" t="s">
        <v>4</v>
      </c>
      <c r="S136" s="3" t="s">
        <v>3</v>
      </c>
      <c r="T136" s="3" t="s">
        <v>2</v>
      </c>
      <c r="U136" s="3" t="s">
        <v>1</v>
      </c>
      <c r="V136" s="3" t="s">
        <v>0</v>
      </c>
      <c r="W136" s="2">
        <v>28</v>
      </c>
    </row>
    <row r="137" spans="1:24" hidden="1" x14ac:dyDescent="0.25">
      <c r="A137" s="8">
        <v>53</v>
      </c>
      <c r="B137" s="8" t="s">
        <v>3993</v>
      </c>
      <c r="C137" s="7" t="s">
        <v>3992</v>
      </c>
      <c r="D137" s="6" t="s">
        <v>15</v>
      </c>
      <c r="E137" s="5" t="s">
        <v>310</v>
      </c>
      <c r="F137" s="4">
        <v>37578</v>
      </c>
      <c r="G137" s="4" t="s">
        <v>1</v>
      </c>
      <c r="H137" s="4" t="s">
        <v>1</v>
      </c>
      <c r="I137" s="3" t="s">
        <v>13</v>
      </c>
      <c r="J137" s="3" t="s">
        <v>133</v>
      </c>
      <c r="K137" s="3" t="s">
        <v>187</v>
      </c>
      <c r="L137" s="3" t="s">
        <v>187</v>
      </c>
      <c r="M137" s="3" t="s">
        <v>186</v>
      </c>
      <c r="N137" s="3" t="s">
        <v>1362</v>
      </c>
      <c r="O137" s="3" t="s">
        <v>39</v>
      </c>
      <c r="P137" s="3" t="s">
        <v>72</v>
      </c>
      <c r="Q137" s="3" t="s">
        <v>20</v>
      </c>
      <c r="R137" s="3" t="s">
        <v>4</v>
      </c>
      <c r="S137" s="3" t="s">
        <v>3</v>
      </c>
      <c r="T137" s="3" t="s">
        <v>1361</v>
      </c>
      <c r="U137" s="3" t="s">
        <v>1</v>
      </c>
      <c r="V137" s="3" t="s">
        <v>0</v>
      </c>
      <c r="W137" s="2">
        <v>40</v>
      </c>
    </row>
    <row r="138" spans="1:24" s="9" customFormat="1" hidden="1" x14ac:dyDescent="0.25">
      <c r="A138" s="17">
        <v>1105</v>
      </c>
      <c r="B138" s="17" t="s">
        <v>3991</v>
      </c>
      <c r="C138" s="16" t="s">
        <v>1365</v>
      </c>
      <c r="D138" s="15" t="s">
        <v>15</v>
      </c>
      <c r="E138" s="14" t="s">
        <v>56</v>
      </c>
      <c r="F138" s="13">
        <v>37887</v>
      </c>
      <c r="G138" s="13" t="s">
        <v>1</v>
      </c>
      <c r="H138" s="13" t="s">
        <v>1</v>
      </c>
      <c r="I138" s="12" t="s">
        <v>13</v>
      </c>
      <c r="J138" s="12" t="s">
        <v>133</v>
      </c>
      <c r="K138" s="12" t="s">
        <v>187</v>
      </c>
      <c r="L138" s="12" t="s">
        <v>187</v>
      </c>
      <c r="M138" s="12" t="s">
        <v>186</v>
      </c>
      <c r="N138" s="12" t="s">
        <v>1078</v>
      </c>
      <c r="O138" s="12" t="s">
        <v>29</v>
      </c>
      <c r="P138" s="12" t="s">
        <v>72</v>
      </c>
      <c r="Q138" s="12" t="s">
        <v>20</v>
      </c>
      <c r="R138" s="12" t="s">
        <v>4</v>
      </c>
      <c r="S138" s="12" t="s">
        <v>3</v>
      </c>
      <c r="T138" s="12" t="s">
        <v>1077</v>
      </c>
      <c r="U138" s="12" t="s">
        <v>1</v>
      </c>
      <c r="V138" s="12" t="s">
        <v>0</v>
      </c>
      <c r="W138" s="11">
        <v>40</v>
      </c>
      <c r="X138" s="10"/>
    </row>
    <row r="139" spans="1:24" s="78" customFormat="1" hidden="1" x14ac:dyDescent="0.25">
      <c r="A139" s="73">
        <v>702</v>
      </c>
      <c r="B139" s="73" t="s">
        <v>3990</v>
      </c>
      <c r="C139" s="87" t="s">
        <v>3989</v>
      </c>
      <c r="D139" s="88" t="s">
        <v>15</v>
      </c>
      <c r="E139" s="89" t="s">
        <v>343</v>
      </c>
      <c r="F139" s="90">
        <v>37802</v>
      </c>
      <c r="G139" s="90" t="s">
        <v>1</v>
      </c>
      <c r="H139" s="90" t="s">
        <v>1</v>
      </c>
      <c r="I139" s="91" t="s">
        <v>50</v>
      </c>
      <c r="J139" s="89" t="s">
        <v>370</v>
      </c>
      <c r="K139" s="91" t="s">
        <v>33</v>
      </c>
      <c r="L139" s="91" t="s">
        <v>33</v>
      </c>
      <c r="M139" s="89" t="s">
        <v>370</v>
      </c>
      <c r="N139" s="89" t="s">
        <v>939</v>
      </c>
      <c r="O139" s="89" t="s">
        <v>624</v>
      </c>
      <c r="P139" s="89" t="s">
        <v>30</v>
      </c>
      <c r="Q139" s="89" t="s">
        <v>47</v>
      </c>
      <c r="R139" s="92" t="s">
        <v>4</v>
      </c>
      <c r="S139" s="92" t="s">
        <v>3</v>
      </c>
      <c r="T139" s="92" t="s">
        <v>338</v>
      </c>
      <c r="U139" s="92" t="s">
        <v>1</v>
      </c>
      <c r="V139" s="92" t="s">
        <v>18</v>
      </c>
      <c r="W139" s="93">
        <v>46</v>
      </c>
      <c r="X139" s="94"/>
    </row>
    <row r="140" spans="1:24" hidden="1" x14ac:dyDescent="0.25">
      <c r="A140" s="8">
        <v>703</v>
      </c>
      <c r="B140" s="8" t="s">
        <v>3988</v>
      </c>
      <c r="C140" s="7" t="s">
        <v>3987</v>
      </c>
      <c r="D140" s="6" t="s">
        <v>15</v>
      </c>
      <c r="E140" s="5" t="s">
        <v>343</v>
      </c>
      <c r="F140" s="4">
        <v>37802</v>
      </c>
      <c r="G140" s="4" t="s">
        <v>1</v>
      </c>
      <c r="H140" s="4" t="s">
        <v>1</v>
      </c>
      <c r="I140" s="3" t="s">
        <v>145</v>
      </c>
      <c r="J140" s="3" t="s">
        <v>34</v>
      </c>
      <c r="K140" s="3" t="s">
        <v>33</v>
      </c>
      <c r="L140" s="3" t="s">
        <v>33</v>
      </c>
      <c r="M140" s="3" t="s">
        <v>3606</v>
      </c>
      <c r="N140" s="3" t="s">
        <v>3986</v>
      </c>
      <c r="O140" s="3" t="s">
        <v>624</v>
      </c>
      <c r="P140" s="3" t="s">
        <v>30</v>
      </c>
      <c r="Q140" s="3" t="s">
        <v>47</v>
      </c>
      <c r="R140" s="3" t="s">
        <v>4</v>
      </c>
      <c r="S140" s="3" t="s">
        <v>3</v>
      </c>
      <c r="T140" s="3" t="s">
        <v>3065</v>
      </c>
      <c r="U140" s="3" t="s">
        <v>1</v>
      </c>
      <c r="V140" s="3" t="s">
        <v>18</v>
      </c>
      <c r="W140" s="2">
        <v>45</v>
      </c>
    </row>
    <row r="141" spans="1:24" s="9" customFormat="1" hidden="1" x14ac:dyDescent="0.25">
      <c r="A141" s="17">
        <v>4531</v>
      </c>
      <c r="B141" s="17" t="s">
        <v>3985</v>
      </c>
      <c r="C141" s="16" t="s">
        <v>3984</v>
      </c>
      <c r="D141" s="15" t="s">
        <v>15</v>
      </c>
      <c r="E141" s="14" t="s">
        <v>3462</v>
      </c>
      <c r="F141" s="13">
        <v>38789</v>
      </c>
      <c r="G141" s="13" t="s">
        <v>1</v>
      </c>
      <c r="H141" s="13" t="s">
        <v>1</v>
      </c>
      <c r="I141" s="12" t="s">
        <v>13</v>
      </c>
      <c r="J141" s="12" t="s">
        <v>133</v>
      </c>
      <c r="K141" s="12" t="s">
        <v>187</v>
      </c>
      <c r="L141" s="12" t="s">
        <v>187</v>
      </c>
      <c r="M141" s="12" t="s">
        <v>186</v>
      </c>
      <c r="N141" s="12" t="s">
        <v>198</v>
      </c>
      <c r="O141" s="12" t="s">
        <v>184</v>
      </c>
      <c r="P141" s="12" t="s">
        <v>72</v>
      </c>
      <c r="Q141" s="12" t="s">
        <v>20</v>
      </c>
      <c r="R141" s="12" t="s">
        <v>4</v>
      </c>
      <c r="S141" s="12" t="s">
        <v>3</v>
      </c>
      <c r="T141" s="12" t="s">
        <v>2</v>
      </c>
      <c r="U141" s="12" t="s">
        <v>1</v>
      </c>
      <c r="V141" s="12" t="s">
        <v>0</v>
      </c>
      <c r="W141" s="11">
        <v>41</v>
      </c>
      <c r="X141" s="10"/>
    </row>
    <row r="142" spans="1:24" s="9" customFormat="1" hidden="1" x14ac:dyDescent="0.25">
      <c r="A142" s="17">
        <v>5248</v>
      </c>
      <c r="B142" s="17" t="s">
        <v>3983</v>
      </c>
      <c r="C142" s="16" t="s">
        <v>3982</v>
      </c>
      <c r="D142" s="15" t="s">
        <v>15</v>
      </c>
      <c r="E142" s="14" t="s">
        <v>1177</v>
      </c>
      <c r="F142" s="13">
        <v>38961</v>
      </c>
      <c r="G142" s="13" t="s">
        <v>1</v>
      </c>
      <c r="H142" s="13" t="s">
        <v>1</v>
      </c>
      <c r="I142" s="12" t="s">
        <v>13</v>
      </c>
      <c r="J142" s="12" t="s">
        <v>133</v>
      </c>
      <c r="K142" s="12" t="s">
        <v>187</v>
      </c>
      <c r="L142" s="12" t="s">
        <v>187</v>
      </c>
      <c r="M142" s="12" t="s">
        <v>186</v>
      </c>
      <c r="N142" s="12" t="s">
        <v>870</v>
      </c>
      <c r="O142" s="12" t="s">
        <v>21</v>
      </c>
      <c r="P142" s="12" t="s">
        <v>72</v>
      </c>
      <c r="Q142" s="12" t="s">
        <v>20</v>
      </c>
      <c r="R142" s="12" t="s">
        <v>4</v>
      </c>
      <c r="S142" s="12" t="s">
        <v>3</v>
      </c>
      <c r="T142" s="12" t="s">
        <v>2</v>
      </c>
      <c r="U142" s="12" t="s">
        <v>1</v>
      </c>
      <c r="V142" s="12" t="s">
        <v>0</v>
      </c>
      <c r="W142" s="11">
        <v>39</v>
      </c>
      <c r="X142" s="10"/>
    </row>
    <row r="143" spans="1:24" s="78" customFormat="1" hidden="1" x14ac:dyDescent="0.25">
      <c r="A143" s="73">
        <v>723</v>
      </c>
      <c r="B143" s="73" t="s">
        <v>3981</v>
      </c>
      <c r="C143" s="87" t="s">
        <v>3980</v>
      </c>
      <c r="D143" s="88" t="s">
        <v>15</v>
      </c>
      <c r="E143" s="89" t="s">
        <v>266</v>
      </c>
      <c r="F143" s="90">
        <v>37816</v>
      </c>
      <c r="G143" s="90" t="s">
        <v>1</v>
      </c>
      <c r="H143" s="90" t="s">
        <v>1</v>
      </c>
      <c r="I143" s="92" t="s">
        <v>145</v>
      </c>
      <c r="J143" s="92" t="s">
        <v>34</v>
      </c>
      <c r="K143" s="92" t="s">
        <v>33</v>
      </c>
      <c r="L143" s="92" t="s">
        <v>3669</v>
      </c>
      <c r="M143" s="92" t="s">
        <v>953</v>
      </c>
      <c r="N143" s="92" t="s">
        <v>952</v>
      </c>
      <c r="O143" s="92" t="s">
        <v>39</v>
      </c>
      <c r="P143" s="92" t="s">
        <v>72</v>
      </c>
      <c r="Q143" s="92" t="s">
        <v>20</v>
      </c>
      <c r="R143" s="92" t="s">
        <v>4</v>
      </c>
      <c r="S143" s="92" t="s">
        <v>3</v>
      </c>
      <c r="T143" s="92" t="s">
        <v>38</v>
      </c>
      <c r="U143" s="92" t="s">
        <v>1</v>
      </c>
      <c r="V143" s="92" t="s">
        <v>0</v>
      </c>
      <c r="W143" s="93">
        <v>41</v>
      </c>
    </row>
    <row r="144" spans="1:24" hidden="1" x14ac:dyDescent="0.25">
      <c r="A144" s="8">
        <v>724</v>
      </c>
      <c r="B144" s="8" t="s">
        <v>3979</v>
      </c>
      <c r="C144" s="7" t="s">
        <v>3978</v>
      </c>
      <c r="D144" s="6" t="s">
        <v>15</v>
      </c>
      <c r="E144" s="5" t="s">
        <v>266</v>
      </c>
      <c r="F144" s="4">
        <v>37816</v>
      </c>
      <c r="G144" s="4" t="s">
        <v>1</v>
      </c>
      <c r="H144" s="4" t="s">
        <v>1</v>
      </c>
      <c r="I144" s="3" t="s">
        <v>145</v>
      </c>
      <c r="J144" s="3" t="s">
        <v>12</v>
      </c>
      <c r="K144" s="3" t="s">
        <v>63</v>
      </c>
      <c r="L144" s="3" t="s">
        <v>460</v>
      </c>
      <c r="M144" s="3" t="s">
        <v>459</v>
      </c>
      <c r="N144" s="3" t="s">
        <v>269</v>
      </c>
      <c r="O144" s="3" t="s">
        <v>29</v>
      </c>
      <c r="P144" s="3" t="s">
        <v>6</v>
      </c>
      <c r="Q144" s="3" t="s">
        <v>20</v>
      </c>
      <c r="R144" s="3" t="s">
        <v>4</v>
      </c>
      <c r="S144" s="3" t="s">
        <v>3</v>
      </c>
      <c r="T144" s="3" t="s">
        <v>29</v>
      </c>
      <c r="U144" s="3" t="s">
        <v>1</v>
      </c>
      <c r="V144" s="3" t="s">
        <v>0</v>
      </c>
      <c r="W144" s="2">
        <v>41</v>
      </c>
    </row>
    <row r="145" spans="1:24" hidden="1" x14ac:dyDescent="0.25">
      <c r="A145" s="8">
        <v>725</v>
      </c>
      <c r="B145" s="8" t="s">
        <v>3977</v>
      </c>
      <c r="C145" s="7" t="s">
        <v>3976</v>
      </c>
      <c r="D145" s="6" t="s">
        <v>15</v>
      </c>
      <c r="E145" s="5" t="s">
        <v>266</v>
      </c>
      <c r="F145" s="4">
        <v>37816</v>
      </c>
      <c r="G145" s="4" t="s">
        <v>1</v>
      </c>
      <c r="H145" s="4" t="s">
        <v>1</v>
      </c>
      <c r="I145" s="3" t="s">
        <v>145</v>
      </c>
      <c r="J145" s="3" t="s">
        <v>12</v>
      </c>
      <c r="K145" s="3" t="s">
        <v>25</v>
      </c>
      <c r="L145" s="3" t="s">
        <v>24</v>
      </c>
      <c r="M145" s="3" t="s">
        <v>23</v>
      </c>
      <c r="N145" s="3" t="s">
        <v>269</v>
      </c>
      <c r="O145" s="3" t="s">
        <v>29</v>
      </c>
      <c r="P145" s="3" t="s">
        <v>6</v>
      </c>
      <c r="Q145" s="3" t="s">
        <v>20</v>
      </c>
      <c r="R145" s="3" t="s">
        <v>4</v>
      </c>
      <c r="S145" s="3" t="s">
        <v>3</v>
      </c>
      <c r="T145" s="3" t="s">
        <v>29</v>
      </c>
      <c r="U145" s="3" t="s">
        <v>1</v>
      </c>
      <c r="V145" s="3" t="s">
        <v>0</v>
      </c>
      <c r="W145" s="2">
        <v>41</v>
      </c>
    </row>
    <row r="146" spans="1:24" hidden="1" x14ac:dyDescent="0.25">
      <c r="A146" s="8">
        <v>5461</v>
      </c>
      <c r="B146" s="8" t="s">
        <v>3975</v>
      </c>
      <c r="C146" s="7" t="s">
        <v>3974</v>
      </c>
      <c r="D146" s="6" t="s">
        <v>15</v>
      </c>
      <c r="E146" s="5" t="s">
        <v>44</v>
      </c>
      <c r="F146" s="4">
        <v>38991</v>
      </c>
      <c r="G146" s="4" t="s">
        <v>1</v>
      </c>
      <c r="H146" s="4" t="s">
        <v>1</v>
      </c>
      <c r="I146" s="3" t="s">
        <v>13</v>
      </c>
      <c r="J146" s="3" t="s">
        <v>133</v>
      </c>
      <c r="K146" s="3" t="s">
        <v>187</v>
      </c>
      <c r="L146" s="3" t="s">
        <v>187</v>
      </c>
      <c r="M146" s="3" t="s">
        <v>186</v>
      </c>
      <c r="N146" s="3" t="s">
        <v>198</v>
      </c>
      <c r="O146" s="3" t="s">
        <v>184</v>
      </c>
      <c r="P146" s="3" t="s">
        <v>72</v>
      </c>
      <c r="Q146" s="3" t="s">
        <v>20</v>
      </c>
      <c r="R146" s="3" t="s">
        <v>4</v>
      </c>
      <c r="S146" s="3" t="s">
        <v>3</v>
      </c>
      <c r="T146" s="3" t="s">
        <v>2</v>
      </c>
      <c r="U146" s="3" t="s">
        <v>1</v>
      </c>
      <c r="V146" s="3" t="s">
        <v>0</v>
      </c>
      <c r="W146" s="2">
        <v>39</v>
      </c>
      <c r="X146" s="20"/>
    </row>
    <row r="147" spans="1:24" s="78" customFormat="1" hidden="1" x14ac:dyDescent="0.25">
      <c r="A147" s="73">
        <v>5698</v>
      </c>
      <c r="B147" s="73" t="s">
        <v>3973</v>
      </c>
      <c r="C147" s="102" t="s">
        <v>3972</v>
      </c>
      <c r="D147" s="88" t="s">
        <v>15</v>
      </c>
      <c r="E147" s="91" t="s">
        <v>527</v>
      </c>
      <c r="F147" s="90">
        <v>39098</v>
      </c>
      <c r="G147" s="90" t="s">
        <v>1</v>
      </c>
      <c r="H147" s="90" t="s">
        <v>1</v>
      </c>
      <c r="I147" s="92" t="s">
        <v>13</v>
      </c>
      <c r="J147" s="92" t="s">
        <v>133</v>
      </c>
      <c r="K147" s="92" t="s">
        <v>187</v>
      </c>
      <c r="L147" s="92" t="s">
        <v>187</v>
      </c>
      <c r="M147" s="92" t="s">
        <v>186</v>
      </c>
      <c r="N147" s="92" t="s">
        <v>2200</v>
      </c>
      <c r="O147" s="92" t="s">
        <v>453</v>
      </c>
      <c r="P147" s="92" t="s">
        <v>72</v>
      </c>
      <c r="Q147" s="92" t="s">
        <v>5</v>
      </c>
      <c r="R147" s="92" t="s">
        <v>4</v>
      </c>
      <c r="S147" s="92" t="s">
        <v>3</v>
      </c>
      <c r="T147" s="92" t="s">
        <v>2</v>
      </c>
      <c r="U147" s="92" t="s">
        <v>1</v>
      </c>
      <c r="V147" s="92" t="s">
        <v>18</v>
      </c>
      <c r="W147" s="93">
        <v>41</v>
      </c>
      <c r="X147" s="94"/>
    </row>
    <row r="148" spans="1:24" hidden="1" x14ac:dyDescent="0.25">
      <c r="A148" s="8">
        <v>5713</v>
      </c>
      <c r="B148" s="8" t="s">
        <v>3971</v>
      </c>
      <c r="C148" s="7" t="s">
        <v>3970</v>
      </c>
      <c r="D148" s="6" t="s">
        <v>15</v>
      </c>
      <c r="E148" s="5" t="s">
        <v>527</v>
      </c>
      <c r="F148" s="4">
        <v>39098</v>
      </c>
      <c r="G148" s="4" t="s">
        <v>1</v>
      </c>
      <c r="H148" s="4" t="s">
        <v>1</v>
      </c>
      <c r="I148" s="3" t="s">
        <v>13</v>
      </c>
      <c r="J148" s="3" t="s">
        <v>133</v>
      </c>
      <c r="K148" s="3" t="s">
        <v>187</v>
      </c>
      <c r="L148" s="3" t="s">
        <v>187</v>
      </c>
      <c r="M148" s="3" t="s">
        <v>186</v>
      </c>
      <c r="N148" s="3" t="s">
        <v>3969</v>
      </c>
      <c r="O148" s="3" t="s">
        <v>453</v>
      </c>
      <c r="P148" s="3" t="s">
        <v>72</v>
      </c>
      <c r="Q148" s="3" t="s">
        <v>5</v>
      </c>
      <c r="R148" s="3" t="s">
        <v>4</v>
      </c>
      <c r="S148" s="3" t="s">
        <v>3</v>
      </c>
      <c r="T148" s="3" t="s">
        <v>2</v>
      </c>
      <c r="U148" s="3" t="s">
        <v>1</v>
      </c>
      <c r="V148" s="3" t="s">
        <v>0</v>
      </c>
      <c r="W148" s="2">
        <v>37</v>
      </c>
      <c r="X148" s="20"/>
    </row>
    <row r="149" spans="1:24" hidden="1" x14ac:dyDescent="0.25">
      <c r="A149" s="8">
        <v>5888</v>
      </c>
      <c r="B149" s="8" t="s">
        <v>3968</v>
      </c>
      <c r="C149" s="7" t="s">
        <v>3967</v>
      </c>
      <c r="D149" s="6" t="s">
        <v>15</v>
      </c>
      <c r="E149" s="5" t="s">
        <v>248</v>
      </c>
      <c r="F149" s="4">
        <v>39129</v>
      </c>
      <c r="G149" s="4" t="s">
        <v>1</v>
      </c>
      <c r="H149" s="4" t="s">
        <v>1</v>
      </c>
      <c r="I149" s="3" t="s">
        <v>13</v>
      </c>
      <c r="J149" s="3" t="s">
        <v>133</v>
      </c>
      <c r="K149" s="3" t="s">
        <v>187</v>
      </c>
      <c r="L149" s="3" t="s">
        <v>187</v>
      </c>
      <c r="M149" s="3" t="s">
        <v>186</v>
      </c>
      <c r="N149" s="3" t="s">
        <v>276</v>
      </c>
      <c r="O149" s="3" t="s">
        <v>184</v>
      </c>
      <c r="P149" s="3" t="s">
        <v>72</v>
      </c>
      <c r="Q149" s="3" t="s">
        <v>20</v>
      </c>
      <c r="R149" s="3" t="s">
        <v>4</v>
      </c>
      <c r="S149" s="3" t="s">
        <v>3</v>
      </c>
      <c r="T149" s="3" t="s">
        <v>2</v>
      </c>
      <c r="U149" s="3" t="s">
        <v>1</v>
      </c>
      <c r="V149" s="3" t="s">
        <v>0</v>
      </c>
      <c r="W149" s="2">
        <v>39</v>
      </c>
      <c r="X149" s="20"/>
    </row>
    <row r="150" spans="1:24" hidden="1" x14ac:dyDescent="0.25">
      <c r="A150" s="8">
        <v>788</v>
      </c>
      <c r="B150" s="8" t="s">
        <v>3966</v>
      </c>
      <c r="C150" s="7" t="s">
        <v>3965</v>
      </c>
      <c r="D150" s="6" t="s">
        <v>15</v>
      </c>
      <c r="E150" s="5" t="s">
        <v>3472</v>
      </c>
      <c r="F150" s="4">
        <v>37830</v>
      </c>
      <c r="G150" s="4" t="s">
        <v>1</v>
      </c>
      <c r="H150" s="4" t="s">
        <v>1</v>
      </c>
      <c r="I150" s="5" t="s">
        <v>93</v>
      </c>
      <c r="J150" s="5" t="s">
        <v>89</v>
      </c>
      <c r="K150" s="5" t="s">
        <v>33</v>
      </c>
      <c r="L150" s="5" t="s">
        <v>33</v>
      </c>
      <c r="M150" s="5" t="s">
        <v>1216</v>
      </c>
      <c r="N150" s="5" t="s">
        <v>3891</v>
      </c>
      <c r="O150" s="5" t="s">
        <v>39</v>
      </c>
      <c r="P150" s="5" t="s">
        <v>6</v>
      </c>
      <c r="Q150" s="5" t="s">
        <v>20</v>
      </c>
      <c r="R150" s="3" t="s">
        <v>4</v>
      </c>
      <c r="S150" s="3" t="s">
        <v>3</v>
      </c>
      <c r="T150" s="3" t="s">
        <v>38</v>
      </c>
      <c r="U150" s="3" t="s">
        <v>1</v>
      </c>
      <c r="V150" s="3" t="s">
        <v>18</v>
      </c>
      <c r="W150" s="2">
        <v>45</v>
      </c>
    </row>
    <row r="151" spans="1:24" hidden="1" x14ac:dyDescent="0.25">
      <c r="A151" s="8">
        <v>790</v>
      </c>
      <c r="B151" s="8" t="s">
        <v>3964</v>
      </c>
      <c r="C151" s="7" t="s">
        <v>3963</v>
      </c>
      <c r="D151" s="6" t="s">
        <v>15</v>
      </c>
      <c r="E151" s="5" t="s">
        <v>3472</v>
      </c>
      <c r="F151" s="4">
        <v>37830</v>
      </c>
      <c r="G151" s="4" t="s">
        <v>1</v>
      </c>
      <c r="H151" s="4" t="s">
        <v>1</v>
      </c>
      <c r="I151" s="5" t="s">
        <v>93</v>
      </c>
      <c r="J151" s="5" t="s">
        <v>89</v>
      </c>
      <c r="K151" s="5" t="s">
        <v>33</v>
      </c>
      <c r="L151" s="5" t="s">
        <v>33</v>
      </c>
      <c r="M151" s="5" t="s">
        <v>936</v>
      </c>
      <c r="N151" s="5" t="s">
        <v>935</v>
      </c>
      <c r="O151" s="5" t="s">
        <v>89</v>
      </c>
      <c r="P151" s="5" t="s">
        <v>30</v>
      </c>
      <c r="Q151" s="5" t="s">
        <v>47</v>
      </c>
      <c r="R151" s="3" t="s">
        <v>4</v>
      </c>
      <c r="S151" s="3" t="s">
        <v>3</v>
      </c>
      <c r="T151" s="3" t="s">
        <v>88</v>
      </c>
      <c r="U151" s="3" t="s">
        <v>1</v>
      </c>
      <c r="V151" s="3" t="s">
        <v>18</v>
      </c>
      <c r="W151" s="2">
        <v>45</v>
      </c>
    </row>
    <row r="152" spans="1:24" s="9" customFormat="1" hidden="1" x14ac:dyDescent="0.25">
      <c r="A152" s="17">
        <v>796</v>
      </c>
      <c r="B152" s="17" t="s">
        <v>3962</v>
      </c>
      <c r="C152" s="16" t="s">
        <v>3961</v>
      </c>
      <c r="D152" s="42" t="s">
        <v>15</v>
      </c>
      <c r="E152" s="14" t="s">
        <v>343</v>
      </c>
      <c r="F152" s="13">
        <v>37837</v>
      </c>
      <c r="G152" s="13" t="s">
        <v>1</v>
      </c>
      <c r="H152" s="13" t="s">
        <v>1</v>
      </c>
      <c r="I152" s="14" t="s">
        <v>50</v>
      </c>
      <c r="J152" s="14" t="s">
        <v>357</v>
      </c>
      <c r="K152" s="14" t="s">
        <v>33</v>
      </c>
      <c r="L152" s="14" t="s">
        <v>33</v>
      </c>
      <c r="M152" s="14" t="s">
        <v>357</v>
      </c>
      <c r="N152" s="14" t="s">
        <v>3960</v>
      </c>
      <c r="O152" s="14" t="s">
        <v>355</v>
      </c>
      <c r="P152" s="14" t="s">
        <v>30</v>
      </c>
      <c r="Q152" s="14" t="s">
        <v>47</v>
      </c>
      <c r="R152" s="12" t="s">
        <v>4</v>
      </c>
      <c r="S152" s="12" t="s">
        <v>3</v>
      </c>
      <c r="T152" s="12" t="s">
        <v>1394</v>
      </c>
      <c r="U152" s="12" t="s">
        <v>1</v>
      </c>
      <c r="V152" s="12" t="s">
        <v>18</v>
      </c>
      <c r="W152" s="11">
        <v>50</v>
      </c>
      <c r="X152" s="10"/>
    </row>
    <row r="153" spans="1:24" hidden="1" x14ac:dyDescent="0.25">
      <c r="A153" s="8">
        <v>802</v>
      </c>
      <c r="B153" s="8" t="s">
        <v>3959</v>
      </c>
      <c r="C153" s="7" t="s">
        <v>3958</v>
      </c>
      <c r="D153" s="6" t="s">
        <v>15</v>
      </c>
      <c r="E153" s="5" t="s">
        <v>793</v>
      </c>
      <c r="F153" s="4">
        <v>37837</v>
      </c>
      <c r="G153" s="4" t="s">
        <v>1</v>
      </c>
      <c r="H153" s="4" t="s">
        <v>1</v>
      </c>
      <c r="I153" s="5" t="s">
        <v>100</v>
      </c>
      <c r="J153" s="5" t="s">
        <v>738</v>
      </c>
      <c r="K153" s="5" t="s">
        <v>33</v>
      </c>
      <c r="L153" s="5" t="s">
        <v>33</v>
      </c>
      <c r="M153" s="5" t="s">
        <v>739</v>
      </c>
      <c r="N153" s="5" t="s">
        <v>738</v>
      </c>
      <c r="O153" s="5" t="s">
        <v>122</v>
      </c>
      <c r="P153" s="5" t="s">
        <v>30</v>
      </c>
      <c r="Q153" s="5" t="s">
        <v>121</v>
      </c>
      <c r="R153" s="3" t="s">
        <v>4</v>
      </c>
      <c r="S153" s="3" t="s">
        <v>3</v>
      </c>
      <c r="T153" s="3" t="s">
        <v>2</v>
      </c>
      <c r="U153" s="3" t="s">
        <v>1</v>
      </c>
      <c r="V153" s="3" t="s">
        <v>0</v>
      </c>
      <c r="W153" s="2">
        <v>42</v>
      </c>
    </row>
    <row r="154" spans="1:24" hidden="1" x14ac:dyDescent="0.25">
      <c r="A154" s="8">
        <v>6139</v>
      </c>
      <c r="B154" s="8" t="s">
        <v>3957</v>
      </c>
      <c r="C154" s="7" t="s">
        <v>3956</v>
      </c>
      <c r="D154" s="6" t="s">
        <v>15</v>
      </c>
      <c r="E154" s="5" t="s">
        <v>768</v>
      </c>
      <c r="F154" s="4">
        <v>39157</v>
      </c>
      <c r="G154" s="4" t="s">
        <v>1</v>
      </c>
      <c r="H154" s="4" t="s">
        <v>1</v>
      </c>
      <c r="I154" s="3" t="s">
        <v>13</v>
      </c>
      <c r="J154" s="3" t="s">
        <v>133</v>
      </c>
      <c r="K154" s="3" t="s">
        <v>187</v>
      </c>
      <c r="L154" s="3" t="s">
        <v>187</v>
      </c>
      <c r="M154" s="3" t="s">
        <v>186</v>
      </c>
      <c r="N154" s="3" t="s">
        <v>2228</v>
      </c>
      <c r="O154" s="3" t="s">
        <v>453</v>
      </c>
      <c r="P154" s="3" t="s">
        <v>72</v>
      </c>
      <c r="Q154" s="3" t="s">
        <v>5</v>
      </c>
      <c r="R154" s="3" t="s">
        <v>4</v>
      </c>
      <c r="S154" s="3" t="s">
        <v>3</v>
      </c>
      <c r="T154" s="3" t="s">
        <v>2</v>
      </c>
      <c r="U154" s="3" t="s">
        <v>1</v>
      </c>
      <c r="V154" s="3" t="s">
        <v>0</v>
      </c>
      <c r="W154" s="2">
        <v>40</v>
      </c>
    </row>
    <row r="155" spans="1:24" s="78" customFormat="1" hidden="1" x14ac:dyDescent="0.25">
      <c r="A155" s="73">
        <v>8841</v>
      </c>
      <c r="B155" s="73" t="s">
        <v>3955</v>
      </c>
      <c r="C155" s="87" t="s">
        <v>3954</v>
      </c>
      <c r="D155" s="88" t="s">
        <v>15</v>
      </c>
      <c r="E155" s="89" t="s">
        <v>202</v>
      </c>
      <c r="F155" s="90">
        <v>39937</v>
      </c>
      <c r="G155" s="90" t="s">
        <v>1</v>
      </c>
      <c r="H155" s="90" t="s">
        <v>1</v>
      </c>
      <c r="I155" s="92" t="s">
        <v>13</v>
      </c>
      <c r="J155" s="92" t="s">
        <v>133</v>
      </c>
      <c r="K155" s="92" t="s">
        <v>187</v>
      </c>
      <c r="L155" s="92" t="s">
        <v>187</v>
      </c>
      <c r="M155" s="92" t="s">
        <v>186</v>
      </c>
      <c r="N155" s="92" t="s">
        <v>3953</v>
      </c>
      <c r="O155" s="92" t="s">
        <v>128</v>
      </c>
      <c r="P155" s="92" t="s">
        <v>72</v>
      </c>
      <c r="Q155" s="92" t="s">
        <v>5</v>
      </c>
      <c r="R155" s="92" t="s">
        <v>4</v>
      </c>
      <c r="S155" s="92" t="s">
        <v>3</v>
      </c>
      <c r="T155" s="92" t="s">
        <v>2</v>
      </c>
      <c r="U155" s="92" t="s">
        <v>1</v>
      </c>
      <c r="V155" s="92" t="s">
        <v>0</v>
      </c>
      <c r="W155" s="93">
        <v>34</v>
      </c>
    </row>
    <row r="156" spans="1:24" hidden="1" x14ac:dyDescent="0.25">
      <c r="A156" s="8">
        <v>815</v>
      </c>
      <c r="B156" s="8" t="s">
        <v>3952</v>
      </c>
      <c r="C156" s="7" t="s">
        <v>3951</v>
      </c>
      <c r="D156" s="6" t="s">
        <v>15</v>
      </c>
      <c r="E156" s="5" t="s">
        <v>793</v>
      </c>
      <c r="F156" s="4">
        <v>37837</v>
      </c>
      <c r="G156" s="4" t="s">
        <v>1</v>
      </c>
      <c r="H156" s="4" t="s">
        <v>1</v>
      </c>
      <c r="I156" s="3" t="s">
        <v>384</v>
      </c>
      <c r="J156" s="3" t="s">
        <v>2360</v>
      </c>
      <c r="K156" s="3" t="s">
        <v>33</v>
      </c>
      <c r="L156" s="3" t="s">
        <v>33</v>
      </c>
      <c r="M156" s="3" t="s">
        <v>2360</v>
      </c>
      <c r="N156" s="3" t="s">
        <v>1708</v>
      </c>
      <c r="O156" s="5" t="s">
        <v>387</v>
      </c>
      <c r="P156" s="5" t="s">
        <v>30</v>
      </c>
      <c r="Q156" s="5" t="s">
        <v>47</v>
      </c>
      <c r="R156" s="3" t="s">
        <v>4</v>
      </c>
      <c r="S156" s="3" t="s">
        <v>3</v>
      </c>
      <c r="T156" s="3" t="s">
        <v>2</v>
      </c>
      <c r="U156" s="3" t="s">
        <v>1</v>
      </c>
      <c r="V156" s="3" t="s">
        <v>0</v>
      </c>
      <c r="W156" s="2">
        <v>41</v>
      </c>
    </row>
    <row r="157" spans="1:24" hidden="1" x14ac:dyDescent="0.25">
      <c r="A157" s="8">
        <v>818</v>
      </c>
      <c r="B157" s="8" t="s">
        <v>3950</v>
      </c>
      <c r="C157" s="7" t="s">
        <v>3949</v>
      </c>
      <c r="D157" s="6" t="s">
        <v>15</v>
      </c>
      <c r="E157" s="5" t="s">
        <v>793</v>
      </c>
      <c r="F157" s="4">
        <v>37837</v>
      </c>
      <c r="G157" s="4" t="s">
        <v>1</v>
      </c>
      <c r="H157" s="4" t="s">
        <v>1</v>
      </c>
      <c r="I157" s="3" t="s">
        <v>13</v>
      </c>
      <c r="J157" s="3" t="s">
        <v>12</v>
      </c>
      <c r="K157" s="3" t="s">
        <v>283</v>
      </c>
      <c r="L157" s="3" t="s">
        <v>282</v>
      </c>
      <c r="M157" s="3" t="s">
        <v>281</v>
      </c>
      <c r="N157" s="3" t="s">
        <v>1487</v>
      </c>
      <c r="O157" s="3" t="s">
        <v>100</v>
      </c>
      <c r="P157" s="3" t="s">
        <v>6</v>
      </c>
      <c r="Q157" s="3" t="s">
        <v>20</v>
      </c>
      <c r="R157" s="3" t="s">
        <v>4</v>
      </c>
      <c r="S157" s="3" t="s">
        <v>3</v>
      </c>
      <c r="T157" s="3" t="s">
        <v>2</v>
      </c>
      <c r="U157" s="3" t="s">
        <v>1</v>
      </c>
      <c r="V157" s="3" t="s">
        <v>0</v>
      </c>
      <c r="W157" s="2">
        <v>39</v>
      </c>
    </row>
    <row r="158" spans="1:24" s="78" customFormat="1" hidden="1" x14ac:dyDescent="0.25">
      <c r="A158" s="73">
        <v>871</v>
      </c>
      <c r="B158" s="73" t="s">
        <v>3948</v>
      </c>
      <c r="C158" s="87" t="s">
        <v>3947</v>
      </c>
      <c r="D158" s="88" t="s">
        <v>15</v>
      </c>
      <c r="E158" s="89" t="s">
        <v>3946</v>
      </c>
      <c r="F158" s="90">
        <v>37852</v>
      </c>
      <c r="G158" s="90" t="s">
        <v>1</v>
      </c>
      <c r="H158" s="90" t="s">
        <v>1</v>
      </c>
      <c r="I158" s="92" t="s">
        <v>145</v>
      </c>
      <c r="J158" s="92" t="s">
        <v>12</v>
      </c>
      <c r="K158" s="92" t="s">
        <v>33</v>
      </c>
      <c r="L158" s="92" t="s">
        <v>33</v>
      </c>
      <c r="M158" s="92" t="s">
        <v>691</v>
      </c>
      <c r="N158" s="92" t="s">
        <v>269</v>
      </c>
      <c r="O158" s="92" t="s">
        <v>29</v>
      </c>
      <c r="P158" s="92" t="s">
        <v>30</v>
      </c>
      <c r="Q158" s="92" t="s">
        <v>20</v>
      </c>
      <c r="R158" s="92" t="s">
        <v>4</v>
      </c>
      <c r="S158" s="92" t="s">
        <v>3</v>
      </c>
      <c r="T158" s="92" t="s">
        <v>29</v>
      </c>
      <c r="U158" s="92" t="s">
        <v>1</v>
      </c>
      <c r="V158" s="92" t="s">
        <v>0</v>
      </c>
      <c r="W158" s="93">
        <v>42</v>
      </c>
    </row>
    <row r="159" spans="1:24" s="78" customFormat="1" hidden="1" x14ac:dyDescent="0.25">
      <c r="A159" s="73">
        <v>11089</v>
      </c>
      <c r="B159" s="73" t="s">
        <v>3945</v>
      </c>
      <c r="C159" s="87" t="s">
        <v>2251</v>
      </c>
      <c r="D159" s="88" t="s">
        <v>15</v>
      </c>
      <c r="E159" s="89" t="s">
        <v>2111</v>
      </c>
      <c r="F159" s="90">
        <v>40595</v>
      </c>
      <c r="G159" s="90" t="s">
        <v>1</v>
      </c>
      <c r="H159" s="90" t="s">
        <v>1</v>
      </c>
      <c r="I159" s="92" t="s">
        <v>13</v>
      </c>
      <c r="J159" s="92" t="s">
        <v>133</v>
      </c>
      <c r="K159" s="92" t="s">
        <v>187</v>
      </c>
      <c r="L159" s="92" t="s">
        <v>187</v>
      </c>
      <c r="M159" s="92" t="s">
        <v>186</v>
      </c>
      <c r="N159" s="92" t="s">
        <v>185</v>
      </c>
      <c r="O159" s="92" t="s">
        <v>184</v>
      </c>
      <c r="P159" s="92" t="s">
        <v>72</v>
      </c>
      <c r="Q159" s="92" t="s">
        <v>20</v>
      </c>
      <c r="R159" s="92" t="s">
        <v>4</v>
      </c>
      <c r="S159" s="92" t="s">
        <v>3</v>
      </c>
      <c r="T159" s="92" t="s">
        <v>2</v>
      </c>
      <c r="U159" s="92" t="s">
        <v>1</v>
      </c>
      <c r="V159" s="92" t="s">
        <v>0</v>
      </c>
      <c r="W159" s="93">
        <v>34</v>
      </c>
    </row>
    <row r="160" spans="1:24" hidden="1" x14ac:dyDescent="0.25">
      <c r="A160" s="8">
        <v>890</v>
      </c>
      <c r="B160" s="8" t="s">
        <v>3944</v>
      </c>
      <c r="C160" s="7" t="s">
        <v>3943</v>
      </c>
      <c r="D160" s="6" t="s">
        <v>15</v>
      </c>
      <c r="E160" s="5" t="s">
        <v>559</v>
      </c>
      <c r="F160" s="4">
        <v>37858</v>
      </c>
      <c r="G160" s="4" t="s">
        <v>1</v>
      </c>
      <c r="H160" s="4" t="s">
        <v>1</v>
      </c>
      <c r="I160" s="3" t="s">
        <v>13</v>
      </c>
      <c r="J160" s="3" t="s">
        <v>12</v>
      </c>
      <c r="K160" s="3" t="s">
        <v>187</v>
      </c>
      <c r="L160" s="3" t="s">
        <v>229</v>
      </c>
      <c r="M160" s="3" t="s">
        <v>228</v>
      </c>
      <c r="N160" s="3" t="s">
        <v>606</v>
      </c>
      <c r="O160" s="3" t="s">
        <v>59</v>
      </c>
      <c r="P160" s="3" t="s">
        <v>6</v>
      </c>
      <c r="Q160" s="3" t="s">
        <v>5</v>
      </c>
      <c r="R160" s="3" t="s">
        <v>4</v>
      </c>
      <c r="S160" s="3" t="s">
        <v>3</v>
      </c>
      <c r="T160" s="3" t="s">
        <v>2</v>
      </c>
      <c r="U160" s="3" t="s">
        <v>1</v>
      </c>
      <c r="V160" s="3" t="s">
        <v>0</v>
      </c>
      <c r="W160" s="2">
        <v>40</v>
      </c>
    </row>
    <row r="161" spans="1:24" s="9" customFormat="1" hidden="1" x14ac:dyDescent="0.25">
      <c r="A161" s="17">
        <v>11586</v>
      </c>
      <c r="B161" s="17" t="s">
        <v>3942</v>
      </c>
      <c r="C161" s="16" t="s">
        <v>1113</v>
      </c>
      <c r="D161" s="15" t="s">
        <v>15</v>
      </c>
      <c r="E161" s="14" t="s">
        <v>1763</v>
      </c>
      <c r="F161" s="13">
        <v>40707</v>
      </c>
      <c r="G161" s="13" t="s">
        <v>1</v>
      </c>
      <c r="H161" s="13" t="s">
        <v>1</v>
      </c>
      <c r="I161" s="12" t="s">
        <v>13</v>
      </c>
      <c r="J161" s="12" t="s">
        <v>133</v>
      </c>
      <c r="K161" s="12" t="s">
        <v>187</v>
      </c>
      <c r="L161" s="12" t="s">
        <v>187</v>
      </c>
      <c r="M161" s="12" t="s">
        <v>186</v>
      </c>
      <c r="N161" s="12" t="s">
        <v>3941</v>
      </c>
      <c r="O161" s="12" t="s">
        <v>128</v>
      </c>
      <c r="P161" s="12" t="s">
        <v>72</v>
      </c>
      <c r="Q161" s="12" t="s">
        <v>5</v>
      </c>
      <c r="R161" s="12" t="s">
        <v>4</v>
      </c>
      <c r="S161" s="12" t="s">
        <v>3</v>
      </c>
      <c r="T161" s="12" t="s">
        <v>2</v>
      </c>
      <c r="U161" s="12" t="s">
        <v>1</v>
      </c>
      <c r="V161" s="12" t="s">
        <v>0</v>
      </c>
      <c r="W161" s="11">
        <v>31</v>
      </c>
    </row>
    <row r="162" spans="1:24" s="78" customFormat="1" hidden="1" x14ac:dyDescent="0.25">
      <c r="A162" s="73">
        <v>900</v>
      </c>
      <c r="B162" s="73" t="s">
        <v>3940</v>
      </c>
      <c r="C162" s="87" t="s">
        <v>3939</v>
      </c>
      <c r="D162" s="88" t="s">
        <v>15</v>
      </c>
      <c r="E162" s="89" t="s">
        <v>559</v>
      </c>
      <c r="F162" s="90">
        <v>37858</v>
      </c>
      <c r="G162" s="90" t="s">
        <v>1</v>
      </c>
      <c r="H162" s="90" t="s">
        <v>1</v>
      </c>
      <c r="I162" s="92" t="s">
        <v>145</v>
      </c>
      <c r="J162" s="92" t="s">
        <v>34</v>
      </c>
      <c r="K162" s="92" t="s">
        <v>33</v>
      </c>
      <c r="L162" s="92" t="s">
        <v>33</v>
      </c>
      <c r="M162" s="92" t="s">
        <v>3485</v>
      </c>
      <c r="N162" s="92" t="s">
        <v>241</v>
      </c>
      <c r="O162" s="92" t="s">
        <v>3485</v>
      </c>
      <c r="P162" s="92" t="s">
        <v>30</v>
      </c>
      <c r="Q162" s="92" t="s">
        <v>47</v>
      </c>
      <c r="R162" s="92" t="s">
        <v>4</v>
      </c>
      <c r="S162" s="92" t="s">
        <v>3</v>
      </c>
      <c r="T162" s="92" t="s">
        <v>2</v>
      </c>
      <c r="U162" s="92" t="s">
        <v>1</v>
      </c>
      <c r="V162" s="92" t="s">
        <v>0</v>
      </c>
      <c r="W162" s="93">
        <v>39</v>
      </c>
    </row>
    <row r="163" spans="1:24" hidden="1" x14ac:dyDescent="0.25">
      <c r="A163" s="29">
        <v>901</v>
      </c>
      <c r="B163" s="8" t="s">
        <v>3938</v>
      </c>
      <c r="C163" s="19" t="s">
        <v>3316</v>
      </c>
      <c r="D163" s="6" t="s">
        <v>15</v>
      </c>
      <c r="E163" s="18" t="s">
        <v>559</v>
      </c>
      <c r="F163" s="4">
        <v>37858</v>
      </c>
      <c r="G163" s="4" t="s">
        <v>1</v>
      </c>
      <c r="H163" s="4" t="s">
        <v>1</v>
      </c>
      <c r="I163" s="3" t="s">
        <v>13</v>
      </c>
      <c r="J163" s="3" t="s">
        <v>133</v>
      </c>
      <c r="K163" s="3" t="s">
        <v>262</v>
      </c>
      <c r="L163" s="3" t="s">
        <v>262</v>
      </c>
      <c r="M163" s="3" t="s">
        <v>277</v>
      </c>
      <c r="N163" s="3" t="s">
        <v>1545</v>
      </c>
      <c r="O163" s="3" t="s">
        <v>453</v>
      </c>
      <c r="P163" s="3" t="s">
        <v>6</v>
      </c>
      <c r="Q163" s="3" t="s">
        <v>5</v>
      </c>
      <c r="R163" s="3" t="s">
        <v>4</v>
      </c>
      <c r="S163" s="3" t="s">
        <v>3</v>
      </c>
      <c r="T163" s="3" t="s">
        <v>2</v>
      </c>
      <c r="U163" s="3" t="s">
        <v>1</v>
      </c>
      <c r="V163" s="5" t="s">
        <v>0</v>
      </c>
      <c r="W163" s="2">
        <v>42</v>
      </c>
    </row>
    <row r="164" spans="1:24" hidden="1" x14ac:dyDescent="0.25">
      <c r="A164" s="8">
        <v>903</v>
      </c>
      <c r="B164" s="8" t="s">
        <v>3937</v>
      </c>
      <c r="C164" s="7" t="s">
        <v>3936</v>
      </c>
      <c r="D164" s="6" t="s">
        <v>15</v>
      </c>
      <c r="E164" s="5" t="s">
        <v>559</v>
      </c>
      <c r="F164" s="4">
        <v>37858</v>
      </c>
      <c r="G164" s="4" t="s">
        <v>1</v>
      </c>
      <c r="H164" s="4" t="s">
        <v>1</v>
      </c>
      <c r="I164" s="3" t="s">
        <v>13</v>
      </c>
      <c r="J164" s="3" t="s">
        <v>12</v>
      </c>
      <c r="K164" s="3" t="s">
        <v>25</v>
      </c>
      <c r="L164" s="3" t="s">
        <v>24</v>
      </c>
      <c r="M164" s="3" t="s">
        <v>23</v>
      </c>
      <c r="N164" s="3" t="s">
        <v>3935</v>
      </c>
      <c r="O164" s="3" t="s">
        <v>7</v>
      </c>
      <c r="P164" s="3" t="s">
        <v>6</v>
      </c>
      <c r="Q164" s="3" t="s">
        <v>5</v>
      </c>
      <c r="R164" s="3" t="s">
        <v>4</v>
      </c>
      <c r="S164" s="3" t="s">
        <v>3</v>
      </c>
      <c r="T164" s="3" t="s">
        <v>2</v>
      </c>
      <c r="U164" s="3" t="s">
        <v>1</v>
      </c>
      <c r="V164" s="3" t="s">
        <v>0</v>
      </c>
      <c r="W164" s="2">
        <v>42</v>
      </c>
    </row>
    <row r="165" spans="1:24" hidden="1" x14ac:dyDescent="0.25">
      <c r="A165" s="8">
        <v>916</v>
      </c>
      <c r="B165" s="8" t="s">
        <v>3934</v>
      </c>
      <c r="C165" s="46" t="s">
        <v>3933</v>
      </c>
      <c r="D165" s="45" t="s">
        <v>15</v>
      </c>
      <c r="E165" s="5" t="s">
        <v>559</v>
      </c>
      <c r="F165" s="4">
        <v>37858</v>
      </c>
      <c r="G165" s="4" t="s">
        <v>1</v>
      </c>
      <c r="H165" s="4" t="s">
        <v>1</v>
      </c>
      <c r="I165" s="3" t="s">
        <v>145</v>
      </c>
      <c r="J165" s="3" t="s">
        <v>12</v>
      </c>
      <c r="K165" s="3" t="s">
        <v>539</v>
      </c>
      <c r="L165" s="3" t="s">
        <v>538</v>
      </c>
      <c r="M165" s="3" t="s">
        <v>537</v>
      </c>
      <c r="N165" s="3" t="s">
        <v>269</v>
      </c>
      <c r="O165" s="3" t="s">
        <v>29</v>
      </c>
      <c r="P165" s="3" t="s">
        <v>6</v>
      </c>
      <c r="Q165" s="3" t="s">
        <v>20</v>
      </c>
      <c r="R165" s="3" t="s">
        <v>4</v>
      </c>
      <c r="S165" s="3" t="s">
        <v>3</v>
      </c>
      <c r="T165" s="3" t="s">
        <v>29</v>
      </c>
      <c r="U165" s="3" t="s">
        <v>1</v>
      </c>
      <c r="V165" s="3" t="s">
        <v>0</v>
      </c>
      <c r="W165" s="2">
        <v>41</v>
      </c>
    </row>
    <row r="166" spans="1:24" s="78" customFormat="1" hidden="1" x14ac:dyDescent="0.25">
      <c r="A166" s="73">
        <v>928</v>
      </c>
      <c r="B166" s="73" t="s">
        <v>3932</v>
      </c>
      <c r="C166" s="87" t="s">
        <v>3931</v>
      </c>
      <c r="D166" s="88" t="s">
        <v>15</v>
      </c>
      <c r="E166" s="89" t="s">
        <v>343</v>
      </c>
      <c r="F166" s="90">
        <v>37858</v>
      </c>
      <c r="G166" s="90" t="s">
        <v>1</v>
      </c>
      <c r="H166" s="90" t="s">
        <v>1</v>
      </c>
      <c r="I166" s="89" t="s">
        <v>50</v>
      </c>
      <c r="J166" s="89" t="s">
        <v>370</v>
      </c>
      <c r="K166" s="89" t="s">
        <v>33</v>
      </c>
      <c r="L166" s="89" t="s">
        <v>33</v>
      </c>
      <c r="M166" s="89" t="s">
        <v>370</v>
      </c>
      <c r="N166" s="89" t="s">
        <v>939</v>
      </c>
      <c r="O166" s="89" t="s">
        <v>624</v>
      </c>
      <c r="P166" s="89" t="s">
        <v>30</v>
      </c>
      <c r="Q166" s="89" t="s">
        <v>47</v>
      </c>
      <c r="R166" s="92" t="s">
        <v>4</v>
      </c>
      <c r="S166" s="92" t="s">
        <v>3</v>
      </c>
      <c r="T166" s="92" t="s">
        <v>338</v>
      </c>
      <c r="U166" s="92" t="s">
        <v>1</v>
      </c>
      <c r="V166" s="92" t="s">
        <v>0</v>
      </c>
      <c r="W166" s="93">
        <v>43</v>
      </c>
      <c r="X166" s="94"/>
    </row>
    <row r="167" spans="1:24" hidden="1" x14ac:dyDescent="0.25">
      <c r="A167" s="8">
        <v>934</v>
      </c>
      <c r="B167" s="8" t="s">
        <v>3930</v>
      </c>
      <c r="C167" s="7" t="s">
        <v>3929</v>
      </c>
      <c r="D167" s="6" t="s">
        <v>15</v>
      </c>
      <c r="E167" s="5" t="s">
        <v>85</v>
      </c>
      <c r="F167" s="4">
        <v>37865</v>
      </c>
      <c r="G167" s="4" t="s">
        <v>1</v>
      </c>
      <c r="H167" s="4" t="s">
        <v>1</v>
      </c>
      <c r="I167" s="18" t="s">
        <v>100</v>
      </c>
      <c r="J167" s="18" t="s">
        <v>124</v>
      </c>
      <c r="K167" s="18" t="s">
        <v>33</v>
      </c>
      <c r="L167" s="18" t="s">
        <v>33</v>
      </c>
      <c r="M167" s="18" t="s">
        <v>124</v>
      </c>
      <c r="N167" s="18" t="s">
        <v>194</v>
      </c>
      <c r="O167" s="18" t="s">
        <v>122</v>
      </c>
      <c r="P167" s="5" t="s">
        <v>1</v>
      </c>
      <c r="Q167" s="5" t="s">
        <v>121</v>
      </c>
      <c r="R167" s="3" t="s">
        <v>4</v>
      </c>
      <c r="S167" s="3" t="s">
        <v>3</v>
      </c>
      <c r="T167" s="3" t="s">
        <v>29</v>
      </c>
      <c r="U167" s="3" t="s">
        <v>1</v>
      </c>
      <c r="V167" s="3" t="s">
        <v>0</v>
      </c>
      <c r="W167" s="2">
        <v>41</v>
      </c>
    </row>
    <row r="168" spans="1:24" hidden="1" x14ac:dyDescent="0.25">
      <c r="A168" s="8">
        <v>11965</v>
      </c>
      <c r="B168" s="8" t="s">
        <v>3928</v>
      </c>
      <c r="C168" s="35" t="s">
        <v>3316</v>
      </c>
      <c r="D168" s="6" t="s">
        <v>15</v>
      </c>
      <c r="E168" s="8" t="s">
        <v>1233</v>
      </c>
      <c r="F168" s="4">
        <v>40770</v>
      </c>
      <c r="G168" s="4" t="s">
        <v>1</v>
      </c>
      <c r="H168" s="4" t="s">
        <v>1</v>
      </c>
      <c r="I168" s="3" t="s">
        <v>13</v>
      </c>
      <c r="J168" s="3" t="s">
        <v>133</v>
      </c>
      <c r="K168" s="3" t="s">
        <v>187</v>
      </c>
      <c r="L168" s="3" t="s">
        <v>187</v>
      </c>
      <c r="M168" s="3" t="s">
        <v>186</v>
      </c>
      <c r="N168" s="3" t="s">
        <v>3868</v>
      </c>
      <c r="O168" s="3" t="s">
        <v>128</v>
      </c>
      <c r="P168" s="3" t="s">
        <v>72</v>
      </c>
      <c r="Q168" s="3" t="s">
        <v>5</v>
      </c>
      <c r="R168" s="3" t="s">
        <v>4</v>
      </c>
      <c r="S168" s="3" t="s">
        <v>3</v>
      </c>
      <c r="T168" s="3" t="s">
        <v>2</v>
      </c>
      <c r="U168" s="3" t="s">
        <v>1</v>
      </c>
      <c r="V168" s="3" t="s">
        <v>0</v>
      </c>
      <c r="W168" s="2">
        <v>31</v>
      </c>
    </row>
    <row r="169" spans="1:24" hidden="1" x14ac:dyDescent="0.25">
      <c r="A169" s="8">
        <v>939</v>
      </c>
      <c r="B169" s="8" t="s">
        <v>3927</v>
      </c>
      <c r="C169" s="7" t="s">
        <v>3926</v>
      </c>
      <c r="D169" s="6" t="s">
        <v>15</v>
      </c>
      <c r="E169" s="5" t="s">
        <v>85</v>
      </c>
      <c r="F169" s="4">
        <v>37865</v>
      </c>
      <c r="G169" s="4" t="s">
        <v>1</v>
      </c>
      <c r="H169" s="4" t="s">
        <v>1</v>
      </c>
      <c r="I169" s="3" t="s">
        <v>13</v>
      </c>
      <c r="J169" s="3" t="s">
        <v>133</v>
      </c>
      <c r="K169" s="3" t="s">
        <v>212</v>
      </c>
      <c r="L169" s="3" t="s">
        <v>211</v>
      </c>
      <c r="M169" s="3" t="s">
        <v>210</v>
      </c>
      <c r="N169" s="3" t="s">
        <v>3412</v>
      </c>
      <c r="O169" s="3" t="s">
        <v>128</v>
      </c>
      <c r="P169" s="3" t="s">
        <v>6</v>
      </c>
      <c r="Q169" s="3" t="s">
        <v>5</v>
      </c>
      <c r="R169" s="3" t="s">
        <v>4</v>
      </c>
      <c r="S169" s="3" t="s">
        <v>3</v>
      </c>
      <c r="T169" s="3" t="s">
        <v>2</v>
      </c>
      <c r="U169" s="3" t="s">
        <v>1</v>
      </c>
      <c r="V169" s="3" t="s">
        <v>0</v>
      </c>
      <c r="W169" s="2">
        <v>39</v>
      </c>
    </row>
    <row r="170" spans="1:24" hidden="1" x14ac:dyDescent="0.25">
      <c r="A170" s="8">
        <v>951</v>
      </c>
      <c r="B170" s="8" t="s">
        <v>3925</v>
      </c>
      <c r="C170" s="7" t="s">
        <v>3924</v>
      </c>
      <c r="D170" s="6" t="s">
        <v>15</v>
      </c>
      <c r="E170" s="5" t="s">
        <v>85</v>
      </c>
      <c r="F170" s="4">
        <v>37865</v>
      </c>
      <c r="G170" s="4" t="s">
        <v>1</v>
      </c>
      <c r="H170" s="4" t="s">
        <v>1</v>
      </c>
      <c r="I170" s="3" t="s">
        <v>13</v>
      </c>
      <c r="J170" s="3" t="s">
        <v>133</v>
      </c>
      <c r="K170" s="3" t="s">
        <v>262</v>
      </c>
      <c r="L170" s="3" t="s">
        <v>262</v>
      </c>
      <c r="M170" s="3" t="s">
        <v>277</v>
      </c>
      <c r="N170" s="3" t="s">
        <v>1078</v>
      </c>
      <c r="O170" s="3" t="s">
        <v>29</v>
      </c>
      <c r="P170" s="3" t="s">
        <v>6</v>
      </c>
      <c r="Q170" s="3" t="s">
        <v>20</v>
      </c>
      <c r="R170" s="3" t="s">
        <v>4</v>
      </c>
      <c r="S170" s="3" t="s">
        <v>3</v>
      </c>
      <c r="T170" s="3" t="s">
        <v>1077</v>
      </c>
      <c r="U170" s="3" t="s">
        <v>1</v>
      </c>
      <c r="V170" s="3" t="s">
        <v>0</v>
      </c>
      <c r="W170" s="2">
        <v>40</v>
      </c>
    </row>
    <row r="171" spans="1:24" s="9" customFormat="1" hidden="1" x14ac:dyDescent="0.25">
      <c r="A171" s="17">
        <v>957</v>
      </c>
      <c r="B171" s="17" t="s">
        <v>3923</v>
      </c>
      <c r="C171" s="16" t="s">
        <v>3922</v>
      </c>
      <c r="D171" s="15" t="s">
        <v>15</v>
      </c>
      <c r="E171" s="14" t="s">
        <v>85</v>
      </c>
      <c r="F171" s="13">
        <v>37865</v>
      </c>
      <c r="G171" s="13" t="s">
        <v>1</v>
      </c>
      <c r="H171" s="13" t="s">
        <v>1</v>
      </c>
      <c r="I171" s="14" t="s">
        <v>384</v>
      </c>
      <c r="J171" s="14" t="s">
        <v>2827</v>
      </c>
      <c r="K171" s="22" t="s">
        <v>33</v>
      </c>
      <c r="L171" s="22" t="s">
        <v>33</v>
      </c>
      <c r="M171" s="14" t="s">
        <v>2827</v>
      </c>
      <c r="N171" s="14" t="s">
        <v>3921</v>
      </c>
      <c r="O171" s="14" t="s">
        <v>368</v>
      </c>
      <c r="P171" s="14" t="s">
        <v>30</v>
      </c>
      <c r="Q171" s="14" t="s">
        <v>47</v>
      </c>
      <c r="R171" s="12" t="s">
        <v>4</v>
      </c>
      <c r="S171" s="12" t="s">
        <v>3</v>
      </c>
      <c r="T171" s="12" t="s">
        <v>38</v>
      </c>
      <c r="U171" s="12" t="s">
        <v>1</v>
      </c>
      <c r="V171" s="12" t="s">
        <v>0</v>
      </c>
      <c r="W171" s="11">
        <v>39</v>
      </c>
      <c r="X171" s="10"/>
    </row>
    <row r="172" spans="1:24" hidden="1" x14ac:dyDescent="0.25">
      <c r="A172" s="8">
        <v>969</v>
      </c>
      <c r="B172" s="8" t="s">
        <v>3920</v>
      </c>
      <c r="C172" s="7" t="s">
        <v>3919</v>
      </c>
      <c r="D172" s="6" t="s">
        <v>15</v>
      </c>
      <c r="E172" s="5" t="s">
        <v>3903</v>
      </c>
      <c r="F172" s="4">
        <v>37872</v>
      </c>
      <c r="G172" s="4" t="s">
        <v>1</v>
      </c>
      <c r="H172" s="4" t="s">
        <v>1</v>
      </c>
      <c r="I172" s="3" t="s">
        <v>13</v>
      </c>
      <c r="J172" s="3" t="s">
        <v>133</v>
      </c>
      <c r="K172" s="3" t="s">
        <v>283</v>
      </c>
      <c r="L172" s="3" t="s">
        <v>999</v>
      </c>
      <c r="M172" s="3" t="s">
        <v>998</v>
      </c>
      <c r="N172" s="3" t="s">
        <v>3313</v>
      </c>
      <c r="O172" s="3" t="s">
        <v>100</v>
      </c>
      <c r="P172" s="3" t="s">
        <v>6</v>
      </c>
      <c r="Q172" s="3" t="s">
        <v>20</v>
      </c>
      <c r="R172" s="3" t="s">
        <v>4</v>
      </c>
      <c r="S172" s="3" t="s">
        <v>3</v>
      </c>
      <c r="T172" s="3" t="s">
        <v>2</v>
      </c>
      <c r="U172" s="3" t="s">
        <v>1</v>
      </c>
      <c r="V172" s="3" t="s">
        <v>0</v>
      </c>
      <c r="W172" s="2">
        <v>39</v>
      </c>
    </row>
    <row r="173" spans="1:24" hidden="1" x14ac:dyDescent="0.25">
      <c r="A173" s="8">
        <v>974</v>
      </c>
      <c r="B173" s="8" t="s">
        <v>3918</v>
      </c>
      <c r="C173" s="7" t="s">
        <v>3917</v>
      </c>
      <c r="D173" s="6" t="s">
        <v>15</v>
      </c>
      <c r="E173" s="5" t="s">
        <v>3903</v>
      </c>
      <c r="F173" s="4">
        <v>37872</v>
      </c>
      <c r="G173" s="4" t="s">
        <v>1</v>
      </c>
      <c r="H173" s="4" t="s">
        <v>1</v>
      </c>
      <c r="I173" s="3" t="s">
        <v>384</v>
      </c>
      <c r="J173" s="3" t="s">
        <v>2383</v>
      </c>
      <c r="K173" s="3" t="s">
        <v>33</v>
      </c>
      <c r="L173" s="3" t="s">
        <v>33</v>
      </c>
      <c r="M173" s="3" t="s">
        <v>2383</v>
      </c>
      <c r="N173" s="3" t="s">
        <v>2417</v>
      </c>
      <c r="O173" s="3" t="s">
        <v>387</v>
      </c>
      <c r="P173" s="3" t="s">
        <v>30</v>
      </c>
      <c r="Q173" s="3" t="s">
        <v>47</v>
      </c>
      <c r="R173" s="3" t="s">
        <v>4</v>
      </c>
      <c r="S173" s="3" t="s">
        <v>3</v>
      </c>
      <c r="T173" s="3" t="s">
        <v>29</v>
      </c>
      <c r="U173" s="3" t="s">
        <v>1</v>
      </c>
      <c r="V173" s="3" t="s">
        <v>0</v>
      </c>
      <c r="W173" s="2">
        <v>40</v>
      </c>
    </row>
    <row r="174" spans="1:24" hidden="1" x14ac:dyDescent="0.25">
      <c r="A174" s="8">
        <v>976</v>
      </c>
      <c r="B174" s="8" t="s">
        <v>3916</v>
      </c>
      <c r="C174" s="7" t="s">
        <v>3915</v>
      </c>
      <c r="D174" s="6" t="s">
        <v>15</v>
      </c>
      <c r="E174" s="5" t="s">
        <v>3903</v>
      </c>
      <c r="F174" s="4">
        <v>37872</v>
      </c>
      <c r="G174" s="4" t="s">
        <v>1</v>
      </c>
      <c r="H174" s="4" t="s">
        <v>1</v>
      </c>
      <c r="I174" s="3" t="s">
        <v>13</v>
      </c>
      <c r="J174" s="3" t="s">
        <v>34</v>
      </c>
      <c r="K174" s="3" t="s">
        <v>33</v>
      </c>
      <c r="L174" s="3" t="s">
        <v>33</v>
      </c>
      <c r="M174" s="3" t="s">
        <v>1017</v>
      </c>
      <c r="N174" s="3" t="s">
        <v>40</v>
      </c>
      <c r="O174" s="3" t="s">
        <v>39</v>
      </c>
      <c r="P174" s="3" t="s">
        <v>6</v>
      </c>
      <c r="Q174" s="3" t="s">
        <v>20</v>
      </c>
      <c r="R174" s="3" t="s">
        <v>4</v>
      </c>
      <c r="S174" s="3" t="s">
        <v>3</v>
      </c>
      <c r="T174" s="3" t="s">
        <v>38</v>
      </c>
      <c r="U174" s="3" t="s">
        <v>1</v>
      </c>
      <c r="V174" s="3" t="s">
        <v>0</v>
      </c>
      <c r="W174" s="2">
        <v>41</v>
      </c>
    </row>
    <row r="175" spans="1:24" hidden="1" x14ac:dyDescent="0.25">
      <c r="A175" s="8">
        <v>986</v>
      </c>
      <c r="B175" s="8" t="s">
        <v>3914</v>
      </c>
      <c r="C175" s="7" t="s">
        <v>3913</v>
      </c>
      <c r="D175" s="6" t="s">
        <v>15</v>
      </c>
      <c r="E175" s="5" t="s">
        <v>3903</v>
      </c>
      <c r="F175" s="4">
        <v>37872</v>
      </c>
      <c r="G175" s="4" t="s">
        <v>1</v>
      </c>
      <c r="H175" s="4" t="s">
        <v>1</v>
      </c>
      <c r="I175" s="3" t="s">
        <v>13</v>
      </c>
      <c r="J175" s="3" t="s">
        <v>12</v>
      </c>
      <c r="K175" s="3" t="s">
        <v>25</v>
      </c>
      <c r="L175" s="3" t="s">
        <v>24</v>
      </c>
      <c r="M175" s="3" t="s">
        <v>23</v>
      </c>
      <c r="N175" s="3" t="s">
        <v>1192</v>
      </c>
      <c r="O175" s="3" t="s">
        <v>59</v>
      </c>
      <c r="P175" s="3" t="s">
        <v>6</v>
      </c>
      <c r="Q175" s="3" t="s">
        <v>5</v>
      </c>
      <c r="R175" s="3" t="s">
        <v>4</v>
      </c>
      <c r="S175" s="3" t="s">
        <v>3</v>
      </c>
      <c r="T175" s="3" t="s">
        <v>2</v>
      </c>
      <c r="U175" s="3" t="s">
        <v>1</v>
      </c>
      <c r="V175" s="3" t="s">
        <v>0</v>
      </c>
      <c r="W175" s="2">
        <v>39</v>
      </c>
    </row>
    <row r="176" spans="1:24" hidden="1" x14ac:dyDescent="0.25">
      <c r="A176" s="8">
        <v>12757</v>
      </c>
      <c r="B176" s="8" t="s">
        <v>3912</v>
      </c>
      <c r="C176" s="7" t="s">
        <v>3911</v>
      </c>
      <c r="D176" s="6" t="s">
        <v>15</v>
      </c>
      <c r="E176" s="5" t="s">
        <v>149</v>
      </c>
      <c r="F176" s="4">
        <v>40819</v>
      </c>
      <c r="G176" s="4" t="s">
        <v>1</v>
      </c>
      <c r="H176" s="4" t="s">
        <v>1</v>
      </c>
      <c r="I176" s="3" t="s">
        <v>13</v>
      </c>
      <c r="J176" s="3" t="s">
        <v>133</v>
      </c>
      <c r="K176" s="3" t="s">
        <v>187</v>
      </c>
      <c r="L176" s="3" t="s">
        <v>187</v>
      </c>
      <c r="M176" s="3" t="s">
        <v>186</v>
      </c>
      <c r="N176" s="3" t="s">
        <v>3910</v>
      </c>
      <c r="O176" s="3" t="s">
        <v>128</v>
      </c>
      <c r="P176" s="3" t="s">
        <v>72</v>
      </c>
      <c r="Q176" s="3" t="s">
        <v>5</v>
      </c>
      <c r="R176" s="3" t="s">
        <v>4</v>
      </c>
      <c r="S176" s="3" t="s">
        <v>3</v>
      </c>
      <c r="T176" s="3" t="s">
        <v>2</v>
      </c>
      <c r="U176" s="3" t="s">
        <v>1</v>
      </c>
      <c r="V176" s="3" t="s">
        <v>0</v>
      </c>
      <c r="W176" s="2">
        <v>32</v>
      </c>
    </row>
    <row r="177" spans="1:24" hidden="1" x14ac:dyDescent="0.25">
      <c r="A177" s="8">
        <v>999</v>
      </c>
      <c r="B177" s="8" t="s">
        <v>3909</v>
      </c>
      <c r="C177" s="7" t="s">
        <v>3908</v>
      </c>
      <c r="D177" s="6" t="s">
        <v>15</v>
      </c>
      <c r="E177" s="5" t="s">
        <v>3903</v>
      </c>
      <c r="F177" s="4">
        <v>37872</v>
      </c>
      <c r="G177" s="4" t="s">
        <v>1</v>
      </c>
      <c r="H177" s="4" t="s">
        <v>1</v>
      </c>
      <c r="I177" s="3" t="s">
        <v>13</v>
      </c>
      <c r="J177" s="3" t="s">
        <v>133</v>
      </c>
      <c r="K177" s="3" t="s">
        <v>187</v>
      </c>
      <c r="L177" s="3" t="s">
        <v>187</v>
      </c>
      <c r="M177" s="3" t="s">
        <v>186</v>
      </c>
      <c r="N177" s="3" t="s">
        <v>1078</v>
      </c>
      <c r="O177" s="3" t="s">
        <v>29</v>
      </c>
      <c r="P177" s="3" t="s">
        <v>6</v>
      </c>
      <c r="Q177" s="3" t="s">
        <v>20</v>
      </c>
      <c r="R177" s="3" t="s">
        <v>4</v>
      </c>
      <c r="S177" s="3" t="s">
        <v>3</v>
      </c>
      <c r="T177" s="3" t="s">
        <v>1077</v>
      </c>
      <c r="U177" s="3" t="s">
        <v>1</v>
      </c>
      <c r="V177" s="3" t="s">
        <v>0</v>
      </c>
      <c r="W177" s="2">
        <v>41</v>
      </c>
    </row>
    <row r="178" spans="1:24" hidden="1" x14ac:dyDescent="0.25">
      <c r="A178" s="8">
        <v>1004</v>
      </c>
      <c r="B178" s="8" t="s">
        <v>3907</v>
      </c>
      <c r="C178" s="7" t="s">
        <v>3906</v>
      </c>
      <c r="D178" s="6" t="s">
        <v>15</v>
      </c>
      <c r="E178" s="5" t="s">
        <v>3903</v>
      </c>
      <c r="F178" s="4">
        <v>37872</v>
      </c>
      <c r="G178" s="4" t="s">
        <v>1</v>
      </c>
      <c r="H178" s="4" t="s">
        <v>1</v>
      </c>
      <c r="I178" s="3" t="s">
        <v>13</v>
      </c>
      <c r="J178" s="3" t="s">
        <v>133</v>
      </c>
      <c r="K178" s="3" t="s">
        <v>63</v>
      </c>
      <c r="L178" s="3" t="s">
        <v>1634</v>
      </c>
      <c r="M178" s="3" t="s">
        <v>1633</v>
      </c>
      <c r="N178" s="3" t="s">
        <v>198</v>
      </c>
      <c r="O178" s="3" t="s">
        <v>184</v>
      </c>
      <c r="P178" s="3" t="s">
        <v>6</v>
      </c>
      <c r="Q178" s="3" t="s">
        <v>20</v>
      </c>
      <c r="R178" s="3" t="s">
        <v>4</v>
      </c>
      <c r="S178" s="3" t="s">
        <v>3</v>
      </c>
      <c r="T178" s="3" t="s">
        <v>2</v>
      </c>
      <c r="U178" s="3" t="s">
        <v>1</v>
      </c>
      <c r="V178" s="3" t="s">
        <v>0</v>
      </c>
      <c r="W178" s="2">
        <v>40</v>
      </c>
    </row>
    <row r="179" spans="1:24" hidden="1" x14ac:dyDescent="0.25">
      <c r="A179" s="8">
        <v>1007</v>
      </c>
      <c r="B179" s="8" t="s">
        <v>3905</v>
      </c>
      <c r="C179" s="19" t="s">
        <v>3904</v>
      </c>
      <c r="D179" s="6" t="s">
        <v>15</v>
      </c>
      <c r="E179" s="18" t="s">
        <v>3903</v>
      </c>
      <c r="F179" s="4">
        <v>37872</v>
      </c>
      <c r="G179" s="4" t="s">
        <v>1</v>
      </c>
      <c r="H179" s="4" t="s">
        <v>1</v>
      </c>
      <c r="I179" s="3" t="s">
        <v>145</v>
      </c>
      <c r="J179" s="3" t="s">
        <v>34</v>
      </c>
      <c r="K179" s="3" t="s">
        <v>33</v>
      </c>
      <c r="L179" s="3" t="s">
        <v>33</v>
      </c>
      <c r="M179" s="3" t="s">
        <v>1094</v>
      </c>
      <c r="N179" s="3" t="s">
        <v>1503</v>
      </c>
      <c r="O179" s="3" t="s">
        <v>1094</v>
      </c>
      <c r="P179" s="3" t="s">
        <v>72</v>
      </c>
      <c r="Q179" s="3" t="s">
        <v>47</v>
      </c>
      <c r="R179" s="3" t="s">
        <v>4</v>
      </c>
      <c r="S179" s="3" t="s">
        <v>3</v>
      </c>
      <c r="T179" s="3" t="s">
        <v>2</v>
      </c>
      <c r="U179" s="3" t="s">
        <v>1</v>
      </c>
      <c r="V179" s="3" t="s">
        <v>0</v>
      </c>
      <c r="W179" s="2">
        <v>42</v>
      </c>
    </row>
    <row r="180" spans="1:24" s="9" customFormat="1" hidden="1" x14ac:dyDescent="0.25">
      <c r="A180" s="17">
        <v>1009</v>
      </c>
      <c r="B180" s="17" t="s">
        <v>3902</v>
      </c>
      <c r="C180" s="43" t="s">
        <v>3901</v>
      </c>
      <c r="D180" s="15" t="s">
        <v>15</v>
      </c>
      <c r="E180" s="14" t="s">
        <v>343</v>
      </c>
      <c r="F180" s="13">
        <v>37872</v>
      </c>
      <c r="G180" s="13" t="s">
        <v>1</v>
      </c>
      <c r="H180" s="13" t="s">
        <v>1</v>
      </c>
      <c r="I180" s="14" t="s">
        <v>342</v>
      </c>
      <c r="J180" s="14" t="s">
        <v>350</v>
      </c>
      <c r="K180" s="14" t="s">
        <v>33</v>
      </c>
      <c r="L180" s="14" t="s">
        <v>33</v>
      </c>
      <c r="M180" s="14" t="s">
        <v>349</v>
      </c>
      <c r="N180" s="14" t="s">
        <v>3900</v>
      </c>
      <c r="O180" s="14" t="s">
        <v>339</v>
      </c>
      <c r="P180" s="14" t="s">
        <v>30</v>
      </c>
      <c r="Q180" s="14" t="s">
        <v>121</v>
      </c>
      <c r="R180" s="12" t="s">
        <v>4</v>
      </c>
      <c r="S180" s="12" t="s">
        <v>3</v>
      </c>
      <c r="T180" s="12" t="s">
        <v>3065</v>
      </c>
      <c r="U180" s="12" t="s">
        <v>1</v>
      </c>
      <c r="V180" s="12" t="s">
        <v>0</v>
      </c>
      <c r="W180" s="11">
        <v>42</v>
      </c>
      <c r="X180" s="10"/>
    </row>
    <row r="181" spans="1:24" s="9" customFormat="1" hidden="1" x14ac:dyDescent="0.25">
      <c r="A181" s="17">
        <v>1011</v>
      </c>
      <c r="B181" s="17" t="s">
        <v>3899</v>
      </c>
      <c r="C181" s="43" t="s">
        <v>3898</v>
      </c>
      <c r="D181" s="15" t="s">
        <v>15</v>
      </c>
      <c r="E181" s="14" t="s">
        <v>3897</v>
      </c>
      <c r="F181" s="13">
        <v>37872</v>
      </c>
      <c r="G181" s="13" t="s">
        <v>1</v>
      </c>
      <c r="H181" s="13" t="s">
        <v>1</v>
      </c>
      <c r="I181" s="14" t="s">
        <v>342</v>
      </c>
      <c r="J181" s="14" t="s">
        <v>350</v>
      </c>
      <c r="K181" s="14" t="s">
        <v>33</v>
      </c>
      <c r="L181" s="14" t="s">
        <v>33</v>
      </c>
      <c r="M181" s="14" t="s">
        <v>349</v>
      </c>
      <c r="N181" s="14" t="s">
        <v>3896</v>
      </c>
      <c r="O181" s="14" t="s">
        <v>347</v>
      </c>
      <c r="P181" s="14" t="s">
        <v>30</v>
      </c>
      <c r="Q181" s="14" t="s">
        <v>121</v>
      </c>
      <c r="R181" s="12" t="s">
        <v>4</v>
      </c>
      <c r="S181" s="12" t="s">
        <v>3</v>
      </c>
      <c r="T181" s="12" t="s">
        <v>38</v>
      </c>
      <c r="U181" s="12" t="s">
        <v>1</v>
      </c>
      <c r="V181" s="12" t="s">
        <v>0</v>
      </c>
      <c r="W181" s="11">
        <v>42</v>
      </c>
      <c r="X181" s="10"/>
    </row>
    <row r="182" spans="1:24" s="78" customFormat="1" hidden="1" x14ac:dyDescent="0.25">
      <c r="A182" s="73">
        <v>1012</v>
      </c>
      <c r="B182" s="73" t="s">
        <v>3895</v>
      </c>
      <c r="C182" s="87" t="s">
        <v>3894</v>
      </c>
      <c r="D182" s="88" t="s">
        <v>15</v>
      </c>
      <c r="E182" s="89" t="s">
        <v>3885</v>
      </c>
      <c r="F182" s="90">
        <v>37872</v>
      </c>
      <c r="G182" s="90" t="s">
        <v>1</v>
      </c>
      <c r="H182" s="90" t="s">
        <v>1</v>
      </c>
      <c r="I182" s="89" t="s">
        <v>93</v>
      </c>
      <c r="J182" s="89" t="s">
        <v>92</v>
      </c>
      <c r="K182" s="89" t="s">
        <v>33</v>
      </c>
      <c r="L182" s="89" t="s">
        <v>33</v>
      </c>
      <c r="M182" s="92" t="s">
        <v>91</v>
      </c>
      <c r="N182" s="89" t="s">
        <v>3175</v>
      </c>
      <c r="O182" s="89" t="s">
        <v>368</v>
      </c>
      <c r="P182" s="89" t="s">
        <v>30</v>
      </c>
      <c r="Q182" s="89" t="s">
        <v>47</v>
      </c>
      <c r="R182" s="92" t="s">
        <v>4</v>
      </c>
      <c r="S182" s="92" t="s">
        <v>3</v>
      </c>
      <c r="T182" s="92" t="s">
        <v>38</v>
      </c>
      <c r="U182" s="92" t="s">
        <v>1</v>
      </c>
      <c r="V182" s="92" t="s">
        <v>18</v>
      </c>
      <c r="W182" s="93">
        <v>40</v>
      </c>
    </row>
    <row r="183" spans="1:24" s="78" customFormat="1" hidden="1" x14ac:dyDescent="0.25">
      <c r="A183" s="73">
        <v>1013</v>
      </c>
      <c r="B183" s="73" t="s">
        <v>3893</v>
      </c>
      <c r="C183" s="87" t="s">
        <v>3892</v>
      </c>
      <c r="D183" s="88" t="s">
        <v>15</v>
      </c>
      <c r="E183" s="89" t="s">
        <v>3885</v>
      </c>
      <c r="F183" s="90">
        <v>37872</v>
      </c>
      <c r="G183" s="90" t="s">
        <v>1</v>
      </c>
      <c r="H183" s="90" t="s">
        <v>1</v>
      </c>
      <c r="I183" s="89" t="s">
        <v>93</v>
      </c>
      <c r="J183" s="89" t="s">
        <v>89</v>
      </c>
      <c r="K183" s="89" t="s">
        <v>33</v>
      </c>
      <c r="L183" s="89" t="s">
        <v>33</v>
      </c>
      <c r="M183" s="89" t="s">
        <v>1216</v>
      </c>
      <c r="N183" s="89" t="s">
        <v>3891</v>
      </c>
      <c r="O183" s="89" t="s">
        <v>39</v>
      </c>
      <c r="P183" s="89" t="s">
        <v>72</v>
      </c>
      <c r="Q183" s="89" t="s">
        <v>20</v>
      </c>
      <c r="R183" s="92" t="s">
        <v>4</v>
      </c>
      <c r="S183" s="92" t="s">
        <v>3</v>
      </c>
      <c r="T183" s="92" t="s">
        <v>38</v>
      </c>
      <c r="U183" s="92" t="s">
        <v>1</v>
      </c>
      <c r="V183" s="92" t="s">
        <v>18</v>
      </c>
      <c r="W183" s="93">
        <v>45</v>
      </c>
    </row>
    <row r="184" spans="1:24" s="9" customFormat="1" hidden="1" x14ac:dyDescent="0.25">
      <c r="A184" s="17">
        <v>1014</v>
      </c>
      <c r="B184" s="17" t="s">
        <v>3890</v>
      </c>
      <c r="C184" s="16" t="s">
        <v>3889</v>
      </c>
      <c r="D184" s="15" t="s">
        <v>15</v>
      </c>
      <c r="E184" s="14" t="s">
        <v>343</v>
      </c>
      <c r="F184" s="13">
        <v>37872</v>
      </c>
      <c r="G184" s="13" t="s">
        <v>1</v>
      </c>
      <c r="H184" s="13" t="s">
        <v>1</v>
      </c>
      <c r="I184" s="14" t="s">
        <v>93</v>
      </c>
      <c r="J184" s="14" t="s">
        <v>357</v>
      </c>
      <c r="K184" s="14" t="s">
        <v>33</v>
      </c>
      <c r="L184" s="14" t="s">
        <v>33</v>
      </c>
      <c r="M184" s="14" t="s">
        <v>357</v>
      </c>
      <c r="N184" s="14" t="s">
        <v>3888</v>
      </c>
      <c r="O184" s="14" t="s">
        <v>355</v>
      </c>
      <c r="P184" s="14" t="s">
        <v>30</v>
      </c>
      <c r="Q184" s="14" t="s">
        <v>47</v>
      </c>
      <c r="R184" s="12" t="s">
        <v>4</v>
      </c>
      <c r="S184" s="12" t="s">
        <v>3</v>
      </c>
      <c r="T184" s="12" t="s">
        <v>3469</v>
      </c>
      <c r="U184" s="12" t="s">
        <v>1</v>
      </c>
      <c r="V184" s="12" t="s">
        <v>18</v>
      </c>
      <c r="W184" s="11">
        <v>40</v>
      </c>
      <c r="X184" s="62"/>
    </row>
    <row r="185" spans="1:24" s="9" customFormat="1" hidden="1" x14ac:dyDescent="0.25">
      <c r="A185" s="41">
        <v>1016</v>
      </c>
      <c r="B185" s="17" t="s">
        <v>3887</v>
      </c>
      <c r="C185" s="16" t="s">
        <v>3886</v>
      </c>
      <c r="D185" s="15" t="s">
        <v>15</v>
      </c>
      <c r="E185" s="14" t="s">
        <v>3885</v>
      </c>
      <c r="F185" s="13">
        <v>37872</v>
      </c>
      <c r="G185" s="13" t="s">
        <v>1</v>
      </c>
      <c r="H185" s="13" t="s">
        <v>1</v>
      </c>
      <c r="I185" s="22" t="s">
        <v>93</v>
      </c>
      <c r="J185" s="14" t="s">
        <v>834</v>
      </c>
      <c r="K185" s="14" t="s">
        <v>33</v>
      </c>
      <c r="L185" s="14" t="s">
        <v>33</v>
      </c>
      <c r="M185" s="14" t="s">
        <v>834</v>
      </c>
      <c r="N185" s="12" t="s">
        <v>3128</v>
      </c>
      <c r="O185" s="12" t="s">
        <v>832</v>
      </c>
      <c r="P185" s="12" t="s">
        <v>30</v>
      </c>
      <c r="Q185" s="12" t="s">
        <v>47</v>
      </c>
      <c r="R185" s="12" t="s">
        <v>4</v>
      </c>
      <c r="S185" s="12" t="s">
        <v>3</v>
      </c>
      <c r="T185" s="12" t="s">
        <v>88</v>
      </c>
      <c r="U185" s="12" t="s">
        <v>1</v>
      </c>
      <c r="V185" s="12" t="s">
        <v>18</v>
      </c>
      <c r="W185" s="11">
        <v>40</v>
      </c>
      <c r="X185" s="10"/>
    </row>
    <row r="186" spans="1:24" s="9" customFormat="1" hidden="1" x14ac:dyDescent="0.25">
      <c r="A186" s="17">
        <v>1021</v>
      </c>
      <c r="B186" s="17" t="s">
        <v>3884</v>
      </c>
      <c r="C186" s="23" t="s">
        <v>3883</v>
      </c>
      <c r="D186" s="15" t="s">
        <v>15</v>
      </c>
      <c r="E186" s="14" t="s">
        <v>1586</v>
      </c>
      <c r="F186" s="13">
        <v>37879</v>
      </c>
      <c r="G186" s="13" t="s">
        <v>1</v>
      </c>
      <c r="H186" s="13" t="s">
        <v>1</v>
      </c>
      <c r="I186" s="12" t="s">
        <v>145</v>
      </c>
      <c r="J186" s="12" t="s">
        <v>34</v>
      </c>
      <c r="K186" s="12" t="s">
        <v>33</v>
      </c>
      <c r="L186" s="12" t="s">
        <v>33</v>
      </c>
      <c r="M186" s="12" t="s">
        <v>1094</v>
      </c>
      <c r="N186" s="12" t="s">
        <v>1503</v>
      </c>
      <c r="O186" s="12" t="s">
        <v>1094</v>
      </c>
      <c r="P186" s="12" t="s">
        <v>30</v>
      </c>
      <c r="Q186" s="12" t="s">
        <v>47</v>
      </c>
      <c r="R186" s="12" t="s">
        <v>4</v>
      </c>
      <c r="S186" s="12" t="s">
        <v>3</v>
      </c>
      <c r="T186" s="12" t="s">
        <v>2</v>
      </c>
      <c r="U186" s="12" t="s">
        <v>1</v>
      </c>
      <c r="V186" s="12" t="s">
        <v>0</v>
      </c>
      <c r="W186" s="11">
        <v>39</v>
      </c>
      <c r="X186" s="61"/>
    </row>
    <row r="187" spans="1:24" hidden="1" x14ac:dyDescent="0.25">
      <c r="A187" s="8">
        <v>12934</v>
      </c>
      <c r="B187" s="8" t="s">
        <v>3882</v>
      </c>
      <c r="C187" s="7" t="s">
        <v>3881</v>
      </c>
      <c r="D187" s="6" t="s">
        <v>15</v>
      </c>
      <c r="E187" s="5" t="s">
        <v>118</v>
      </c>
      <c r="F187" s="4">
        <v>40833</v>
      </c>
      <c r="G187" s="4" t="s">
        <v>1</v>
      </c>
      <c r="H187" s="4" t="s">
        <v>1</v>
      </c>
      <c r="I187" s="3" t="s">
        <v>13</v>
      </c>
      <c r="J187" s="3" t="s">
        <v>133</v>
      </c>
      <c r="K187" s="3" t="s">
        <v>187</v>
      </c>
      <c r="L187" s="3" t="s">
        <v>187</v>
      </c>
      <c r="M187" s="3" t="s">
        <v>186</v>
      </c>
      <c r="N187" s="3" t="s">
        <v>198</v>
      </c>
      <c r="O187" s="3" t="s">
        <v>184</v>
      </c>
      <c r="P187" s="3" t="s">
        <v>72</v>
      </c>
      <c r="Q187" s="3" t="s">
        <v>20</v>
      </c>
      <c r="R187" s="3" t="s">
        <v>4</v>
      </c>
      <c r="S187" s="3" t="s">
        <v>3</v>
      </c>
      <c r="T187" s="3" t="s">
        <v>2</v>
      </c>
      <c r="U187" s="3" t="s">
        <v>1</v>
      </c>
      <c r="V187" s="3" t="s">
        <v>0</v>
      </c>
      <c r="W187" s="2">
        <v>32</v>
      </c>
    </row>
    <row r="188" spans="1:24" hidden="1" x14ac:dyDescent="0.25">
      <c r="A188" s="8">
        <v>20577</v>
      </c>
      <c r="B188" s="8" t="s">
        <v>3880</v>
      </c>
      <c r="C188" s="7" t="s">
        <v>3879</v>
      </c>
      <c r="D188" s="6" t="s">
        <v>15</v>
      </c>
      <c r="E188" s="5" t="s">
        <v>112</v>
      </c>
      <c r="F188" s="4">
        <v>42639</v>
      </c>
      <c r="G188" s="4" t="s">
        <v>1</v>
      </c>
      <c r="H188" s="4" t="s">
        <v>1</v>
      </c>
      <c r="I188" s="3" t="s">
        <v>13</v>
      </c>
      <c r="J188" s="3" t="s">
        <v>133</v>
      </c>
      <c r="K188" s="3" t="s">
        <v>187</v>
      </c>
      <c r="L188" s="3" t="s">
        <v>187</v>
      </c>
      <c r="M188" s="3" t="s">
        <v>186</v>
      </c>
      <c r="N188" s="3" t="s">
        <v>1717</v>
      </c>
      <c r="O188" s="3" t="s">
        <v>184</v>
      </c>
      <c r="P188" s="3" t="s">
        <v>72</v>
      </c>
      <c r="Q188" s="3" t="s">
        <v>20</v>
      </c>
      <c r="R188" s="3" t="s">
        <v>4</v>
      </c>
      <c r="S188" s="3" t="s">
        <v>3</v>
      </c>
      <c r="T188" s="3" t="s">
        <v>2</v>
      </c>
      <c r="U188" s="3" t="s">
        <v>1</v>
      </c>
      <c r="V188" s="3" t="s">
        <v>0</v>
      </c>
      <c r="W188" s="2">
        <v>26</v>
      </c>
    </row>
    <row r="189" spans="1:24" hidden="1" x14ac:dyDescent="0.25">
      <c r="A189" s="8">
        <v>24795</v>
      </c>
      <c r="B189" s="8" t="s">
        <v>3878</v>
      </c>
      <c r="C189" s="7" t="s">
        <v>3877</v>
      </c>
      <c r="D189" s="6" t="s">
        <v>15</v>
      </c>
      <c r="E189" s="5" t="s">
        <v>439</v>
      </c>
      <c r="F189" s="4">
        <v>43713</v>
      </c>
      <c r="G189" s="4" t="s">
        <v>1</v>
      </c>
      <c r="H189" s="4" t="s">
        <v>1</v>
      </c>
      <c r="I189" s="3" t="s">
        <v>13</v>
      </c>
      <c r="J189" s="3" t="s">
        <v>133</v>
      </c>
      <c r="K189" s="3" t="s">
        <v>187</v>
      </c>
      <c r="L189" s="3" t="s">
        <v>187</v>
      </c>
      <c r="M189" s="3" t="s">
        <v>186</v>
      </c>
      <c r="N189" s="3" t="s">
        <v>198</v>
      </c>
      <c r="O189" s="3" t="s">
        <v>184</v>
      </c>
      <c r="P189" s="3" t="s">
        <v>72</v>
      </c>
      <c r="Q189" s="3" t="s">
        <v>20</v>
      </c>
      <c r="R189" s="3" t="s">
        <v>4</v>
      </c>
      <c r="S189" s="3" t="s">
        <v>3</v>
      </c>
      <c r="T189" s="3" t="s">
        <v>2</v>
      </c>
      <c r="U189" s="3" t="s">
        <v>1</v>
      </c>
      <c r="V189" s="3" t="s">
        <v>0</v>
      </c>
      <c r="W189" s="2">
        <v>24</v>
      </c>
    </row>
    <row r="190" spans="1:24" hidden="1" x14ac:dyDescent="0.25">
      <c r="A190" s="8">
        <v>1045</v>
      </c>
      <c r="B190" s="8" t="s">
        <v>3876</v>
      </c>
      <c r="C190" s="7" t="s">
        <v>3875</v>
      </c>
      <c r="D190" s="6" t="s">
        <v>15</v>
      </c>
      <c r="E190" s="5" t="s">
        <v>1586</v>
      </c>
      <c r="F190" s="4">
        <v>37879</v>
      </c>
      <c r="G190" s="4" t="s">
        <v>1</v>
      </c>
      <c r="H190" s="4" t="s">
        <v>1</v>
      </c>
      <c r="I190" s="3" t="s">
        <v>13</v>
      </c>
      <c r="J190" s="3" t="s">
        <v>133</v>
      </c>
      <c r="K190" s="3" t="s">
        <v>262</v>
      </c>
      <c r="L190" s="3" t="s">
        <v>262</v>
      </c>
      <c r="M190" s="3" t="s">
        <v>277</v>
      </c>
      <c r="N190" s="3" t="s">
        <v>198</v>
      </c>
      <c r="O190" s="3" t="s">
        <v>184</v>
      </c>
      <c r="P190" s="3" t="s">
        <v>6</v>
      </c>
      <c r="Q190" s="3" t="s">
        <v>20</v>
      </c>
      <c r="R190" s="3" t="s">
        <v>4</v>
      </c>
      <c r="S190" s="3" t="s">
        <v>3</v>
      </c>
      <c r="T190" s="3" t="s">
        <v>2</v>
      </c>
      <c r="U190" s="3" t="s">
        <v>1</v>
      </c>
      <c r="V190" s="3" t="s">
        <v>0</v>
      </c>
      <c r="W190" s="2">
        <v>39</v>
      </c>
    </row>
    <row r="191" spans="1:24" hidden="1" x14ac:dyDescent="0.25">
      <c r="A191" s="8">
        <v>1049</v>
      </c>
      <c r="B191" s="8" t="s">
        <v>3874</v>
      </c>
      <c r="C191" s="7" t="s">
        <v>3873</v>
      </c>
      <c r="D191" s="6" t="s">
        <v>15</v>
      </c>
      <c r="E191" s="5" t="s">
        <v>1586</v>
      </c>
      <c r="F191" s="4">
        <v>37879</v>
      </c>
      <c r="G191" s="4" t="s">
        <v>1</v>
      </c>
      <c r="H191" s="4" t="s">
        <v>1</v>
      </c>
      <c r="I191" s="3" t="s">
        <v>13</v>
      </c>
      <c r="J191" s="3" t="s">
        <v>12</v>
      </c>
      <c r="K191" s="3" t="s">
        <v>187</v>
      </c>
      <c r="L191" s="3" t="s">
        <v>229</v>
      </c>
      <c r="M191" s="3" t="s">
        <v>228</v>
      </c>
      <c r="N191" s="3" t="s">
        <v>320</v>
      </c>
      <c r="O191" s="3" t="s">
        <v>59</v>
      </c>
      <c r="P191" s="3" t="s">
        <v>6</v>
      </c>
      <c r="Q191" s="3" t="s">
        <v>5</v>
      </c>
      <c r="R191" s="3" t="s">
        <v>4</v>
      </c>
      <c r="S191" s="3" t="s">
        <v>3</v>
      </c>
      <c r="T191" s="3" t="s">
        <v>2</v>
      </c>
      <c r="U191" s="3" t="s">
        <v>1</v>
      </c>
      <c r="V191" s="3" t="s">
        <v>0</v>
      </c>
      <c r="W191" s="2">
        <v>39</v>
      </c>
    </row>
    <row r="192" spans="1:24" hidden="1" x14ac:dyDescent="0.25">
      <c r="A192" s="8">
        <v>1054</v>
      </c>
      <c r="B192" s="8" t="s">
        <v>3872</v>
      </c>
      <c r="C192" s="7" t="s">
        <v>3871</v>
      </c>
      <c r="D192" s="6" t="s">
        <v>15</v>
      </c>
      <c r="E192" s="5" t="s">
        <v>1586</v>
      </c>
      <c r="F192" s="4">
        <v>37879</v>
      </c>
      <c r="G192" s="4" t="s">
        <v>1</v>
      </c>
      <c r="H192" s="4" t="s">
        <v>1</v>
      </c>
      <c r="I192" s="3" t="s">
        <v>145</v>
      </c>
      <c r="J192" s="3" t="s">
        <v>12</v>
      </c>
      <c r="K192" s="3" t="s">
        <v>25</v>
      </c>
      <c r="L192" s="3" t="s">
        <v>24</v>
      </c>
      <c r="M192" s="3" t="s">
        <v>23</v>
      </c>
      <c r="N192" s="3" t="s">
        <v>2218</v>
      </c>
      <c r="O192" s="3" t="s">
        <v>2217</v>
      </c>
      <c r="P192" s="3" t="s">
        <v>6</v>
      </c>
      <c r="Q192" s="3" t="s">
        <v>20</v>
      </c>
      <c r="R192" s="3" t="s">
        <v>4</v>
      </c>
      <c r="S192" s="3" t="s">
        <v>3</v>
      </c>
      <c r="T192" s="3" t="s">
        <v>29</v>
      </c>
      <c r="U192" s="3" t="s">
        <v>1</v>
      </c>
      <c r="V192" s="3" t="s">
        <v>0</v>
      </c>
      <c r="W192" s="2">
        <v>40</v>
      </c>
    </row>
    <row r="193" spans="1:24" hidden="1" x14ac:dyDescent="0.25">
      <c r="A193" s="8">
        <v>1058</v>
      </c>
      <c r="B193" s="8" t="s">
        <v>3870</v>
      </c>
      <c r="C193" s="7" t="s">
        <v>3869</v>
      </c>
      <c r="D193" s="6" t="s">
        <v>15</v>
      </c>
      <c r="E193" s="5" t="s">
        <v>1586</v>
      </c>
      <c r="F193" s="4">
        <v>37879</v>
      </c>
      <c r="G193" s="4" t="s">
        <v>1</v>
      </c>
      <c r="H193" s="4" t="s">
        <v>1</v>
      </c>
      <c r="I193" s="3" t="s">
        <v>13</v>
      </c>
      <c r="J193" s="3" t="s">
        <v>133</v>
      </c>
      <c r="K193" s="3" t="s">
        <v>187</v>
      </c>
      <c r="L193" s="3" t="s">
        <v>187</v>
      </c>
      <c r="M193" s="3" t="s">
        <v>186</v>
      </c>
      <c r="N193" s="3" t="s">
        <v>3868</v>
      </c>
      <c r="O193" s="3" t="s">
        <v>128</v>
      </c>
      <c r="P193" s="3" t="s">
        <v>6</v>
      </c>
      <c r="Q193" s="3" t="s">
        <v>5</v>
      </c>
      <c r="R193" s="3" t="s">
        <v>4</v>
      </c>
      <c r="S193" s="3" t="s">
        <v>3</v>
      </c>
      <c r="T193" s="3" t="s">
        <v>2</v>
      </c>
      <c r="U193" s="3" t="s">
        <v>1</v>
      </c>
      <c r="V193" s="3" t="s">
        <v>18</v>
      </c>
      <c r="W193" s="2">
        <v>43</v>
      </c>
    </row>
    <row r="194" spans="1:24" s="78" customFormat="1" hidden="1" x14ac:dyDescent="0.25">
      <c r="A194" s="73">
        <v>1060</v>
      </c>
      <c r="B194" s="73" t="s">
        <v>3867</v>
      </c>
      <c r="C194" s="87" t="s">
        <v>3866</v>
      </c>
      <c r="D194" s="88" t="s">
        <v>15</v>
      </c>
      <c r="E194" s="89" t="s">
        <v>1586</v>
      </c>
      <c r="F194" s="90">
        <v>37879</v>
      </c>
      <c r="G194" s="90" t="s">
        <v>1</v>
      </c>
      <c r="H194" s="90" t="s">
        <v>1</v>
      </c>
      <c r="I194" s="89" t="s">
        <v>50</v>
      </c>
      <c r="J194" s="89" t="s">
        <v>75</v>
      </c>
      <c r="K194" s="89" t="s">
        <v>33</v>
      </c>
      <c r="L194" s="89" t="s">
        <v>33</v>
      </c>
      <c r="M194" s="91" t="s">
        <v>75</v>
      </c>
      <c r="N194" s="103" t="s">
        <v>74</v>
      </c>
      <c r="O194" s="89" t="s">
        <v>73</v>
      </c>
      <c r="P194" s="91" t="s">
        <v>30</v>
      </c>
      <c r="Q194" s="89" t="s">
        <v>47</v>
      </c>
      <c r="R194" s="92" t="s">
        <v>4</v>
      </c>
      <c r="S194" s="92" t="s">
        <v>3</v>
      </c>
      <c r="T194" s="92" t="s">
        <v>88</v>
      </c>
      <c r="U194" s="92" t="s">
        <v>1</v>
      </c>
      <c r="V194" s="92" t="s">
        <v>18</v>
      </c>
      <c r="W194" s="93">
        <v>39</v>
      </c>
      <c r="X194" s="94"/>
    </row>
    <row r="195" spans="1:24" hidden="1" x14ac:dyDescent="0.25">
      <c r="A195" s="8">
        <v>1064</v>
      </c>
      <c r="B195" s="8" t="s">
        <v>3865</v>
      </c>
      <c r="C195" s="7" t="s">
        <v>3864</v>
      </c>
      <c r="D195" s="6" t="s">
        <v>15</v>
      </c>
      <c r="E195" s="5" t="s">
        <v>343</v>
      </c>
      <c r="F195" s="4">
        <v>37879</v>
      </c>
      <c r="G195" s="4" t="s">
        <v>1</v>
      </c>
      <c r="H195" s="4" t="s">
        <v>1</v>
      </c>
      <c r="I195" s="3" t="s">
        <v>384</v>
      </c>
      <c r="J195" s="3" t="s">
        <v>2360</v>
      </c>
      <c r="K195" s="3" t="s">
        <v>33</v>
      </c>
      <c r="L195" s="3" t="s">
        <v>33</v>
      </c>
      <c r="M195" s="3" t="s">
        <v>2360</v>
      </c>
      <c r="N195" s="3" t="s">
        <v>939</v>
      </c>
      <c r="O195" s="3" t="s">
        <v>624</v>
      </c>
      <c r="P195" s="3" t="s">
        <v>30</v>
      </c>
      <c r="Q195" s="3" t="s">
        <v>47</v>
      </c>
      <c r="R195" s="3" t="s">
        <v>4</v>
      </c>
      <c r="S195" s="3" t="s">
        <v>3</v>
      </c>
      <c r="T195" s="3" t="s">
        <v>338</v>
      </c>
      <c r="U195" s="3" t="s">
        <v>1</v>
      </c>
      <c r="V195" s="3" t="s">
        <v>18</v>
      </c>
      <c r="W195" s="2">
        <v>43</v>
      </c>
    </row>
    <row r="196" spans="1:24" s="78" customFormat="1" hidden="1" x14ac:dyDescent="0.25">
      <c r="A196" s="73" t="s">
        <v>3863</v>
      </c>
      <c r="B196" s="73" t="s">
        <v>3863</v>
      </c>
      <c r="C196" s="102" t="s">
        <v>3862</v>
      </c>
      <c r="D196" s="88" t="s">
        <v>15</v>
      </c>
      <c r="E196" s="91" t="s">
        <v>219</v>
      </c>
      <c r="F196" s="90">
        <v>40896</v>
      </c>
      <c r="G196" s="90" t="s">
        <v>1</v>
      </c>
      <c r="H196" s="90" t="s">
        <v>1</v>
      </c>
      <c r="I196" s="92" t="s">
        <v>13</v>
      </c>
      <c r="J196" s="92" t="s">
        <v>133</v>
      </c>
      <c r="K196" s="92" t="s">
        <v>187</v>
      </c>
      <c r="L196" s="92" t="s">
        <v>187</v>
      </c>
      <c r="M196" s="92" t="s">
        <v>186</v>
      </c>
      <c r="N196" s="92" t="s">
        <v>3861</v>
      </c>
      <c r="O196" s="92" t="s">
        <v>1231</v>
      </c>
      <c r="P196" s="92" t="s">
        <v>72</v>
      </c>
      <c r="Q196" s="92" t="s">
        <v>5</v>
      </c>
      <c r="R196" s="92" t="s">
        <v>4</v>
      </c>
      <c r="S196" s="92" t="s">
        <v>3</v>
      </c>
      <c r="T196" s="92" t="s">
        <v>2</v>
      </c>
      <c r="U196" s="92" t="s">
        <v>1</v>
      </c>
      <c r="V196" s="92" t="s">
        <v>0</v>
      </c>
      <c r="W196" s="93">
        <v>31</v>
      </c>
    </row>
    <row r="197" spans="1:24" hidden="1" x14ac:dyDescent="0.25">
      <c r="A197" s="8">
        <v>1076</v>
      </c>
      <c r="B197" s="8" t="s">
        <v>3860</v>
      </c>
      <c r="C197" s="7" t="s">
        <v>3859</v>
      </c>
      <c r="D197" s="6" t="s">
        <v>15</v>
      </c>
      <c r="E197" s="5" t="s">
        <v>56</v>
      </c>
      <c r="F197" s="4">
        <v>37887</v>
      </c>
      <c r="G197" s="4" t="s">
        <v>1</v>
      </c>
      <c r="H197" s="4" t="s">
        <v>1</v>
      </c>
      <c r="I197" s="3" t="s">
        <v>384</v>
      </c>
      <c r="J197" s="3" t="s">
        <v>2383</v>
      </c>
      <c r="K197" s="3" t="s">
        <v>33</v>
      </c>
      <c r="L197" s="3" t="s">
        <v>33</v>
      </c>
      <c r="M197" s="3" t="s">
        <v>2383</v>
      </c>
      <c r="N197" s="3" t="s">
        <v>1708</v>
      </c>
      <c r="O197" s="3" t="s">
        <v>387</v>
      </c>
      <c r="P197" s="3" t="s">
        <v>30</v>
      </c>
      <c r="Q197" s="3" t="s">
        <v>47</v>
      </c>
      <c r="R197" s="3" t="s">
        <v>4</v>
      </c>
      <c r="S197" s="3" t="s">
        <v>3</v>
      </c>
      <c r="T197" s="3" t="s">
        <v>2</v>
      </c>
      <c r="U197" s="3" t="s">
        <v>1</v>
      </c>
      <c r="V197" s="3" t="s">
        <v>0</v>
      </c>
      <c r="W197" s="2">
        <v>40</v>
      </c>
    </row>
    <row r="198" spans="1:24" hidden="1" x14ac:dyDescent="0.25">
      <c r="A198" s="8">
        <v>1079</v>
      </c>
      <c r="B198" s="8" t="s">
        <v>3858</v>
      </c>
      <c r="C198" s="7" t="s">
        <v>3857</v>
      </c>
      <c r="D198" s="6" t="s">
        <v>15</v>
      </c>
      <c r="E198" s="5" t="s">
        <v>56</v>
      </c>
      <c r="F198" s="4">
        <v>37887</v>
      </c>
      <c r="G198" s="4" t="s">
        <v>1</v>
      </c>
      <c r="H198" s="4" t="s">
        <v>1</v>
      </c>
      <c r="I198" s="3" t="s">
        <v>13</v>
      </c>
      <c r="J198" s="3" t="s">
        <v>12</v>
      </c>
      <c r="K198" s="3" t="s">
        <v>63</v>
      </c>
      <c r="L198" s="3" t="s">
        <v>62</v>
      </c>
      <c r="M198" s="3" t="s">
        <v>565</v>
      </c>
      <c r="N198" s="3" t="s">
        <v>320</v>
      </c>
      <c r="O198" s="3" t="s">
        <v>59</v>
      </c>
      <c r="P198" s="3" t="s">
        <v>6</v>
      </c>
      <c r="Q198" s="3" t="s">
        <v>5</v>
      </c>
      <c r="R198" s="3" t="s">
        <v>4</v>
      </c>
      <c r="S198" s="3" t="s">
        <v>3</v>
      </c>
      <c r="T198" s="3" t="s">
        <v>2</v>
      </c>
      <c r="U198" s="3" t="s">
        <v>1</v>
      </c>
      <c r="V198" s="3" t="s">
        <v>0</v>
      </c>
      <c r="W198" s="2">
        <v>40</v>
      </c>
    </row>
    <row r="199" spans="1:24" hidden="1" x14ac:dyDescent="0.25">
      <c r="A199" s="8">
        <v>614</v>
      </c>
      <c r="B199" s="8" t="s">
        <v>3856</v>
      </c>
      <c r="C199" s="7" t="s">
        <v>3855</v>
      </c>
      <c r="D199" s="6" t="s">
        <v>15</v>
      </c>
      <c r="E199" s="5" t="s">
        <v>97</v>
      </c>
      <c r="F199" s="4">
        <v>37781</v>
      </c>
      <c r="G199" s="4" t="s">
        <v>1</v>
      </c>
      <c r="H199" s="4" t="s">
        <v>1</v>
      </c>
      <c r="I199" s="3" t="s">
        <v>13</v>
      </c>
      <c r="J199" s="3" t="s">
        <v>133</v>
      </c>
      <c r="K199" s="3" t="s">
        <v>132</v>
      </c>
      <c r="L199" s="3" t="s">
        <v>218</v>
      </c>
      <c r="M199" s="3" t="s">
        <v>217</v>
      </c>
      <c r="N199" s="3" t="s">
        <v>1362</v>
      </c>
      <c r="O199" s="3" t="s">
        <v>39</v>
      </c>
      <c r="P199" s="3" t="s">
        <v>72</v>
      </c>
      <c r="Q199" s="3" t="s">
        <v>20</v>
      </c>
      <c r="R199" s="3" t="s">
        <v>4</v>
      </c>
      <c r="S199" s="3" t="s">
        <v>3</v>
      </c>
      <c r="T199" s="3" t="s">
        <v>1361</v>
      </c>
      <c r="U199" s="3" t="s">
        <v>1</v>
      </c>
      <c r="V199" s="3" t="s">
        <v>0</v>
      </c>
      <c r="W199" s="2">
        <v>41</v>
      </c>
    </row>
    <row r="200" spans="1:24" hidden="1" x14ac:dyDescent="0.25">
      <c r="A200" s="8">
        <v>1083</v>
      </c>
      <c r="B200" s="8" t="s">
        <v>3854</v>
      </c>
      <c r="C200" s="7" t="s">
        <v>3853</v>
      </c>
      <c r="D200" s="6" t="s">
        <v>15</v>
      </c>
      <c r="E200" s="5" t="s">
        <v>56</v>
      </c>
      <c r="F200" s="4">
        <v>37887</v>
      </c>
      <c r="G200" s="4" t="s">
        <v>1</v>
      </c>
      <c r="H200" s="4" t="s">
        <v>1</v>
      </c>
      <c r="I200" s="3" t="s">
        <v>13</v>
      </c>
      <c r="J200" s="3" t="s">
        <v>12</v>
      </c>
      <c r="K200" s="3" t="s">
        <v>187</v>
      </c>
      <c r="L200" s="3" t="s">
        <v>229</v>
      </c>
      <c r="M200" s="3" t="s">
        <v>228</v>
      </c>
      <c r="N200" s="3" t="s">
        <v>2892</v>
      </c>
      <c r="O200" s="3" t="s">
        <v>7</v>
      </c>
      <c r="P200" s="3" t="s">
        <v>6</v>
      </c>
      <c r="Q200" s="3" t="s">
        <v>5</v>
      </c>
      <c r="R200" s="3" t="s">
        <v>4</v>
      </c>
      <c r="S200" s="3" t="s">
        <v>3</v>
      </c>
      <c r="T200" s="3" t="s">
        <v>2</v>
      </c>
      <c r="U200" s="3" t="s">
        <v>1</v>
      </c>
      <c r="V200" s="3" t="s">
        <v>0</v>
      </c>
      <c r="W200" s="2">
        <v>40</v>
      </c>
    </row>
    <row r="201" spans="1:24" hidden="1" x14ac:dyDescent="0.25">
      <c r="A201" s="8">
        <v>1086</v>
      </c>
      <c r="B201" s="8" t="s">
        <v>3852</v>
      </c>
      <c r="C201" s="7" t="s">
        <v>3851</v>
      </c>
      <c r="D201" s="6" t="s">
        <v>15</v>
      </c>
      <c r="E201" s="5" t="s">
        <v>56</v>
      </c>
      <c r="F201" s="4">
        <v>37887</v>
      </c>
      <c r="G201" s="4" t="s">
        <v>1</v>
      </c>
      <c r="H201" s="4" t="s">
        <v>1</v>
      </c>
      <c r="I201" s="3" t="s">
        <v>13</v>
      </c>
      <c r="J201" s="3" t="s">
        <v>133</v>
      </c>
      <c r="K201" s="3" t="s">
        <v>879</v>
      </c>
      <c r="L201" s="3" t="s">
        <v>879</v>
      </c>
      <c r="M201" s="3" t="s">
        <v>878</v>
      </c>
      <c r="N201" s="3" t="s">
        <v>3850</v>
      </c>
      <c r="O201" s="3" t="s">
        <v>128</v>
      </c>
      <c r="P201" s="3" t="s">
        <v>6</v>
      </c>
      <c r="Q201" s="3" t="s">
        <v>5</v>
      </c>
      <c r="R201" s="3" t="s">
        <v>4</v>
      </c>
      <c r="S201" s="3" t="s">
        <v>3</v>
      </c>
      <c r="T201" s="3" t="s">
        <v>2</v>
      </c>
      <c r="U201" s="3" t="s">
        <v>1</v>
      </c>
      <c r="V201" s="3" t="s">
        <v>0</v>
      </c>
      <c r="W201" s="2">
        <v>39</v>
      </c>
    </row>
    <row r="202" spans="1:24" s="9" customFormat="1" hidden="1" x14ac:dyDescent="0.25">
      <c r="A202" s="17">
        <v>1088</v>
      </c>
      <c r="B202" s="17" t="s">
        <v>3849</v>
      </c>
      <c r="C202" s="16" t="s">
        <v>3848</v>
      </c>
      <c r="D202" s="15" t="s">
        <v>15</v>
      </c>
      <c r="E202" s="14" t="s">
        <v>56</v>
      </c>
      <c r="F202" s="13">
        <v>37887</v>
      </c>
      <c r="G202" s="13" t="s">
        <v>1</v>
      </c>
      <c r="H202" s="13" t="s">
        <v>1</v>
      </c>
      <c r="I202" s="12" t="s">
        <v>145</v>
      </c>
      <c r="J202" s="12" t="s">
        <v>12</v>
      </c>
      <c r="K202" s="12" t="s">
        <v>25</v>
      </c>
      <c r="L202" s="12" t="s">
        <v>24</v>
      </c>
      <c r="M202" s="12" t="s">
        <v>23</v>
      </c>
      <c r="N202" s="12" t="s">
        <v>2218</v>
      </c>
      <c r="O202" s="12" t="s">
        <v>2217</v>
      </c>
      <c r="P202" s="12" t="s">
        <v>72</v>
      </c>
      <c r="Q202" s="12" t="s">
        <v>20</v>
      </c>
      <c r="R202" s="12" t="s">
        <v>4</v>
      </c>
      <c r="S202" s="12" t="s">
        <v>3</v>
      </c>
      <c r="T202" s="12" t="s">
        <v>29</v>
      </c>
      <c r="U202" s="12" t="s">
        <v>1</v>
      </c>
      <c r="V202" s="12" t="s">
        <v>0</v>
      </c>
      <c r="W202" s="11">
        <v>39</v>
      </c>
      <c r="X202" s="10"/>
    </row>
    <row r="203" spans="1:24" hidden="1" x14ac:dyDescent="0.25">
      <c r="A203" s="8">
        <v>1090</v>
      </c>
      <c r="B203" s="8" t="s">
        <v>3847</v>
      </c>
      <c r="C203" s="7" t="s">
        <v>3846</v>
      </c>
      <c r="D203" s="6" t="s">
        <v>15</v>
      </c>
      <c r="E203" s="5" t="s">
        <v>56</v>
      </c>
      <c r="F203" s="4">
        <v>37887</v>
      </c>
      <c r="G203" s="4" t="s">
        <v>1</v>
      </c>
      <c r="H203" s="4" t="s">
        <v>1</v>
      </c>
      <c r="I203" s="3" t="s">
        <v>13</v>
      </c>
      <c r="J203" s="3" t="s">
        <v>133</v>
      </c>
      <c r="K203" s="3" t="s">
        <v>63</v>
      </c>
      <c r="L203" s="3" t="s">
        <v>1634</v>
      </c>
      <c r="M203" s="3" t="s">
        <v>1633</v>
      </c>
      <c r="N203" s="3" t="s">
        <v>3845</v>
      </c>
      <c r="O203" s="3" t="s">
        <v>453</v>
      </c>
      <c r="P203" s="3" t="s">
        <v>6</v>
      </c>
      <c r="Q203" s="3" t="s">
        <v>5</v>
      </c>
      <c r="R203" s="3" t="s">
        <v>4</v>
      </c>
      <c r="S203" s="3" t="s">
        <v>3</v>
      </c>
      <c r="T203" s="3" t="s">
        <v>2</v>
      </c>
      <c r="U203" s="3" t="s">
        <v>1</v>
      </c>
      <c r="V203" s="3" t="s">
        <v>0</v>
      </c>
      <c r="W203" s="2">
        <v>40</v>
      </c>
    </row>
    <row r="204" spans="1:24" s="9" customFormat="1" hidden="1" x14ac:dyDescent="0.25">
      <c r="A204" s="42">
        <v>5933</v>
      </c>
      <c r="B204" s="17" t="s">
        <v>3844</v>
      </c>
      <c r="C204" s="24" t="s">
        <v>3843</v>
      </c>
      <c r="D204" s="15" t="s">
        <v>15</v>
      </c>
      <c r="E204" s="22" t="s">
        <v>248</v>
      </c>
      <c r="F204" s="13">
        <v>39129</v>
      </c>
      <c r="G204" s="13" t="s">
        <v>1</v>
      </c>
      <c r="H204" s="13" t="s">
        <v>1</v>
      </c>
      <c r="I204" s="12" t="s">
        <v>13</v>
      </c>
      <c r="J204" s="12" t="s">
        <v>133</v>
      </c>
      <c r="K204" s="12" t="s">
        <v>132</v>
      </c>
      <c r="L204" s="12" t="s">
        <v>218</v>
      </c>
      <c r="M204" s="12" t="s">
        <v>217</v>
      </c>
      <c r="N204" s="12" t="s">
        <v>2932</v>
      </c>
      <c r="O204" s="12" t="s">
        <v>128</v>
      </c>
      <c r="P204" s="12" t="s">
        <v>72</v>
      </c>
      <c r="Q204" s="12" t="s">
        <v>5</v>
      </c>
      <c r="R204" s="12" t="s">
        <v>4</v>
      </c>
      <c r="S204" s="12" t="s">
        <v>3</v>
      </c>
      <c r="T204" s="12" t="s">
        <v>2</v>
      </c>
      <c r="U204" s="12" t="s">
        <v>1</v>
      </c>
      <c r="V204" s="12" t="s">
        <v>0</v>
      </c>
      <c r="W204" s="11">
        <v>41</v>
      </c>
      <c r="X204" s="10"/>
    </row>
    <row r="205" spans="1:24" s="9" customFormat="1" hidden="1" x14ac:dyDescent="0.25">
      <c r="A205" s="17">
        <v>9320</v>
      </c>
      <c r="B205" s="17" t="s">
        <v>3842</v>
      </c>
      <c r="C205" s="16" t="s">
        <v>3841</v>
      </c>
      <c r="D205" s="15" t="s">
        <v>15</v>
      </c>
      <c r="E205" s="14" t="s">
        <v>491</v>
      </c>
      <c r="F205" s="13">
        <v>40148</v>
      </c>
      <c r="G205" s="13" t="s">
        <v>1</v>
      </c>
      <c r="H205" s="13" t="s">
        <v>1</v>
      </c>
      <c r="I205" s="12" t="s">
        <v>13</v>
      </c>
      <c r="J205" s="12" t="s">
        <v>133</v>
      </c>
      <c r="K205" s="12" t="s">
        <v>132</v>
      </c>
      <c r="L205" s="12" t="s">
        <v>218</v>
      </c>
      <c r="M205" s="12" t="s">
        <v>217</v>
      </c>
      <c r="N205" s="12" t="s">
        <v>3840</v>
      </c>
      <c r="O205" s="12" t="s">
        <v>184</v>
      </c>
      <c r="P205" s="12" t="s">
        <v>72</v>
      </c>
      <c r="Q205" s="12" t="s">
        <v>20</v>
      </c>
      <c r="R205" s="12" t="s">
        <v>4</v>
      </c>
      <c r="S205" s="12" t="s">
        <v>3</v>
      </c>
      <c r="T205" s="12" t="s">
        <v>2</v>
      </c>
      <c r="U205" s="12" t="s">
        <v>1</v>
      </c>
      <c r="V205" s="12" t="s">
        <v>0</v>
      </c>
      <c r="W205" s="11">
        <v>33</v>
      </c>
    </row>
    <row r="206" spans="1:24" hidden="1" x14ac:dyDescent="0.25">
      <c r="A206" s="8">
        <v>11656</v>
      </c>
      <c r="B206" s="8" t="s">
        <v>3839</v>
      </c>
      <c r="C206" s="7" t="s">
        <v>3838</v>
      </c>
      <c r="D206" s="6" t="s">
        <v>15</v>
      </c>
      <c r="E206" s="8" t="s">
        <v>424</v>
      </c>
      <c r="F206" s="4">
        <v>40714</v>
      </c>
      <c r="G206" s="4" t="s">
        <v>1</v>
      </c>
      <c r="H206" s="4" t="s">
        <v>1</v>
      </c>
      <c r="I206" s="3" t="s">
        <v>13</v>
      </c>
      <c r="J206" s="3" t="s">
        <v>133</v>
      </c>
      <c r="K206" s="3" t="s">
        <v>132</v>
      </c>
      <c r="L206" s="3" t="s">
        <v>218</v>
      </c>
      <c r="M206" s="3" t="s">
        <v>217</v>
      </c>
      <c r="N206" s="3" t="s">
        <v>3837</v>
      </c>
      <c r="O206" s="3" t="s">
        <v>184</v>
      </c>
      <c r="P206" s="3" t="s">
        <v>72</v>
      </c>
      <c r="Q206" s="3" t="s">
        <v>20</v>
      </c>
      <c r="R206" s="3" t="s">
        <v>4</v>
      </c>
      <c r="S206" s="3" t="s">
        <v>3</v>
      </c>
      <c r="T206" s="3" t="s">
        <v>2</v>
      </c>
      <c r="U206" s="3" t="s">
        <v>1</v>
      </c>
      <c r="V206" s="3" t="s">
        <v>0</v>
      </c>
      <c r="W206" s="2">
        <v>32</v>
      </c>
    </row>
    <row r="207" spans="1:24" s="9" customFormat="1" hidden="1" x14ac:dyDescent="0.25">
      <c r="A207" s="17">
        <v>1099</v>
      </c>
      <c r="B207" s="17" t="s">
        <v>3836</v>
      </c>
      <c r="C207" s="16" t="s">
        <v>3835</v>
      </c>
      <c r="D207" s="15" t="s">
        <v>15</v>
      </c>
      <c r="E207" s="14" t="s">
        <v>56</v>
      </c>
      <c r="F207" s="13">
        <v>37887</v>
      </c>
      <c r="G207" s="13" t="s">
        <v>1</v>
      </c>
      <c r="H207" s="13" t="s">
        <v>1</v>
      </c>
      <c r="I207" s="12" t="s">
        <v>145</v>
      </c>
      <c r="J207" s="12" t="s">
        <v>133</v>
      </c>
      <c r="K207" s="12" t="s">
        <v>879</v>
      </c>
      <c r="L207" s="12" t="s">
        <v>879</v>
      </c>
      <c r="M207" s="12" t="s">
        <v>878</v>
      </c>
      <c r="N207" s="12" t="s">
        <v>269</v>
      </c>
      <c r="O207" s="12" t="s">
        <v>29</v>
      </c>
      <c r="P207" s="12" t="s">
        <v>72</v>
      </c>
      <c r="Q207" s="12" t="s">
        <v>20</v>
      </c>
      <c r="R207" s="12" t="s">
        <v>4</v>
      </c>
      <c r="S207" s="12" t="s">
        <v>3</v>
      </c>
      <c r="T207" s="12" t="s">
        <v>29</v>
      </c>
      <c r="U207" s="12" t="s">
        <v>1</v>
      </c>
      <c r="V207" s="12" t="s">
        <v>0</v>
      </c>
      <c r="W207" s="11">
        <v>40</v>
      </c>
      <c r="X207" s="10"/>
    </row>
    <row r="208" spans="1:24" hidden="1" x14ac:dyDescent="0.25">
      <c r="A208" s="8">
        <v>1104</v>
      </c>
      <c r="B208" s="8" t="s">
        <v>3834</v>
      </c>
      <c r="C208" s="7" t="s">
        <v>3833</v>
      </c>
      <c r="D208" s="6" t="s">
        <v>15</v>
      </c>
      <c r="E208" s="5" t="s">
        <v>56</v>
      </c>
      <c r="F208" s="4">
        <v>37887</v>
      </c>
      <c r="G208" s="4" t="s">
        <v>1</v>
      </c>
      <c r="H208" s="4" t="s">
        <v>1</v>
      </c>
      <c r="I208" s="3" t="s">
        <v>13</v>
      </c>
      <c r="J208" s="3" t="s">
        <v>133</v>
      </c>
      <c r="K208" s="3" t="s">
        <v>283</v>
      </c>
      <c r="L208" s="3" t="s">
        <v>999</v>
      </c>
      <c r="M208" s="3" t="s">
        <v>998</v>
      </c>
      <c r="N208" s="3" t="s">
        <v>3301</v>
      </c>
      <c r="O208" s="3" t="s">
        <v>100</v>
      </c>
      <c r="P208" s="3" t="s">
        <v>6</v>
      </c>
      <c r="Q208" s="3" t="s">
        <v>20</v>
      </c>
      <c r="R208" s="3" t="s">
        <v>4</v>
      </c>
      <c r="S208" s="3" t="s">
        <v>3</v>
      </c>
      <c r="T208" s="3" t="s">
        <v>2</v>
      </c>
      <c r="U208" s="3" t="s">
        <v>1</v>
      </c>
      <c r="V208" s="3" t="s">
        <v>0</v>
      </c>
      <c r="W208" s="2">
        <v>40</v>
      </c>
    </row>
    <row r="209" spans="1:24" hidden="1" x14ac:dyDescent="0.25">
      <c r="A209" s="26">
        <v>12274</v>
      </c>
      <c r="B209" s="8" t="s">
        <v>3832</v>
      </c>
      <c r="C209" s="19" t="s">
        <v>3831</v>
      </c>
      <c r="D209" s="6" t="s">
        <v>15</v>
      </c>
      <c r="E209" s="18" t="s">
        <v>1630</v>
      </c>
      <c r="F209" s="4">
        <v>40805</v>
      </c>
      <c r="G209" s="4" t="s">
        <v>1</v>
      </c>
      <c r="H209" s="4" t="s">
        <v>1</v>
      </c>
      <c r="I209" s="3" t="s">
        <v>13</v>
      </c>
      <c r="J209" s="3" t="s">
        <v>133</v>
      </c>
      <c r="K209" s="3" t="s">
        <v>132</v>
      </c>
      <c r="L209" s="3" t="s">
        <v>218</v>
      </c>
      <c r="M209" s="3" t="s">
        <v>217</v>
      </c>
      <c r="N209" s="3" t="s">
        <v>3830</v>
      </c>
      <c r="O209" s="3" t="s">
        <v>184</v>
      </c>
      <c r="P209" s="3" t="s">
        <v>72</v>
      </c>
      <c r="Q209" s="3" t="s">
        <v>20</v>
      </c>
      <c r="R209" s="3" t="s">
        <v>4</v>
      </c>
      <c r="S209" s="3" t="s">
        <v>3</v>
      </c>
      <c r="T209" s="3" t="s">
        <v>2</v>
      </c>
      <c r="U209" s="3" t="s">
        <v>1</v>
      </c>
      <c r="V209" s="3" t="s">
        <v>0</v>
      </c>
      <c r="W209" s="2">
        <v>31</v>
      </c>
    </row>
    <row r="210" spans="1:24" s="78" customFormat="1" hidden="1" x14ac:dyDescent="0.25">
      <c r="A210" s="73">
        <v>13871</v>
      </c>
      <c r="B210" s="73" t="s">
        <v>3829</v>
      </c>
      <c r="C210" s="87" t="s">
        <v>3828</v>
      </c>
      <c r="D210" s="88" t="s">
        <v>15</v>
      </c>
      <c r="E210" s="89" t="s">
        <v>3827</v>
      </c>
      <c r="F210" s="90">
        <v>41250</v>
      </c>
      <c r="G210" s="90" t="s">
        <v>1</v>
      </c>
      <c r="H210" s="90" t="s">
        <v>1</v>
      </c>
      <c r="I210" s="92" t="s">
        <v>13</v>
      </c>
      <c r="J210" s="92" t="s">
        <v>133</v>
      </c>
      <c r="K210" s="92" t="s">
        <v>132</v>
      </c>
      <c r="L210" s="92" t="s">
        <v>218</v>
      </c>
      <c r="M210" s="92" t="s">
        <v>217</v>
      </c>
      <c r="N210" s="92" t="s">
        <v>233</v>
      </c>
      <c r="O210" s="92" t="s">
        <v>128</v>
      </c>
      <c r="P210" s="92" t="s">
        <v>72</v>
      </c>
      <c r="Q210" s="92" t="s">
        <v>5</v>
      </c>
      <c r="R210" s="92" t="s">
        <v>4</v>
      </c>
      <c r="S210" s="92" t="s">
        <v>3</v>
      </c>
      <c r="T210" s="92" t="s">
        <v>2</v>
      </c>
      <c r="U210" s="92" t="s">
        <v>1</v>
      </c>
      <c r="V210" s="92" t="s">
        <v>0</v>
      </c>
      <c r="W210" s="93">
        <v>31</v>
      </c>
    </row>
    <row r="211" spans="1:24" hidden="1" x14ac:dyDescent="0.25">
      <c r="A211" s="8">
        <v>55</v>
      </c>
      <c r="B211" s="8" t="s">
        <v>3826</v>
      </c>
      <c r="C211" s="7" t="s">
        <v>3825</v>
      </c>
      <c r="D211" s="6" t="s">
        <v>15</v>
      </c>
      <c r="E211" s="5" t="s">
        <v>310</v>
      </c>
      <c r="F211" s="4">
        <v>37578</v>
      </c>
      <c r="G211" s="4" t="s">
        <v>1</v>
      </c>
      <c r="H211" s="4" t="s">
        <v>1</v>
      </c>
      <c r="I211" s="3" t="s">
        <v>13</v>
      </c>
      <c r="J211" s="3" t="s">
        <v>133</v>
      </c>
      <c r="K211" s="3" t="s">
        <v>262</v>
      </c>
      <c r="L211" s="3" t="s">
        <v>262</v>
      </c>
      <c r="M211" s="3" t="s">
        <v>277</v>
      </c>
      <c r="N211" s="3" t="s">
        <v>870</v>
      </c>
      <c r="O211" s="3" t="s">
        <v>21</v>
      </c>
      <c r="P211" s="3" t="s">
        <v>72</v>
      </c>
      <c r="Q211" s="3" t="s">
        <v>20</v>
      </c>
      <c r="R211" s="3" t="s">
        <v>4</v>
      </c>
      <c r="S211" s="3" t="s">
        <v>3</v>
      </c>
      <c r="T211" s="3" t="s">
        <v>2</v>
      </c>
      <c r="U211" s="3" t="s">
        <v>1</v>
      </c>
      <c r="V211" s="3" t="s">
        <v>0</v>
      </c>
      <c r="W211" s="2">
        <v>42</v>
      </c>
    </row>
    <row r="212" spans="1:24" hidden="1" x14ac:dyDescent="0.25">
      <c r="A212" s="8">
        <v>1109</v>
      </c>
      <c r="B212" s="8" t="s">
        <v>3824</v>
      </c>
      <c r="C212" s="28" t="s">
        <v>3823</v>
      </c>
      <c r="D212" s="6" t="s">
        <v>15</v>
      </c>
      <c r="E212" s="5" t="s">
        <v>3818</v>
      </c>
      <c r="F212" s="4">
        <v>37887</v>
      </c>
      <c r="G212" s="4" t="s">
        <v>1</v>
      </c>
      <c r="H212" s="4" t="s">
        <v>1</v>
      </c>
      <c r="I212" s="5" t="s">
        <v>365</v>
      </c>
      <c r="J212" s="5" t="s">
        <v>1142</v>
      </c>
      <c r="K212" s="5" t="s">
        <v>33</v>
      </c>
      <c r="L212" s="5" t="s">
        <v>33</v>
      </c>
      <c r="M212" s="5" t="s">
        <v>1142</v>
      </c>
      <c r="N212" s="18" t="s">
        <v>348</v>
      </c>
      <c r="O212" s="5" t="s">
        <v>347</v>
      </c>
      <c r="P212" s="47" t="s">
        <v>30</v>
      </c>
      <c r="Q212" s="5" t="s">
        <v>121</v>
      </c>
      <c r="R212" s="3" t="s">
        <v>4</v>
      </c>
      <c r="S212" s="3" t="s">
        <v>3</v>
      </c>
      <c r="T212" s="3" t="s">
        <v>38</v>
      </c>
      <c r="U212" s="3" t="s">
        <v>1</v>
      </c>
      <c r="V212" s="3" t="s">
        <v>0</v>
      </c>
      <c r="W212" s="2">
        <v>42</v>
      </c>
    </row>
    <row r="213" spans="1:24" s="9" customFormat="1" hidden="1" x14ac:dyDescent="0.25">
      <c r="A213" s="17">
        <v>1111</v>
      </c>
      <c r="B213" s="17" t="s">
        <v>3822</v>
      </c>
      <c r="C213" s="16" t="s">
        <v>3821</v>
      </c>
      <c r="D213" s="15" t="s">
        <v>15</v>
      </c>
      <c r="E213" s="14" t="s">
        <v>3818</v>
      </c>
      <c r="F213" s="13">
        <v>37887</v>
      </c>
      <c r="G213" s="13" t="s">
        <v>1</v>
      </c>
      <c r="H213" s="13" t="s">
        <v>1</v>
      </c>
      <c r="I213" s="14" t="s">
        <v>50</v>
      </c>
      <c r="J213" s="14" t="s">
        <v>1334</v>
      </c>
      <c r="K213" s="14" t="s">
        <v>33</v>
      </c>
      <c r="L213" s="14" t="s">
        <v>33</v>
      </c>
      <c r="M213" s="14" t="s">
        <v>1333</v>
      </c>
      <c r="N213" s="22" t="s">
        <v>348</v>
      </c>
      <c r="O213" s="14" t="s">
        <v>368</v>
      </c>
      <c r="P213" s="14" t="s">
        <v>30</v>
      </c>
      <c r="Q213" s="14" t="s">
        <v>47</v>
      </c>
      <c r="R213" s="12" t="s">
        <v>4</v>
      </c>
      <c r="S213" s="12" t="s">
        <v>3</v>
      </c>
      <c r="T213" s="12" t="s">
        <v>38</v>
      </c>
      <c r="U213" s="12" t="s">
        <v>1</v>
      </c>
      <c r="V213" s="12" t="s">
        <v>18</v>
      </c>
      <c r="W213" s="11">
        <v>41</v>
      </c>
      <c r="X213" s="10"/>
    </row>
    <row r="214" spans="1:24" hidden="1" x14ac:dyDescent="0.25">
      <c r="A214" s="8">
        <v>1113</v>
      </c>
      <c r="B214" s="8" t="s">
        <v>3820</v>
      </c>
      <c r="C214" s="7" t="s">
        <v>3819</v>
      </c>
      <c r="D214" s="6" t="s">
        <v>15</v>
      </c>
      <c r="E214" s="5" t="s">
        <v>3818</v>
      </c>
      <c r="F214" s="4">
        <v>37887</v>
      </c>
      <c r="G214" s="4" t="s">
        <v>1</v>
      </c>
      <c r="H214" s="4" t="s">
        <v>1</v>
      </c>
      <c r="I214" s="3" t="s">
        <v>145</v>
      </c>
      <c r="J214" s="3" t="s">
        <v>34</v>
      </c>
      <c r="K214" s="3" t="s">
        <v>33</v>
      </c>
      <c r="L214" s="3" t="s">
        <v>33</v>
      </c>
      <c r="M214" s="3" t="s">
        <v>1398</v>
      </c>
      <c r="N214" s="3" t="s">
        <v>348</v>
      </c>
      <c r="O214" s="3" t="s">
        <v>368</v>
      </c>
      <c r="P214" s="3" t="s">
        <v>30</v>
      </c>
      <c r="Q214" s="3" t="s">
        <v>47</v>
      </c>
      <c r="R214" s="3" t="s">
        <v>4</v>
      </c>
      <c r="S214" s="3" t="s">
        <v>3</v>
      </c>
      <c r="T214" s="3" t="s">
        <v>38</v>
      </c>
      <c r="U214" s="3" t="s">
        <v>1</v>
      </c>
      <c r="V214" s="3" t="s">
        <v>18</v>
      </c>
      <c r="W214" s="2">
        <v>42</v>
      </c>
    </row>
    <row r="215" spans="1:24" hidden="1" x14ac:dyDescent="0.25">
      <c r="A215" s="8">
        <v>1123</v>
      </c>
      <c r="B215" s="8" t="s">
        <v>3817</v>
      </c>
      <c r="C215" s="7" t="s">
        <v>3816</v>
      </c>
      <c r="D215" s="6" t="s">
        <v>15</v>
      </c>
      <c r="E215" s="5" t="s">
        <v>556</v>
      </c>
      <c r="F215" s="4">
        <v>37900</v>
      </c>
      <c r="G215" s="4" t="s">
        <v>1</v>
      </c>
      <c r="H215" s="4" t="s">
        <v>1</v>
      </c>
      <c r="I215" s="3" t="s">
        <v>145</v>
      </c>
      <c r="J215" s="3" t="s">
        <v>12</v>
      </c>
      <c r="K215" s="3" t="s">
        <v>132</v>
      </c>
      <c r="L215" s="3" t="s">
        <v>218</v>
      </c>
      <c r="M215" s="3" t="s">
        <v>1968</v>
      </c>
      <c r="N215" s="3" t="s">
        <v>269</v>
      </c>
      <c r="O215" s="3" t="s">
        <v>29</v>
      </c>
      <c r="P215" s="3" t="s">
        <v>6</v>
      </c>
      <c r="Q215" s="3" t="s">
        <v>20</v>
      </c>
      <c r="R215" s="3" t="s">
        <v>4</v>
      </c>
      <c r="S215" s="3" t="s">
        <v>3</v>
      </c>
      <c r="T215" s="3" t="s">
        <v>29</v>
      </c>
      <c r="U215" s="3" t="s">
        <v>1</v>
      </c>
      <c r="V215" s="3" t="s">
        <v>0</v>
      </c>
      <c r="W215" s="2">
        <v>40</v>
      </c>
    </row>
    <row r="216" spans="1:24" hidden="1" x14ac:dyDescent="0.25">
      <c r="A216" s="8">
        <v>1126</v>
      </c>
      <c r="B216" s="8" t="s">
        <v>3815</v>
      </c>
      <c r="C216" s="7" t="s">
        <v>2507</v>
      </c>
      <c r="D216" s="6" t="s">
        <v>15</v>
      </c>
      <c r="E216" s="5" t="s">
        <v>556</v>
      </c>
      <c r="F216" s="4">
        <v>37900</v>
      </c>
      <c r="G216" s="4" t="s">
        <v>1</v>
      </c>
      <c r="H216" s="4" t="s">
        <v>1</v>
      </c>
      <c r="I216" s="3" t="s">
        <v>13</v>
      </c>
      <c r="J216" s="3" t="s">
        <v>12</v>
      </c>
      <c r="K216" s="3" t="s">
        <v>262</v>
      </c>
      <c r="L216" s="3" t="s">
        <v>261</v>
      </c>
      <c r="M216" s="3" t="s">
        <v>260</v>
      </c>
      <c r="N216" s="3" t="s">
        <v>1078</v>
      </c>
      <c r="O216" s="3" t="s">
        <v>29</v>
      </c>
      <c r="P216" s="3" t="s">
        <v>6</v>
      </c>
      <c r="Q216" s="3" t="s">
        <v>20</v>
      </c>
      <c r="R216" s="3" t="s">
        <v>4</v>
      </c>
      <c r="S216" s="3" t="s">
        <v>3</v>
      </c>
      <c r="T216" s="3" t="s">
        <v>1077</v>
      </c>
      <c r="U216" s="3" t="s">
        <v>1</v>
      </c>
      <c r="V216" s="3" t="s">
        <v>0</v>
      </c>
      <c r="W216" s="2">
        <v>39</v>
      </c>
    </row>
    <row r="217" spans="1:24" s="9" customFormat="1" hidden="1" x14ac:dyDescent="0.25">
      <c r="A217" s="17">
        <v>365</v>
      </c>
      <c r="B217" s="17" t="s">
        <v>3814</v>
      </c>
      <c r="C217" s="16" t="s">
        <v>3813</v>
      </c>
      <c r="D217" s="15" t="s">
        <v>15</v>
      </c>
      <c r="E217" s="14" t="s">
        <v>298</v>
      </c>
      <c r="F217" s="13">
        <v>37732</v>
      </c>
      <c r="G217" s="13" t="s">
        <v>1</v>
      </c>
      <c r="H217" s="13" t="s">
        <v>1</v>
      </c>
      <c r="I217" s="12" t="s">
        <v>13</v>
      </c>
      <c r="J217" s="12" t="s">
        <v>133</v>
      </c>
      <c r="K217" s="12" t="s">
        <v>262</v>
      </c>
      <c r="L217" s="12" t="s">
        <v>262</v>
      </c>
      <c r="M217" s="12" t="s">
        <v>277</v>
      </c>
      <c r="N217" s="12" t="s">
        <v>198</v>
      </c>
      <c r="O217" s="12" t="s">
        <v>184</v>
      </c>
      <c r="P217" s="12" t="s">
        <v>72</v>
      </c>
      <c r="Q217" s="12" t="s">
        <v>20</v>
      </c>
      <c r="R217" s="12" t="s">
        <v>4</v>
      </c>
      <c r="S217" s="12" t="s">
        <v>3</v>
      </c>
      <c r="T217" s="12" t="s">
        <v>2</v>
      </c>
      <c r="U217" s="12" t="s">
        <v>1</v>
      </c>
      <c r="V217" s="12" t="s">
        <v>0</v>
      </c>
      <c r="W217" s="11">
        <v>41</v>
      </c>
      <c r="X217" s="10"/>
    </row>
    <row r="218" spans="1:24" hidden="1" x14ac:dyDescent="0.25">
      <c r="A218" s="8">
        <v>1133</v>
      </c>
      <c r="B218" s="8" t="s">
        <v>3812</v>
      </c>
      <c r="C218" s="19" t="s">
        <v>3811</v>
      </c>
      <c r="D218" s="6" t="s">
        <v>15</v>
      </c>
      <c r="E218" s="18" t="s">
        <v>556</v>
      </c>
      <c r="F218" s="4">
        <v>37900</v>
      </c>
      <c r="G218" s="4" t="s">
        <v>1</v>
      </c>
      <c r="H218" s="4" t="s">
        <v>1</v>
      </c>
      <c r="I218" s="3" t="s">
        <v>13</v>
      </c>
      <c r="J218" s="3" t="s">
        <v>12</v>
      </c>
      <c r="K218" s="3" t="s">
        <v>262</v>
      </c>
      <c r="L218" s="3" t="s">
        <v>261</v>
      </c>
      <c r="M218" s="3" t="s">
        <v>260</v>
      </c>
      <c r="N218" s="3" t="s">
        <v>1100</v>
      </c>
      <c r="O218" s="3" t="s">
        <v>59</v>
      </c>
      <c r="P218" s="3" t="s">
        <v>6</v>
      </c>
      <c r="Q218" s="3" t="s">
        <v>5</v>
      </c>
      <c r="R218" s="3" t="s">
        <v>4</v>
      </c>
      <c r="S218" s="3" t="s">
        <v>3</v>
      </c>
      <c r="T218" s="3" t="s">
        <v>2</v>
      </c>
      <c r="U218" s="3" t="s">
        <v>1</v>
      </c>
      <c r="V218" s="3" t="s">
        <v>0</v>
      </c>
      <c r="W218" s="2">
        <v>39</v>
      </c>
    </row>
    <row r="219" spans="1:24" hidden="1" x14ac:dyDescent="0.25">
      <c r="A219" s="8">
        <v>1137</v>
      </c>
      <c r="B219" s="8" t="s">
        <v>3810</v>
      </c>
      <c r="C219" s="7" t="s">
        <v>3809</v>
      </c>
      <c r="D219" s="6" t="s">
        <v>15</v>
      </c>
      <c r="E219" s="5" t="s">
        <v>556</v>
      </c>
      <c r="F219" s="4">
        <v>37900</v>
      </c>
      <c r="G219" s="4" t="s">
        <v>1</v>
      </c>
      <c r="H219" s="4" t="s">
        <v>1</v>
      </c>
      <c r="I219" s="3" t="s">
        <v>145</v>
      </c>
      <c r="J219" s="3" t="s">
        <v>12</v>
      </c>
      <c r="K219" s="3" t="s">
        <v>11</v>
      </c>
      <c r="L219" s="3" t="s">
        <v>10</v>
      </c>
      <c r="M219" s="3" t="s">
        <v>9</v>
      </c>
      <c r="N219" s="3" t="s">
        <v>2218</v>
      </c>
      <c r="O219" s="3" t="s">
        <v>2217</v>
      </c>
      <c r="P219" s="3" t="s">
        <v>6</v>
      </c>
      <c r="Q219" s="3" t="s">
        <v>20</v>
      </c>
      <c r="R219" s="3" t="s">
        <v>4</v>
      </c>
      <c r="S219" s="3" t="s">
        <v>3</v>
      </c>
      <c r="T219" s="3" t="s">
        <v>29</v>
      </c>
      <c r="U219" s="3" t="s">
        <v>1</v>
      </c>
      <c r="V219" s="3" t="s">
        <v>0</v>
      </c>
      <c r="W219" s="2">
        <v>39</v>
      </c>
    </row>
    <row r="220" spans="1:24" s="9" customFormat="1" hidden="1" x14ac:dyDescent="0.25">
      <c r="A220" s="17">
        <v>1275</v>
      </c>
      <c r="B220" s="17" t="s">
        <v>3808</v>
      </c>
      <c r="C220" s="16" t="s">
        <v>3807</v>
      </c>
      <c r="D220" s="15" t="s">
        <v>15</v>
      </c>
      <c r="E220" s="14" t="s">
        <v>1581</v>
      </c>
      <c r="F220" s="13">
        <v>37921</v>
      </c>
      <c r="G220" s="13" t="s">
        <v>1</v>
      </c>
      <c r="H220" s="13" t="s">
        <v>1</v>
      </c>
      <c r="I220" s="12" t="s">
        <v>13</v>
      </c>
      <c r="J220" s="12" t="s">
        <v>133</v>
      </c>
      <c r="K220" s="12" t="s">
        <v>262</v>
      </c>
      <c r="L220" s="12" t="s">
        <v>262</v>
      </c>
      <c r="M220" s="12" t="s">
        <v>277</v>
      </c>
      <c r="N220" s="12" t="s">
        <v>1545</v>
      </c>
      <c r="O220" s="12" t="s">
        <v>453</v>
      </c>
      <c r="P220" s="12" t="s">
        <v>72</v>
      </c>
      <c r="Q220" s="12" t="s">
        <v>5</v>
      </c>
      <c r="R220" s="12" t="s">
        <v>4</v>
      </c>
      <c r="S220" s="12" t="s">
        <v>3</v>
      </c>
      <c r="T220" s="12" t="s">
        <v>2</v>
      </c>
      <c r="U220" s="12" t="s">
        <v>1</v>
      </c>
      <c r="V220" s="12" t="s">
        <v>0</v>
      </c>
      <c r="W220" s="11">
        <v>39</v>
      </c>
      <c r="X220" s="10"/>
    </row>
    <row r="221" spans="1:24" s="9" customFormat="1" hidden="1" x14ac:dyDescent="0.25">
      <c r="A221" s="17">
        <v>5443</v>
      </c>
      <c r="B221" s="17" t="s">
        <v>3806</v>
      </c>
      <c r="C221" s="16" t="s">
        <v>3805</v>
      </c>
      <c r="D221" s="15" t="s">
        <v>15</v>
      </c>
      <c r="E221" s="14" t="s">
        <v>44</v>
      </c>
      <c r="F221" s="13">
        <v>38991</v>
      </c>
      <c r="G221" s="13" t="s">
        <v>1</v>
      </c>
      <c r="H221" s="13" t="s">
        <v>1</v>
      </c>
      <c r="I221" s="12" t="s">
        <v>13</v>
      </c>
      <c r="J221" s="12" t="s">
        <v>133</v>
      </c>
      <c r="K221" s="12" t="s">
        <v>262</v>
      </c>
      <c r="L221" s="12" t="s">
        <v>262</v>
      </c>
      <c r="M221" s="12" t="s">
        <v>277</v>
      </c>
      <c r="N221" s="12" t="s">
        <v>1362</v>
      </c>
      <c r="O221" s="12" t="s">
        <v>39</v>
      </c>
      <c r="P221" s="12" t="s">
        <v>72</v>
      </c>
      <c r="Q221" s="12" t="s">
        <v>20</v>
      </c>
      <c r="R221" s="12" t="s">
        <v>4</v>
      </c>
      <c r="S221" s="12" t="s">
        <v>3</v>
      </c>
      <c r="T221" s="12" t="s">
        <v>1361</v>
      </c>
      <c r="U221" s="12" t="s">
        <v>1</v>
      </c>
      <c r="V221" s="12" t="s">
        <v>0</v>
      </c>
      <c r="W221" s="11">
        <v>39</v>
      </c>
      <c r="X221" s="10"/>
    </row>
    <row r="222" spans="1:24" s="9" customFormat="1" hidden="1" x14ac:dyDescent="0.25">
      <c r="A222" s="17">
        <v>1141</v>
      </c>
      <c r="B222" s="17" t="s">
        <v>3804</v>
      </c>
      <c r="C222" s="16" t="s">
        <v>3803</v>
      </c>
      <c r="D222" s="15" t="s">
        <v>15</v>
      </c>
      <c r="E222" s="14" t="s">
        <v>556</v>
      </c>
      <c r="F222" s="13">
        <v>37900</v>
      </c>
      <c r="G222" s="13" t="s">
        <v>1</v>
      </c>
      <c r="H222" s="13" t="s">
        <v>1</v>
      </c>
      <c r="I222" s="14" t="s">
        <v>93</v>
      </c>
      <c r="J222" s="14" t="s">
        <v>466</v>
      </c>
      <c r="K222" s="14" t="s">
        <v>33</v>
      </c>
      <c r="L222" s="14" t="s">
        <v>33</v>
      </c>
      <c r="M222" s="14" t="s">
        <v>466</v>
      </c>
      <c r="N222" s="12" t="s">
        <v>909</v>
      </c>
      <c r="O222" s="12" t="s">
        <v>464</v>
      </c>
      <c r="P222" s="14" t="s">
        <v>30</v>
      </c>
      <c r="Q222" s="14" t="s">
        <v>47</v>
      </c>
      <c r="R222" s="12" t="s">
        <v>4</v>
      </c>
      <c r="S222" s="12" t="s">
        <v>3</v>
      </c>
      <c r="T222" s="12" t="s">
        <v>29</v>
      </c>
      <c r="U222" s="12" t="s">
        <v>1</v>
      </c>
      <c r="V222" s="12" t="s">
        <v>0</v>
      </c>
      <c r="W222" s="11">
        <v>40</v>
      </c>
      <c r="X222" s="10"/>
    </row>
    <row r="223" spans="1:24" hidden="1" x14ac:dyDescent="0.25">
      <c r="A223" s="8">
        <v>1143</v>
      </c>
      <c r="B223" s="8" t="s">
        <v>3802</v>
      </c>
      <c r="C223" s="7" t="s">
        <v>3801</v>
      </c>
      <c r="D223" s="6" t="s">
        <v>15</v>
      </c>
      <c r="E223" s="5" t="s">
        <v>556</v>
      </c>
      <c r="F223" s="4">
        <v>37900</v>
      </c>
      <c r="G223" s="4" t="s">
        <v>1</v>
      </c>
      <c r="H223" s="4" t="s">
        <v>1</v>
      </c>
      <c r="I223" s="3" t="s">
        <v>13</v>
      </c>
      <c r="J223" s="3" t="s">
        <v>133</v>
      </c>
      <c r="K223" s="3" t="s">
        <v>262</v>
      </c>
      <c r="L223" s="3" t="s">
        <v>262</v>
      </c>
      <c r="M223" s="3" t="s">
        <v>277</v>
      </c>
      <c r="N223" s="3" t="s">
        <v>198</v>
      </c>
      <c r="O223" s="3" t="s">
        <v>184</v>
      </c>
      <c r="P223" s="3" t="s">
        <v>6</v>
      </c>
      <c r="Q223" s="3" t="s">
        <v>20</v>
      </c>
      <c r="R223" s="3" t="s">
        <v>4</v>
      </c>
      <c r="S223" s="3" t="s">
        <v>3</v>
      </c>
      <c r="T223" s="3" t="s">
        <v>2</v>
      </c>
      <c r="U223" s="3" t="s">
        <v>1</v>
      </c>
      <c r="V223" s="3" t="s">
        <v>0</v>
      </c>
      <c r="W223" s="2">
        <v>42</v>
      </c>
    </row>
    <row r="224" spans="1:24" hidden="1" x14ac:dyDescent="0.25">
      <c r="A224" s="8">
        <v>5493</v>
      </c>
      <c r="B224" s="8" t="s">
        <v>3800</v>
      </c>
      <c r="C224" s="7" t="s">
        <v>3799</v>
      </c>
      <c r="D224" s="6" t="s">
        <v>15</v>
      </c>
      <c r="E224" s="5" t="s">
        <v>2759</v>
      </c>
      <c r="F224" s="4">
        <v>39022</v>
      </c>
      <c r="G224" s="4" t="s">
        <v>1</v>
      </c>
      <c r="H224" s="4" t="s">
        <v>1</v>
      </c>
      <c r="I224" s="3" t="s">
        <v>13</v>
      </c>
      <c r="J224" s="3" t="s">
        <v>133</v>
      </c>
      <c r="K224" s="3" t="s">
        <v>262</v>
      </c>
      <c r="L224" s="3" t="s">
        <v>262</v>
      </c>
      <c r="M224" s="3" t="s">
        <v>277</v>
      </c>
      <c r="N224" s="3" t="s">
        <v>276</v>
      </c>
      <c r="O224" s="3" t="s">
        <v>184</v>
      </c>
      <c r="P224" s="3" t="s">
        <v>72</v>
      </c>
      <c r="Q224" s="3" t="s">
        <v>20</v>
      </c>
      <c r="R224" s="3" t="s">
        <v>4</v>
      </c>
      <c r="S224" s="3" t="s">
        <v>3</v>
      </c>
      <c r="T224" s="3" t="s">
        <v>2</v>
      </c>
      <c r="U224" s="3" t="s">
        <v>1</v>
      </c>
      <c r="V224" s="3" t="s">
        <v>0</v>
      </c>
      <c r="W224" s="2">
        <v>40</v>
      </c>
    </row>
    <row r="225" spans="1:24" hidden="1" x14ac:dyDescent="0.25">
      <c r="A225" s="8">
        <v>5791</v>
      </c>
      <c r="B225" s="8" t="s">
        <v>3798</v>
      </c>
      <c r="C225" s="7" t="s">
        <v>3797</v>
      </c>
      <c r="D225" s="6" t="s">
        <v>15</v>
      </c>
      <c r="E225" s="5" t="s">
        <v>251</v>
      </c>
      <c r="F225" s="4">
        <v>39114</v>
      </c>
      <c r="G225" s="4" t="s">
        <v>1</v>
      </c>
      <c r="H225" s="4" t="s">
        <v>1</v>
      </c>
      <c r="I225" s="3" t="s">
        <v>13</v>
      </c>
      <c r="J225" s="3" t="s">
        <v>133</v>
      </c>
      <c r="K225" s="3" t="s">
        <v>262</v>
      </c>
      <c r="L225" s="3" t="s">
        <v>262</v>
      </c>
      <c r="M225" s="3" t="s">
        <v>277</v>
      </c>
      <c r="N225" s="3" t="s">
        <v>1010</v>
      </c>
      <c r="O225" s="3" t="s">
        <v>128</v>
      </c>
      <c r="P225" s="3" t="s">
        <v>72</v>
      </c>
      <c r="Q225" s="3" t="s">
        <v>5</v>
      </c>
      <c r="R225" s="3" t="s">
        <v>4</v>
      </c>
      <c r="S225" s="3" t="s">
        <v>3</v>
      </c>
      <c r="T225" s="3" t="s">
        <v>2</v>
      </c>
      <c r="U225" s="3" t="s">
        <v>1</v>
      </c>
      <c r="V225" s="3" t="s">
        <v>18</v>
      </c>
      <c r="W225" s="2">
        <v>40</v>
      </c>
    </row>
    <row r="226" spans="1:24" s="9" customFormat="1" hidden="1" x14ac:dyDescent="0.25">
      <c r="A226" s="17">
        <v>1153</v>
      </c>
      <c r="B226" s="17" t="s">
        <v>3796</v>
      </c>
      <c r="C226" s="16" t="s">
        <v>3795</v>
      </c>
      <c r="D226" s="15" t="s">
        <v>15</v>
      </c>
      <c r="E226" s="14" t="s">
        <v>556</v>
      </c>
      <c r="F226" s="13">
        <v>37900</v>
      </c>
      <c r="G226" s="13" t="s">
        <v>1</v>
      </c>
      <c r="H226" s="13" t="s">
        <v>1</v>
      </c>
      <c r="I226" s="12" t="s">
        <v>384</v>
      </c>
      <c r="J226" s="12" t="s">
        <v>807</v>
      </c>
      <c r="K226" s="12" t="s">
        <v>33</v>
      </c>
      <c r="L226" s="12" t="s">
        <v>33</v>
      </c>
      <c r="M226" s="12" t="s">
        <v>807</v>
      </c>
      <c r="N226" s="12" t="s">
        <v>806</v>
      </c>
      <c r="O226" s="12" t="s">
        <v>387</v>
      </c>
      <c r="P226" s="12" t="s">
        <v>30</v>
      </c>
      <c r="Q226" s="12" t="s">
        <v>47</v>
      </c>
      <c r="R226" s="12" t="s">
        <v>4</v>
      </c>
      <c r="S226" s="12" t="s">
        <v>3</v>
      </c>
      <c r="T226" s="12" t="s">
        <v>121</v>
      </c>
      <c r="U226" s="12" t="s">
        <v>1</v>
      </c>
      <c r="V226" s="12" t="s">
        <v>0</v>
      </c>
      <c r="W226" s="11">
        <v>42</v>
      </c>
      <c r="X226" s="10"/>
    </row>
    <row r="227" spans="1:24" hidden="1" x14ac:dyDescent="0.25">
      <c r="A227" s="8">
        <v>1154</v>
      </c>
      <c r="B227" s="8" t="s">
        <v>3794</v>
      </c>
      <c r="C227" s="7" t="s">
        <v>3793</v>
      </c>
      <c r="D227" s="6" t="s">
        <v>15</v>
      </c>
      <c r="E227" s="5" t="s">
        <v>556</v>
      </c>
      <c r="F227" s="4">
        <v>37900</v>
      </c>
      <c r="G227" s="4" t="s">
        <v>1</v>
      </c>
      <c r="H227" s="4" t="s">
        <v>1</v>
      </c>
      <c r="I227" s="3" t="s">
        <v>145</v>
      </c>
      <c r="J227" s="3" t="s">
        <v>12</v>
      </c>
      <c r="K227" s="3" t="s">
        <v>283</v>
      </c>
      <c r="L227" s="3" t="s">
        <v>282</v>
      </c>
      <c r="M227" s="3" t="s">
        <v>281</v>
      </c>
      <c r="N227" s="3" t="s">
        <v>269</v>
      </c>
      <c r="O227" s="3" t="s">
        <v>29</v>
      </c>
      <c r="P227" s="3" t="s">
        <v>72</v>
      </c>
      <c r="Q227" s="3" t="s">
        <v>20</v>
      </c>
      <c r="R227" s="3" t="s">
        <v>4</v>
      </c>
      <c r="S227" s="3" t="s">
        <v>3</v>
      </c>
      <c r="T227" s="3" t="s">
        <v>29</v>
      </c>
      <c r="U227" s="3" t="s">
        <v>1</v>
      </c>
      <c r="V227" s="3" t="s">
        <v>0</v>
      </c>
      <c r="W227" s="2">
        <v>40</v>
      </c>
    </row>
    <row r="228" spans="1:24" s="9" customFormat="1" hidden="1" x14ac:dyDescent="0.25">
      <c r="A228" s="17">
        <v>1158</v>
      </c>
      <c r="B228" s="17" t="s">
        <v>3792</v>
      </c>
      <c r="C228" s="43" t="s">
        <v>3791</v>
      </c>
      <c r="D228" s="15" t="s">
        <v>15</v>
      </c>
      <c r="E228" s="14" t="s">
        <v>343</v>
      </c>
      <c r="F228" s="13">
        <v>37900</v>
      </c>
      <c r="G228" s="13" t="s">
        <v>1</v>
      </c>
      <c r="H228" s="13" t="s">
        <v>1</v>
      </c>
      <c r="I228" s="14" t="s">
        <v>365</v>
      </c>
      <c r="J228" s="14" t="s">
        <v>240</v>
      </c>
      <c r="K228" s="14" t="s">
        <v>33</v>
      </c>
      <c r="L228" s="14" t="s">
        <v>33</v>
      </c>
      <c r="M228" s="12" t="s">
        <v>694</v>
      </c>
      <c r="N228" s="12" t="s">
        <v>939</v>
      </c>
      <c r="O228" s="12" t="s">
        <v>339</v>
      </c>
      <c r="P228" s="12" t="s">
        <v>30</v>
      </c>
      <c r="Q228" s="12" t="s">
        <v>121</v>
      </c>
      <c r="R228" s="12" t="s">
        <v>4</v>
      </c>
      <c r="S228" s="12" t="s">
        <v>3</v>
      </c>
      <c r="T228" s="12" t="s">
        <v>338</v>
      </c>
      <c r="U228" s="12" t="s">
        <v>1</v>
      </c>
      <c r="V228" s="12" t="s">
        <v>18</v>
      </c>
      <c r="W228" s="11">
        <v>44</v>
      </c>
      <c r="X228" s="10"/>
    </row>
    <row r="229" spans="1:24" s="78" customFormat="1" hidden="1" x14ac:dyDescent="0.25">
      <c r="A229" s="73">
        <v>1160</v>
      </c>
      <c r="B229" s="73" t="s">
        <v>3790</v>
      </c>
      <c r="C229" s="95" t="s">
        <v>3789</v>
      </c>
      <c r="D229" s="88" t="s">
        <v>15</v>
      </c>
      <c r="E229" s="89" t="s">
        <v>343</v>
      </c>
      <c r="F229" s="90">
        <v>37900</v>
      </c>
      <c r="G229" s="90" t="s">
        <v>1</v>
      </c>
      <c r="H229" s="90" t="s">
        <v>1</v>
      </c>
      <c r="I229" s="89" t="s">
        <v>365</v>
      </c>
      <c r="J229" s="89" t="s">
        <v>1142</v>
      </c>
      <c r="K229" s="89" t="s">
        <v>33</v>
      </c>
      <c r="L229" s="89" t="s">
        <v>33</v>
      </c>
      <c r="M229" s="89" t="s">
        <v>1142</v>
      </c>
      <c r="N229" s="89" t="s">
        <v>3606</v>
      </c>
      <c r="O229" s="89" t="s">
        <v>339</v>
      </c>
      <c r="P229" s="89" t="s">
        <v>30</v>
      </c>
      <c r="Q229" s="89" t="s">
        <v>121</v>
      </c>
      <c r="R229" s="92" t="s">
        <v>4</v>
      </c>
      <c r="S229" s="92" t="s">
        <v>3</v>
      </c>
      <c r="T229" s="92" t="s">
        <v>338</v>
      </c>
      <c r="U229" s="92" t="s">
        <v>1</v>
      </c>
      <c r="V229" s="92" t="s">
        <v>18</v>
      </c>
      <c r="W229" s="93">
        <v>44</v>
      </c>
    </row>
    <row r="230" spans="1:24" hidden="1" x14ac:dyDescent="0.25">
      <c r="A230" s="8">
        <v>1168</v>
      </c>
      <c r="B230" s="8" t="s">
        <v>3788</v>
      </c>
      <c r="C230" s="7" t="s">
        <v>3787</v>
      </c>
      <c r="D230" s="6" t="s">
        <v>15</v>
      </c>
      <c r="E230" s="5" t="s">
        <v>1942</v>
      </c>
      <c r="F230" s="4">
        <v>37907</v>
      </c>
      <c r="G230" s="4" t="s">
        <v>1</v>
      </c>
      <c r="H230" s="4" t="s">
        <v>1</v>
      </c>
      <c r="I230" s="3" t="s">
        <v>13</v>
      </c>
      <c r="J230" s="3" t="s">
        <v>12</v>
      </c>
      <c r="K230" s="3" t="s">
        <v>262</v>
      </c>
      <c r="L230" s="3" t="s">
        <v>261</v>
      </c>
      <c r="M230" s="3" t="s">
        <v>329</v>
      </c>
      <c r="N230" s="3" t="s">
        <v>1078</v>
      </c>
      <c r="O230" s="3" t="s">
        <v>29</v>
      </c>
      <c r="P230" s="3" t="s">
        <v>6</v>
      </c>
      <c r="Q230" s="3" t="s">
        <v>20</v>
      </c>
      <c r="R230" s="3" t="s">
        <v>4</v>
      </c>
      <c r="S230" s="3" t="s">
        <v>3</v>
      </c>
      <c r="T230" s="3" t="s">
        <v>1077</v>
      </c>
      <c r="U230" s="3" t="s">
        <v>1</v>
      </c>
      <c r="V230" s="3" t="s">
        <v>0</v>
      </c>
      <c r="W230" s="2">
        <v>41</v>
      </c>
    </row>
    <row r="231" spans="1:24" hidden="1" x14ac:dyDescent="0.25">
      <c r="A231" s="8">
        <v>5835</v>
      </c>
      <c r="B231" s="8" t="s">
        <v>3786</v>
      </c>
      <c r="C231" s="7" t="s">
        <v>3785</v>
      </c>
      <c r="D231" s="6" t="s">
        <v>15</v>
      </c>
      <c r="E231" s="5" t="s">
        <v>251</v>
      </c>
      <c r="F231" s="4">
        <v>39114</v>
      </c>
      <c r="G231" s="4" t="s">
        <v>1</v>
      </c>
      <c r="H231" s="4" t="s">
        <v>1</v>
      </c>
      <c r="I231" s="3" t="s">
        <v>13</v>
      </c>
      <c r="J231" s="3" t="s">
        <v>133</v>
      </c>
      <c r="K231" s="3" t="s">
        <v>262</v>
      </c>
      <c r="L231" s="3" t="s">
        <v>262</v>
      </c>
      <c r="M231" s="3" t="s">
        <v>277</v>
      </c>
      <c r="N231" s="3" t="s">
        <v>3784</v>
      </c>
      <c r="O231" s="3" t="s">
        <v>128</v>
      </c>
      <c r="P231" s="3" t="s">
        <v>72</v>
      </c>
      <c r="Q231" s="3" t="s">
        <v>5</v>
      </c>
      <c r="R231" s="3" t="s">
        <v>4</v>
      </c>
      <c r="S231" s="3" t="s">
        <v>3</v>
      </c>
      <c r="T231" s="3" t="s">
        <v>2</v>
      </c>
      <c r="U231" s="3" t="s">
        <v>1</v>
      </c>
      <c r="V231" s="3" t="s">
        <v>0</v>
      </c>
      <c r="W231" s="2">
        <v>39</v>
      </c>
    </row>
    <row r="232" spans="1:24" hidden="1" x14ac:dyDescent="0.25">
      <c r="A232" s="8">
        <v>1171</v>
      </c>
      <c r="B232" s="8" t="s">
        <v>3783</v>
      </c>
      <c r="C232" s="7" t="s">
        <v>3782</v>
      </c>
      <c r="D232" s="6" t="s">
        <v>15</v>
      </c>
      <c r="E232" s="5" t="s">
        <v>1942</v>
      </c>
      <c r="F232" s="4">
        <v>37907</v>
      </c>
      <c r="G232" s="4" t="s">
        <v>1</v>
      </c>
      <c r="H232" s="4" t="s">
        <v>1</v>
      </c>
      <c r="I232" s="3" t="s">
        <v>13</v>
      </c>
      <c r="J232" s="3" t="s">
        <v>133</v>
      </c>
      <c r="K232" s="3" t="s">
        <v>212</v>
      </c>
      <c r="L232" s="3" t="s">
        <v>211</v>
      </c>
      <c r="M232" s="3" t="s">
        <v>210</v>
      </c>
      <c r="N232" s="3" t="s">
        <v>1362</v>
      </c>
      <c r="O232" s="3" t="s">
        <v>39</v>
      </c>
      <c r="P232" s="3" t="s">
        <v>6</v>
      </c>
      <c r="Q232" s="3" t="s">
        <v>20</v>
      </c>
      <c r="R232" s="3" t="s">
        <v>4</v>
      </c>
      <c r="S232" s="3" t="s">
        <v>3</v>
      </c>
      <c r="T232" s="3" t="s">
        <v>1361</v>
      </c>
      <c r="U232" s="3" t="s">
        <v>1</v>
      </c>
      <c r="V232" s="3" t="s">
        <v>0</v>
      </c>
      <c r="W232" s="2">
        <v>39</v>
      </c>
    </row>
    <row r="233" spans="1:24" hidden="1" x14ac:dyDescent="0.25">
      <c r="A233" s="8">
        <v>5963</v>
      </c>
      <c r="B233" s="8" t="s">
        <v>3781</v>
      </c>
      <c r="C233" s="7" t="s">
        <v>3780</v>
      </c>
      <c r="D233" s="6" t="s">
        <v>15</v>
      </c>
      <c r="E233" s="5" t="s">
        <v>248</v>
      </c>
      <c r="F233" s="4">
        <v>39129</v>
      </c>
      <c r="G233" s="4" t="s">
        <v>1</v>
      </c>
      <c r="H233" s="4" t="s">
        <v>1</v>
      </c>
      <c r="I233" s="3" t="s">
        <v>13</v>
      </c>
      <c r="J233" s="3" t="s">
        <v>133</v>
      </c>
      <c r="K233" s="3" t="s">
        <v>262</v>
      </c>
      <c r="L233" s="3" t="s">
        <v>262</v>
      </c>
      <c r="M233" s="3" t="s">
        <v>277</v>
      </c>
      <c r="N233" s="3" t="s">
        <v>1717</v>
      </c>
      <c r="O233" s="3" t="s">
        <v>184</v>
      </c>
      <c r="P233" s="3" t="s">
        <v>72</v>
      </c>
      <c r="Q233" s="3" t="s">
        <v>20</v>
      </c>
      <c r="R233" s="3" t="s">
        <v>4</v>
      </c>
      <c r="S233" s="3" t="s">
        <v>3</v>
      </c>
      <c r="T233" s="3" t="s">
        <v>2</v>
      </c>
      <c r="U233" s="3" t="s">
        <v>1</v>
      </c>
      <c r="V233" s="3" t="s">
        <v>0</v>
      </c>
      <c r="W233" s="2">
        <v>39</v>
      </c>
    </row>
    <row r="234" spans="1:24" hidden="1" x14ac:dyDescent="0.25">
      <c r="A234" s="8">
        <v>6364</v>
      </c>
      <c r="B234" s="8" t="s">
        <v>3779</v>
      </c>
      <c r="C234" s="7" t="s">
        <v>3778</v>
      </c>
      <c r="D234" s="6" t="s">
        <v>15</v>
      </c>
      <c r="E234" s="5" t="s">
        <v>765</v>
      </c>
      <c r="F234" s="4">
        <v>39279</v>
      </c>
      <c r="G234" s="4" t="s">
        <v>1</v>
      </c>
      <c r="H234" s="4" t="s">
        <v>1</v>
      </c>
      <c r="I234" s="3" t="s">
        <v>13</v>
      </c>
      <c r="J234" s="3" t="s">
        <v>133</v>
      </c>
      <c r="K234" s="3" t="s">
        <v>262</v>
      </c>
      <c r="L234" s="3" t="s">
        <v>262</v>
      </c>
      <c r="M234" s="3" t="s">
        <v>277</v>
      </c>
      <c r="N234" s="3" t="s">
        <v>3777</v>
      </c>
      <c r="O234" s="3" t="s">
        <v>128</v>
      </c>
      <c r="P234" s="3" t="s">
        <v>72</v>
      </c>
      <c r="Q234" s="3" t="s">
        <v>5</v>
      </c>
      <c r="R234" s="3" t="s">
        <v>4</v>
      </c>
      <c r="S234" s="3" t="s">
        <v>3</v>
      </c>
      <c r="T234" s="3" t="s">
        <v>2</v>
      </c>
      <c r="U234" s="3" t="s">
        <v>1</v>
      </c>
      <c r="V234" s="3" t="s">
        <v>0</v>
      </c>
      <c r="W234" s="2">
        <v>39</v>
      </c>
    </row>
    <row r="235" spans="1:24" hidden="1" x14ac:dyDescent="0.25">
      <c r="A235" s="8">
        <v>1192</v>
      </c>
      <c r="B235" s="8" t="s">
        <v>3776</v>
      </c>
      <c r="C235" s="7" t="s">
        <v>3775</v>
      </c>
      <c r="D235" s="6" t="s">
        <v>15</v>
      </c>
      <c r="E235" s="5" t="s">
        <v>1942</v>
      </c>
      <c r="F235" s="4">
        <v>37907</v>
      </c>
      <c r="G235" s="4" t="s">
        <v>1</v>
      </c>
      <c r="H235" s="4" t="s">
        <v>1</v>
      </c>
      <c r="I235" s="3" t="s">
        <v>145</v>
      </c>
      <c r="J235" s="3" t="s">
        <v>12</v>
      </c>
      <c r="K235" s="3" t="s">
        <v>539</v>
      </c>
      <c r="L235" s="3" t="s">
        <v>538</v>
      </c>
      <c r="M235" s="3" t="s">
        <v>537</v>
      </c>
      <c r="N235" s="3" t="s">
        <v>2218</v>
      </c>
      <c r="O235" s="3" t="s">
        <v>2217</v>
      </c>
      <c r="P235" s="3" t="s">
        <v>72</v>
      </c>
      <c r="Q235" s="3" t="s">
        <v>20</v>
      </c>
      <c r="R235" s="3" t="s">
        <v>4</v>
      </c>
      <c r="S235" s="3" t="s">
        <v>3</v>
      </c>
      <c r="T235" s="3" t="s">
        <v>29</v>
      </c>
      <c r="U235" s="3" t="s">
        <v>1</v>
      </c>
      <c r="V235" s="3" t="s">
        <v>0</v>
      </c>
      <c r="W235" s="2">
        <v>39</v>
      </c>
    </row>
    <row r="236" spans="1:24" s="78" customFormat="1" hidden="1" x14ac:dyDescent="0.25">
      <c r="A236" s="73">
        <v>1193</v>
      </c>
      <c r="B236" s="73" t="s">
        <v>3774</v>
      </c>
      <c r="C236" s="87" t="s">
        <v>3773</v>
      </c>
      <c r="D236" s="88" t="s">
        <v>15</v>
      </c>
      <c r="E236" s="89" t="s">
        <v>1942</v>
      </c>
      <c r="F236" s="90">
        <v>37907</v>
      </c>
      <c r="G236" s="90" t="s">
        <v>1</v>
      </c>
      <c r="H236" s="90" t="s">
        <v>1</v>
      </c>
      <c r="I236" s="92" t="s">
        <v>384</v>
      </c>
      <c r="J236" s="92" t="s">
        <v>1709</v>
      </c>
      <c r="K236" s="92" t="s">
        <v>33</v>
      </c>
      <c r="L236" s="92" t="s">
        <v>33</v>
      </c>
      <c r="M236" s="92" t="s">
        <v>1709</v>
      </c>
      <c r="N236" s="92" t="s">
        <v>348</v>
      </c>
      <c r="O236" s="92" t="s">
        <v>387</v>
      </c>
      <c r="P236" s="92" t="s">
        <v>30</v>
      </c>
      <c r="Q236" s="92" t="s">
        <v>47</v>
      </c>
      <c r="R236" s="92" t="s">
        <v>4</v>
      </c>
      <c r="S236" s="92" t="s">
        <v>3</v>
      </c>
      <c r="T236" s="92" t="s">
        <v>38</v>
      </c>
      <c r="U236" s="92" t="s">
        <v>1</v>
      </c>
      <c r="V236" s="92" t="s">
        <v>0</v>
      </c>
      <c r="W236" s="93">
        <v>42</v>
      </c>
    </row>
    <row r="237" spans="1:24" s="78" customFormat="1" hidden="1" x14ac:dyDescent="0.25">
      <c r="A237" s="73">
        <v>8834</v>
      </c>
      <c r="B237" s="73" t="s">
        <v>3772</v>
      </c>
      <c r="C237" s="87" t="s">
        <v>3771</v>
      </c>
      <c r="D237" s="88" t="s">
        <v>15</v>
      </c>
      <c r="E237" s="89" t="s">
        <v>202</v>
      </c>
      <c r="F237" s="90">
        <v>39937</v>
      </c>
      <c r="G237" s="90" t="s">
        <v>1</v>
      </c>
      <c r="H237" s="90" t="s">
        <v>1</v>
      </c>
      <c r="I237" s="92" t="s">
        <v>13</v>
      </c>
      <c r="J237" s="92" t="s">
        <v>133</v>
      </c>
      <c r="K237" s="92" t="s">
        <v>262</v>
      </c>
      <c r="L237" s="92" t="s">
        <v>262</v>
      </c>
      <c r="M237" s="92" t="s">
        <v>277</v>
      </c>
      <c r="N237" s="92" t="s">
        <v>2577</v>
      </c>
      <c r="O237" s="92" t="s">
        <v>128</v>
      </c>
      <c r="P237" s="92" t="s">
        <v>72</v>
      </c>
      <c r="Q237" s="92" t="s">
        <v>5</v>
      </c>
      <c r="R237" s="92" t="s">
        <v>4</v>
      </c>
      <c r="S237" s="92" t="s">
        <v>3</v>
      </c>
      <c r="T237" s="92" t="s">
        <v>2</v>
      </c>
      <c r="U237" s="92" t="s">
        <v>1</v>
      </c>
      <c r="V237" s="92" t="s">
        <v>0</v>
      </c>
      <c r="W237" s="93">
        <v>34</v>
      </c>
    </row>
    <row r="238" spans="1:24" hidden="1" x14ac:dyDescent="0.25">
      <c r="A238" s="8">
        <v>1203</v>
      </c>
      <c r="B238" s="8" t="s">
        <v>3770</v>
      </c>
      <c r="C238" s="7" t="s">
        <v>3769</v>
      </c>
      <c r="D238" s="6" t="s">
        <v>15</v>
      </c>
      <c r="E238" s="5" t="s">
        <v>3765</v>
      </c>
      <c r="F238" s="4">
        <v>37907</v>
      </c>
      <c r="G238" s="4" t="s">
        <v>1</v>
      </c>
      <c r="H238" s="4" t="s">
        <v>1</v>
      </c>
      <c r="I238" s="5" t="s">
        <v>93</v>
      </c>
      <c r="J238" s="5" t="s">
        <v>89</v>
      </c>
      <c r="K238" s="5" t="s">
        <v>33</v>
      </c>
      <c r="L238" s="5" t="s">
        <v>33</v>
      </c>
      <c r="M238" s="5" t="s">
        <v>1167</v>
      </c>
      <c r="N238" s="3" t="s">
        <v>3768</v>
      </c>
      <c r="O238" s="5" t="s">
        <v>934</v>
      </c>
      <c r="P238" s="5" t="s">
        <v>30</v>
      </c>
      <c r="Q238" s="5" t="s">
        <v>47</v>
      </c>
      <c r="R238" s="3" t="s">
        <v>4</v>
      </c>
      <c r="S238" s="3" t="s">
        <v>3</v>
      </c>
      <c r="T238" s="3" t="s">
        <v>88</v>
      </c>
      <c r="U238" s="3" t="s">
        <v>1</v>
      </c>
      <c r="V238" s="3" t="s">
        <v>18</v>
      </c>
      <c r="W238" s="2">
        <v>39</v>
      </c>
    </row>
    <row r="239" spans="1:24" s="78" customFormat="1" hidden="1" x14ac:dyDescent="0.25">
      <c r="A239" s="73">
        <v>1204</v>
      </c>
      <c r="B239" s="73" t="s">
        <v>3767</v>
      </c>
      <c r="C239" s="87" t="s">
        <v>3766</v>
      </c>
      <c r="D239" s="88" t="s">
        <v>15</v>
      </c>
      <c r="E239" s="89" t="s">
        <v>3765</v>
      </c>
      <c r="F239" s="90">
        <v>37907</v>
      </c>
      <c r="G239" s="90" t="s">
        <v>1</v>
      </c>
      <c r="H239" s="90" t="s">
        <v>1</v>
      </c>
      <c r="I239" s="89" t="s">
        <v>93</v>
      </c>
      <c r="J239" s="89" t="s">
        <v>92</v>
      </c>
      <c r="K239" s="89" t="s">
        <v>33</v>
      </c>
      <c r="L239" s="89" t="s">
        <v>33</v>
      </c>
      <c r="M239" s="89" t="s">
        <v>1050</v>
      </c>
      <c r="N239" s="89" t="s">
        <v>3764</v>
      </c>
      <c r="O239" s="89" t="s">
        <v>1050</v>
      </c>
      <c r="P239" s="89" t="s">
        <v>30</v>
      </c>
      <c r="Q239" s="89" t="s">
        <v>47</v>
      </c>
      <c r="R239" s="92" t="s">
        <v>4</v>
      </c>
      <c r="S239" s="92" t="s">
        <v>3</v>
      </c>
      <c r="T239" s="92" t="s">
        <v>29</v>
      </c>
      <c r="U239" s="92" t="s">
        <v>1</v>
      </c>
      <c r="V239" s="92" t="s">
        <v>18</v>
      </c>
      <c r="W239" s="93">
        <v>42</v>
      </c>
    </row>
    <row r="240" spans="1:24" hidden="1" x14ac:dyDescent="0.25">
      <c r="A240" s="8">
        <v>8939</v>
      </c>
      <c r="B240" s="8" t="s">
        <v>3763</v>
      </c>
      <c r="C240" s="7" t="s">
        <v>3762</v>
      </c>
      <c r="D240" s="6" t="s">
        <v>15</v>
      </c>
      <c r="E240" s="5" t="s">
        <v>3514</v>
      </c>
      <c r="F240" s="4">
        <v>39966</v>
      </c>
      <c r="G240" s="4" t="s">
        <v>1</v>
      </c>
      <c r="H240" s="4" t="s">
        <v>1</v>
      </c>
      <c r="I240" s="3" t="s">
        <v>13</v>
      </c>
      <c r="J240" s="3" t="s">
        <v>133</v>
      </c>
      <c r="K240" s="3" t="s">
        <v>262</v>
      </c>
      <c r="L240" s="3" t="s">
        <v>262</v>
      </c>
      <c r="M240" s="3" t="s">
        <v>277</v>
      </c>
      <c r="N240" s="3" t="s">
        <v>198</v>
      </c>
      <c r="O240" s="3" t="s">
        <v>184</v>
      </c>
      <c r="P240" s="3" t="s">
        <v>72</v>
      </c>
      <c r="Q240" s="3" t="s">
        <v>20</v>
      </c>
      <c r="R240" s="3" t="s">
        <v>4</v>
      </c>
      <c r="S240" s="3" t="s">
        <v>3</v>
      </c>
      <c r="T240" s="3" t="s">
        <v>2</v>
      </c>
      <c r="U240" s="3" t="s">
        <v>1</v>
      </c>
      <c r="V240" s="3" t="s">
        <v>0</v>
      </c>
      <c r="W240" s="2">
        <v>35</v>
      </c>
    </row>
    <row r="241" spans="1:24" hidden="1" x14ac:dyDescent="0.25">
      <c r="A241" s="8">
        <v>1206</v>
      </c>
      <c r="B241" s="8" t="s">
        <v>3761</v>
      </c>
      <c r="C241" s="7" t="s">
        <v>256</v>
      </c>
      <c r="D241" s="6" t="s">
        <v>15</v>
      </c>
      <c r="E241" s="5" t="s">
        <v>343</v>
      </c>
      <c r="F241" s="4">
        <v>37914</v>
      </c>
      <c r="G241" s="4" t="s">
        <v>1</v>
      </c>
      <c r="H241" s="4" t="s">
        <v>1</v>
      </c>
      <c r="I241" s="3" t="s">
        <v>13</v>
      </c>
      <c r="J241" s="3" t="s">
        <v>12</v>
      </c>
      <c r="K241" s="3" t="s">
        <v>33</v>
      </c>
      <c r="L241" s="3" t="s">
        <v>33</v>
      </c>
      <c r="M241" s="3" t="s">
        <v>654</v>
      </c>
      <c r="N241" s="3" t="s">
        <v>653</v>
      </c>
      <c r="O241" s="3" t="s">
        <v>615</v>
      </c>
      <c r="P241" s="3" t="s">
        <v>6</v>
      </c>
      <c r="Q241" s="3" t="s">
        <v>20</v>
      </c>
      <c r="R241" s="3" t="s">
        <v>4</v>
      </c>
      <c r="S241" s="3" t="s">
        <v>3</v>
      </c>
      <c r="T241" s="3" t="s">
        <v>338</v>
      </c>
      <c r="U241" s="3" t="s">
        <v>1</v>
      </c>
      <c r="V241" s="3" t="s">
        <v>0</v>
      </c>
      <c r="W241" s="2">
        <v>39</v>
      </c>
    </row>
    <row r="242" spans="1:24" s="9" customFormat="1" hidden="1" x14ac:dyDescent="0.25">
      <c r="A242" s="17">
        <v>1220</v>
      </c>
      <c r="B242" s="17" t="s">
        <v>3760</v>
      </c>
      <c r="C242" s="16" t="s">
        <v>3759</v>
      </c>
      <c r="D242" s="15" t="s">
        <v>15</v>
      </c>
      <c r="E242" s="14" t="s">
        <v>3751</v>
      </c>
      <c r="F242" s="13">
        <v>37914</v>
      </c>
      <c r="G242" s="13" t="s">
        <v>1</v>
      </c>
      <c r="H242" s="13" t="s">
        <v>1</v>
      </c>
      <c r="I242" s="12" t="s">
        <v>384</v>
      </c>
      <c r="J242" s="12" t="s">
        <v>1227</v>
      </c>
      <c r="K242" s="12" t="s">
        <v>33</v>
      </c>
      <c r="L242" s="12" t="s">
        <v>33</v>
      </c>
      <c r="M242" s="12" t="s">
        <v>1227</v>
      </c>
      <c r="N242" s="12" t="s">
        <v>348</v>
      </c>
      <c r="O242" s="12" t="s">
        <v>368</v>
      </c>
      <c r="P242" s="12" t="s">
        <v>30</v>
      </c>
      <c r="Q242" s="12" t="s">
        <v>47</v>
      </c>
      <c r="R242" s="12" t="s">
        <v>4</v>
      </c>
      <c r="S242" s="12" t="s">
        <v>3</v>
      </c>
      <c r="T242" s="12" t="s">
        <v>38</v>
      </c>
      <c r="U242" s="12" t="s">
        <v>1</v>
      </c>
      <c r="V242" s="12" t="s">
        <v>0</v>
      </c>
      <c r="W242" s="11">
        <v>39</v>
      </c>
      <c r="X242" s="10"/>
    </row>
    <row r="243" spans="1:24" hidden="1" x14ac:dyDescent="0.25">
      <c r="A243" s="8">
        <v>1226</v>
      </c>
      <c r="B243" s="8" t="s">
        <v>3758</v>
      </c>
      <c r="C243" s="7" t="s">
        <v>3757</v>
      </c>
      <c r="D243" s="6" t="s">
        <v>15</v>
      </c>
      <c r="E243" s="5" t="s">
        <v>3751</v>
      </c>
      <c r="F243" s="4">
        <v>37914</v>
      </c>
      <c r="G243" s="4" t="s">
        <v>1</v>
      </c>
      <c r="H243" s="4" t="s">
        <v>1</v>
      </c>
      <c r="I243" s="3" t="s">
        <v>13</v>
      </c>
      <c r="J243" s="3" t="s">
        <v>133</v>
      </c>
      <c r="K243" s="3" t="s">
        <v>283</v>
      </c>
      <c r="L243" s="3" t="s">
        <v>999</v>
      </c>
      <c r="M243" s="3" t="s">
        <v>998</v>
      </c>
      <c r="N243" s="3" t="s">
        <v>3756</v>
      </c>
      <c r="O243" s="3" t="s">
        <v>100</v>
      </c>
      <c r="P243" s="3" t="s">
        <v>6</v>
      </c>
      <c r="Q243" s="3" t="s">
        <v>20</v>
      </c>
      <c r="R243" s="3" t="s">
        <v>4</v>
      </c>
      <c r="S243" s="3" t="s">
        <v>3</v>
      </c>
      <c r="T243" s="3" t="s">
        <v>2</v>
      </c>
      <c r="U243" s="3" t="s">
        <v>1</v>
      </c>
      <c r="V243" s="3" t="s">
        <v>0</v>
      </c>
      <c r="W243" s="2">
        <v>40</v>
      </c>
    </row>
    <row r="244" spans="1:24" hidden="1" x14ac:dyDescent="0.25">
      <c r="A244" s="8">
        <v>1229</v>
      </c>
      <c r="B244" s="8" t="s">
        <v>3755</v>
      </c>
      <c r="C244" s="7" t="s">
        <v>3754</v>
      </c>
      <c r="D244" s="6" t="s">
        <v>15</v>
      </c>
      <c r="E244" s="5" t="s">
        <v>3751</v>
      </c>
      <c r="F244" s="4">
        <v>37914</v>
      </c>
      <c r="G244" s="4" t="s">
        <v>1</v>
      </c>
      <c r="H244" s="4" t="s">
        <v>1</v>
      </c>
      <c r="I244" s="3" t="s">
        <v>13</v>
      </c>
      <c r="J244" s="3" t="s">
        <v>133</v>
      </c>
      <c r="K244" s="3" t="s">
        <v>262</v>
      </c>
      <c r="L244" s="3" t="s">
        <v>262</v>
      </c>
      <c r="M244" s="3" t="s">
        <v>277</v>
      </c>
      <c r="N244" s="3" t="s">
        <v>1545</v>
      </c>
      <c r="O244" s="3" t="s">
        <v>453</v>
      </c>
      <c r="P244" s="3" t="s">
        <v>6</v>
      </c>
      <c r="Q244" s="3" t="s">
        <v>5</v>
      </c>
      <c r="R244" s="3" t="s">
        <v>4</v>
      </c>
      <c r="S244" s="3" t="s">
        <v>3</v>
      </c>
      <c r="T244" s="3" t="s">
        <v>2</v>
      </c>
      <c r="U244" s="3" t="s">
        <v>1</v>
      </c>
      <c r="V244" s="3" t="s">
        <v>0</v>
      </c>
      <c r="W244" s="2">
        <v>40</v>
      </c>
    </row>
    <row r="245" spans="1:24" hidden="1" x14ac:dyDescent="0.25">
      <c r="A245" s="8">
        <v>1236</v>
      </c>
      <c r="B245" s="8" t="s">
        <v>3753</v>
      </c>
      <c r="C245" s="7" t="s">
        <v>3752</v>
      </c>
      <c r="D245" s="6" t="s">
        <v>15</v>
      </c>
      <c r="E245" s="5" t="s">
        <v>3751</v>
      </c>
      <c r="F245" s="4">
        <v>37914</v>
      </c>
      <c r="G245" s="4" t="s">
        <v>1</v>
      </c>
      <c r="H245" s="4" t="s">
        <v>1</v>
      </c>
      <c r="I245" s="3" t="s">
        <v>13</v>
      </c>
      <c r="J245" s="3" t="s">
        <v>12</v>
      </c>
      <c r="K245" s="3" t="s">
        <v>132</v>
      </c>
      <c r="L245" s="3" t="s">
        <v>218</v>
      </c>
      <c r="M245" s="3" t="s">
        <v>1968</v>
      </c>
      <c r="N245" s="3" t="s">
        <v>3750</v>
      </c>
      <c r="O245" s="3" t="s">
        <v>59</v>
      </c>
      <c r="P245" s="3" t="s">
        <v>6</v>
      </c>
      <c r="Q245" s="3" t="s">
        <v>5</v>
      </c>
      <c r="R245" s="3" t="s">
        <v>4</v>
      </c>
      <c r="S245" s="3" t="s">
        <v>3</v>
      </c>
      <c r="T245" s="3" t="s">
        <v>2</v>
      </c>
      <c r="U245" s="3" t="s">
        <v>1</v>
      </c>
      <c r="V245" s="3" t="s">
        <v>0</v>
      </c>
      <c r="W245" s="2">
        <v>40</v>
      </c>
    </row>
    <row r="246" spans="1:24" s="9" customFormat="1" hidden="1" x14ac:dyDescent="0.25">
      <c r="A246" s="17">
        <v>1251</v>
      </c>
      <c r="B246" s="17" t="s">
        <v>3749</v>
      </c>
      <c r="C246" s="24" t="s">
        <v>3748</v>
      </c>
      <c r="D246" s="15" t="s">
        <v>15</v>
      </c>
      <c r="E246" s="22" t="s">
        <v>1581</v>
      </c>
      <c r="F246" s="13">
        <v>37921</v>
      </c>
      <c r="G246" s="13" t="s">
        <v>1</v>
      </c>
      <c r="H246" s="13" t="s">
        <v>1</v>
      </c>
      <c r="I246" s="12" t="s">
        <v>145</v>
      </c>
      <c r="J246" s="12" t="s">
        <v>133</v>
      </c>
      <c r="K246" s="12" t="s">
        <v>11</v>
      </c>
      <c r="L246" s="12" t="s">
        <v>10</v>
      </c>
      <c r="M246" s="12" t="s">
        <v>290</v>
      </c>
      <c r="N246" s="12" t="s">
        <v>289</v>
      </c>
      <c r="O246" s="12" t="s">
        <v>288</v>
      </c>
      <c r="P246" s="12" t="s">
        <v>72</v>
      </c>
      <c r="Q246" s="12" t="s">
        <v>47</v>
      </c>
      <c r="R246" s="12" t="s">
        <v>4</v>
      </c>
      <c r="S246" s="12" t="s">
        <v>3</v>
      </c>
      <c r="T246" s="12" t="s">
        <v>2</v>
      </c>
      <c r="U246" s="12" t="s">
        <v>1</v>
      </c>
      <c r="V246" s="12" t="s">
        <v>0</v>
      </c>
      <c r="W246" s="11">
        <v>42</v>
      </c>
      <c r="X246" s="10"/>
    </row>
    <row r="247" spans="1:24" s="9" customFormat="1" hidden="1" x14ac:dyDescent="0.25">
      <c r="A247" s="17">
        <v>1259</v>
      </c>
      <c r="B247" s="17" t="s">
        <v>3747</v>
      </c>
      <c r="C247" s="16" t="s">
        <v>3746</v>
      </c>
      <c r="D247" s="15" t="s">
        <v>15</v>
      </c>
      <c r="E247" s="14" t="s">
        <v>1581</v>
      </c>
      <c r="F247" s="13">
        <v>37921</v>
      </c>
      <c r="G247" s="13" t="s">
        <v>1</v>
      </c>
      <c r="H247" s="13" t="s">
        <v>1</v>
      </c>
      <c r="I247" s="12" t="s">
        <v>145</v>
      </c>
      <c r="J247" s="12" t="s">
        <v>12</v>
      </c>
      <c r="K247" s="12" t="s">
        <v>1933</v>
      </c>
      <c r="L247" s="12" t="s">
        <v>2356</v>
      </c>
      <c r="M247" s="12" t="s">
        <v>2355</v>
      </c>
      <c r="N247" s="12" t="s">
        <v>1355</v>
      </c>
      <c r="O247" s="12" t="s">
        <v>100</v>
      </c>
      <c r="P247" s="12" t="s">
        <v>30</v>
      </c>
      <c r="Q247" s="12" t="s">
        <v>20</v>
      </c>
      <c r="R247" s="12" t="s">
        <v>4</v>
      </c>
      <c r="S247" s="12" t="s">
        <v>3</v>
      </c>
      <c r="T247" s="12" t="s">
        <v>2</v>
      </c>
      <c r="U247" s="12" t="s">
        <v>1</v>
      </c>
      <c r="V247" s="12" t="s">
        <v>0</v>
      </c>
      <c r="W247" s="11">
        <v>41</v>
      </c>
      <c r="X247" s="10"/>
    </row>
    <row r="248" spans="1:24" hidden="1" x14ac:dyDescent="0.25">
      <c r="A248" s="8">
        <v>8957</v>
      </c>
      <c r="B248" s="8" t="s">
        <v>3745</v>
      </c>
      <c r="C248" s="7" t="s">
        <v>3744</v>
      </c>
      <c r="D248" s="6" t="s">
        <v>15</v>
      </c>
      <c r="E248" s="5" t="s">
        <v>2323</v>
      </c>
      <c r="F248" s="4">
        <v>39968</v>
      </c>
      <c r="G248" s="4" t="s">
        <v>1</v>
      </c>
      <c r="H248" s="4" t="s">
        <v>1</v>
      </c>
      <c r="I248" s="3" t="s">
        <v>13</v>
      </c>
      <c r="J248" s="3" t="s">
        <v>133</v>
      </c>
      <c r="K248" s="3" t="s">
        <v>262</v>
      </c>
      <c r="L248" s="3" t="s">
        <v>262</v>
      </c>
      <c r="M248" s="3" t="s">
        <v>277</v>
      </c>
      <c r="N248" s="3" t="s">
        <v>1078</v>
      </c>
      <c r="O248" s="3" t="s">
        <v>29</v>
      </c>
      <c r="P248" s="3" t="s">
        <v>72</v>
      </c>
      <c r="Q248" s="3" t="s">
        <v>20</v>
      </c>
      <c r="R248" s="3" t="s">
        <v>4</v>
      </c>
      <c r="S248" s="3" t="s">
        <v>3</v>
      </c>
      <c r="T248" s="3" t="s">
        <v>1077</v>
      </c>
      <c r="U248" s="3" t="s">
        <v>1</v>
      </c>
      <c r="V248" s="3" t="s">
        <v>0</v>
      </c>
      <c r="W248" s="2">
        <v>37</v>
      </c>
    </row>
    <row r="249" spans="1:24" hidden="1" x14ac:dyDescent="0.25">
      <c r="A249" s="8">
        <v>10496</v>
      </c>
      <c r="B249" s="8" t="s">
        <v>3743</v>
      </c>
      <c r="C249" s="7" t="s">
        <v>3742</v>
      </c>
      <c r="D249" s="6" t="s">
        <v>15</v>
      </c>
      <c r="E249" s="5" t="s">
        <v>157</v>
      </c>
      <c r="F249" s="4">
        <v>40535</v>
      </c>
      <c r="G249" s="4" t="s">
        <v>1</v>
      </c>
      <c r="H249" s="4" t="s">
        <v>1</v>
      </c>
      <c r="I249" s="3" t="s">
        <v>13</v>
      </c>
      <c r="J249" s="3" t="s">
        <v>133</v>
      </c>
      <c r="K249" s="3" t="s">
        <v>262</v>
      </c>
      <c r="L249" s="3" t="s">
        <v>262</v>
      </c>
      <c r="M249" s="3" t="s">
        <v>277</v>
      </c>
      <c r="N249" s="3" t="s">
        <v>198</v>
      </c>
      <c r="O249" s="3" t="s">
        <v>184</v>
      </c>
      <c r="P249" s="3" t="s">
        <v>72</v>
      </c>
      <c r="Q249" s="3" t="s">
        <v>20</v>
      </c>
      <c r="R249" s="3" t="s">
        <v>4</v>
      </c>
      <c r="S249" s="3" t="s">
        <v>3</v>
      </c>
      <c r="T249" s="3" t="s">
        <v>2</v>
      </c>
      <c r="U249" s="3" t="s">
        <v>1</v>
      </c>
      <c r="V249" s="3" t="s">
        <v>0</v>
      </c>
      <c r="W249" s="2">
        <v>34</v>
      </c>
    </row>
    <row r="250" spans="1:24" hidden="1" x14ac:dyDescent="0.25">
      <c r="A250" s="8">
        <v>10502</v>
      </c>
      <c r="B250" s="8" t="s">
        <v>3741</v>
      </c>
      <c r="C250" s="35" t="s">
        <v>3740</v>
      </c>
      <c r="D250" s="6" t="s">
        <v>15</v>
      </c>
      <c r="E250" s="8" t="s">
        <v>157</v>
      </c>
      <c r="F250" s="4">
        <v>40535</v>
      </c>
      <c r="G250" s="4" t="s">
        <v>1</v>
      </c>
      <c r="H250" s="4" t="s">
        <v>1</v>
      </c>
      <c r="I250" s="3" t="s">
        <v>13</v>
      </c>
      <c r="J250" s="3" t="s">
        <v>133</v>
      </c>
      <c r="K250" s="3" t="s">
        <v>262</v>
      </c>
      <c r="L250" s="3" t="s">
        <v>262</v>
      </c>
      <c r="M250" s="3" t="s">
        <v>277</v>
      </c>
      <c r="N250" s="3" t="s">
        <v>1545</v>
      </c>
      <c r="O250" s="3" t="s">
        <v>453</v>
      </c>
      <c r="P250" s="3" t="s">
        <v>72</v>
      </c>
      <c r="Q250" s="3" t="s">
        <v>5</v>
      </c>
      <c r="R250" s="3" t="s">
        <v>4</v>
      </c>
      <c r="S250" s="3" t="s">
        <v>3</v>
      </c>
      <c r="T250" s="3" t="s">
        <v>2</v>
      </c>
      <c r="U250" s="3" t="s">
        <v>1</v>
      </c>
      <c r="V250" s="3" t="s">
        <v>0</v>
      </c>
      <c r="W250" s="2">
        <v>32</v>
      </c>
    </row>
    <row r="251" spans="1:24" hidden="1" x14ac:dyDescent="0.25">
      <c r="A251" s="8">
        <v>10540</v>
      </c>
      <c r="B251" s="8" t="s">
        <v>3739</v>
      </c>
      <c r="C251" s="7" t="s">
        <v>3738</v>
      </c>
      <c r="D251" s="6" t="s">
        <v>15</v>
      </c>
      <c r="E251" s="5" t="s">
        <v>1512</v>
      </c>
      <c r="F251" s="4">
        <v>40542</v>
      </c>
      <c r="G251" s="4" t="s">
        <v>1</v>
      </c>
      <c r="H251" s="4" t="s">
        <v>1</v>
      </c>
      <c r="I251" s="3" t="s">
        <v>13</v>
      </c>
      <c r="J251" s="3" t="s">
        <v>133</v>
      </c>
      <c r="K251" s="3" t="s">
        <v>262</v>
      </c>
      <c r="L251" s="3" t="s">
        <v>262</v>
      </c>
      <c r="M251" s="3" t="s">
        <v>277</v>
      </c>
      <c r="N251" s="3" t="s">
        <v>3711</v>
      </c>
      <c r="O251" s="3" t="s">
        <v>128</v>
      </c>
      <c r="P251" s="3" t="s">
        <v>72</v>
      </c>
      <c r="Q251" s="3" t="s">
        <v>5</v>
      </c>
      <c r="R251" s="3" t="s">
        <v>4</v>
      </c>
      <c r="S251" s="3" t="s">
        <v>3</v>
      </c>
      <c r="T251" s="3" t="s">
        <v>2</v>
      </c>
      <c r="U251" s="3" t="s">
        <v>1</v>
      </c>
      <c r="V251" s="3" t="s">
        <v>0</v>
      </c>
      <c r="W251" s="2">
        <v>33</v>
      </c>
    </row>
    <row r="252" spans="1:24" s="78" customFormat="1" hidden="1" x14ac:dyDescent="0.25">
      <c r="A252" s="73">
        <v>1269</v>
      </c>
      <c r="B252" s="73" t="s">
        <v>3737</v>
      </c>
      <c r="C252" s="87" t="s">
        <v>3736</v>
      </c>
      <c r="D252" s="88" t="s">
        <v>15</v>
      </c>
      <c r="E252" s="89" t="s">
        <v>1581</v>
      </c>
      <c r="F252" s="90">
        <v>37921</v>
      </c>
      <c r="G252" s="90" t="s">
        <v>1</v>
      </c>
      <c r="H252" s="90" t="s">
        <v>1</v>
      </c>
      <c r="I252" s="92" t="s">
        <v>384</v>
      </c>
      <c r="J252" s="92" t="s">
        <v>2383</v>
      </c>
      <c r="K252" s="92" t="s">
        <v>33</v>
      </c>
      <c r="L252" s="92" t="s">
        <v>33</v>
      </c>
      <c r="M252" s="92" t="s">
        <v>2383</v>
      </c>
      <c r="N252" s="92" t="s">
        <v>1708</v>
      </c>
      <c r="O252" s="92" t="s">
        <v>387</v>
      </c>
      <c r="P252" s="92" t="s">
        <v>30</v>
      </c>
      <c r="Q252" s="92" t="s">
        <v>47</v>
      </c>
      <c r="R252" s="92" t="s">
        <v>4</v>
      </c>
      <c r="S252" s="92" t="s">
        <v>3</v>
      </c>
      <c r="T252" s="92" t="s">
        <v>2</v>
      </c>
      <c r="U252" s="92" t="s">
        <v>1</v>
      </c>
      <c r="V252" s="92" t="s">
        <v>0</v>
      </c>
      <c r="W252" s="93">
        <v>40</v>
      </c>
    </row>
    <row r="253" spans="1:24" s="78" customFormat="1" hidden="1" x14ac:dyDescent="0.25">
      <c r="A253" s="73">
        <v>11645</v>
      </c>
      <c r="B253" s="73" t="s">
        <v>3735</v>
      </c>
      <c r="C253" s="87" t="s">
        <v>3734</v>
      </c>
      <c r="D253" s="88" t="s">
        <v>15</v>
      </c>
      <c r="E253" s="89" t="s">
        <v>1763</v>
      </c>
      <c r="F253" s="90">
        <v>40707</v>
      </c>
      <c r="G253" s="90" t="s">
        <v>1</v>
      </c>
      <c r="H253" s="90" t="s">
        <v>1</v>
      </c>
      <c r="I253" s="92" t="s">
        <v>13</v>
      </c>
      <c r="J253" s="92" t="s">
        <v>133</v>
      </c>
      <c r="K253" s="92" t="s">
        <v>262</v>
      </c>
      <c r="L253" s="92" t="s">
        <v>262</v>
      </c>
      <c r="M253" s="92" t="s">
        <v>277</v>
      </c>
      <c r="N253" s="92" t="s">
        <v>198</v>
      </c>
      <c r="O253" s="92" t="s">
        <v>184</v>
      </c>
      <c r="P253" s="92" t="s">
        <v>72</v>
      </c>
      <c r="Q253" s="92" t="s">
        <v>20</v>
      </c>
      <c r="R253" s="92" t="s">
        <v>4</v>
      </c>
      <c r="S253" s="92" t="s">
        <v>3</v>
      </c>
      <c r="T253" s="92" t="s">
        <v>2</v>
      </c>
      <c r="U253" s="92" t="s">
        <v>1</v>
      </c>
      <c r="V253" s="92" t="s">
        <v>0</v>
      </c>
      <c r="W253" s="93">
        <v>32</v>
      </c>
    </row>
    <row r="254" spans="1:24" hidden="1" x14ac:dyDescent="0.25">
      <c r="A254" s="29">
        <v>11820</v>
      </c>
      <c r="B254" s="8" t="s">
        <v>3733</v>
      </c>
      <c r="C254" s="19" t="s">
        <v>3732</v>
      </c>
      <c r="D254" s="6" t="s">
        <v>15</v>
      </c>
      <c r="E254" s="18" t="s">
        <v>1089</v>
      </c>
      <c r="F254" s="4">
        <v>40721</v>
      </c>
      <c r="G254" s="4" t="s">
        <v>1</v>
      </c>
      <c r="H254" s="4" t="s">
        <v>1</v>
      </c>
      <c r="I254" s="3" t="s">
        <v>13</v>
      </c>
      <c r="J254" s="3" t="s">
        <v>133</v>
      </c>
      <c r="K254" s="3" t="s">
        <v>262</v>
      </c>
      <c r="L254" s="3" t="s">
        <v>262</v>
      </c>
      <c r="M254" s="3" t="s">
        <v>277</v>
      </c>
      <c r="N254" s="3" t="s">
        <v>3731</v>
      </c>
      <c r="O254" s="3" t="s">
        <v>128</v>
      </c>
      <c r="P254" s="3" t="s">
        <v>72</v>
      </c>
      <c r="Q254" s="3" t="s">
        <v>5</v>
      </c>
      <c r="R254" s="3" t="s">
        <v>4</v>
      </c>
      <c r="S254" s="3" t="s">
        <v>3</v>
      </c>
      <c r="T254" s="3" t="s">
        <v>2</v>
      </c>
      <c r="U254" s="3" t="s">
        <v>1</v>
      </c>
      <c r="V254" s="5" t="s">
        <v>0</v>
      </c>
      <c r="W254" s="2">
        <v>31</v>
      </c>
    </row>
    <row r="255" spans="1:24" hidden="1" x14ac:dyDescent="0.25">
      <c r="A255" s="8">
        <v>12743</v>
      </c>
      <c r="B255" s="8" t="s">
        <v>3730</v>
      </c>
      <c r="C255" s="7" t="s">
        <v>3729</v>
      </c>
      <c r="D255" s="6" t="s">
        <v>15</v>
      </c>
      <c r="E255" s="5" t="s">
        <v>149</v>
      </c>
      <c r="F255" s="4">
        <v>40819</v>
      </c>
      <c r="G255" s="4" t="s">
        <v>1</v>
      </c>
      <c r="H255" s="4" t="s">
        <v>1</v>
      </c>
      <c r="I255" s="3" t="s">
        <v>13</v>
      </c>
      <c r="J255" s="3" t="s">
        <v>133</v>
      </c>
      <c r="K255" s="3" t="s">
        <v>262</v>
      </c>
      <c r="L255" s="3" t="s">
        <v>262</v>
      </c>
      <c r="M255" s="3" t="s">
        <v>277</v>
      </c>
      <c r="N255" s="3" t="s">
        <v>198</v>
      </c>
      <c r="O255" s="3" t="s">
        <v>184</v>
      </c>
      <c r="P255" s="3" t="s">
        <v>72</v>
      </c>
      <c r="Q255" s="3" t="s">
        <v>20</v>
      </c>
      <c r="R255" s="3" t="s">
        <v>4</v>
      </c>
      <c r="S255" s="3" t="s">
        <v>3</v>
      </c>
      <c r="T255" s="3" t="s">
        <v>2</v>
      </c>
      <c r="U255" s="3" t="s">
        <v>1</v>
      </c>
      <c r="V255" s="3" t="s">
        <v>0</v>
      </c>
      <c r="W255" s="2">
        <v>35</v>
      </c>
    </row>
    <row r="256" spans="1:24" hidden="1" x14ac:dyDescent="0.25">
      <c r="A256" s="8">
        <v>1284</v>
      </c>
      <c r="B256" s="8" t="s">
        <v>3728</v>
      </c>
      <c r="C256" s="7" t="s">
        <v>3727</v>
      </c>
      <c r="D256" s="6" t="s">
        <v>15</v>
      </c>
      <c r="E256" s="5" t="s">
        <v>1581</v>
      </c>
      <c r="F256" s="4">
        <v>37921</v>
      </c>
      <c r="G256" s="4" t="s">
        <v>1</v>
      </c>
      <c r="H256" s="4" t="s">
        <v>1</v>
      </c>
      <c r="I256" s="3" t="s">
        <v>145</v>
      </c>
      <c r="J256" s="3" t="s">
        <v>34</v>
      </c>
      <c r="K256" s="3" t="s">
        <v>33</v>
      </c>
      <c r="L256" s="3" t="s">
        <v>33</v>
      </c>
      <c r="M256" s="3" t="s">
        <v>1094</v>
      </c>
      <c r="N256" s="3" t="s">
        <v>1503</v>
      </c>
      <c r="O256" s="3" t="s">
        <v>1094</v>
      </c>
      <c r="P256" s="3" t="s">
        <v>6</v>
      </c>
      <c r="Q256" s="3" t="s">
        <v>47</v>
      </c>
      <c r="R256" s="3" t="s">
        <v>4</v>
      </c>
      <c r="S256" s="3" t="s">
        <v>3</v>
      </c>
      <c r="T256" s="3" t="s">
        <v>2</v>
      </c>
      <c r="U256" s="3" t="s">
        <v>1</v>
      </c>
      <c r="V256" s="3" t="s">
        <v>0</v>
      </c>
      <c r="W256" s="2">
        <v>39</v>
      </c>
    </row>
    <row r="257" spans="1:24" hidden="1" x14ac:dyDescent="0.25">
      <c r="A257" s="8">
        <v>1286</v>
      </c>
      <c r="B257" s="8" t="s">
        <v>3726</v>
      </c>
      <c r="C257" s="7" t="s">
        <v>3725</v>
      </c>
      <c r="D257" s="6" t="s">
        <v>15</v>
      </c>
      <c r="E257" s="5" t="s">
        <v>1581</v>
      </c>
      <c r="F257" s="4">
        <v>37921</v>
      </c>
      <c r="G257" s="4" t="s">
        <v>1</v>
      </c>
      <c r="H257" s="4" t="s">
        <v>1</v>
      </c>
      <c r="I257" s="3" t="s">
        <v>13</v>
      </c>
      <c r="J257" s="3" t="s">
        <v>133</v>
      </c>
      <c r="K257" s="3" t="s">
        <v>283</v>
      </c>
      <c r="L257" s="3" t="s">
        <v>999</v>
      </c>
      <c r="M257" s="3" t="s">
        <v>998</v>
      </c>
      <c r="N257" s="3" t="s">
        <v>3724</v>
      </c>
      <c r="O257" s="3" t="s">
        <v>100</v>
      </c>
      <c r="P257" s="3" t="s">
        <v>6</v>
      </c>
      <c r="Q257" s="3" t="s">
        <v>20</v>
      </c>
      <c r="R257" s="3" t="s">
        <v>4</v>
      </c>
      <c r="S257" s="3" t="s">
        <v>3</v>
      </c>
      <c r="T257" s="3" t="s">
        <v>2</v>
      </c>
      <c r="U257" s="3" t="s">
        <v>1</v>
      </c>
      <c r="V257" s="3" t="s">
        <v>0</v>
      </c>
      <c r="W257" s="2">
        <v>41</v>
      </c>
    </row>
    <row r="258" spans="1:24" hidden="1" x14ac:dyDescent="0.25">
      <c r="A258" s="8">
        <v>1301</v>
      </c>
      <c r="B258" s="8" t="s">
        <v>3723</v>
      </c>
      <c r="C258" s="28" t="s">
        <v>3722</v>
      </c>
      <c r="D258" s="6" t="s">
        <v>15</v>
      </c>
      <c r="E258" s="5" t="s">
        <v>2553</v>
      </c>
      <c r="F258" s="4">
        <v>37928</v>
      </c>
      <c r="G258" s="4" t="s">
        <v>1</v>
      </c>
      <c r="H258" s="4" t="s">
        <v>1</v>
      </c>
      <c r="I258" s="5" t="s">
        <v>365</v>
      </c>
      <c r="J258" s="5" t="s">
        <v>1142</v>
      </c>
      <c r="K258" s="5" t="s">
        <v>33</v>
      </c>
      <c r="L258" s="5" t="s">
        <v>33</v>
      </c>
      <c r="M258" s="5" t="s">
        <v>1142</v>
      </c>
      <c r="N258" s="5" t="s">
        <v>3721</v>
      </c>
      <c r="O258" s="5" t="s">
        <v>1142</v>
      </c>
      <c r="P258" s="5" t="s">
        <v>30</v>
      </c>
      <c r="Q258" s="5" t="s">
        <v>121</v>
      </c>
      <c r="R258" s="3" t="s">
        <v>4</v>
      </c>
      <c r="S258" s="3" t="s">
        <v>3</v>
      </c>
      <c r="T258" s="3" t="s">
        <v>29</v>
      </c>
      <c r="U258" s="3" t="s">
        <v>1</v>
      </c>
      <c r="V258" s="3" t="s">
        <v>0</v>
      </c>
      <c r="W258" s="2">
        <v>39</v>
      </c>
    </row>
    <row r="259" spans="1:24" hidden="1" x14ac:dyDescent="0.25">
      <c r="A259" s="8">
        <v>1305</v>
      </c>
      <c r="B259" s="8" t="s">
        <v>3720</v>
      </c>
      <c r="C259" s="19" t="s">
        <v>3719</v>
      </c>
      <c r="D259" s="6" t="s">
        <v>15</v>
      </c>
      <c r="E259" s="18" t="s">
        <v>2553</v>
      </c>
      <c r="F259" s="4">
        <v>37928</v>
      </c>
      <c r="G259" s="4" t="s">
        <v>1</v>
      </c>
      <c r="H259" s="4" t="s">
        <v>1</v>
      </c>
      <c r="I259" s="3" t="s">
        <v>13</v>
      </c>
      <c r="J259" s="3" t="s">
        <v>133</v>
      </c>
      <c r="K259" s="3" t="s">
        <v>25</v>
      </c>
      <c r="L259" s="3" t="s">
        <v>24</v>
      </c>
      <c r="M259" s="3" t="s">
        <v>199</v>
      </c>
      <c r="N259" s="3" t="s">
        <v>3571</v>
      </c>
      <c r="O259" s="3" t="s">
        <v>1231</v>
      </c>
      <c r="P259" s="3" t="s">
        <v>6</v>
      </c>
      <c r="Q259" s="3" t="s">
        <v>5</v>
      </c>
      <c r="R259" s="3" t="s">
        <v>4</v>
      </c>
      <c r="S259" s="3" t="s">
        <v>3</v>
      </c>
      <c r="T259" s="3" t="s">
        <v>2</v>
      </c>
      <c r="U259" s="3" t="s">
        <v>1</v>
      </c>
      <c r="V259" s="3" t="s">
        <v>0</v>
      </c>
      <c r="W259" s="2">
        <v>39</v>
      </c>
    </row>
    <row r="260" spans="1:24" hidden="1" x14ac:dyDescent="0.25">
      <c r="A260" s="8">
        <v>1306</v>
      </c>
      <c r="B260" s="8" t="s">
        <v>3718</v>
      </c>
      <c r="C260" s="7" t="s">
        <v>3717</v>
      </c>
      <c r="D260" s="6" t="s">
        <v>15</v>
      </c>
      <c r="E260" s="5" t="s">
        <v>2553</v>
      </c>
      <c r="F260" s="4">
        <v>37928</v>
      </c>
      <c r="G260" s="4" t="s">
        <v>1</v>
      </c>
      <c r="H260" s="4" t="s">
        <v>1</v>
      </c>
      <c r="I260" s="3" t="s">
        <v>13</v>
      </c>
      <c r="J260" s="3" t="s">
        <v>133</v>
      </c>
      <c r="K260" s="3" t="s">
        <v>132</v>
      </c>
      <c r="L260" s="3" t="s">
        <v>218</v>
      </c>
      <c r="M260" s="3" t="s">
        <v>217</v>
      </c>
      <c r="N260" s="3" t="s">
        <v>1362</v>
      </c>
      <c r="O260" s="3" t="s">
        <v>39</v>
      </c>
      <c r="P260" s="3" t="s">
        <v>6</v>
      </c>
      <c r="Q260" s="3" t="s">
        <v>20</v>
      </c>
      <c r="R260" s="3" t="s">
        <v>4</v>
      </c>
      <c r="S260" s="3" t="s">
        <v>3</v>
      </c>
      <c r="T260" s="3" t="s">
        <v>1361</v>
      </c>
      <c r="U260" s="3" t="s">
        <v>1</v>
      </c>
      <c r="V260" s="3" t="s">
        <v>0</v>
      </c>
      <c r="W260" s="2">
        <v>40</v>
      </c>
    </row>
    <row r="261" spans="1:24" hidden="1" x14ac:dyDescent="0.25">
      <c r="A261" s="8">
        <v>20977</v>
      </c>
      <c r="B261" s="8" t="s">
        <v>3716</v>
      </c>
      <c r="C261" s="7" t="s">
        <v>3715</v>
      </c>
      <c r="D261" s="6" t="s">
        <v>15</v>
      </c>
      <c r="E261" s="5" t="s">
        <v>3714</v>
      </c>
      <c r="F261" s="4">
        <v>42674</v>
      </c>
      <c r="G261" s="4" t="s">
        <v>1</v>
      </c>
      <c r="H261" s="4" t="s">
        <v>1</v>
      </c>
      <c r="I261" s="3" t="s">
        <v>13</v>
      </c>
      <c r="J261" s="3" t="s">
        <v>133</v>
      </c>
      <c r="K261" s="3" t="s">
        <v>262</v>
      </c>
      <c r="L261" s="3" t="s">
        <v>262</v>
      </c>
      <c r="M261" s="3" t="s">
        <v>277</v>
      </c>
      <c r="N261" s="3" t="s">
        <v>1545</v>
      </c>
      <c r="O261" s="3" t="s">
        <v>453</v>
      </c>
      <c r="P261" s="3" t="s">
        <v>72</v>
      </c>
      <c r="Q261" s="3" t="s">
        <v>5</v>
      </c>
      <c r="R261" s="3" t="s">
        <v>4</v>
      </c>
      <c r="S261" s="3" t="s">
        <v>3</v>
      </c>
      <c r="T261" s="3" t="s">
        <v>2</v>
      </c>
      <c r="U261" s="3" t="s">
        <v>1</v>
      </c>
      <c r="V261" s="3" t="s">
        <v>0</v>
      </c>
      <c r="W261" s="2">
        <v>30</v>
      </c>
    </row>
    <row r="262" spans="1:24" hidden="1" x14ac:dyDescent="0.25">
      <c r="A262" s="8">
        <v>1314</v>
      </c>
      <c r="B262" s="8" t="s">
        <v>3713</v>
      </c>
      <c r="C262" s="19" t="s">
        <v>3712</v>
      </c>
      <c r="D262" s="6" t="s">
        <v>15</v>
      </c>
      <c r="E262" s="18" t="s">
        <v>2553</v>
      </c>
      <c r="F262" s="4">
        <v>37928</v>
      </c>
      <c r="G262" s="4" t="s">
        <v>1</v>
      </c>
      <c r="H262" s="4" t="s">
        <v>1</v>
      </c>
      <c r="I262" s="3" t="s">
        <v>13</v>
      </c>
      <c r="J262" s="3" t="s">
        <v>133</v>
      </c>
      <c r="K262" s="3" t="s">
        <v>262</v>
      </c>
      <c r="L262" s="3" t="s">
        <v>262</v>
      </c>
      <c r="M262" s="3" t="s">
        <v>277</v>
      </c>
      <c r="N262" s="3" t="s">
        <v>3711</v>
      </c>
      <c r="O262" s="3" t="s">
        <v>128</v>
      </c>
      <c r="P262" s="3" t="s">
        <v>6</v>
      </c>
      <c r="Q262" s="3" t="s">
        <v>5</v>
      </c>
      <c r="R262" s="3" t="s">
        <v>4</v>
      </c>
      <c r="S262" s="3" t="s">
        <v>3</v>
      </c>
      <c r="T262" s="3" t="s">
        <v>2</v>
      </c>
      <c r="U262" s="3" t="s">
        <v>1</v>
      </c>
      <c r="V262" s="3" t="s">
        <v>0</v>
      </c>
      <c r="W262" s="2">
        <v>41</v>
      </c>
    </row>
    <row r="263" spans="1:24" hidden="1" x14ac:dyDescent="0.25">
      <c r="A263" s="8">
        <v>1315</v>
      </c>
      <c r="B263" s="8" t="s">
        <v>3710</v>
      </c>
      <c r="C263" s="7" t="s">
        <v>3709</v>
      </c>
      <c r="D263" s="6" t="s">
        <v>15</v>
      </c>
      <c r="E263" s="5" t="s">
        <v>2553</v>
      </c>
      <c r="F263" s="4">
        <v>37928</v>
      </c>
      <c r="G263" s="4" t="s">
        <v>1</v>
      </c>
      <c r="H263" s="4" t="s">
        <v>1</v>
      </c>
      <c r="I263" s="3" t="s">
        <v>13</v>
      </c>
      <c r="J263" s="3" t="s">
        <v>133</v>
      </c>
      <c r="K263" s="3" t="s">
        <v>11</v>
      </c>
      <c r="L263" s="3" t="s">
        <v>10</v>
      </c>
      <c r="M263" s="3" t="s">
        <v>290</v>
      </c>
      <c r="N263" s="3" t="s">
        <v>3708</v>
      </c>
      <c r="O263" s="3" t="s">
        <v>128</v>
      </c>
      <c r="P263" s="3" t="s">
        <v>6</v>
      </c>
      <c r="Q263" s="3" t="s">
        <v>5</v>
      </c>
      <c r="R263" s="3" t="s">
        <v>4</v>
      </c>
      <c r="S263" s="3" t="s">
        <v>3</v>
      </c>
      <c r="T263" s="3" t="s">
        <v>2</v>
      </c>
      <c r="U263" s="3" t="s">
        <v>1</v>
      </c>
      <c r="V263" s="3" t="s">
        <v>0</v>
      </c>
      <c r="W263" s="2">
        <v>42</v>
      </c>
    </row>
    <row r="264" spans="1:24" hidden="1" x14ac:dyDescent="0.25">
      <c r="A264" s="8">
        <v>1436</v>
      </c>
      <c r="B264" s="8" t="s">
        <v>3707</v>
      </c>
      <c r="C264" s="7" t="s">
        <v>3706</v>
      </c>
      <c r="D264" s="6" t="s">
        <v>15</v>
      </c>
      <c r="E264" s="5" t="s">
        <v>3705</v>
      </c>
      <c r="F264" s="4">
        <v>37970</v>
      </c>
      <c r="G264" s="4" t="s">
        <v>1</v>
      </c>
      <c r="H264" s="4" t="s">
        <v>1</v>
      </c>
      <c r="I264" s="3" t="s">
        <v>13</v>
      </c>
      <c r="J264" s="3" t="s">
        <v>133</v>
      </c>
      <c r="K264" s="3" t="s">
        <v>187</v>
      </c>
      <c r="L264" s="3" t="s">
        <v>187</v>
      </c>
      <c r="M264" s="3" t="s">
        <v>186</v>
      </c>
      <c r="N264" s="3" t="s">
        <v>198</v>
      </c>
      <c r="O264" s="3" t="s">
        <v>184</v>
      </c>
      <c r="P264" s="3" t="s">
        <v>6</v>
      </c>
      <c r="Q264" s="3" t="s">
        <v>20</v>
      </c>
      <c r="R264" s="3" t="s">
        <v>4</v>
      </c>
      <c r="S264" s="3" t="s">
        <v>3</v>
      </c>
      <c r="T264" s="3" t="s">
        <v>2</v>
      </c>
      <c r="U264" s="3" t="s">
        <v>1</v>
      </c>
      <c r="V264" s="3" t="s">
        <v>0</v>
      </c>
      <c r="W264" s="2">
        <v>40</v>
      </c>
    </row>
    <row r="265" spans="1:24" hidden="1" x14ac:dyDescent="0.25">
      <c r="A265" s="8">
        <v>1447</v>
      </c>
      <c r="B265" s="8" t="s">
        <v>3704</v>
      </c>
      <c r="C265" s="7" t="s">
        <v>3703</v>
      </c>
      <c r="D265" s="6" t="s">
        <v>15</v>
      </c>
      <c r="E265" s="5" t="s">
        <v>3702</v>
      </c>
      <c r="F265" s="4">
        <v>37970</v>
      </c>
      <c r="G265" s="4" t="s">
        <v>1</v>
      </c>
      <c r="H265" s="4" t="s">
        <v>1</v>
      </c>
      <c r="I265" s="5" t="s">
        <v>93</v>
      </c>
      <c r="J265" s="5" t="s">
        <v>866</v>
      </c>
      <c r="K265" s="5" t="s">
        <v>33</v>
      </c>
      <c r="L265" s="5" t="s">
        <v>33</v>
      </c>
      <c r="M265" s="5" t="s">
        <v>866</v>
      </c>
      <c r="N265" s="5" t="s">
        <v>3701</v>
      </c>
      <c r="O265" s="5" t="s">
        <v>368</v>
      </c>
      <c r="P265" s="5" t="s">
        <v>30</v>
      </c>
      <c r="Q265" s="5" t="s">
        <v>47</v>
      </c>
      <c r="R265" s="3" t="s">
        <v>4</v>
      </c>
      <c r="S265" s="3" t="s">
        <v>3</v>
      </c>
      <c r="T265" s="3" t="s">
        <v>38</v>
      </c>
      <c r="U265" s="3" t="s">
        <v>1</v>
      </c>
      <c r="V265" s="3" t="s">
        <v>18</v>
      </c>
      <c r="W265" s="2">
        <v>39</v>
      </c>
    </row>
    <row r="266" spans="1:24" hidden="1" x14ac:dyDescent="0.25">
      <c r="A266" s="8" t="s">
        <v>3700</v>
      </c>
      <c r="B266" s="8" t="s">
        <v>3700</v>
      </c>
      <c r="C266" s="7" t="s">
        <v>3699</v>
      </c>
      <c r="D266" s="6" t="s">
        <v>15</v>
      </c>
      <c r="E266" s="5" t="s">
        <v>3698</v>
      </c>
      <c r="F266" s="4">
        <v>41835</v>
      </c>
      <c r="G266" s="4" t="s">
        <v>1</v>
      </c>
      <c r="H266" s="4" t="s">
        <v>1</v>
      </c>
      <c r="I266" s="3" t="s">
        <v>13</v>
      </c>
      <c r="J266" s="3" t="s">
        <v>133</v>
      </c>
      <c r="K266" s="3" t="s">
        <v>262</v>
      </c>
      <c r="L266" s="3" t="s">
        <v>262</v>
      </c>
      <c r="M266" s="3" t="s">
        <v>277</v>
      </c>
      <c r="N266" s="3" t="s">
        <v>2515</v>
      </c>
      <c r="O266" s="3" t="s">
        <v>1231</v>
      </c>
      <c r="P266" s="3" t="s">
        <v>72</v>
      </c>
      <c r="Q266" s="3" t="s">
        <v>5</v>
      </c>
      <c r="R266" s="3" t="s">
        <v>4</v>
      </c>
      <c r="S266" s="3" t="s">
        <v>3</v>
      </c>
      <c r="T266" s="3" t="s">
        <v>2</v>
      </c>
      <c r="U266" s="3" t="s">
        <v>1</v>
      </c>
      <c r="V266" s="3" t="s">
        <v>0</v>
      </c>
      <c r="W266" s="2">
        <v>31</v>
      </c>
    </row>
    <row r="267" spans="1:24" s="9" customFormat="1" hidden="1" x14ac:dyDescent="0.25">
      <c r="A267" s="17">
        <v>328</v>
      </c>
      <c r="B267" s="17" t="s">
        <v>3697</v>
      </c>
      <c r="C267" s="16" t="s">
        <v>3696</v>
      </c>
      <c r="D267" s="15" t="s">
        <v>15</v>
      </c>
      <c r="E267" s="14" t="s">
        <v>301</v>
      </c>
      <c r="F267" s="13">
        <v>37725</v>
      </c>
      <c r="G267" s="13" t="s">
        <v>1</v>
      </c>
      <c r="H267" s="13" t="s">
        <v>1</v>
      </c>
      <c r="I267" s="12" t="s">
        <v>13</v>
      </c>
      <c r="J267" s="12" t="s">
        <v>133</v>
      </c>
      <c r="K267" s="12" t="s">
        <v>3159</v>
      </c>
      <c r="L267" s="12" t="s">
        <v>3159</v>
      </c>
      <c r="M267" s="12" t="s">
        <v>3655</v>
      </c>
      <c r="N267" s="12" t="s">
        <v>198</v>
      </c>
      <c r="O267" s="12" t="s">
        <v>184</v>
      </c>
      <c r="P267" s="12" t="s">
        <v>72</v>
      </c>
      <c r="Q267" s="12" t="s">
        <v>20</v>
      </c>
      <c r="R267" s="12" t="s">
        <v>4</v>
      </c>
      <c r="S267" s="12" t="s">
        <v>3</v>
      </c>
      <c r="T267" s="12" t="s">
        <v>2</v>
      </c>
      <c r="U267" s="12" t="s">
        <v>1</v>
      </c>
      <c r="V267" s="12" t="s">
        <v>0</v>
      </c>
      <c r="W267" s="11">
        <v>41</v>
      </c>
      <c r="X267" s="10"/>
    </row>
    <row r="268" spans="1:24" s="78" customFormat="1" hidden="1" x14ac:dyDescent="0.25">
      <c r="A268" s="73">
        <v>6129</v>
      </c>
      <c r="B268" s="73" t="s">
        <v>3695</v>
      </c>
      <c r="C268" s="87" t="s">
        <v>3694</v>
      </c>
      <c r="D268" s="88" t="s">
        <v>15</v>
      </c>
      <c r="E268" s="89" t="s">
        <v>768</v>
      </c>
      <c r="F268" s="90">
        <v>39157</v>
      </c>
      <c r="G268" s="90" t="s">
        <v>1</v>
      </c>
      <c r="H268" s="90" t="s">
        <v>1</v>
      </c>
      <c r="I268" s="92" t="s">
        <v>13</v>
      </c>
      <c r="J268" s="92" t="s">
        <v>133</v>
      </c>
      <c r="K268" s="92" t="s">
        <v>3159</v>
      </c>
      <c r="L268" s="92" t="s">
        <v>3159</v>
      </c>
      <c r="M268" s="92" t="s">
        <v>3655</v>
      </c>
      <c r="N268" s="92" t="s">
        <v>3693</v>
      </c>
      <c r="O268" s="92" t="s">
        <v>128</v>
      </c>
      <c r="P268" s="92" t="s">
        <v>72</v>
      </c>
      <c r="Q268" s="92" t="s">
        <v>5</v>
      </c>
      <c r="R268" s="92" t="s">
        <v>4</v>
      </c>
      <c r="S268" s="92" t="s">
        <v>3</v>
      </c>
      <c r="T268" s="92" t="s">
        <v>2</v>
      </c>
      <c r="U268" s="92" t="s">
        <v>1</v>
      </c>
      <c r="V268" s="92" t="s">
        <v>0</v>
      </c>
      <c r="W268" s="93">
        <v>39</v>
      </c>
    </row>
    <row r="269" spans="1:24" hidden="1" x14ac:dyDescent="0.25">
      <c r="A269" s="8">
        <v>1655</v>
      </c>
      <c r="B269" s="8" t="s">
        <v>3692</v>
      </c>
      <c r="C269" s="7" t="s">
        <v>3691</v>
      </c>
      <c r="D269" s="6" t="s">
        <v>15</v>
      </c>
      <c r="E269" s="5" t="s">
        <v>343</v>
      </c>
      <c r="F269" s="4">
        <v>38061</v>
      </c>
      <c r="G269" s="4" t="s">
        <v>1</v>
      </c>
      <c r="H269" s="4" t="s">
        <v>1</v>
      </c>
      <c r="I269" s="3" t="s">
        <v>13</v>
      </c>
      <c r="J269" s="3" t="s">
        <v>34</v>
      </c>
      <c r="K269" s="3" t="s">
        <v>33</v>
      </c>
      <c r="L269" s="3" t="s">
        <v>33</v>
      </c>
      <c r="M269" s="3" t="s">
        <v>3606</v>
      </c>
      <c r="N269" s="3" t="s">
        <v>3690</v>
      </c>
      <c r="O269" s="3" t="s">
        <v>615</v>
      </c>
      <c r="P269" s="3" t="s">
        <v>6</v>
      </c>
      <c r="Q269" s="3" t="s">
        <v>20</v>
      </c>
      <c r="R269" s="3" t="s">
        <v>4</v>
      </c>
      <c r="S269" s="3" t="s">
        <v>3</v>
      </c>
      <c r="T269" s="3" t="s">
        <v>3065</v>
      </c>
      <c r="U269" s="3" t="s">
        <v>1</v>
      </c>
      <c r="V269" s="3" t="s">
        <v>18</v>
      </c>
      <c r="W269" s="2">
        <v>45</v>
      </c>
    </row>
    <row r="270" spans="1:24" s="78" customFormat="1" hidden="1" x14ac:dyDescent="0.25">
      <c r="A270" s="73">
        <v>1908</v>
      </c>
      <c r="B270" s="73" t="s">
        <v>3689</v>
      </c>
      <c r="C270" s="95" t="s">
        <v>3688</v>
      </c>
      <c r="D270" s="88" t="s">
        <v>15</v>
      </c>
      <c r="E270" s="89" t="s">
        <v>343</v>
      </c>
      <c r="F270" s="90">
        <v>38103</v>
      </c>
      <c r="G270" s="90" t="s">
        <v>1</v>
      </c>
      <c r="H270" s="90" t="s">
        <v>1</v>
      </c>
      <c r="I270" s="89" t="s">
        <v>365</v>
      </c>
      <c r="J270" s="89" t="s">
        <v>530</v>
      </c>
      <c r="K270" s="89" t="s">
        <v>33</v>
      </c>
      <c r="L270" s="89" t="s">
        <v>33</v>
      </c>
      <c r="M270" s="89" t="s">
        <v>530</v>
      </c>
      <c r="N270" s="89" t="s">
        <v>3687</v>
      </c>
      <c r="O270" s="89" t="s">
        <v>339</v>
      </c>
      <c r="P270" s="89" t="s">
        <v>30</v>
      </c>
      <c r="Q270" s="89" t="s">
        <v>121</v>
      </c>
      <c r="R270" s="92" t="s">
        <v>4</v>
      </c>
      <c r="S270" s="92" t="s">
        <v>3</v>
      </c>
      <c r="T270" s="92" t="s">
        <v>338</v>
      </c>
      <c r="U270" s="92" t="s">
        <v>1</v>
      </c>
      <c r="V270" s="92" t="s">
        <v>18</v>
      </c>
      <c r="W270" s="93">
        <v>43</v>
      </c>
    </row>
    <row r="271" spans="1:24" s="9" customFormat="1" hidden="1" x14ac:dyDescent="0.25">
      <c r="A271" s="17">
        <v>2227</v>
      </c>
      <c r="B271" s="17" t="s">
        <v>3686</v>
      </c>
      <c r="C271" s="16" t="s">
        <v>3685</v>
      </c>
      <c r="D271" s="15" t="s">
        <v>15</v>
      </c>
      <c r="E271" s="14" t="s">
        <v>343</v>
      </c>
      <c r="F271" s="13">
        <v>38168</v>
      </c>
      <c r="G271" s="13" t="s">
        <v>1</v>
      </c>
      <c r="H271" s="13" t="s">
        <v>1</v>
      </c>
      <c r="I271" s="14" t="s">
        <v>50</v>
      </c>
      <c r="J271" s="14" t="s">
        <v>734</v>
      </c>
      <c r="K271" s="14" t="s">
        <v>33</v>
      </c>
      <c r="L271" s="14" t="s">
        <v>33</v>
      </c>
      <c r="M271" s="14" t="s">
        <v>734</v>
      </c>
      <c r="N271" s="14" t="s">
        <v>939</v>
      </c>
      <c r="O271" s="14" t="s">
        <v>624</v>
      </c>
      <c r="P271" s="14" t="s">
        <v>30</v>
      </c>
      <c r="Q271" s="14" t="s">
        <v>47</v>
      </c>
      <c r="R271" s="12" t="s">
        <v>4</v>
      </c>
      <c r="S271" s="12" t="s">
        <v>3</v>
      </c>
      <c r="T271" s="12" t="s">
        <v>338</v>
      </c>
      <c r="U271" s="12" t="s">
        <v>1</v>
      </c>
      <c r="V271" s="12" t="s">
        <v>0</v>
      </c>
      <c r="W271" s="11">
        <v>43</v>
      </c>
      <c r="X271" s="49"/>
    </row>
    <row r="272" spans="1:24" hidden="1" x14ac:dyDescent="0.25">
      <c r="A272" s="8">
        <v>2409</v>
      </c>
      <c r="B272" s="8" t="s">
        <v>3684</v>
      </c>
      <c r="C272" s="7" t="s">
        <v>3683</v>
      </c>
      <c r="D272" s="6" t="s">
        <v>15</v>
      </c>
      <c r="E272" s="5" t="s">
        <v>343</v>
      </c>
      <c r="F272" s="4">
        <v>38189</v>
      </c>
      <c r="G272" s="4" t="s">
        <v>1</v>
      </c>
      <c r="H272" s="4" t="s">
        <v>1</v>
      </c>
      <c r="I272" s="5" t="s">
        <v>93</v>
      </c>
      <c r="J272" s="5" t="s">
        <v>89</v>
      </c>
      <c r="K272" s="5" t="s">
        <v>33</v>
      </c>
      <c r="L272" s="5" t="s">
        <v>33</v>
      </c>
      <c r="M272" s="5" t="s">
        <v>3682</v>
      </c>
      <c r="N272" s="5" t="s">
        <v>3681</v>
      </c>
      <c r="O272" s="5" t="s">
        <v>624</v>
      </c>
      <c r="P272" s="5" t="s">
        <v>30</v>
      </c>
      <c r="Q272" s="5" t="s">
        <v>47</v>
      </c>
      <c r="R272" s="3" t="s">
        <v>4</v>
      </c>
      <c r="S272" s="3" t="s">
        <v>3</v>
      </c>
      <c r="T272" s="3" t="s">
        <v>3065</v>
      </c>
      <c r="U272" s="3" t="s">
        <v>1</v>
      </c>
      <c r="V272" s="3" t="s">
        <v>18</v>
      </c>
      <c r="W272" s="2">
        <v>44</v>
      </c>
    </row>
    <row r="273" spans="1:24" hidden="1" x14ac:dyDescent="0.25">
      <c r="A273" s="8">
        <v>2412</v>
      </c>
      <c r="B273" s="8" t="s">
        <v>3680</v>
      </c>
      <c r="C273" s="28" t="s">
        <v>3679</v>
      </c>
      <c r="D273" s="6" t="s">
        <v>15</v>
      </c>
      <c r="E273" s="5" t="s">
        <v>343</v>
      </c>
      <c r="F273" s="4">
        <v>38189</v>
      </c>
      <c r="G273" s="4" t="s">
        <v>1</v>
      </c>
      <c r="H273" s="4" t="s">
        <v>1</v>
      </c>
      <c r="I273" s="5" t="s">
        <v>365</v>
      </c>
      <c r="J273" s="5" t="s">
        <v>1142</v>
      </c>
      <c r="K273" s="5" t="s">
        <v>33</v>
      </c>
      <c r="L273" s="5" t="s">
        <v>33</v>
      </c>
      <c r="M273" s="5" t="s">
        <v>1142</v>
      </c>
      <c r="N273" s="5" t="s">
        <v>3678</v>
      </c>
      <c r="O273" s="5" t="s">
        <v>339</v>
      </c>
      <c r="P273" s="5" t="s">
        <v>30</v>
      </c>
      <c r="Q273" s="5" t="s">
        <v>121</v>
      </c>
      <c r="R273" s="3" t="s">
        <v>4</v>
      </c>
      <c r="S273" s="3" t="s">
        <v>3</v>
      </c>
      <c r="T273" s="3" t="s">
        <v>338</v>
      </c>
      <c r="U273" s="3" t="s">
        <v>1</v>
      </c>
      <c r="V273" s="3" t="s">
        <v>0</v>
      </c>
      <c r="W273" s="2">
        <v>43</v>
      </c>
    </row>
    <row r="274" spans="1:24" hidden="1" x14ac:dyDescent="0.25">
      <c r="A274" s="8">
        <v>3102</v>
      </c>
      <c r="B274" s="8" t="s">
        <v>3677</v>
      </c>
      <c r="C274" s="7" t="s">
        <v>3676</v>
      </c>
      <c r="D274" s="6" t="s">
        <v>15</v>
      </c>
      <c r="E274" s="5" t="s">
        <v>343</v>
      </c>
      <c r="F274" s="4">
        <v>38236</v>
      </c>
      <c r="G274" s="4" t="s">
        <v>1</v>
      </c>
      <c r="H274" s="4" t="s">
        <v>1</v>
      </c>
      <c r="I274" s="5" t="s">
        <v>384</v>
      </c>
      <c r="J274" s="5" t="s">
        <v>3211</v>
      </c>
      <c r="K274" s="5" t="s">
        <v>33</v>
      </c>
      <c r="L274" s="5" t="s">
        <v>33</v>
      </c>
      <c r="M274" s="5" t="s">
        <v>3211</v>
      </c>
      <c r="N274" s="5" t="s">
        <v>3675</v>
      </c>
      <c r="O274" s="5" t="s">
        <v>624</v>
      </c>
      <c r="P274" s="5" t="s">
        <v>30</v>
      </c>
      <c r="Q274" s="5" t="s">
        <v>47</v>
      </c>
      <c r="R274" s="3" t="s">
        <v>4</v>
      </c>
      <c r="S274" s="3" t="s">
        <v>3</v>
      </c>
      <c r="T274" s="3" t="s">
        <v>338</v>
      </c>
      <c r="U274" s="3" t="s">
        <v>1</v>
      </c>
      <c r="V274" s="3" t="s">
        <v>18</v>
      </c>
      <c r="W274" s="2">
        <v>46</v>
      </c>
    </row>
    <row r="275" spans="1:24" s="9" customFormat="1" hidden="1" x14ac:dyDescent="0.25">
      <c r="A275" s="17">
        <v>3640</v>
      </c>
      <c r="B275" s="17" t="s">
        <v>3674</v>
      </c>
      <c r="C275" s="16" t="s">
        <v>3673</v>
      </c>
      <c r="D275" s="42" t="s">
        <v>15</v>
      </c>
      <c r="E275" s="14" t="s">
        <v>343</v>
      </c>
      <c r="F275" s="13">
        <v>38285</v>
      </c>
      <c r="G275" s="13" t="s">
        <v>1</v>
      </c>
      <c r="H275" s="13" t="s">
        <v>1</v>
      </c>
      <c r="I275" s="14" t="s">
        <v>384</v>
      </c>
      <c r="J275" s="14" t="s">
        <v>357</v>
      </c>
      <c r="K275" s="14" t="s">
        <v>33</v>
      </c>
      <c r="L275" s="14" t="s">
        <v>33</v>
      </c>
      <c r="M275" s="14" t="s">
        <v>357</v>
      </c>
      <c r="N275" s="14" t="s">
        <v>3672</v>
      </c>
      <c r="O275" s="14" t="s">
        <v>355</v>
      </c>
      <c r="P275" s="14" t="s">
        <v>30</v>
      </c>
      <c r="Q275" s="14" t="s">
        <v>47</v>
      </c>
      <c r="R275" s="12" t="s">
        <v>4</v>
      </c>
      <c r="S275" s="12" t="s">
        <v>3</v>
      </c>
      <c r="T275" s="12" t="s">
        <v>3469</v>
      </c>
      <c r="U275" s="12" t="s">
        <v>1</v>
      </c>
      <c r="V275" s="12" t="s">
        <v>18</v>
      </c>
      <c r="W275" s="11">
        <v>43</v>
      </c>
      <c r="X275" s="10"/>
    </row>
    <row r="276" spans="1:24" s="78" customFormat="1" hidden="1" x14ac:dyDescent="0.25">
      <c r="A276" s="73">
        <v>3644</v>
      </c>
      <c r="B276" s="73" t="s">
        <v>3671</v>
      </c>
      <c r="C276" s="87" t="s">
        <v>3670</v>
      </c>
      <c r="D276" s="88" t="s">
        <v>15</v>
      </c>
      <c r="E276" s="89" t="s">
        <v>343</v>
      </c>
      <c r="F276" s="90">
        <v>38285</v>
      </c>
      <c r="G276" s="90" t="s">
        <v>1</v>
      </c>
      <c r="H276" s="90" t="s">
        <v>1</v>
      </c>
      <c r="I276" s="92" t="s">
        <v>145</v>
      </c>
      <c r="J276" s="92" t="s">
        <v>34</v>
      </c>
      <c r="K276" s="92" t="s">
        <v>33</v>
      </c>
      <c r="L276" s="92" t="s">
        <v>33</v>
      </c>
      <c r="M276" s="92" t="s">
        <v>939</v>
      </c>
      <c r="N276" s="92" t="s">
        <v>3669</v>
      </c>
      <c r="O276" s="92" t="s">
        <v>624</v>
      </c>
      <c r="P276" s="92" t="s">
        <v>30</v>
      </c>
      <c r="Q276" s="92" t="s">
        <v>47</v>
      </c>
      <c r="R276" s="92" t="s">
        <v>4</v>
      </c>
      <c r="S276" s="92" t="s">
        <v>3</v>
      </c>
      <c r="T276" s="92" t="s">
        <v>338</v>
      </c>
      <c r="U276" s="92" t="s">
        <v>1</v>
      </c>
      <c r="V276" s="92" t="s">
        <v>18</v>
      </c>
      <c r="W276" s="93">
        <v>42</v>
      </c>
    </row>
    <row r="277" spans="1:24" s="78" customFormat="1" hidden="1" x14ac:dyDescent="0.25">
      <c r="A277" s="73">
        <v>3718</v>
      </c>
      <c r="B277" s="73" t="s">
        <v>3668</v>
      </c>
      <c r="C277" s="95" t="s">
        <v>3667</v>
      </c>
      <c r="D277" s="88" t="s">
        <v>15</v>
      </c>
      <c r="E277" s="89" t="s">
        <v>343</v>
      </c>
      <c r="F277" s="90">
        <v>38621</v>
      </c>
      <c r="G277" s="90" t="s">
        <v>1</v>
      </c>
      <c r="H277" s="90" t="s">
        <v>1</v>
      </c>
      <c r="I277" s="89" t="s">
        <v>365</v>
      </c>
      <c r="J277" s="89" t="s">
        <v>918</v>
      </c>
      <c r="K277" s="89" t="s">
        <v>33</v>
      </c>
      <c r="L277" s="89" t="s">
        <v>33</v>
      </c>
      <c r="M277" s="89" t="s">
        <v>918</v>
      </c>
      <c r="N277" s="89" t="s">
        <v>939</v>
      </c>
      <c r="O277" s="89" t="s">
        <v>339</v>
      </c>
      <c r="P277" s="89" t="s">
        <v>30</v>
      </c>
      <c r="Q277" s="89" t="s">
        <v>121</v>
      </c>
      <c r="R277" s="92" t="s">
        <v>4</v>
      </c>
      <c r="S277" s="92" t="s">
        <v>3</v>
      </c>
      <c r="T277" s="92" t="s">
        <v>338</v>
      </c>
      <c r="U277" s="92" t="s">
        <v>1</v>
      </c>
      <c r="V277" s="92" t="s">
        <v>18</v>
      </c>
      <c r="W277" s="93">
        <v>48</v>
      </c>
    </row>
    <row r="278" spans="1:24" s="78" customFormat="1" hidden="1" x14ac:dyDescent="0.25">
      <c r="A278" s="73">
        <v>3723</v>
      </c>
      <c r="B278" s="73" t="s">
        <v>3666</v>
      </c>
      <c r="C278" s="106" t="s">
        <v>3665</v>
      </c>
      <c r="D278" s="107" t="s">
        <v>15</v>
      </c>
      <c r="E278" s="89" t="s">
        <v>1044</v>
      </c>
      <c r="F278" s="90">
        <v>38626</v>
      </c>
      <c r="G278" s="90" t="s">
        <v>1</v>
      </c>
      <c r="H278" s="90" t="s">
        <v>1</v>
      </c>
      <c r="I278" s="92" t="s">
        <v>145</v>
      </c>
      <c r="J278" s="92" t="s">
        <v>12</v>
      </c>
      <c r="K278" s="92" t="s">
        <v>1933</v>
      </c>
      <c r="L278" s="92" t="s">
        <v>1932</v>
      </c>
      <c r="M278" s="92" t="s">
        <v>1931</v>
      </c>
      <c r="N278" s="92" t="s">
        <v>269</v>
      </c>
      <c r="O278" s="92" t="s">
        <v>29</v>
      </c>
      <c r="P278" s="92" t="s">
        <v>30</v>
      </c>
      <c r="Q278" s="92" t="s">
        <v>20</v>
      </c>
      <c r="R278" s="92" t="s">
        <v>4</v>
      </c>
      <c r="S278" s="92" t="s">
        <v>3</v>
      </c>
      <c r="T278" s="92" t="s">
        <v>29</v>
      </c>
      <c r="U278" s="92" t="s">
        <v>1</v>
      </c>
      <c r="V278" s="92" t="s">
        <v>0</v>
      </c>
      <c r="W278" s="93">
        <v>42</v>
      </c>
    </row>
    <row r="279" spans="1:24" hidden="1" x14ac:dyDescent="0.25">
      <c r="A279" s="8">
        <v>3725</v>
      </c>
      <c r="B279" s="8" t="s">
        <v>3664</v>
      </c>
      <c r="C279" s="7" t="s">
        <v>3663</v>
      </c>
      <c r="D279" s="6" t="s">
        <v>15</v>
      </c>
      <c r="E279" s="5" t="s">
        <v>1044</v>
      </c>
      <c r="F279" s="4">
        <v>38626</v>
      </c>
      <c r="G279" s="4" t="s">
        <v>1</v>
      </c>
      <c r="H279" s="4" t="s">
        <v>1</v>
      </c>
      <c r="I279" s="3" t="s">
        <v>145</v>
      </c>
      <c r="J279" s="3" t="s">
        <v>34</v>
      </c>
      <c r="K279" s="3" t="s">
        <v>33</v>
      </c>
      <c r="L279" s="3" t="s">
        <v>33</v>
      </c>
      <c r="M279" s="3" t="s">
        <v>1094</v>
      </c>
      <c r="N279" s="3" t="s">
        <v>1503</v>
      </c>
      <c r="O279" s="3" t="s">
        <v>1094</v>
      </c>
      <c r="P279" s="3" t="s">
        <v>72</v>
      </c>
      <c r="Q279" s="3" t="s">
        <v>47</v>
      </c>
      <c r="R279" s="3" t="s">
        <v>4</v>
      </c>
      <c r="S279" s="3" t="s">
        <v>3</v>
      </c>
      <c r="T279" s="3" t="s">
        <v>2</v>
      </c>
      <c r="U279" s="3" t="s">
        <v>1</v>
      </c>
      <c r="V279" s="3" t="s">
        <v>0</v>
      </c>
      <c r="W279" s="2">
        <v>41</v>
      </c>
    </row>
    <row r="280" spans="1:24" s="9" customFormat="1" hidden="1" x14ac:dyDescent="0.25">
      <c r="A280" s="17">
        <v>8682</v>
      </c>
      <c r="B280" s="17" t="s">
        <v>3662</v>
      </c>
      <c r="C280" s="16" t="s">
        <v>3661</v>
      </c>
      <c r="D280" s="15" t="s">
        <v>15</v>
      </c>
      <c r="E280" s="14" t="s">
        <v>1338</v>
      </c>
      <c r="F280" s="13">
        <v>39888</v>
      </c>
      <c r="G280" s="13" t="s">
        <v>1</v>
      </c>
      <c r="H280" s="13" t="s">
        <v>1</v>
      </c>
      <c r="I280" s="12" t="s">
        <v>13</v>
      </c>
      <c r="J280" s="12" t="s">
        <v>133</v>
      </c>
      <c r="K280" s="12" t="s">
        <v>3159</v>
      </c>
      <c r="L280" s="12" t="s">
        <v>3159</v>
      </c>
      <c r="M280" s="12" t="s">
        <v>3655</v>
      </c>
      <c r="N280" s="12" t="s">
        <v>198</v>
      </c>
      <c r="O280" s="12" t="s">
        <v>184</v>
      </c>
      <c r="P280" s="12" t="s">
        <v>72</v>
      </c>
      <c r="Q280" s="12" t="s">
        <v>20</v>
      </c>
      <c r="R280" s="12" t="s">
        <v>4</v>
      </c>
      <c r="S280" s="12" t="s">
        <v>3</v>
      </c>
      <c r="T280" s="12" t="s">
        <v>2</v>
      </c>
      <c r="U280" s="12" t="s">
        <v>1</v>
      </c>
      <c r="V280" s="12" t="s">
        <v>0</v>
      </c>
      <c r="W280" s="11">
        <v>35</v>
      </c>
    </row>
    <row r="281" spans="1:24" s="9" customFormat="1" hidden="1" x14ac:dyDescent="0.25">
      <c r="A281" s="17">
        <v>10909</v>
      </c>
      <c r="B281" s="17" t="s">
        <v>3660</v>
      </c>
      <c r="C281" s="16" t="s">
        <v>3659</v>
      </c>
      <c r="D281" s="15" t="s">
        <v>15</v>
      </c>
      <c r="E281" s="14" t="s">
        <v>2180</v>
      </c>
      <c r="F281" s="13">
        <v>40574</v>
      </c>
      <c r="G281" s="13" t="s">
        <v>1</v>
      </c>
      <c r="H281" s="13" t="s">
        <v>1</v>
      </c>
      <c r="I281" s="12" t="s">
        <v>13</v>
      </c>
      <c r="J281" s="12" t="s">
        <v>133</v>
      </c>
      <c r="K281" s="12" t="s">
        <v>3159</v>
      </c>
      <c r="L281" s="12" t="s">
        <v>3159</v>
      </c>
      <c r="M281" s="12" t="s">
        <v>3655</v>
      </c>
      <c r="N281" s="12" t="s">
        <v>3658</v>
      </c>
      <c r="O281" s="12" t="s">
        <v>1726</v>
      </c>
      <c r="P281" s="12" t="s">
        <v>72</v>
      </c>
      <c r="Q281" s="12" t="s">
        <v>5</v>
      </c>
      <c r="R281" s="12" t="s">
        <v>4</v>
      </c>
      <c r="S281" s="12" t="s">
        <v>3</v>
      </c>
      <c r="T281" s="12" t="s">
        <v>2</v>
      </c>
      <c r="U281" s="12" t="s">
        <v>1</v>
      </c>
      <c r="V281" s="12" t="s">
        <v>0</v>
      </c>
      <c r="W281" s="11">
        <v>34</v>
      </c>
    </row>
    <row r="282" spans="1:24" hidden="1" x14ac:dyDescent="0.25">
      <c r="A282" s="8">
        <v>12460</v>
      </c>
      <c r="B282" s="8" t="s">
        <v>3657</v>
      </c>
      <c r="C282" s="7" t="s">
        <v>3656</v>
      </c>
      <c r="D282" s="6" t="s">
        <v>15</v>
      </c>
      <c r="E282" s="5" t="s">
        <v>154</v>
      </c>
      <c r="F282" s="4">
        <v>40812</v>
      </c>
      <c r="G282" s="4" t="s">
        <v>1</v>
      </c>
      <c r="H282" s="4" t="s">
        <v>1</v>
      </c>
      <c r="I282" s="3" t="s">
        <v>13</v>
      </c>
      <c r="J282" s="3" t="s">
        <v>133</v>
      </c>
      <c r="K282" s="3" t="s">
        <v>3159</v>
      </c>
      <c r="L282" s="3" t="s">
        <v>3159</v>
      </c>
      <c r="M282" s="3" t="s">
        <v>3655</v>
      </c>
      <c r="N282" s="3" t="s">
        <v>3654</v>
      </c>
      <c r="O282" s="3" t="s">
        <v>128</v>
      </c>
      <c r="P282" s="3" t="s">
        <v>72</v>
      </c>
      <c r="Q282" s="3" t="s">
        <v>5</v>
      </c>
      <c r="R282" s="3" t="s">
        <v>4</v>
      </c>
      <c r="S282" s="3" t="s">
        <v>3</v>
      </c>
      <c r="T282" s="3" t="s">
        <v>2</v>
      </c>
      <c r="U282" s="3" t="s">
        <v>1</v>
      </c>
      <c r="V282" s="3" t="s">
        <v>0</v>
      </c>
      <c r="W282" s="2">
        <v>31</v>
      </c>
    </row>
    <row r="283" spans="1:24" hidden="1" x14ac:dyDescent="0.25">
      <c r="A283" s="8">
        <v>4041</v>
      </c>
      <c r="B283" s="8" t="s">
        <v>3653</v>
      </c>
      <c r="C283" s="7" t="s">
        <v>3652</v>
      </c>
      <c r="D283" s="6" t="s">
        <v>15</v>
      </c>
      <c r="E283" s="5" t="s">
        <v>3651</v>
      </c>
      <c r="F283" s="4">
        <v>38722</v>
      </c>
      <c r="G283" s="4" t="s">
        <v>1</v>
      </c>
      <c r="H283" s="4" t="s">
        <v>1</v>
      </c>
      <c r="I283" s="5" t="s">
        <v>93</v>
      </c>
      <c r="J283" s="5" t="s">
        <v>89</v>
      </c>
      <c r="K283" s="5" t="s">
        <v>33</v>
      </c>
      <c r="L283" s="5" t="s">
        <v>33</v>
      </c>
      <c r="M283" s="5" t="s">
        <v>1216</v>
      </c>
      <c r="N283" s="5" t="s">
        <v>1216</v>
      </c>
      <c r="O283" s="5" t="s">
        <v>89</v>
      </c>
      <c r="P283" s="5" t="s">
        <v>72</v>
      </c>
      <c r="Q283" s="5" t="s">
        <v>20</v>
      </c>
      <c r="R283" s="3" t="s">
        <v>4</v>
      </c>
      <c r="S283" s="3" t="s">
        <v>3</v>
      </c>
      <c r="T283" s="3" t="s">
        <v>29</v>
      </c>
      <c r="U283" s="3" t="s">
        <v>1</v>
      </c>
      <c r="V283" s="3" t="s">
        <v>18</v>
      </c>
      <c r="W283" s="2">
        <v>42</v>
      </c>
    </row>
    <row r="284" spans="1:24" s="78" customFormat="1" hidden="1" x14ac:dyDescent="0.25">
      <c r="A284" s="73">
        <v>4356</v>
      </c>
      <c r="B284" s="73" t="s">
        <v>3650</v>
      </c>
      <c r="C284" s="87" t="s">
        <v>3649</v>
      </c>
      <c r="D284" s="88" t="s">
        <v>15</v>
      </c>
      <c r="E284" s="89" t="s">
        <v>343</v>
      </c>
      <c r="F284" s="90">
        <v>38741</v>
      </c>
      <c r="G284" s="90" t="s">
        <v>1</v>
      </c>
      <c r="H284" s="90" t="s">
        <v>1</v>
      </c>
      <c r="I284" s="92" t="s">
        <v>384</v>
      </c>
      <c r="J284" s="92" t="s">
        <v>390</v>
      </c>
      <c r="K284" s="92" t="s">
        <v>33</v>
      </c>
      <c r="L284" s="92" t="s">
        <v>33</v>
      </c>
      <c r="M284" s="92" t="s">
        <v>389</v>
      </c>
      <c r="N284" s="92" t="s">
        <v>3606</v>
      </c>
      <c r="O284" s="92" t="s">
        <v>624</v>
      </c>
      <c r="P284" s="92" t="s">
        <v>30</v>
      </c>
      <c r="Q284" s="92" t="s">
        <v>47</v>
      </c>
      <c r="R284" s="92" t="s">
        <v>4</v>
      </c>
      <c r="S284" s="92" t="s">
        <v>3</v>
      </c>
      <c r="T284" s="92" t="s">
        <v>3065</v>
      </c>
      <c r="U284" s="92" t="s">
        <v>1</v>
      </c>
      <c r="V284" s="92" t="s">
        <v>18</v>
      </c>
      <c r="W284" s="93">
        <v>42</v>
      </c>
    </row>
    <row r="285" spans="1:24" hidden="1" x14ac:dyDescent="0.25">
      <c r="A285" s="8">
        <v>1044</v>
      </c>
      <c r="B285" s="8" t="s">
        <v>3648</v>
      </c>
      <c r="C285" s="7" t="s">
        <v>3647</v>
      </c>
      <c r="D285" s="6" t="s">
        <v>15</v>
      </c>
      <c r="E285" s="5" t="s">
        <v>1586</v>
      </c>
      <c r="F285" s="4">
        <v>37879</v>
      </c>
      <c r="G285" s="4" t="s">
        <v>1</v>
      </c>
      <c r="H285" s="4" t="s">
        <v>1</v>
      </c>
      <c r="I285" s="3" t="s">
        <v>13</v>
      </c>
      <c r="J285" s="3" t="s">
        <v>133</v>
      </c>
      <c r="K285" s="3" t="s">
        <v>25</v>
      </c>
      <c r="L285" s="3" t="s">
        <v>1241</v>
      </c>
      <c r="M285" s="3" t="s">
        <v>1240</v>
      </c>
      <c r="N285" s="3" t="s">
        <v>3646</v>
      </c>
      <c r="O285" s="3" t="s">
        <v>1231</v>
      </c>
      <c r="P285" s="3" t="s">
        <v>30</v>
      </c>
      <c r="Q285" s="3" t="s">
        <v>5</v>
      </c>
      <c r="R285" s="3" t="s">
        <v>4</v>
      </c>
      <c r="S285" s="3" t="s">
        <v>3</v>
      </c>
      <c r="T285" s="3" t="s">
        <v>2</v>
      </c>
      <c r="U285" s="3" t="s">
        <v>1</v>
      </c>
      <c r="V285" s="3" t="s">
        <v>0</v>
      </c>
      <c r="W285" s="2">
        <v>42</v>
      </c>
    </row>
    <row r="286" spans="1:24" s="9" customFormat="1" hidden="1" x14ac:dyDescent="0.25">
      <c r="A286" s="17">
        <v>4488</v>
      </c>
      <c r="B286" s="17" t="s">
        <v>3645</v>
      </c>
      <c r="C286" s="16" t="s">
        <v>3644</v>
      </c>
      <c r="D286" s="42" t="s">
        <v>15</v>
      </c>
      <c r="E286" s="14" t="s">
        <v>343</v>
      </c>
      <c r="F286" s="13">
        <v>38789</v>
      </c>
      <c r="G286" s="13" t="s">
        <v>1</v>
      </c>
      <c r="H286" s="13" t="s">
        <v>1</v>
      </c>
      <c r="I286" s="14" t="s">
        <v>145</v>
      </c>
      <c r="J286" s="14" t="s">
        <v>357</v>
      </c>
      <c r="K286" s="14" t="s">
        <v>33</v>
      </c>
      <c r="L286" s="14" t="s">
        <v>33</v>
      </c>
      <c r="M286" s="14" t="s">
        <v>357</v>
      </c>
      <c r="N286" s="14" t="s">
        <v>3643</v>
      </c>
      <c r="O286" s="14" t="s">
        <v>355</v>
      </c>
      <c r="P286" s="14" t="s">
        <v>30</v>
      </c>
      <c r="Q286" s="14" t="s">
        <v>47</v>
      </c>
      <c r="R286" s="12" t="s">
        <v>4</v>
      </c>
      <c r="S286" s="12" t="s">
        <v>3</v>
      </c>
      <c r="T286" s="12" t="s">
        <v>3642</v>
      </c>
      <c r="U286" s="12" t="s">
        <v>1</v>
      </c>
      <c r="V286" s="12" t="s">
        <v>18</v>
      </c>
      <c r="W286" s="11">
        <v>41</v>
      </c>
      <c r="X286" s="10"/>
    </row>
    <row r="287" spans="1:24" s="9" customFormat="1" hidden="1" x14ac:dyDescent="0.25">
      <c r="A287" s="17">
        <v>1106</v>
      </c>
      <c r="B287" s="17" t="s">
        <v>3641</v>
      </c>
      <c r="C287" s="16" t="s">
        <v>3640</v>
      </c>
      <c r="D287" s="15" t="s">
        <v>15</v>
      </c>
      <c r="E287" s="14" t="s">
        <v>56</v>
      </c>
      <c r="F287" s="13">
        <v>37887</v>
      </c>
      <c r="G287" s="13" t="s">
        <v>1</v>
      </c>
      <c r="H287" s="13" t="s">
        <v>1</v>
      </c>
      <c r="I287" s="12" t="s">
        <v>13</v>
      </c>
      <c r="J287" s="12" t="s">
        <v>133</v>
      </c>
      <c r="K287" s="12" t="s">
        <v>25</v>
      </c>
      <c r="L287" s="12" t="s">
        <v>1241</v>
      </c>
      <c r="M287" s="12" t="s">
        <v>1240</v>
      </c>
      <c r="N287" s="12" t="s">
        <v>198</v>
      </c>
      <c r="O287" s="12" t="s">
        <v>184</v>
      </c>
      <c r="P287" s="12" t="s">
        <v>30</v>
      </c>
      <c r="Q287" s="12" t="s">
        <v>20</v>
      </c>
      <c r="R287" s="12" t="s">
        <v>4</v>
      </c>
      <c r="S287" s="12" t="s">
        <v>3</v>
      </c>
      <c r="T287" s="12" t="s">
        <v>2</v>
      </c>
      <c r="U287" s="12" t="s">
        <v>1</v>
      </c>
      <c r="V287" s="12" t="s">
        <v>0</v>
      </c>
      <c r="W287" s="11">
        <v>40</v>
      </c>
      <c r="X287" s="10"/>
    </row>
    <row r="288" spans="1:24" hidden="1" x14ac:dyDescent="0.25">
      <c r="A288" s="8">
        <v>9693</v>
      </c>
      <c r="B288" s="8" t="s">
        <v>3639</v>
      </c>
      <c r="C288" s="7" t="s">
        <v>3638</v>
      </c>
      <c r="D288" s="6" t="s">
        <v>15</v>
      </c>
      <c r="E288" s="5" t="s">
        <v>1237</v>
      </c>
      <c r="F288" s="4">
        <v>40297</v>
      </c>
      <c r="G288" s="4" t="s">
        <v>1</v>
      </c>
      <c r="H288" s="4" t="s">
        <v>1</v>
      </c>
      <c r="I288" s="3" t="s">
        <v>13</v>
      </c>
      <c r="J288" s="3" t="s">
        <v>133</v>
      </c>
      <c r="K288" s="3" t="s">
        <v>25</v>
      </c>
      <c r="L288" s="3" t="s">
        <v>1241</v>
      </c>
      <c r="M288" s="3" t="s">
        <v>1240</v>
      </c>
      <c r="N288" s="3" t="s">
        <v>198</v>
      </c>
      <c r="O288" s="3" t="s">
        <v>184</v>
      </c>
      <c r="P288" s="3" t="s">
        <v>30</v>
      </c>
      <c r="Q288" s="3" t="s">
        <v>20</v>
      </c>
      <c r="R288" s="3" t="s">
        <v>4</v>
      </c>
      <c r="S288" s="3" t="s">
        <v>3</v>
      </c>
      <c r="T288" s="3" t="s">
        <v>2</v>
      </c>
      <c r="U288" s="3" t="s">
        <v>1</v>
      </c>
      <c r="V288" s="3" t="s">
        <v>0</v>
      </c>
      <c r="W288" s="2">
        <v>35</v>
      </c>
    </row>
    <row r="289" spans="1:24" hidden="1" x14ac:dyDescent="0.25">
      <c r="A289" s="8">
        <v>11942</v>
      </c>
      <c r="B289" s="8" t="s">
        <v>3637</v>
      </c>
      <c r="C289" s="7" t="s">
        <v>3636</v>
      </c>
      <c r="D289" s="6" t="s">
        <v>15</v>
      </c>
      <c r="E289" s="5" t="s">
        <v>1233</v>
      </c>
      <c r="F289" s="4">
        <v>40770</v>
      </c>
      <c r="G289" s="4" t="s">
        <v>1</v>
      </c>
      <c r="H289" s="4" t="s">
        <v>1</v>
      </c>
      <c r="I289" s="3" t="s">
        <v>13</v>
      </c>
      <c r="J289" s="3" t="s">
        <v>133</v>
      </c>
      <c r="K289" s="3" t="s">
        <v>25</v>
      </c>
      <c r="L289" s="3" t="s">
        <v>1241</v>
      </c>
      <c r="M289" s="3" t="s">
        <v>1240</v>
      </c>
      <c r="N289" s="3" t="s">
        <v>3635</v>
      </c>
      <c r="O289" s="3" t="s">
        <v>128</v>
      </c>
      <c r="P289" s="3" t="s">
        <v>30</v>
      </c>
      <c r="Q289" s="3" t="s">
        <v>5</v>
      </c>
      <c r="R289" s="3" t="s">
        <v>4</v>
      </c>
      <c r="S289" s="3" t="s">
        <v>3</v>
      </c>
      <c r="T289" s="3" t="s">
        <v>2</v>
      </c>
      <c r="U289" s="3" t="s">
        <v>1</v>
      </c>
      <c r="V289" s="3" t="s">
        <v>0</v>
      </c>
      <c r="W289" s="2">
        <v>33</v>
      </c>
    </row>
    <row r="290" spans="1:24" hidden="1" x14ac:dyDescent="0.25">
      <c r="A290" s="8" t="s">
        <v>3634</v>
      </c>
      <c r="B290" s="8" t="s">
        <v>3634</v>
      </c>
      <c r="C290" s="7" t="s">
        <v>1853</v>
      </c>
      <c r="D290" s="6" t="s">
        <v>15</v>
      </c>
      <c r="E290" s="5" t="s">
        <v>321</v>
      </c>
      <c r="F290" s="4">
        <v>40840</v>
      </c>
      <c r="G290" s="4" t="s">
        <v>1</v>
      </c>
      <c r="H290" s="4" t="s">
        <v>1</v>
      </c>
      <c r="I290" s="3" t="s">
        <v>13</v>
      </c>
      <c r="J290" s="3" t="s">
        <v>133</v>
      </c>
      <c r="K290" s="3" t="s">
        <v>25</v>
      </c>
      <c r="L290" s="3" t="s">
        <v>1241</v>
      </c>
      <c r="M290" s="3" t="s">
        <v>1240</v>
      </c>
      <c r="N290" s="3" t="s">
        <v>3633</v>
      </c>
      <c r="O290" s="3" t="s">
        <v>128</v>
      </c>
      <c r="P290" s="3" t="s">
        <v>30</v>
      </c>
      <c r="Q290" s="3" t="s">
        <v>5</v>
      </c>
      <c r="R290" s="3" t="s">
        <v>4</v>
      </c>
      <c r="S290" s="3" t="s">
        <v>3</v>
      </c>
      <c r="T290" s="3" t="s">
        <v>2</v>
      </c>
      <c r="U290" s="3" t="s">
        <v>1</v>
      </c>
      <c r="V290" s="3" t="s">
        <v>0</v>
      </c>
      <c r="W290" s="2">
        <v>32</v>
      </c>
    </row>
    <row r="291" spans="1:24" hidden="1" x14ac:dyDescent="0.25">
      <c r="A291" s="8">
        <v>4651</v>
      </c>
      <c r="B291" s="8" t="s">
        <v>3632</v>
      </c>
      <c r="C291" s="7" t="s">
        <v>3631</v>
      </c>
      <c r="D291" s="6" t="s">
        <v>15</v>
      </c>
      <c r="E291" s="5" t="s">
        <v>3626</v>
      </c>
      <c r="F291" s="4">
        <v>38901</v>
      </c>
      <c r="G291" s="4" t="s">
        <v>1</v>
      </c>
      <c r="H291" s="4" t="s">
        <v>1</v>
      </c>
      <c r="I291" s="3" t="s">
        <v>13</v>
      </c>
      <c r="J291" s="3" t="s">
        <v>12</v>
      </c>
      <c r="K291" s="3" t="s">
        <v>539</v>
      </c>
      <c r="L291" s="3" t="s">
        <v>538</v>
      </c>
      <c r="M291" s="3" t="s">
        <v>537</v>
      </c>
      <c r="N291" s="3" t="s">
        <v>22</v>
      </c>
      <c r="O291" s="3" t="s">
        <v>21</v>
      </c>
      <c r="P291" s="3" t="s">
        <v>6</v>
      </c>
      <c r="Q291" s="3" t="s">
        <v>20</v>
      </c>
      <c r="R291" s="3" t="s">
        <v>4</v>
      </c>
      <c r="S291" s="3" t="s">
        <v>3</v>
      </c>
      <c r="T291" s="3" t="s">
        <v>19</v>
      </c>
      <c r="U291" s="3" t="s">
        <v>1</v>
      </c>
      <c r="V291" s="3" t="s">
        <v>0</v>
      </c>
      <c r="W291" s="2">
        <v>41</v>
      </c>
    </row>
    <row r="292" spans="1:24" hidden="1" x14ac:dyDescent="0.25">
      <c r="A292" s="8">
        <v>4653</v>
      </c>
      <c r="B292" s="8" t="s">
        <v>3630</v>
      </c>
      <c r="C292" s="35" t="s">
        <v>3629</v>
      </c>
      <c r="D292" s="6" t="s">
        <v>15</v>
      </c>
      <c r="E292" s="8" t="s">
        <v>3626</v>
      </c>
      <c r="F292" s="4">
        <v>38901</v>
      </c>
      <c r="G292" s="4" t="s">
        <v>1</v>
      </c>
      <c r="H292" s="4" t="s">
        <v>1</v>
      </c>
      <c r="I292" s="3" t="s">
        <v>13</v>
      </c>
      <c r="J292" s="3" t="s">
        <v>12</v>
      </c>
      <c r="K292" s="3" t="s">
        <v>63</v>
      </c>
      <c r="L292" s="3" t="s">
        <v>460</v>
      </c>
      <c r="M292" s="3" t="s">
        <v>459</v>
      </c>
      <c r="N292" s="3" t="s">
        <v>1078</v>
      </c>
      <c r="O292" s="3" t="s">
        <v>29</v>
      </c>
      <c r="P292" s="3" t="s">
        <v>6</v>
      </c>
      <c r="Q292" s="3" t="s">
        <v>20</v>
      </c>
      <c r="R292" s="3" t="s">
        <v>4</v>
      </c>
      <c r="S292" s="3" t="s">
        <v>3</v>
      </c>
      <c r="T292" s="3" t="s">
        <v>1077</v>
      </c>
      <c r="U292" s="3" t="s">
        <v>1</v>
      </c>
      <c r="V292" s="3" t="s">
        <v>0</v>
      </c>
      <c r="W292" s="2">
        <v>39</v>
      </c>
    </row>
    <row r="293" spans="1:24" hidden="1" x14ac:dyDescent="0.25">
      <c r="A293" s="8">
        <v>4655</v>
      </c>
      <c r="B293" s="8" t="s">
        <v>3628</v>
      </c>
      <c r="C293" s="7" t="s">
        <v>3627</v>
      </c>
      <c r="D293" s="6" t="s">
        <v>15</v>
      </c>
      <c r="E293" s="5" t="s">
        <v>3626</v>
      </c>
      <c r="F293" s="4">
        <v>38901</v>
      </c>
      <c r="G293" s="4" t="s">
        <v>1</v>
      </c>
      <c r="H293" s="4" t="s">
        <v>1</v>
      </c>
      <c r="I293" s="3" t="s">
        <v>13</v>
      </c>
      <c r="J293" s="3" t="s">
        <v>12</v>
      </c>
      <c r="K293" s="3" t="s">
        <v>539</v>
      </c>
      <c r="L293" s="3" t="s">
        <v>538</v>
      </c>
      <c r="M293" s="3" t="s">
        <v>537</v>
      </c>
      <c r="N293" s="3" t="s">
        <v>3625</v>
      </c>
      <c r="O293" s="3" t="s">
        <v>3624</v>
      </c>
      <c r="P293" s="3" t="s">
        <v>6</v>
      </c>
      <c r="Q293" s="3" t="s">
        <v>5</v>
      </c>
      <c r="R293" s="3" t="s">
        <v>4</v>
      </c>
      <c r="S293" s="3" t="s">
        <v>3</v>
      </c>
      <c r="T293" s="3" t="s">
        <v>2</v>
      </c>
      <c r="U293" s="3" t="s">
        <v>1</v>
      </c>
      <c r="V293" s="3" t="s">
        <v>18</v>
      </c>
      <c r="W293" s="2">
        <v>40</v>
      </c>
    </row>
    <row r="294" spans="1:24" s="78" customFormat="1" hidden="1" x14ac:dyDescent="0.25">
      <c r="A294" s="73">
        <v>4657</v>
      </c>
      <c r="B294" s="73" t="s">
        <v>3623</v>
      </c>
      <c r="C294" s="87" t="s">
        <v>3622</v>
      </c>
      <c r="D294" s="88" t="s">
        <v>15</v>
      </c>
      <c r="E294" s="89" t="s">
        <v>975</v>
      </c>
      <c r="F294" s="90">
        <v>38901</v>
      </c>
      <c r="G294" s="90" t="s">
        <v>1</v>
      </c>
      <c r="H294" s="90" t="s">
        <v>1</v>
      </c>
      <c r="I294" s="91" t="s">
        <v>93</v>
      </c>
      <c r="J294" s="89" t="s">
        <v>866</v>
      </c>
      <c r="K294" s="89" t="s">
        <v>33</v>
      </c>
      <c r="L294" s="89" t="s">
        <v>33</v>
      </c>
      <c r="M294" s="89" t="s">
        <v>866</v>
      </c>
      <c r="N294" s="89" t="s">
        <v>1160</v>
      </c>
      <c r="O294" s="89" t="s">
        <v>387</v>
      </c>
      <c r="P294" s="89" t="s">
        <v>30</v>
      </c>
      <c r="Q294" s="89" t="s">
        <v>47</v>
      </c>
      <c r="R294" s="92" t="s">
        <v>4</v>
      </c>
      <c r="S294" s="92" t="s">
        <v>3</v>
      </c>
      <c r="T294" s="92" t="s">
        <v>88</v>
      </c>
      <c r="U294" s="92" t="s">
        <v>1</v>
      </c>
      <c r="V294" s="92" t="s">
        <v>18</v>
      </c>
      <c r="W294" s="93">
        <v>40</v>
      </c>
    </row>
    <row r="295" spans="1:24" s="78" customFormat="1" hidden="1" x14ac:dyDescent="0.25">
      <c r="A295" s="73" t="s">
        <v>3621</v>
      </c>
      <c r="B295" s="73" t="s">
        <v>3621</v>
      </c>
      <c r="C295" s="87" t="s">
        <v>3620</v>
      </c>
      <c r="D295" s="88" t="s">
        <v>15</v>
      </c>
      <c r="E295" s="89" t="s">
        <v>3619</v>
      </c>
      <c r="F295" s="90">
        <v>41295</v>
      </c>
      <c r="G295" s="90" t="s">
        <v>1</v>
      </c>
      <c r="H295" s="90" t="s">
        <v>1</v>
      </c>
      <c r="I295" s="92" t="s">
        <v>13</v>
      </c>
      <c r="J295" s="92" t="s">
        <v>133</v>
      </c>
      <c r="K295" s="92" t="s">
        <v>25</v>
      </c>
      <c r="L295" s="92" t="s">
        <v>1241</v>
      </c>
      <c r="M295" s="92" t="s">
        <v>1240</v>
      </c>
      <c r="N295" s="92" t="s">
        <v>3618</v>
      </c>
      <c r="O295" s="92" t="s">
        <v>128</v>
      </c>
      <c r="P295" s="92" t="s">
        <v>30</v>
      </c>
      <c r="Q295" s="92" t="s">
        <v>5</v>
      </c>
      <c r="R295" s="92" t="s">
        <v>4</v>
      </c>
      <c r="S295" s="92" t="s">
        <v>3</v>
      </c>
      <c r="T295" s="92" t="s">
        <v>2</v>
      </c>
      <c r="U295" s="92" t="s">
        <v>1</v>
      </c>
      <c r="V295" s="92" t="s">
        <v>0</v>
      </c>
      <c r="W295" s="93">
        <v>35</v>
      </c>
    </row>
    <row r="296" spans="1:24" s="78" customFormat="1" hidden="1" x14ac:dyDescent="0.25">
      <c r="A296" s="73">
        <v>4849</v>
      </c>
      <c r="B296" s="73" t="s">
        <v>3617</v>
      </c>
      <c r="C296" s="95" t="s">
        <v>3616</v>
      </c>
      <c r="D296" s="88" t="s">
        <v>15</v>
      </c>
      <c r="E296" s="89" t="s">
        <v>553</v>
      </c>
      <c r="F296" s="90">
        <v>38930</v>
      </c>
      <c r="G296" s="90" t="s">
        <v>1</v>
      </c>
      <c r="H296" s="90" t="s">
        <v>1</v>
      </c>
      <c r="I296" s="89" t="s">
        <v>365</v>
      </c>
      <c r="J296" s="89" t="s">
        <v>813</v>
      </c>
      <c r="K296" s="89" t="s">
        <v>33</v>
      </c>
      <c r="L296" s="89" t="s">
        <v>33</v>
      </c>
      <c r="M296" s="89" t="s">
        <v>812</v>
      </c>
      <c r="N296" s="89" t="s">
        <v>811</v>
      </c>
      <c r="O296" s="89" t="s">
        <v>812</v>
      </c>
      <c r="P296" s="89" t="s">
        <v>30</v>
      </c>
      <c r="Q296" s="89" t="s">
        <v>121</v>
      </c>
      <c r="R296" s="92" t="s">
        <v>4</v>
      </c>
      <c r="S296" s="92" t="s">
        <v>3</v>
      </c>
      <c r="T296" s="92" t="s">
        <v>29</v>
      </c>
      <c r="U296" s="92" t="s">
        <v>1</v>
      </c>
      <c r="V296" s="92" t="s">
        <v>0</v>
      </c>
      <c r="W296" s="93">
        <v>41</v>
      </c>
    </row>
    <row r="297" spans="1:24" hidden="1" x14ac:dyDescent="0.25">
      <c r="A297" s="8">
        <v>82</v>
      </c>
      <c r="B297" s="8" t="s">
        <v>3615</v>
      </c>
      <c r="C297" s="7" t="s">
        <v>3614</v>
      </c>
      <c r="D297" s="6" t="s">
        <v>15</v>
      </c>
      <c r="E297" s="5" t="s">
        <v>3613</v>
      </c>
      <c r="F297" s="4">
        <v>37610</v>
      </c>
      <c r="G297" s="4" t="s">
        <v>1</v>
      </c>
      <c r="H297" s="4" t="s">
        <v>1</v>
      </c>
      <c r="I297" s="3" t="s">
        <v>13</v>
      </c>
      <c r="J297" s="3" t="s">
        <v>133</v>
      </c>
      <c r="K297" s="3" t="s">
        <v>25</v>
      </c>
      <c r="L297" s="3" t="s">
        <v>24</v>
      </c>
      <c r="M297" s="3" t="s">
        <v>199</v>
      </c>
      <c r="N297" s="3" t="s">
        <v>1362</v>
      </c>
      <c r="O297" s="3" t="s">
        <v>39</v>
      </c>
      <c r="P297" s="3" t="s">
        <v>72</v>
      </c>
      <c r="Q297" s="3" t="s">
        <v>20</v>
      </c>
      <c r="R297" s="3" t="s">
        <v>4</v>
      </c>
      <c r="S297" s="3" t="s">
        <v>3</v>
      </c>
      <c r="T297" s="3" t="s">
        <v>1361</v>
      </c>
      <c r="U297" s="3" t="s">
        <v>1</v>
      </c>
      <c r="V297" s="3" t="s">
        <v>0</v>
      </c>
      <c r="W297" s="2">
        <v>42</v>
      </c>
    </row>
    <row r="298" spans="1:24" s="9" customFormat="1" hidden="1" x14ac:dyDescent="0.25">
      <c r="A298" s="17">
        <v>630</v>
      </c>
      <c r="B298" s="17" t="s">
        <v>3612</v>
      </c>
      <c r="C298" s="16" t="s">
        <v>3611</v>
      </c>
      <c r="D298" s="15" t="s">
        <v>15</v>
      </c>
      <c r="E298" s="14" t="s">
        <v>97</v>
      </c>
      <c r="F298" s="13">
        <v>37781</v>
      </c>
      <c r="G298" s="13" t="s">
        <v>1</v>
      </c>
      <c r="H298" s="13" t="s">
        <v>1</v>
      </c>
      <c r="I298" s="12" t="s">
        <v>13</v>
      </c>
      <c r="J298" s="12" t="s">
        <v>133</v>
      </c>
      <c r="K298" s="12" t="s">
        <v>25</v>
      </c>
      <c r="L298" s="12" t="s">
        <v>24</v>
      </c>
      <c r="M298" s="12" t="s">
        <v>199</v>
      </c>
      <c r="N298" s="12" t="s">
        <v>1078</v>
      </c>
      <c r="O298" s="12" t="s">
        <v>29</v>
      </c>
      <c r="P298" s="12" t="s">
        <v>72</v>
      </c>
      <c r="Q298" s="12" t="s">
        <v>20</v>
      </c>
      <c r="R298" s="12" t="s">
        <v>4</v>
      </c>
      <c r="S298" s="12" t="s">
        <v>3</v>
      </c>
      <c r="T298" s="12" t="s">
        <v>1077</v>
      </c>
      <c r="U298" s="12" t="s">
        <v>1</v>
      </c>
      <c r="V298" s="12" t="s">
        <v>0</v>
      </c>
      <c r="W298" s="11">
        <v>40</v>
      </c>
      <c r="X298" s="10"/>
    </row>
    <row r="299" spans="1:24" hidden="1" x14ac:dyDescent="0.25">
      <c r="A299" s="8">
        <v>4857</v>
      </c>
      <c r="B299" s="8" t="s">
        <v>3610</v>
      </c>
      <c r="C299" s="7" t="s">
        <v>3609</v>
      </c>
      <c r="D299" s="6" t="s">
        <v>15</v>
      </c>
      <c r="E299" s="5" t="s">
        <v>553</v>
      </c>
      <c r="F299" s="4">
        <v>38930</v>
      </c>
      <c r="G299" s="4" t="s">
        <v>1</v>
      </c>
      <c r="H299" s="4" t="s">
        <v>1</v>
      </c>
      <c r="I299" s="3" t="s">
        <v>145</v>
      </c>
      <c r="J299" s="3" t="s">
        <v>34</v>
      </c>
      <c r="K299" s="3" t="s">
        <v>33</v>
      </c>
      <c r="L299" s="3" t="s">
        <v>33</v>
      </c>
      <c r="M299" s="3" t="s">
        <v>161</v>
      </c>
      <c r="N299" s="3" t="s">
        <v>3608</v>
      </c>
      <c r="O299" s="3" t="s">
        <v>100</v>
      </c>
      <c r="P299" s="3" t="s">
        <v>72</v>
      </c>
      <c r="Q299" s="3" t="s">
        <v>20</v>
      </c>
      <c r="R299" s="3" t="s">
        <v>4</v>
      </c>
      <c r="S299" s="3" t="s">
        <v>3</v>
      </c>
      <c r="T299" s="3" t="s">
        <v>2</v>
      </c>
      <c r="U299" s="3" t="s">
        <v>1</v>
      </c>
      <c r="V299" s="3" t="s">
        <v>0</v>
      </c>
      <c r="W299" s="2">
        <v>40</v>
      </c>
    </row>
    <row r="300" spans="1:24" s="78" customFormat="1" hidden="1" x14ac:dyDescent="0.25">
      <c r="A300" s="73">
        <v>4960</v>
      </c>
      <c r="B300" s="73" t="s">
        <v>3607</v>
      </c>
      <c r="C300" s="87" t="s">
        <v>3256</v>
      </c>
      <c r="D300" s="88" t="s">
        <v>15</v>
      </c>
      <c r="E300" s="89" t="s">
        <v>343</v>
      </c>
      <c r="F300" s="90">
        <v>38936</v>
      </c>
      <c r="G300" s="90" t="s">
        <v>1</v>
      </c>
      <c r="H300" s="90" t="s">
        <v>1</v>
      </c>
      <c r="I300" s="89" t="s">
        <v>50</v>
      </c>
      <c r="J300" s="89" t="s">
        <v>370</v>
      </c>
      <c r="K300" s="89" t="s">
        <v>33</v>
      </c>
      <c r="L300" s="89" t="s">
        <v>33</v>
      </c>
      <c r="M300" s="89" t="s">
        <v>370</v>
      </c>
      <c r="N300" s="89" t="s">
        <v>3606</v>
      </c>
      <c r="O300" s="89" t="s">
        <v>624</v>
      </c>
      <c r="P300" s="89" t="s">
        <v>30</v>
      </c>
      <c r="Q300" s="89" t="s">
        <v>47</v>
      </c>
      <c r="R300" s="92" t="s">
        <v>4</v>
      </c>
      <c r="S300" s="92" t="s">
        <v>3</v>
      </c>
      <c r="T300" s="92" t="s">
        <v>3065</v>
      </c>
      <c r="U300" s="92" t="s">
        <v>1</v>
      </c>
      <c r="V300" s="92" t="s">
        <v>18</v>
      </c>
      <c r="W300" s="93">
        <v>40</v>
      </c>
      <c r="X300" s="94"/>
    </row>
    <row r="301" spans="1:24" s="78" customFormat="1" hidden="1" x14ac:dyDescent="0.25">
      <c r="A301" s="73">
        <v>5220</v>
      </c>
      <c r="B301" s="73" t="s">
        <v>3605</v>
      </c>
      <c r="C301" s="87" t="s">
        <v>3604</v>
      </c>
      <c r="D301" s="88" t="s">
        <v>15</v>
      </c>
      <c r="E301" s="89" t="s">
        <v>3598</v>
      </c>
      <c r="F301" s="90">
        <v>38961</v>
      </c>
      <c r="G301" s="90" t="s">
        <v>1</v>
      </c>
      <c r="H301" s="90" t="s">
        <v>1</v>
      </c>
      <c r="I301" s="89" t="s">
        <v>93</v>
      </c>
      <c r="J301" s="89" t="s">
        <v>89</v>
      </c>
      <c r="K301" s="91" t="s">
        <v>33</v>
      </c>
      <c r="L301" s="91" t="s">
        <v>33</v>
      </c>
      <c r="M301" s="89" t="s">
        <v>1167</v>
      </c>
      <c r="N301" s="92" t="s">
        <v>3603</v>
      </c>
      <c r="O301" s="89" t="s">
        <v>934</v>
      </c>
      <c r="P301" s="89" t="s">
        <v>30</v>
      </c>
      <c r="Q301" s="89" t="s">
        <v>47</v>
      </c>
      <c r="R301" s="92" t="s">
        <v>4</v>
      </c>
      <c r="S301" s="92" t="s">
        <v>3</v>
      </c>
      <c r="T301" s="92" t="s">
        <v>88</v>
      </c>
      <c r="U301" s="92" t="s">
        <v>1</v>
      </c>
      <c r="V301" s="92" t="s">
        <v>18</v>
      </c>
      <c r="W301" s="93">
        <v>39</v>
      </c>
    </row>
    <row r="302" spans="1:24" hidden="1" x14ac:dyDescent="0.25">
      <c r="A302" s="8">
        <v>5222</v>
      </c>
      <c r="B302" s="8" t="s">
        <v>3602</v>
      </c>
      <c r="C302" s="7" t="s">
        <v>3601</v>
      </c>
      <c r="D302" s="6" t="s">
        <v>15</v>
      </c>
      <c r="E302" s="5" t="s">
        <v>3598</v>
      </c>
      <c r="F302" s="4">
        <v>38961</v>
      </c>
      <c r="G302" s="4" t="s">
        <v>1</v>
      </c>
      <c r="H302" s="4" t="s">
        <v>1</v>
      </c>
      <c r="I302" s="5" t="s">
        <v>93</v>
      </c>
      <c r="J302" s="5" t="s">
        <v>89</v>
      </c>
      <c r="K302" s="5" t="s">
        <v>33</v>
      </c>
      <c r="L302" s="5" t="s">
        <v>33</v>
      </c>
      <c r="M302" s="5" t="s">
        <v>1212</v>
      </c>
      <c r="N302" s="5" t="s">
        <v>1211</v>
      </c>
      <c r="O302" s="5" t="s">
        <v>387</v>
      </c>
      <c r="P302" s="5" t="s">
        <v>72</v>
      </c>
      <c r="Q302" s="5" t="s">
        <v>47</v>
      </c>
      <c r="R302" s="3" t="s">
        <v>4</v>
      </c>
      <c r="S302" s="3" t="s">
        <v>3</v>
      </c>
      <c r="T302" s="3" t="s">
        <v>88</v>
      </c>
      <c r="U302" s="3" t="s">
        <v>1</v>
      </c>
      <c r="V302" s="3" t="s">
        <v>18</v>
      </c>
      <c r="W302" s="2">
        <v>40</v>
      </c>
    </row>
    <row r="303" spans="1:24" hidden="1" x14ac:dyDescent="0.25">
      <c r="A303" s="8">
        <v>5226</v>
      </c>
      <c r="B303" s="8" t="s">
        <v>3600</v>
      </c>
      <c r="C303" s="7" t="s">
        <v>3599</v>
      </c>
      <c r="D303" s="6" t="s">
        <v>15</v>
      </c>
      <c r="E303" s="5" t="s">
        <v>3598</v>
      </c>
      <c r="F303" s="4">
        <v>38961</v>
      </c>
      <c r="G303" s="4" t="s">
        <v>1</v>
      </c>
      <c r="H303" s="4" t="s">
        <v>1</v>
      </c>
      <c r="I303" s="5" t="s">
        <v>93</v>
      </c>
      <c r="J303" s="5" t="s">
        <v>92</v>
      </c>
      <c r="K303" s="5" t="s">
        <v>33</v>
      </c>
      <c r="L303" s="5" t="s">
        <v>33</v>
      </c>
      <c r="M303" s="5" t="s">
        <v>394</v>
      </c>
      <c r="N303" s="5" t="s">
        <v>427</v>
      </c>
      <c r="O303" s="5" t="s">
        <v>394</v>
      </c>
      <c r="P303" s="5" t="s">
        <v>6</v>
      </c>
      <c r="Q303" s="5" t="s">
        <v>47</v>
      </c>
      <c r="R303" s="3" t="s">
        <v>4</v>
      </c>
      <c r="S303" s="3" t="s">
        <v>3</v>
      </c>
      <c r="T303" s="3" t="s">
        <v>88</v>
      </c>
      <c r="U303" s="3" t="s">
        <v>1</v>
      </c>
      <c r="V303" s="3" t="s">
        <v>18</v>
      </c>
      <c r="W303" s="2">
        <v>41</v>
      </c>
    </row>
    <row r="304" spans="1:24" hidden="1" x14ac:dyDescent="0.25">
      <c r="A304" s="8">
        <v>5227</v>
      </c>
      <c r="B304" s="8" t="s">
        <v>3597</v>
      </c>
      <c r="C304" s="7" t="s">
        <v>3596</v>
      </c>
      <c r="D304" s="6" t="s">
        <v>15</v>
      </c>
      <c r="E304" s="5" t="s">
        <v>1177</v>
      </c>
      <c r="F304" s="4">
        <v>38961</v>
      </c>
      <c r="G304" s="4" t="s">
        <v>1</v>
      </c>
      <c r="H304" s="4" t="s">
        <v>1</v>
      </c>
      <c r="I304" s="5" t="s">
        <v>50</v>
      </c>
      <c r="J304" s="5" t="s">
        <v>75</v>
      </c>
      <c r="K304" s="5" t="s">
        <v>33</v>
      </c>
      <c r="L304" s="5" t="s">
        <v>33</v>
      </c>
      <c r="M304" s="5" t="s">
        <v>75</v>
      </c>
      <c r="N304" s="21" t="s">
        <v>3286</v>
      </c>
      <c r="O304" s="5" t="s">
        <v>3285</v>
      </c>
      <c r="P304" s="5" t="s">
        <v>72</v>
      </c>
      <c r="Q304" s="5" t="s">
        <v>47</v>
      </c>
      <c r="R304" s="3" t="s">
        <v>4</v>
      </c>
      <c r="S304" s="3" t="s">
        <v>3</v>
      </c>
      <c r="T304" s="3" t="s">
        <v>2</v>
      </c>
      <c r="U304" s="3" t="s">
        <v>1</v>
      </c>
      <c r="V304" s="3" t="s">
        <v>0</v>
      </c>
      <c r="W304" s="2">
        <v>40</v>
      </c>
      <c r="X304" s="20"/>
    </row>
    <row r="305" spans="1:24" hidden="1" x14ac:dyDescent="0.25">
      <c r="A305" s="8">
        <v>5230</v>
      </c>
      <c r="B305" s="8" t="s">
        <v>3595</v>
      </c>
      <c r="C305" s="7" t="s">
        <v>3594</v>
      </c>
      <c r="D305" s="6" t="s">
        <v>15</v>
      </c>
      <c r="E305" s="5" t="s">
        <v>1177</v>
      </c>
      <c r="F305" s="4">
        <v>38961</v>
      </c>
      <c r="G305" s="4" t="s">
        <v>1</v>
      </c>
      <c r="H305" s="4" t="s">
        <v>1</v>
      </c>
      <c r="I305" s="3" t="s">
        <v>13</v>
      </c>
      <c r="J305" s="3" t="s">
        <v>12</v>
      </c>
      <c r="K305" s="3" t="s">
        <v>11</v>
      </c>
      <c r="L305" s="3" t="s">
        <v>10</v>
      </c>
      <c r="M305" s="3" t="s">
        <v>9</v>
      </c>
      <c r="N305" s="3" t="s">
        <v>1100</v>
      </c>
      <c r="O305" s="3" t="s">
        <v>59</v>
      </c>
      <c r="P305" s="3" t="s">
        <v>6</v>
      </c>
      <c r="Q305" s="3" t="s">
        <v>5</v>
      </c>
      <c r="R305" s="3" t="s">
        <v>4</v>
      </c>
      <c r="S305" s="3" t="s">
        <v>3</v>
      </c>
      <c r="T305" s="3" t="s">
        <v>2</v>
      </c>
      <c r="U305" s="3" t="s">
        <v>1</v>
      </c>
      <c r="V305" s="3" t="s">
        <v>0</v>
      </c>
      <c r="W305" s="2">
        <v>39</v>
      </c>
    </row>
    <row r="306" spans="1:24" s="9" customFormat="1" hidden="1" x14ac:dyDescent="0.25">
      <c r="A306" s="17">
        <v>1074</v>
      </c>
      <c r="B306" s="17" t="s">
        <v>3593</v>
      </c>
      <c r="C306" s="16" t="s">
        <v>3592</v>
      </c>
      <c r="D306" s="15" t="s">
        <v>15</v>
      </c>
      <c r="E306" s="14" t="s">
        <v>56</v>
      </c>
      <c r="F306" s="13">
        <v>37887</v>
      </c>
      <c r="G306" s="13" t="s">
        <v>1</v>
      </c>
      <c r="H306" s="13" t="s">
        <v>1</v>
      </c>
      <c r="I306" s="12" t="s">
        <v>13</v>
      </c>
      <c r="J306" s="12" t="s">
        <v>133</v>
      </c>
      <c r="K306" s="12" t="s">
        <v>25</v>
      </c>
      <c r="L306" s="12" t="s">
        <v>24</v>
      </c>
      <c r="M306" s="12" t="s">
        <v>199</v>
      </c>
      <c r="N306" s="12" t="s">
        <v>3591</v>
      </c>
      <c r="O306" s="12" t="s">
        <v>1231</v>
      </c>
      <c r="P306" s="12" t="s">
        <v>72</v>
      </c>
      <c r="Q306" s="12" t="s">
        <v>5</v>
      </c>
      <c r="R306" s="12" t="s">
        <v>4</v>
      </c>
      <c r="S306" s="12" t="s">
        <v>3</v>
      </c>
      <c r="T306" s="12" t="s">
        <v>2</v>
      </c>
      <c r="U306" s="12" t="s">
        <v>1</v>
      </c>
      <c r="V306" s="12" t="s">
        <v>0</v>
      </c>
      <c r="W306" s="11">
        <v>39</v>
      </c>
      <c r="X306" s="10"/>
    </row>
    <row r="307" spans="1:24" s="9" customFormat="1" hidden="1" x14ac:dyDescent="0.25">
      <c r="A307" s="17">
        <v>5233</v>
      </c>
      <c r="B307" s="17" t="s">
        <v>3590</v>
      </c>
      <c r="C307" s="24" t="s">
        <v>3589</v>
      </c>
      <c r="D307" s="15" t="s">
        <v>15</v>
      </c>
      <c r="E307" s="22" t="s">
        <v>1177</v>
      </c>
      <c r="F307" s="13">
        <v>38961</v>
      </c>
      <c r="G307" s="13" t="s">
        <v>1</v>
      </c>
      <c r="H307" s="13" t="s">
        <v>1</v>
      </c>
      <c r="I307" s="12" t="s">
        <v>13</v>
      </c>
      <c r="J307" s="12" t="s">
        <v>133</v>
      </c>
      <c r="K307" s="12" t="s">
        <v>25</v>
      </c>
      <c r="L307" s="12" t="s">
        <v>24</v>
      </c>
      <c r="M307" s="12" t="s">
        <v>199</v>
      </c>
      <c r="N307" s="12" t="s">
        <v>185</v>
      </c>
      <c r="O307" s="12" t="s">
        <v>184</v>
      </c>
      <c r="P307" s="12" t="s">
        <v>72</v>
      </c>
      <c r="Q307" s="12" t="s">
        <v>20</v>
      </c>
      <c r="R307" s="12" t="s">
        <v>4</v>
      </c>
      <c r="S307" s="12" t="s">
        <v>3</v>
      </c>
      <c r="T307" s="12" t="s">
        <v>2</v>
      </c>
      <c r="U307" s="12" t="s">
        <v>1</v>
      </c>
      <c r="V307" s="12" t="s">
        <v>0</v>
      </c>
      <c r="W307" s="11">
        <v>40</v>
      </c>
      <c r="X307" s="10"/>
    </row>
    <row r="308" spans="1:24" s="9" customFormat="1" hidden="1" x14ac:dyDescent="0.25">
      <c r="A308" s="17">
        <v>5245</v>
      </c>
      <c r="B308" s="17" t="s">
        <v>3588</v>
      </c>
      <c r="C308" s="16" t="s">
        <v>3587</v>
      </c>
      <c r="D308" s="15" t="s">
        <v>15</v>
      </c>
      <c r="E308" s="14" t="s">
        <v>1177</v>
      </c>
      <c r="F308" s="13">
        <v>38961</v>
      </c>
      <c r="G308" s="13" t="s">
        <v>1</v>
      </c>
      <c r="H308" s="13" t="s">
        <v>1</v>
      </c>
      <c r="I308" s="12" t="s">
        <v>13</v>
      </c>
      <c r="J308" s="12" t="s">
        <v>133</v>
      </c>
      <c r="K308" s="12" t="s">
        <v>25</v>
      </c>
      <c r="L308" s="12" t="s">
        <v>24</v>
      </c>
      <c r="M308" s="12" t="s">
        <v>199</v>
      </c>
      <c r="N308" s="12" t="s">
        <v>3586</v>
      </c>
      <c r="O308" s="12" t="s">
        <v>128</v>
      </c>
      <c r="P308" s="12" t="s">
        <v>72</v>
      </c>
      <c r="Q308" s="12" t="s">
        <v>5</v>
      </c>
      <c r="R308" s="12" t="s">
        <v>4</v>
      </c>
      <c r="S308" s="12" t="s">
        <v>3</v>
      </c>
      <c r="T308" s="12" t="s">
        <v>2</v>
      </c>
      <c r="U308" s="12" t="s">
        <v>1</v>
      </c>
      <c r="V308" s="12" t="s">
        <v>0</v>
      </c>
      <c r="W308" s="11">
        <v>41</v>
      </c>
      <c r="X308" s="10"/>
    </row>
    <row r="309" spans="1:24" hidden="1" x14ac:dyDescent="0.25">
      <c r="A309" s="8">
        <v>5444</v>
      </c>
      <c r="B309" s="8" t="s">
        <v>3585</v>
      </c>
      <c r="C309" s="7" t="s">
        <v>3584</v>
      </c>
      <c r="D309" s="6" t="s">
        <v>15</v>
      </c>
      <c r="E309" s="5" t="s">
        <v>44</v>
      </c>
      <c r="F309" s="4">
        <v>38991</v>
      </c>
      <c r="G309" s="4" t="s">
        <v>1</v>
      </c>
      <c r="H309" s="4" t="s">
        <v>1</v>
      </c>
      <c r="I309" s="3" t="s">
        <v>13</v>
      </c>
      <c r="J309" s="3" t="s">
        <v>133</v>
      </c>
      <c r="K309" s="3" t="s">
        <v>25</v>
      </c>
      <c r="L309" s="3" t="s">
        <v>24</v>
      </c>
      <c r="M309" s="3" t="s">
        <v>199</v>
      </c>
      <c r="N309" s="3" t="s">
        <v>198</v>
      </c>
      <c r="O309" s="3" t="s">
        <v>184</v>
      </c>
      <c r="P309" s="3" t="s">
        <v>72</v>
      </c>
      <c r="Q309" s="3" t="s">
        <v>20</v>
      </c>
      <c r="R309" s="3" t="s">
        <v>4</v>
      </c>
      <c r="S309" s="3" t="s">
        <v>3</v>
      </c>
      <c r="T309" s="3" t="s">
        <v>2</v>
      </c>
      <c r="U309" s="3" t="s">
        <v>1</v>
      </c>
      <c r="V309" s="3" t="s">
        <v>0</v>
      </c>
      <c r="W309" s="2">
        <v>40</v>
      </c>
    </row>
    <row r="310" spans="1:24" hidden="1" x14ac:dyDescent="0.25">
      <c r="A310" s="8">
        <v>5252</v>
      </c>
      <c r="B310" s="8" t="s">
        <v>3583</v>
      </c>
      <c r="C310" s="7" t="s">
        <v>3582</v>
      </c>
      <c r="D310" s="6" t="s">
        <v>15</v>
      </c>
      <c r="E310" s="5" t="s">
        <v>1177</v>
      </c>
      <c r="F310" s="4">
        <v>38961</v>
      </c>
      <c r="G310" s="4" t="s">
        <v>1</v>
      </c>
      <c r="H310" s="4" t="s">
        <v>1</v>
      </c>
      <c r="I310" s="5" t="s">
        <v>93</v>
      </c>
      <c r="J310" s="5" t="s">
        <v>866</v>
      </c>
      <c r="K310" s="5" t="s">
        <v>33</v>
      </c>
      <c r="L310" s="5" t="s">
        <v>33</v>
      </c>
      <c r="M310" s="5" t="s">
        <v>866</v>
      </c>
      <c r="N310" s="5" t="s">
        <v>3581</v>
      </c>
      <c r="O310" s="5" t="s">
        <v>387</v>
      </c>
      <c r="P310" s="5" t="s">
        <v>30</v>
      </c>
      <c r="Q310" s="5" t="s">
        <v>47</v>
      </c>
      <c r="R310" s="3" t="s">
        <v>4</v>
      </c>
      <c r="S310" s="3" t="s">
        <v>3</v>
      </c>
      <c r="T310" s="3" t="s">
        <v>121</v>
      </c>
      <c r="U310" s="3" t="s">
        <v>1</v>
      </c>
      <c r="V310" s="3" t="s">
        <v>0</v>
      </c>
      <c r="W310" s="2">
        <v>39</v>
      </c>
    </row>
    <row r="311" spans="1:24" hidden="1" x14ac:dyDescent="0.25">
      <c r="A311" s="8">
        <v>8845</v>
      </c>
      <c r="B311" s="8" t="s">
        <v>3580</v>
      </c>
      <c r="C311" s="7" t="s">
        <v>3579</v>
      </c>
      <c r="D311" s="6" t="s">
        <v>15</v>
      </c>
      <c r="E311" s="5" t="s">
        <v>202</v>
      </c>
      <c r="F311" s="4">
        <v>39937</v>
      </c>
      <c r="G311" s="4" t="s">
        <v>1</v>
      </c>
      <c r="H311" s="4" t="s">
        <v>1</v>
      </c>
      <c r="I311" s="3" t="s">
        <v>13</v>
      </c>
      <c r="J311" s="3" t="s">
        <v>133</v>
      </c>
      <c r="K311" s="3" t="s">
        <v>25</v>
      </c>
      <c r="L311" s="3" t="s">
        <v>24</v>
      </c>
      <c r="M311" s="3" t="s">
        <v>199</v>
      </c>
      <c r="N311" s="3" t="s">
        <v>3578</v>
      </c>
      <c r="O311" s="3" t="s">
        <v>128</v>
      </c>
      <c r="P311" s="3" t="s">
        <v>72</v>
      </c>
      <c r="Q311" s="3" t="s">
        <v>5</v>
      </c>
      <c r="R311" s="3" t="s">
        <v>4</v>
      </c>
      <c r="S311" s="3" t="s">
        <v>3</v>
      </c>
      <c r="T311" s="3" t="s">
        <v>2</v>
      </c>
      <c r="U311" s="3" t="s">
        <v>1</v>
      </c>
      <c r="V311" s="3" t="s">
        <v>0</v>
      </c>
      <c r="W311" s="2">
        <v>36</v>
      </c>
    </row>
    <row r="312" spans="1:24" s="78" customFormat="1" hidden="1" x14ac:dyDescent="0.25">
      <c r="A312" s="73">
        <v>9615</v>
      </c>
      <c r="B312" s="73" t="s">
        <v>3577</v>
      </c>
      <c r="C312" s="104" t="s">
        <v>3576</v>
      </c>
      <c r="D312" s="88" t="s">
        <v>15</v>
      </c>
      <c r="E312" s="89" t="s">
        <v>178</v>
      </c>
      <c r="F312" s="90">
        <v>40179</v>
      </c>
      <c r="G312" s="90" t="s">
        <v>1</v>
      </c>
      <c r="H312" s="90" t="s">
        <v>1</v>
      </c>
      <c r="I312" s="92" t="s">
        <v>13</v>
      </c>
      <c r="J312" s="92" t="s">
        <v>133</v>
      </c>
      <c r="K312" s="92" t="s">
        <v>25</v>
      </c>
      <c r="L312" s="92" t="s">
        <v>24</v>
      </c>
      <c r="M312" s="92" t="s">
        <v>199</v>
      </c>
      <c r="N312" s="92" t="s">
        <v>2155</v>
      </c>
      <c r="O312" s="92" t="s">
        <v>1231</v>
      </c>
      <c r="P312" s="92" t="s">
        <v>72</v>
      </c>
      <c r="Q312" s="92" t="s">
        <v>5</v>
      </c>
      <c r="R312" s="92" t="s">
        <v>4</v>
      </c>
      <c r="S312" s="92" t="s">
        <v>3</v>
      </c>
      <c r="T312" s="92" t="s">
        <v>2</v>
      </c>
      <c r="U312" s="92" t="s">
        <v>1</v>
      </c>
      <c r="V312" s="92" t="s">
        <v>0</v>
      </c>
      <c r="W312" s="93">
        <v>33</v>
      </c>
    </row>
    <row r="313" spans="1:24" s="78" customFormat="1" hidden="1" x14ac:dyDescent="0.25">
      <c r="A313" s="73">
        <v>5256</v>
      </c>
      <c r="B313" s="73" t="s">
        <v>3575</v>
      </c>
      <c r="C313" s="87" t="s">
        <v>3574</v>
      </c>
      <c r="D313" s="88" t="s">
        <v>15</v>
      </c>
      <c r="E313" s="89" t="s">
        <v>1177</v>
      </c>
      <c r="F313" s="90">
        <v>38961</v>
      </c>
      <c r="G313" s="90" t="s">
        <v>1</v>
      </c>
      <c r="H313" s="90" t="s">
        <v>1</v>
      </c>
      <c r="I313" s="92" t="s">
        <v>145</v>
      </c>
      <c r="J313" s="92" t="s">
        <v>12</v>
      </c>
      <c r="K313" s="92" t="s">
        <v>63</v>
      </c>
      <c r="L313" s="92" t="s">
        <v>460</v>
      </c>
      <c r="M313" s="92" t="s">
        <v>459</v>
      </c>
      <c r="N313" s="92" t="s">
        <v>269</v>
      </c>
      <c r="O313" s="92" t="s">
        <v>29</v>
      </c>
      <c r="P313" s="92" t="s">
        <v>72</v>
      </c>
      <c r="Q313" s="92" t="s">
        <v>20</v>
      </c>
      <c r="R313" s="92" t="s">
        <v>4</v>
      </c>
      <c r="S313" s="92" t="s">
        <v>3</v>
      </c>
      <c r="T313" s="92" t="s">
        <v>29</v>
      </c>
      <c r="U313" s="92" t="s">
        <v>1</v>
      </c>
      <c r="V313" s="92" t="s">
        <v>0</v>
      </c>
      <c r="W313" s="93">
        <v>39</v>
      </c>
    </row>
    <row r="314" spans="1:24" hidden="1" x14ac:dyDescent="0.25">
      <c r="A314" s="8">
        <v>10513</v>
      </c>
      <c r="B314" s="8" t="s">
        <v>3573</v>
      </c>
      <c r="C314" s="7" t="s">
        <v>3572</v>
      </c>
      <c r="D314" s="6" t="s">
        <v>15</v>
      </c>
      <c r="E314" s="5" t="s">
        <v>157</v>
      </c>
      <c r="F314" s="4">
        <v>40535</v>
      </c>
      <c r="G314" s="4" t="s">
        <v>1</v>
      </c>
      <c r="H314" s="4" t="s">
        <v>1</v>
      </c>
      <c r="I314" s="3" t="s">
        <v>13</v>
      </c>
      <c r="J314" s="3" t="s">
        <v>133</v>
      </c>
      <c r="K314" s="3" t="s">
        <v>25</v>
      </c>
      <c r="L314" s="3" t="s">
        <v>24</v>
      </c>
      <c r="M314" s="3" t="s">
        <v>199</v>
      </c>
      <c r="N314" s="3" t="s">
        <v>3571</v>
      </c>
      <c r="O314" s="3" t="s">
        <v>1231</v>
      </c>
      <c r="P314" s="3" t="s">
        <v>72</v>
      </c>
      <c r="Q314" s="3" t="s">
        <v>5</v>
      </c>
      <c r="R314" s="3" t="s">
        <v>4</v>
      </c>
      <c r="S314" s="3" t="s">
        <v>3</v>
      </c>
      <c r="T314" s="3" t="s">
        <v>2</v>
      </c>
      <c r="U314" s="3" t="s">
        <v>1</v>
      </c>
      <c r="V314" s="3" t="s">
        <v>0</v>
      </c>
      <c r="W314" s="2">
        <v>33</v>
      </c>
    </row>
    <row r="315" spans="1:24" hidden="1" x14ac:dyDescent="0.25">
      <c r="A315" s="8">
        <v>5269</v>
      </c>
      <c r="B315" s="8" t="s">
        <v>3570</v>
      </c>
      <c r="C315" s="7" t="s">
        <v>3569</v>
      </c>
      <c r="D315" s="6" t="s">
        <v>15</v>
      </c>
      <c r="E315" s="5" t="s">
        <v>1177</v>
      </c>
      <c r="F315" s="4">
        <v>38961</v>
      </c>
      <c r="G315" s="4" t="s">
        <v>1</v>
      </c>
      <c r="H315" s="4" t="s">
        <v>1</v>
      </c>
      <c r="I315" s="3" t="s">
        <v>145</v>
      </c>
      <c r="J315" s="3" t="s">
        <v>34</v>
      </c>
      <c r="K315" s="3" t="s">
        <v>33</v>
      </c>
      <c r="L315" s="3" t="s">
        <v>33</v>
      </c>
      <c r="M315" s="3" t="s">
        <v>1094</v>
      </c>
      <c r="N315" s="3" t="s">
        <v>3568</v>
      </c>
      <c r="O315" s="3" t="s">
        <v>1094</v>
      </c>
      <c r="P315" s="3" t="s">
        <v>30</v>
      </c>
      <c r="Q315" s="3" t="s">
        <v>47</v>
      </c>
      <c r="R315" s="3" t="s">
        <v>4</v>
      </c>
      <c r="S315" s="3" t="s">
        <v>3</v>
      </c>
      <c r="T315" s="3" t="s">
        <v>29</v>
      </c>
      <c r="U315" s="3" t="s">
        <v>1</v>
      </c>
      <c r="V315" s="3" t="s">
        <v>0</v>
      </c>
      <c r="W315" s="2">
        <v>39</v>
      </c>
    </row>
    <row r="316" spans="1:24" hidden="1" x14ac:dyDescent="0.25">
      <c r="A316" s="8">
        <v>5275</v>
      </c>
      <c r="B316" s="8" t="s">
        <v>3567</v>
      </c>
      <c r="C316" s="7" t="s">
        <v>3566</v>
      </c>
      <c r="D316" s="6" t="s">
        <v>15</v>
      </c>
      <c r="E316" s="5" t="s">
        <v>1177</v>
      </c>
      <c r="F316" s="4">
        <v>38961</v>
      </c>
      <c r="G316" s="4" t="s">
        <v>1</v>
      </c>
      <c r="H316" s="4" t="s">
        <v>1</v>
      </c>
      <c r="I316" s="3" t="s">
        <v>145</v>
      </c>
      <c r="J316" s="3" t="s">
        <v>12</v>
      </c>
      <c r="K316" s="3" t="s">
        <v>283</v>
      </c>
      <c r="L316" s="3" t="s">
        <v>282</v>
      </c>
      <c r="M316" s="3" t="s">
        <v>281</v>
      </c>
      <c r="N316" s="3" t="s">
        <v>2218</v>
      </c>
      <c r="O316" s="3" t="s">
        <v>2217</v>
      </c>
      <c r="P316" s="3" t="s">
        <v>6</v>
      </c>
      <c r="Q316" s="3" t="s">
        <v>20</v>
      </c>
      <c r="R316" s="3" t="s">
        <v>4</v>
      </c>
      <c r="S316" s="3" t="s">
        <v>3</v>
      </c>
      <c r="T316" s="3" t="s">
        <v>29</v>
      </c>
      <c r="U316" s="3" t="s">
        <v>1</v>
      </c>
      <c r="V316" s="3" t="s">
        <v>0</v>
      </c>
      <c r="W316" s="2">
        <v>41</v>
      </c>
    </row>
    <row r="317" spans="1:24" hidden="1" x14ac:dyDescent="0.25">
      <c r="A317" s="8">
        <v>10541</v>
      </c>
      <c r="B317" s="8" t="s">
        <v>3565</v>
      </c>
      <c r="C317" s="19" t="s">
        <v>3564</v>
      </c>
      <c r="D317" s="6" t="s">
        <v>15</v>
      </c>
      <c r="E317" s="18" t="s">
        <v>1512</v>
      </c>
      <c r="F317" s="4">
        <v>40542</v>
      </c>
      <c r="G317" s="4" t="s">
        <v>1</v>
      </c>
      <c r="H317" s="4" t="s">
        <v>1</v>
      </c>
      <c r="I317" s="3" t="s">
        <v>13</v>
      </c>
      <c r="J317" s="3" t="s">
        <v>133</v>
      </c>
      <c r="K317" s="3" t="s">
        <v>25</v>
      </c>
      <c r="L317" s="3" t="s">
        <v>24</v>
      </c>
      <c r="M317" s="3" t="s">
        <v>199</v>
      </c>
      <c r="N317" s="3" t="s">
        <v>1766</v>
      </c>
      <c r="O317" s="3" t="s">
        <v>128</v>
      </c>
      <c r="P317" s="3" t="s">
        <v>72</v>
      </c>
      <c r="Q317" s="3" t="s">
        <v>5</v>
      </c>
      <c r="R317" s="3" t="s">
        <v>4</v>
      </c>
      <c r="S317" s="3" t="s">
        <v>3</v>
      </c>
      <c r="T317" s="3" t="s">
        <v>2</v>
      </c>
      <c r="U317" s="3" t="s">
        <v>1</v>
      </c>
      <c r="V317" s="3" t="s">
        <v>0</v>
      </c>
      <c r="W317" s="2">
        <v>32</v>
      </c>
    </row>
    <row r="318" spans="1:24" s="9" customFormat="1" hidden="1" x14ac:dyDescent="0.25">
      <c r="A318" s="17">
        <v>5400</v>
      </c>
      <c r="B318" s="17" t="s">
        <v>3563</v>
      </c>
      <c r="C318" s="16" t="s">
        <v>3562</v>
      </c>
      <c r="D318" s="15" t="s">
        <v>15</v>
      </c>
      <c r="E318" s="14" t="s">
        <v>44</v>
      </c>
      <c r="F318" s="13">
        <v>38991</v>
      </c>
      <c r="G318" s="13" t="s">
        <v>1</v>
      </c>
      <c r="H318" s="13" t="s">
        <v>1</v>
      </c>
      <c r="I318" s="14" t="s">
        <v>50</v>
      </c>
      <c r="J318" s="14" t="s">
        <v>734</v>
      </c>
      <c r="K318" s="14" t="s">
        <v>33</v>
      </c>
      <c r="L318" s="14" t="s">
        <v>33</v>
      </c>
      <c r="M318" s="14" t="s">
        <v>1072</v>
      </c>
      <c r="N318" s="14" t="s">
        <v>1071</v>
      </c>
      <c r="O318" s="14" t="s">
        <v>734</v>
      </c>
      <c r="P318" s="22" t="s">
        <v>30</v>
      </c>
      <c r="Q318" s="14" t="s">
        <v>47</v>
      </c>
      <c r="R318" s="12" t="s">
        <v>4</v>
      </c>
      <c r="S318" s="12" t="s">
        <v>3</v>
      </c>
      <c r="T318" s="12" t="s">
        <v>121</v>
      </c>
      <c r="U318" s="12" t="s">
        <v>1</v>
      </c>
      <c r="V318" s="12" t="s">
        <v>0</v>
      </c>
      <c r="W318" s="11">
        <v>40</v>
      </c>
      <c r="X318" s="10"/>
    </row>
    <row r="319" spans="1:24" hidden="1" x14ac:dyDescent="0.25">
      <c r="A319" s="8" t="s">
        <v>3561</v>
      </c>
      <c r="B319" s="8" t="s">
        <v>3561</v>
      </c>
      <c r="C319" s="19" t="s">
        <v>3560</v>
      </c>
      <c r="D319" s="6" t="s">
        <v>15</v>
      </c>
      <c r="E319" s="18" t="s">
        <v>162</v>
      </c>
      <c r="F319" s="4">
        <v>41015</v>
      </c>
      <c r="G319" s="4" t="s">
        <v>1</v>
      </c>
      <c r="H319" s="4" t="s">
        <v>1</v>
      </c>
      <c r="I319" s="3" t="s">
        <v>13</v>
      </c>
      <c r="J319" s="3" t="s">
        <v>133</v>
      </c>
      <c r="K319" s="3" t="s">
        <v>25</v>
      </c>
      <c r="L319" s="3" t="s">
        <v>24</v>
      </c>
      <c r="M319" s="3" t="s">
        <v>199</v>
      </c>
      <c r="N319" s="3" t="s">
        <v>198</v>
      </c>
      <c r="O319" s="3" t="s">
        <v>184</v>
      </c>
      <c r="P319" s="3" t="s">
        <v>72</v>
      </c>
      <c r="Q319" s="3" t="s">
        <v>20</v>
      </c>
      <c r="R319" s="3" t="s">
        <v>4</v>
      </c>
      <c r="S319" s="3" t="s">
        <v>3</v>
      </c>
      <c r="T319" s="3" t="s">
        <v>2</v>
      </c>
      <c r="U319" s="3" t="s">
        <v>1</v>
      </c>
      <c r="V319" s="3" t="s">
        <v>0</v>
      </c>
      <c r="W319" s="2">
        <v>31</v>
      </c>
    </row>
    <row r="320" spans="1:24" hidden="1" x14ac:dyDescent="0.25">
      <c r="A320" s="8">
        <v>5403</v>
      </c>
      <c r="B320" s="8" t="s">
        <v>3559</v>
      </c>
      <c r="C320" s="7" t="s">
        <v>3558</v>
      </c>
      <c r="D320" s="6" t="s">
        <v>15</v>
      </c>
      <c r="E320" s="5" t="s">
        <v>44</v>
      </c>
      <c r="F320" s="4">
        <v>38991</v>
      </c>
      <c r="G320" s="4" t="s">
        <v>1</v>
      </c>
      <c r="H320" s="4" t="s">
        <v>1</v>
      </c>
      <c r="I320" s="3" t="s">
        <v>13</v>
      </c>
      <c r="J320" s="3" t="s">
        <v>133</v>
      </c>
      <c r="K320" s="3" t="s">
        <v>11</v>
      </c>
      <c r="L320" s="3" t="s">
        <v>10</v>
      </c>
      <c r="M320" s="3" t="s">
        <v>290</v>
      </c>
      <c r="N320" s="3" t="s">
        <v>1078</v>
      </c>
      <c r="O320" s="3" t="s">
        <v>29</v>
      </c>
      <c r="P320" s="3" t="s">
        <v>6</v>
      </c>
      <c r="Q320" s="3" t="s">
        <v>20</v>
      </c>
      <c r="R320" s="3" t="s">
        <v>4</v>
      </c>
      <c r="S320" s="3" t="s">
        <v>3</v>
      </c>
      <c r="T320" s="3" t="s">
        <v>1077</v>
      </c>
      <c r="U320" s="3" t="s">
        <v>1</v>
      </c>
      <c r="V320" s="3" t="s">
        <v>0</v>
      </c>
      <c r="W320" s="2">
        <v>39</v>
      </c>
    </row>
    <row r="321" spans="1:24" s="78" customFormat="1" hidden="1" x14ac:dyDescent="0.25">
      <c r="A321" s="73" t="s">
        <v>3557</v>
      </c>
      <c r="B321" s="73" t="s">
        <v>3557</v>
      </c>
      <c r="C321" s="87" t="s">
        <v>3556</v>
      </c>
      <c r="D321" s="88" t="s">
        <v>15</v>
      </c>
      <c r="E321" s="89" t="s">
        <v>3555</v>
      </c>
      <c r="F321" s="90">
        <v>41205</v>
      </c>
      <c r="G321" s="90" t="s">
        <v>1</v>
      </c>
      <c r="H321" s="90" t="s">
        <v>1</v>
      </c>
      <c r="I321" s="92" t="s">
        <v>13</v>
      </c>
      <c r="J321" s="92" t="s">
        <v>133</v>
      </c>
      <c r="K321" s="92" t="s">
        <v>25</v>
      </c>
      <c r="L321" s="92" t="s">
        <v>24</v>
      </c>
      <c r="M321" s="92" t="s">
        <v>199</v>
      </c>
      <c r="N321" s="92" t="s">
        <v>3360</v>
      </c>
      <c r="O321" s="92" t="s">
        <v>128</v>
      </c>
      <c r="P321" s="92" t="s">
        <v>72</v>
      </c>
      <c r="Q321" s="92" t="s">
        <v>5</v>
      </c>
      <c r="R321" s="92" t="s">
        <v>4</v>
      </c>
      <c r="S321" s="92" t="s">
        <v>3</v>
      </c>
      <c r="T321" s="92" t="s">
        <v>2</v>
      </c>
      <c r="U321" s="92" t="s">
        <v>1</v>
      </c>
      <c r="V321" s="92" t="s">
        <v>0</v>
      </c>
      <c r="W321" s="93">
        <v>34</v>
      </c>
    </row>
    <row r="322" spans="1:24" s="78" customFormat="1" hidden="1" x14ac:dyDescent="0.25">
      <c r="A322" s="73">
        <v>649</v>
      </c>
      <c r="B322" s="73" t="s">
        <v>3554</v>
      </c>
      <c r="C322" s="102" t="s">
        <v>3553</v>
      </c>
      <c r="D322" s="88" t="s">
        <v>15</v>
      </c>
      <c r="E322" s="91" t="s">
        <v>3552</v>
      </c>
      <c r="F322" s="90">
        <v>37788</v>
      </c>
      <c r="G322" s="90" t="s">
        <v>1</v>
      </c>
      <c r="H322" s="90" t="s">
        <v>1</v>
      </c>
      <c r="I322" s="92" t="s">
        <v>13</v>
      </c>
      <c r="J322" s="92" t="s">
        <v>133</v>
      </c>
      <c r="K322" s="92" t="s">
        <v>11</v>
      </c>
      <c r="L322" s="92" t="s">
        <v>10</v>
      </c>
      <c r="M322" s="92" t="s">
        <v>290</v>
      </c>
      <c r="N322" s="92" t="s">
        <v>1362</v>
      </c>
      <c r="O322" s="92" t="s">
        <v>39</v>
      </c>
      <c r="P322" s="92" t="s">
        <v>72</v>
      </c>
      <c r="Q322" s="92" t="s">
        <v>20</v>
      </c>
      <c r="R322" s="92" t="s">
        <v>4</v>
      </c>
      <c r="S322" s="92" t="s">
        <v>3</v>
      </c>
      <c r="T322" s="92" t="s">
        <v>1361</v>
      </c>
      <c r="U322" s="92" t="s">
        <v>1</v>
      </c>
      <c r="V322" s="92" t="s">
        <v>0</v>
      </c>
      <c r="W322" s="93">
        <v>43</v>
      </c>
    </row>
    <row r="323" spans="1:24" hidden="1" x14ac:dyDescent="0.25">
      <c r="A323" s="8">
        <v>756</v>
      </c>
      <c r="B323" s="8" t="s">
        <v>3551</v>
      </c>
      <c r="C323" s="7" t="s">
        <v>3550</v>
      </c>
      <c r="D323" s="6" t="s">
        <v>15</v>
      </c>
      <c r="E323" s="5" t="s">
        <v>3549</v>
      </c>
      <c r="F323" s="4">
        <v>37830</v>
      </c>
      <c r="G323" s="4" t="s">
        <v>1</v>
      </c>
      <c r="H323" s="4" t="s">
        <v>1</v>
      </c>
      <c r="I323" s="3" t="s">
        <v>13</v>
      </c>
      <c r="J323" s="3" t="s">
        <v>133</v>
      </c>
      <c r="K323" s="3" t="s">
        <v>11</v>
      </c>
      <c r="L323" s="3" t="s">
        <v>10</v>
      </c>
      <c r="M323" s="3" t="s">
        <v>290</v>
      </c>
      <c r="N323" s="3" t="s">
        <v>1078</v>
      </c>
      <c r="O323" s="3" t="s">
        <v>29</v>
      </c>
      <c r="P323" s="3" t="s">
        <v>72</v>
      </c>
      <c r="Q323" s="3" t="s">
        <v>20</v>
      </c>
      <c r="R323" s="3" t="s">
        <v>4</v>
      </c>
      <c r="S323" s="3" t="s">
        <v>3</v>
      </c>
      <c r="T323" s="3" t="s">
        <v>1077</v>
      </c>
      <c r="U323" s="3" t="s">
        <v>1</v>
      </c>
      <c r="V323" s="3" t="s">
        <v>0</v>
      </c>
      <c r="W323" s="2">
        <v>39</v>
      </c>
    </row>
    <row r="324" spans="1:24" hidden="1" x14ac:dyDescent="0.25">
      <c r="A324" s="8">
        <v>5425</v>
      </c>
      <c r="B324" s="8" t="s">
        <v>3548</v>
      </c>
      <c r="C324" s="7" t="s">
        <v>3547</v>
      </c>
      <c r="D324" s="6" t="s">
        <v>15</v>
      </c>
      <c r="E324" s="5" t="s">
        <v>44</v>
      </c>
      <c r="F324" s="4">
        <v>38991</v>
      </c>
      <c r="G324" s="4" t="s">
        <v>1</v>
      </c>
      <c r="H324" s="4" t="s">
        <v>1</v>
      </c>
      <c r="I324" s="3" t="s">
        <v>13</v>
      </c>
      <c r="J324" s="3" t="s">
        <v>12</v>
      </c>
      <c r="K324" s="3" t="s">
        <v>262</v>
      </c>
      <c r="L324" s="3" t="s">
        <v>261</v>
      </c>
      <c r="M324" s="3" t="s">
        <v>260</v>
      </c>
      <c r="N324" s="3" t="s">
        <v>1362</v>
      </c>
      <c r="O324" s="3" t="s">
        <v>39</v>
      </c>
      <c r="P324" s="3" t="s">
        <v>6</v>
      </c>
      <c r="Q324" s="3" t="s">
        <v>20</v>
      </c>
      <c r="R324" s="3" t="s">
        <v>4</v>
      </c>
      <c r="S324" s="3" t="s">
        <v>3</v>
      </c>
      <c r="T324" s="3" t="s">
        <v>1361</v>
      </c>
      <c r="U324" s="3" t="s">
        <v>1</v>
      </c>
      <c r="V324" s="3" t="s">
        <v>0</v>
      </c>
      <c r="W324" s="2">
        <v>41</v>
      </c>
    </row>
    <row r="325" spans="1:24" hidden="1" x14ac:dyDescent="0.25">
      <c r="A325" s="8">
        <v>1107</v>
      </c>
      <c r="B325" s="8" t="s">
        <v>3546</v>
      </c>
      <c r="C325" s="7" t="s">
        <v>3545</v>
      </c>
      <c r="D325" s="6" t="s">
        <v>15</v>
      </c>
      <c r="E325" s="5" t="s">
        <v>56</v>
      </c>
      <c r="F325" s="4">
        <v>37887</v>
      </c>
      <c r="G325" s="4" t="s">
        <v>1</v>
      </c>
      <c r="H325" s="4" t="s">
        <v>1</v>
      </c>
      <c r="I325" s="3" t="s">
        <v>13</v>
      </c>
      <c r="J325" s="3" t="s">
        <v>133</v>
      </c>
      <c r="K325" s="3" t="s">
        <v>11</v>
      </c>
      <c r="L325" s="3" t="s">
        <v>10</v>
      </c>
      <c r="M325" s="3" t="s">
        <v>290</v>
      </c>
      <c r="N325" s="3" t="s">
        <v>3544</v>
      </c>
      <c r="O325" s="3" t="s">
        <v>1231</v>
      </c>
      <c r="P325" s="3" t="s">
        <v>72</v>
      </c>
      <c r="Q325" s="3" t="s">
        <v>5</v>
      </c>
      <c r="R325" s="3" t="s">
        <v>4</v>
      </c>
      <c r="S325" s="3" t="s">
        <v>3</v>
      </c>
      <c r="T325" s="3" t="s">
        <v>2</v>
      </c>
      <c r="U325" s="3" t="s">
        <v>1</v>
      </c>
      <c r="V325" s="3" t="s">
        <v>0</v>
      </c>
      <c r="W325" s="2">
        <v>40</v>
      </c>
    </row>
    <row r="326" spans="1:24" hidden="1" x14ac:dyDescent="0.25">
      <c r="A326" s="8">
        <v>5430</v>
      </c>
      <c r="B326" s="8" t="s">
        <v>3543</v>
      </c>
      <c r="C326" s="7" t="s">
        <v>3542</v>
      </c>
      <c r="D326" s="6" t="s">
        <v>15</v>
      </c>
      <c r="E326" s="5" t="s">
        <v>44</v>
      </c>
      <c r="F326" s="4">
        <v>38991</v>
      </c>
      <c r="G326" s="4" t="s">
        <v>1</v>
      </c>
      <c r="H326" s="4" t="s">
        <v>1</v>
      </c>
      <c r="I326" s="18" t="s">
        <v>100</v>
      </c>
      <c r="J326" s="18" t="s">
        <v>124</v>
      </c>
      <c r="K326" s="18" t="s">
        <v>33</v>
      </c>
      <c r="L326" s="18" t="s">
        <v>33</v>
      </c>
      <c r="M326" s="18" t="s">
        <v>124</v>
      </c>
      <c r="N326" s="18" t="s">
        <v>1807</v>
      </c>
      <c r="O326" s="18" t="s">
        <v>122</v>
      </c>
      <c r="P326" s="5" t="s">
        <v>1</v>
      </c>
      <c r="Q326" s="5" t="s">
        <v>121</v>
      </c>
      <c r="R326" s="3" t="s">
        <v>4</v>
      </c>
      <c r="S326" s="3" t="s">
        <v>3</v>
      </c>
      <c r="T326" s="3" t="s">
        <v>29</v>
      </c>
      <c r="U326" s="3" t="s">
        <v>1</v>
      </c>
      <c r="V326" s="3" t="s">
        <v>18</v>
      </c>
      <c r="W326" s="2">
        <v>39</v>
      </c>
    </row>
    <row r="327" spans="1:24" s="78" customFormat="1" hidden="1" x14ac:dyDescent="0.25">
      <c r="A327" s="73">
        <v>5431</v>
      </c>
      <c r="B327" s="73" t="s">
        <v>3541</v>
      </c>
      <c r="C327" s="87" t="s">
        <v>3540</v>
      </c>
      <c r="D327" s="88" t="s">
        <v>15</v>
      </c>
      <c r="E327" s="89" t="s">
        <v>44</v>
      </c>
      <c r="F327" s="90">
        <v>38991</v>
      </c>
      <c r="G327" s="90" t="s">
        <v>1</v>
      </c>
      <c r="H327" s="90" t="s">
        <v>1</v>
      </c>
      <c r="I327" s="89" t="s">
        <v>50</v>
      </c>
      <c r="J327" s="89" t="s">
        <v>75</v>
      </c>
      <c r="K327" s="89" t="s">
        <v>33</v>
      </c>
      <c r="L327" s="89" t="s">
        <v>33</v>
      </c>
      <c r="M327" s="89" t="s">
        <v>75</v>
      </c>
      <c r="N327" s="89" t="s">
        <v>348</v>
      </c>
      <c r="O327" s="91" t="s">
        <v>368</v>
      </c>
      <c r="P327" s="89" t="s">
        <v>72</v>
      </c>
      <c r="Q327" s="89" t="s">
        <v>47</v>
      </c>
      <c r="R327" s="92" t="s">
        <v>4</v>
      </c>
      <c r="S327" s="92" t="s">
        <v>3</v>
      </c>
      <c r="T327" s="92" t="s">
        <v>38</v>
      </c>
      <c r="U327" s="92" t="s">
        <v>1</v>
      </c>
      <c r="V327" s="92" t="s">
        <v>18</v>
      </c>
      <c r="W327" s="93">
        <v>39</v>
      </c>
      <c r="X327" s="94"/>
    </row>
    <row r="328" spans="1:24" s="78" customFormat="1" hidden="1" x14ac:dyDescent="0.25">
      <c r="A328" s="73">
        <v>1205</v>
      </c>
      <c r="B328" s="73" t="s">
        <v>3539</v>
      </c>
      <c r="C328" s="87" t="s">
        <v>3538</v>
      </c>
      <c r="D328" s="88" t="s">
        <v>15</v>
      </c>
      <c r="E328" s="89" t="s">
        <v>1942</v>
      </c>
      <c r="F328" s="90">
        <v>37907</v>
      </c>
      <c r="G328" s="90" t="s">
        <v>1</v>
      </c>
      <c r="H328" s="90" t="s">
        <v>1</v>
      </c>
      <c r="I328" s="92" t="s">
        <v>13</v>
      </c>
      <c r="J328" s="92" t="s">
        <v>133</v>
      </c>
      <c r="K328" s="92" t="s">
        <v>11</v>
      </c>
      <c r="L328" s="92" t="s">
        <v>10</v>
      </c>
      <c r="M328" s="92" t="s">
        <v>290</v>
      </c>
      <c r="N328" s="92" t="s">
        <v>3537</v>
      </c>
      <c r="O328" s="92" t="s">
        <v>128</v>
      </c>
      <c r="P328" s="92" t="s">
        <v>72</v>
      </c>
      <c r="Q328" s="92" t="s">
        <v>5</v>
      </c>
      <c r="R328" s="92" t="s">
        <v>4</v>
      </c>
      <c r="S328" s="92" t="s">
        <v>3</v>
      </c>
      <c r="T328" s="92" t="s">
        <v>2</v>
      </c>
      <c r="U328" s="92" t="s">
        <v>1</v>
      </c>
      <c r="V328" s="92" t="s">
        <v>18</v>
      </c>
      <c r="W328" s="93">
        <v>40</v>
      </c>
    </row>
    <row r="329" spans="1:24" hidden="1" x14ac:dyDescent="0.25">
      <c r="A329" s="8">
        <v>1498</v>
      </c>
      <c r="B329" s="8" t="s">
        <v>3536</v>
      </c>
      <c r="C329" s="7" t="s">
        <v>3535</v>
      </c>
      <c r="D329" s="6" t="s">
        <v>15</v>
      </c>
      <c r="E329" s="5" t="s">
        <v>3534</v>
      </c>
      <c r="F329" s="4">
        <v>37984</v>
      </c>
      <c r="G329" s="4" t="s">
        <v>1</v>
      </c>
      <c r="H329" s="4" t="s">
        <v>1</v>
      </c>
      <c r="I329" s="3" t="s">
        <v>13</v>
      </c>
      <c r="J329" s="3" t="s">
        <v>133</v>
      </c>
      <c r="K329" s="3" t="s">
        <v>11</v>
      </c>
      <c r="L329" s="3" t="s">
        <v>10</v>
      </c>
      <c r="M329" s="3" t="s">
        <v>290</v>
      </c>
      <c r="N329" s="3" t="s">
        <v>185</v>
      </c>
      <c r="O329" s="3" t="s">
        <v>184</v>
      </c>
      <c r="P329" s="3" t="s">
        <v>72</v>
      </c>
      <c r="Q329" s="3" t="s">
        <v>20</v>
      </c>
      <c r="R329" s="3" t="s">
        <v>4</v>
      </c>
      <c r="S329" s="3" t="s">
        <v>3</v>
      </c>
      <c r="T329" s="3" t="s">
        <v>2</v>
      </c>
      <c r="U329" s="3" t="s">
        <v>1</v>
      </c>
      <c r="V329" s="3" t="s">
        <v>0</v>
      </c>
      <c r="W329" s="2">
        <v>41</v>
      </c>
    </row>
    <row r="330" spans="1:24" hidden="1" x14ac:dyDescent="0.25">
      <c r="A330" s="8">
        <v>5435</v>
      </c>
      <c r="B330" s="8" t="s">
        <v>3533</v>
      </c>
      <c r="C330" s="19" t="s">
        <v>3532</v>
      </c>
      <c r="D330" s="6" t="s">
        <v>15</v>
      </c>
      <c r="E330" s="18" t="s">
        <v>44</v>
      </c>
      <c r="F330" s="4">
        <v>38991</v>
      </c>
      <c r="G330" s="4" t="s">
        <v>1</v>
      </c>
      <c r="H330" s="4" t="s">
        <v>1</v>
      </c>
      <c r="I330" s="3" t="s">
        <v>145</v>
      </c>
      <c r="J330" s="3" t="s">
        <v>12</v>
      </c>
      <c r="K330" s="3" t="s">
        <v>283</v>
      </c>
      <c r="L330" s="3" t="s">
        <v>282</v>
      </c>
      <c r="M330" s="3" t="s">
        <v>698</v>
      </c>
      <c r="N330" s="3" t="s">
        <v>1355</v>
      </c>
      <c r="O330" s="3" t="s">
        <v>100</v>
      </c>
      <c r="P330" s="3" t="s">
        <v>72</v>
      </c>
      <c r="Q330" s="3" t="s">
        <v>20</v>
      </c>
      <c r="R330" s="3" t="s">
        <v>4</v>
      </c>
      <c r="S330" s="3" t="s">
        <v>3</v>
      </c>
      <c r="T330" s="3" t="s">
        <v>2</v>
      </c>
      <c r="U330" s="3" t="s">
        <v>1</v>
      </c>
      <c r="V330" s="3" t="s">
        <v>0</v>
      </c>
      <c r="W330" s="2">
        <v>40</v>
      </c>
    </row>
    <row r="331" spans="1:24" hidden="1" x14ac:dyDescent="0.25">
      <c r="A331" s="8">
        <v>5439</v>
      </c>
      <c r="B331" s="8" t="s">
        <v>3531</v>
      </c>
      <c r="C331" s="7" t="s">
        <v>3530</v>
      </c>
      <c r="D331" s="6" t="s">
        <v>15</v>
      </c>
      <c r="E331" s="5" t="s">
        <v>343</v>
      </c>
      <c r="F331" s="4">
        <v>38991</v>
      </c>
      <c r="G331" s="4" t="s">
        <v>1</v>
      </c>
      <c r="H331" s="4" t="s">
        <v>1</v>
      </c>
      <c r="I331" s="5" t="s">
        <v>384</v>
      </c>
      <c r="J331" s="5" t="s">
        <v>2827</v>
      </c>
      <c r="K331" s="5" t="s">
        <v>33</v>
      </c>
      <c r="L331" s="5" t="s">
        <v>33</v>
      </c>
      <c r="M331" s="5" t="s">
        <v>2827</v>
      </c>
      <c r="N331" s="5" t="s">
        <v>3529</v>
      </c>
      <c r="O331" s="5" t="s">
        <v>624</v>
      </c>
      <c r="P331" s="5" t="s">
        <v>30</v>
      </c>
      <c r="Q331" s="5" t="s">
        <v>47</v>
      </c>
      <c r="R331" s="3" t="s">
        <v>4</v>
      </c>
      <c r="S331" s="3" t="s">
        <v>3</v>
      </c>
      <c r="T331" s="3" t="s">
        <v>338</v>
      </c>
      <c r="U331" s="3" t="s">
        <v>1</v>
      </c>
      <c r="V331" s="3" t="s">
        <v>0</v>
      </c>
      <c r="W331" s="2">
        <v>41</v>
      </c>
    </row>
    <row r="332" spans="1:24" hidden="1" x14ac:dyDescent="0.25">
      <c r="A332" s="8">
        <v>5441</v>
      </c>
      <c r="B332" s="8" t="s">
        <v>3528</v>
      </c>
      <c r="C332" s="7" t="s">
        <v>226</v>
      </c>
      <c r="D332" s="6" t="s">
        <v>15</v>
      </c>
      <c r="E332" s="5" t="s">
        <v>44</v>
      </c>
      <c r="F332" s="4">
        <v>38991</v>
      </c>
      <c r="G332" s="4" t="s">
        <v>1</v>
      </c>
      <c r="H332" s="4" t="s">
        <v>1</v>
      </c>
      <c r="I332" s="3" t="s">
        <v>13</v>
      </c>
      <c r="J332" s="3" t="s">
        <v>133</v>
      </c>
      <c r="K332" s="3" t="s">
        <v>262</v>
      </c>
      <c r="L332" s="3" t="s">
        <v>262</v>
      </c>
      <c r="M332" s="3" t="s">
        <v>277</v>
      </c>
      <c r="N332" s="3" t="s">
        <v>1362</v>
      </c>
      <c r="O332" s="3" t="s">
        <v>39</v>
      </c>
      <c r="P332" s="3" t="s">
        <v>6</v>
      </c>
      <c r="Q332" s="3" t="s">
        <v>20</v>
      </c>
      <c r="R332" s="3" t="s">
        <v>4</v>
      </c>
      <c r="S332" s="3" t="s">
        <v>3</v>
      </c>
      <c r="T332" s="3" t="s">
        <v>1361</v>
      </c>
      <c r="U332" s="3" t="s">
        <v>1</v>
      </c>
      <c r="V332" s="3" t="s">
        <v>0</v>
      </c>
      <c r="W332" s="2">
        <v>39</v>
      </c>
    </row>
    <row r="333" spans="1:24" s="9" customFormat="1" hidden="1" x14ac:dyDescent="0.25">
      <c r="A333" s="17">
        <v>5479</v>
      </c>
      <c r="B333" s="17" t="s">
        <v>3527</v>
      </c>
      <c r="C333" s="16" t="s">
        <v>3526</v>
      </c>
      <c r="D333" s="15" t="s">
        <v>15</v>
      </c>
      <c r="E333" s="14" t="s">
        <v>968</v>
      </c>
      <c r="F333" s="13">
        <v>38991</v>
      </c>
      <c r="G333" s="13" t="s">
        <v>1</v>
      </c>
      <c r="H333" s="13" t="s">
        <v>1</v>
      </c>
      <c r="I333" s="12" t="s">
        <v>13</v>
      </c>
      <c r="J333" s="12" t="s">
        <v>133</v>
      </c>
      <c r="K333" s="12" t="s">
        <v>11</v>
      </c>
      <c r="L333" s="12" t="s">
        <v>10</v>
      </c>
      <c r="M333" s="12" t="s">
        <v>290</v>
      </c>
      <c r="N333" s="12" t="s">
        <v>3525</v>
      </c>
      <c r="O333" s="12" t="s">
        <v>1231</v>
      </c>
      <c r="P333" s="12" t="s">
        <v>72</v>
      </c>
      <c r="Q333" s="12" t="s">
        <v>5</v>
      </c>
      <c r="R333" s="12" t="s">
        <v>4</v>
      </c>
      <c r="S333" s="12" t="s">
        <v>3</v>
      </c>
      <c r="T333" s="12" t="s">
        <v>121</v>
      </c>
      <c r="U333" s="12" t="s">
        <v>1</v>
      </c>
      <c r="V333" s="12" t="s">
        <v>0</v>
      </c>
      <c r="W333" s="11">
        <v>41</v>
      </c>
      <c r="X333" s="10"/>
    </row>
    <row r="334" spans="1:24" s="9" customFormat="1" hidden="1" x14ac:dyDescent="0.25">
      <c r="A334" s="17">
        <v>5710</v>
      </c>
      <c r="B334" s="17" t="s">
        <v>3524</v>
      </c>
      <c r="C334" s="16" t="s">
        <v>3523</v>
      </c>
      <c r="D334" s="15" t="s">
        <v>15</v>
      </c>
      <c r="E334" s="14" t="s">
        <v>527</v>
      </c>
      <c r="F334" s="13">
        <v>39098</v>
      </c>
      <c r="G334" s="13" t="s">
        <v>1</v>
      </c>
      <c r="H334" s="13" t="s">
        <v>1</v>
      </c>
      <c r="I334" s="12" t="s">
        <v>13</v>
      </c>
      <c r="J334" s="12" t="s">
        <v>133</v>
      </c>
      <c r="K334" s="12" t="s">
        <v>11</v>
      </c>
      <c r="L334" s="12" t="s">
        <v>10</v>
      </c>
      <c r="M334" s="12" t="s">
        <v>290</v>
      </c>
      <c r="N334" s="12" t="s">
        <v>198</v>
      </c>
      <c r="O334" s="12" t="s">
        <v>184</v>
      </c>
      <c r="P334" s="12" t="s">
        <v>72</v>
      </c>
      <c r="Q334" s="12" t="s">
        <v>20</v>
      </c>
      <c r="R334" s="12" t="s">
        <v>4</v>
      </c>
      <c r="S334" s="12" t="s">
        <v>3</v>
      </c>
      <c r="T334" s="12" t="s">
        <v>2</v>
      </c>
      <c r="U334" s="12" t="s">
        <v>1</v>
      </c>
      <c r="V334" s="12" t="s">
        <v>0</v>
      </c>
      <c r="W334" s="11">
        <v>39</v>
      </c>
      <c r="X334" s="10"/>
    </row>
    <row r="335" spans="1:24" hidden="1" x14ac:dyDescent="0.25">
      <c r="A335" s="8">
        <v>5459</v>
      </c>
      <c r="B335" s="8" t="s">
        <v>3522</v>
      </c>
      <c r="C335" s="7" t="s">
        <v>42</v>
      </c>
      <c r="D335" s="6" t="s">
        <v>15</v>
      </c>
      <c r="E335" s="5" t="s">
        <v>44</v>
      </c>
      <c r="F335" s="4">
        <v>38991</v>
      </c>
      <c r="G335" s="4" t="s">
        <v>1</v>
      </c>
      <c r="H335" s="4" t="s">
        <v>1</v>
      </c>
      <c r="I335" s="5" t="s">
        <v>50</v>
      </c>
      <c r="J335" s="5" t="s">
        <v>75</v>
      </c>
      <c r="K335" s="5" t="s">
        <v>33</v>
      </c>
      <c r="L335" s="5" t="s">
        <v>33</v>
      </c>
      <c r="M335" s="5" t="s">
        <v>75</v>
      </c>
      <c r="N335" s="21" t="s">
        <v>74</v>
      </c>
      <c r="O335" s="5" t="s">
        <v>73</v>
      </c>
      <c r="P335" s="5" t="s">
        <v>6</v>
      </c>
      <c r="Q335" s="5" t="s">
        <v>47</v>
      </c>
      <c r="R335" s="3" t="s">
        <v>4</v>
      </c>
      <c r="S335" s="3" t="s">
        <v>3</v>
      </c>
      <c r="T335" s="3" t="s">
        <v>2</v>
      </c>
      <c r="U335" s="3" t="s">
        <v>1</v>
      </c>
      <c r="V335" s="3" t="s">
        <v>18</v>
      </c>
      <c r="W335" s="2">
        <v>39</v>
      </c>
    </row>
    <row r="336" spans="1:24" hidden="1" x14ac:dyDescent="0.25">
      <c r="A336" s="8">
        <v>5460</v>
      </c>
      <c r="B336" s="8" t="s">
        <v>3521</v>
      </c>
      <c r="C336" s="7" t="s">
        <v>3520</v>
      </c>
      <c r="D336" s="6" t="s">
        <v>15</v>
      </c>
      <c r="E336" s="5" t="s">
        <v>44</v>
      </c>
      <c r="F336" s="4">
        <v>38991</v>
      </c>
      <c r="G336" s="4" t="s">
        <v>1</v>
      </c>
      <c r="H336" s="4" t="s">
        <v>1</v>
      </c>
      <c r="I336" s="3" t="s">
        <v>13</v>
      </c>
      <c r="J336" s="3" t="s">
        <v>12</v>
      </c>
      <c r="K336" s="3" t="s">
        <v>262</v>
      </c>
      <c r="L336" s="3" t="s">
        <v>261</v>
      </c>
      <c r="M336" s="3" t="s">
        <v>329</v>
      </c>
      <c r="N336" s="3" t="s">
        <v>1078</v>
      </c>
      <c r="O336" s="3" t="s">
        <v>29</v>
      </c>
      <c r="P336" s="3" t="s">
        <v>6</v>
      </c>
      <c r="Q336" s="3" t="s">
        <v>20</v>
      </c>
      <c r="R336" s="3" t="s">
        <v>4</v>
      </c>
      <c r="S336" s="3" t="s">
        <v>3</v>
      </c>
      <c r="T336" s="3" t="s">
        <v>1077</v>
      </c>
      <c r="U336" s="3" t="s">
        <v>1</v>
      </c>
      <c r="V336" s="3" t="s">
        <v>0</v>
      </c>
      <c r="W336" s="2">
        <v>39</v>
      </c>
    </row>
    <row r="337" spans="1:24" s="78" customFormat="1" hidden="1" x14ac:dyDescent="0.25">
      <c r="A337" s="73">
        <v>6030</v>
      </c>
      <c r="B337" s="73" t="s">
        <v>3519</v>
      </c>
      <c r="C337" s="87" t="s">
        <v>3518</v>
      </c>
      <c r="D337" s="88" t="s">
        <v>15</v>
      </c>
      <c r="E337" s="89" t="s">
        <v>237</v>
      </c>
      <c r="F337" s="90">
        <v>39142</v>
      </c>
      <c r="G337" s="90" t="s">
        <v>1</v>
      </c>
      <c r="H337" s="90" t="s">
        <v>1</v>
      </c>
      <c r="I337" s="92" t="s">
        <v>13</v>
      </c>
      <c r="J337" s="92" t="s">
        <v>133</v>
      </c>
      <c r="K337" s="92" t="s">
        <v>11</v>
      </c>
      <c r="L337" s="92" t="s">
        <v>10</v>
      </c>
      <c r="M337" s="92" t="s">
        <v>290</v>
      </c>
      <c r="N337" s="92" t="s">
        <v>3517</v>
      </c>
      <c r="O337" s="92" t="s">
        <v>128</v>
      </c>
      <c r="P337" s="92" t="s">
        <v>72</v>
      </c>
      <c r="Q337" s="92" t="s">
        <v>5</v>
      </c>
      <c r="R337" s="92" t="s">
        <v>4</v>
      </c>
      <c r="S337" s="92" t="s">
        <v>3</v>
      </c>
      <c r="T337" s="92" t="s">
        <v>2</v>
      </c>
      <c r="U337" s="92" t="s">
        <v>1</v>
      </c>
      <c r="V337" s="92" t="s">
        <v>18</v>
      </c>
      <c r="W337" s="93">
        <v>40</v>
      </c>
    </row>
    <row r="338" spans="1:24" s="78" customFormat="1" hidden="1" x14ac:dyDescent="0.25">
      <c r="A338" s="73">
        <v>8941</v>
      </c>
      <c r="B338" s="73" t="s">
        <v>3516</v>
      </c>
      <c r="C338" s="87" t="s">
        <v>3515</v>
      </c>
      <c r="D338" s="88" t="s">
        <v>15</v>
      </c>
      <c r="E338" s="89" t="s">
        <v>3514</v>
      </c>
      <c r="F338" s="90">
        <v>39966</v>
      </c>
      <c r="G338" s="90" t="s">
        <v>1</v>
      </c>
      <c r="H338" s="90" t="s">
        <v>1</v>
      </c>
      <c r="I338" s="92" t="s">
        <v>13</v>
      </c>
      <c r="J338" s="92" t="s">
        <v>133</v>
      </c>
      <c r="K338" s="92" t="s">
        <v>11</v>
      </c>
      <c r="L338" s="92" t="s">
        <v>10</v>
      </c>
      <c r="M338" s="92" t="s">
        <v>290</v>
      </c>
      <c r="N338" s="92" t="s">
        <v>1362</v>
      </c>
      <c r="O338" s="92" t="s">
        <v>39</v>
      </c>
      <c r="P338" s="92" t="s">
        <v>72</v>
      </c>
      <c r="Q338" s="92" t="s">
        <v>20</v>
      </c>
      <c r="R338" s="92" t="s">
        <v>4</v>
      </c>
      <c r="S338" s="92" t="s">
        <v>3</v>
      </c>
      <c r="T338" s="92" t="s">
        <v>1361</v>
      </c>
      <c r="U338" s="92" t="s">
        <v>1</v>
      </c>
      <c r="V338" s="92" t="s">
        <v>0</v>
      </c>
      <c r="W338" s="93">
        <v>36</v>
      </c>
    </row>
    <row r="339" spans="1:24" s="78" customFormat="1" hidden="1" x14ac:dyDescent="0.25">
      <c r="A339" s="73">
        <v>5465</v>
      </c>
      <c r="B339" s="73" t="s">
        <v>3513</v>
      </c>
      <c r="C339" s="87" t="s">
        <v>3512</v>
      </c>
      <c r="D339" s="88" t="s">
        <v>15</v>
      </c>
      <c r="E339" s="89" t="s">
        <v>44</v>
      </c>
      <c r="F339" s="90">
        <v>38991</v>
      </c>
      <c r="G339" s="90" t="s">
        <v>1</v>
      </c>
      <c r="H339" s="90" t="s">
        <v>1</v>
      </c>
      <c r="I339" s="92" t="s">
        <v>384</v>
      </c>
      <c r="J339" s="92" t="s">
        <v>2383</v>
      </c>
      <c r="K339" s="92" t="s">
        <v>33</v>
      </c>
      <c r="L339" s="92" t="s">
        <v>33</v>
      </c>
      <c r="M339" s="92" t="s">
        <v>2383</v>
      </c>
      <c r="N339" s="92" t="s">
        <v>1708</v>
      </c>
      <c r="O339" s="92" t="s">
        <v>387</v>
      </c>
      <c r="P339" s="92" t="s">
        <v>30</v>
      </c>
      <c r="Q339" s="92" t="s">
        <v>47</v>
      </c>
      <c r="R339" s="92" t="s">
        <v>4</v>
      </c>
      <c r="S339" s="92" t="s">
        <v>3</v>
      </c>
      <c r="T339" s="92" t="s">
        <v>2</v>
      </c>
      <c r="U339" s="92" t="s">
        <v>1</v>
      </c>
      <c r="V339" s="92" t="s">
        <v>0</v>
      </c>
      <c r="W339" s="93">
        <v>40</v>
      </c>
    </row>
    <row r="340" spans="1:24" s="78" customFormat="1" hidden="1" x14ac:dyDescent="0.25">
      <c r="A340" s="73">
        <v>5467</v>
      </c>
      <c r="B340" s="73" t="s">
        <v>3511</v>
      </c>
      <c r="C340" s="104" t="s">
        <v>3510</v>
      </c>
      <c r="D340" s="88" t="s">
        <v>15</v>
      </c>
      <c r="E340" s="89" t="s">
        <v>44</v>
      </c>
      <c r="F340" s="90">
        <v>38991</v>
      </c>
      <c r="G340" s="90" t="s">
        <v>1</v>
      </c>
      <c r="H340" s="90" t="s">
        <v>1</v>
      </c>
      <c r="I340" s="92" t="s">
        <v>384</v>
      </c>
      <c r="J340" s="92" t="s">
        <v>1227</v>
      </c>
      <c r="K340" s="92" t="s">
        <v>33</v>
      </c>
      <c r="L340" s="92" t="s">
        <v>33</v>
      </c>
      <c r="M340" s="92" t="s">
        <v>1227</v>
      </c>
      <c r="N340" s="92" t="s">
        <v>1226</v>
      </c>
      <c r="O340" s="92" t="s">
        <v>387</v>
      </c>
      <c r="P340" s="92" t="s">
        <v>30</v>
      </c>
      <c r="Q340" s="92" t="s">
        <v>47</v>
      </c>
      <c r="R340" s="92" t="s">
        <v>4</v>
      </c>
      <c r="S340" s="92" t="s">
        <v>3</v>
      </c>
      <c r="T340" s="92" t="s">
        <v>2</v>
      </c>
      <c r="U340" s="92" t="s">
        <v>1</v>
      </c>
      <c r="V340" s="92" t="s">
        <v>0</v>
      </c>
      <c r="W340" s="93">
        <v>40</v>
      </c>
    </row>
    <row r="341" spans="1:24" hidden="1" x14ac:dyDescent="0.25">
      <c r="A341" s="8">
        <v>9319</v>
      </c>
      <c r="B341" s="8" t="s">
        <v>3509</v>
      </c>
      <c r="C341" s="7" t="s">
        <v>3508</v>
      </c>
      <c r="D341" s="6" t="s">
        <v>15</v>
      </c>
      <c r="E341" s="5" t="s">
        <v>491</v>
      </c>
      <c r="F341" s="4">
        <v>40148</v>
      </c>
      <c r="G341" s="4" t="s">
        <v>1</v>
      </c>
      <c r="H341" s="4" t="s">
        <v>1</v>
      </c>
      <c r="I341" s="3" t="s">
        <v>13</v>
      </c>
      <c r="J341" s="3" t="s">
        <v>133</v>
      </c>
      <c r="K341" s="3" t="s">
        <v>11</v>
      </c>
      <c r="L341" s="3" t="s">
        <v>10</v>
      </c>
      <c r="M341" s="3" t="s">
        <v>290</v>
      </c>
      <c r="N341" s="3" t="s">
        <v>198</v>
      </c>
      <c r="O341" s="3" t="s">
        <v>184</v>
      </c>
      <c r="P341" s="3" t="s">
        <v>72</v>
      </c>
      <c r="Q341" s="3" t="s">
        <v>20</v>
      </c>
      <c r="R341" s="3" t="s">
        <v>4</v>
      </c>
      <c r="S341" s="3" t="s">
        <v>3</v>
      </c>
      <c r="T341" s="3" t="s">
        <v>2</v>
      </c>
      <c r="U341" s="3" t="s">
        <v>1</v>
      </c>
      <c r="V341" s="3" t="s">
        <v>0</v>
      </c>
      <c r="W341" s="2">
        <v>34</v>
      </c>
    </row>
    <row r="342" spans="1:24" hidden="1" x14ac:dyDescent="0.25">
      <c r="A342" s="8">
        <v>10974</v>
      </c>
      <c r="B342" s="8">
        <v>10974</v>
      </c>
      <c r="C342" s="7" t="s">
        <v>3507</v>
      </c>
      <c r="D342" s="6" t="s">
        <v>15</v>
      </c>
      <c r="E342" s="5" t="s">
        <v>2599</v>
      </c>
      <c r="F342" s="4">
        <v>40582</v>
      </c>
      <c r="G342" s="4" t="s">
        <v>1</v>
      </c>
      <c r="H342" s="4" t="s">
        <v>1</v>
      </c>
      <c r="I342" s="3" t="s">
        <v>13</v>
      </c>
      <c r="J342" s="3" t="s">
        <v>133</v>
      </c>
      <c r="K342" s="3" t="s">
        <v>11</v>
      </c>
      <c r="L342" s="3" t="s">
        <v>10</v>
      </c>
      <c r="M342" s="3" t="s">
        <v>290</v>
      </c>
      <c r="N342" s="3" t="s">
        <v>1624</v>
      </c>
      <c r="O342" s="3" t="s">
        <v>128</v>
      </c>
      <c r="P342" s="3" t="s">
        <v>72</v>
      </c>
      <c r="Q342" s="3" t="s">
        <v>5</v>
      </c>
      <c r="R342" s="3" t="s">
        <v>4</v>
      </c>
      <c r="S342" s="3" t="s">
        <v>3</v>
      </c>
      <c r="T342" s="3" t="s">
        <v>2</v>
      </c>
      <c r="U342" s="3" t="s">
        <v>1</v>
      </c>
      <c r="V342" s="3" t="s">
        <v>0</v>
      </c>
      <c r="W342" s="2">
        <v>33</v>
      </c>
    </row>
    <row r="343" spans="1:24" s="9" customFormat="1" hidden="1" x14ac:dyDescent="0.25">
      <c r="A343" s="17">
        <v>5474</v>
      </c>
      <c r="B343" s="17" t="s">
        <v>3506</v>
      </c>
      <c r="C343" s="16" t="s">
        <v>3505</v>
      </c>
      <c r="D343" s="15" t="s">
        <v>15</v>
      </c>
      <c r="E343" s="14" t="s">
        <v>968</v>
      </c>
      <c r="F343" s="13">
        <v>38991</v>
      </c>
      <c r="G343" s="13" t="s">
        <v>1</v>
      </c>
      <c r="H343" s="13" t="s">
        <v>1</v>
      </c>
      <c r="I343" s="14" t="s">
        <v>93</v>
      </c>
      <c r="J343" s="22" t="s">
        <v>466</v>
      </c>
      <c r="K343" s="22" t="s">
        <v>33</v>
      </c>
      <c r="L343" s="22" t="s">
        <v>33</v>
      </c>
      <c r="M343" s="22" t="s">
        <v>466</v>
      </c>
      <c r="N343" s="14" t="s">
        <v>3504</v>
      </c>
      <c r="O343" s="14" t="s">
        <v>368</v>
      </c>
      <c r="P343" s="14" t="s">
        <v>30</v>
      </c>
      <c r="Q343" s="14" t="s">
        <v>47</v>
      </c>
      <c r="R343" s="12" t="s">
        <v>4</v>
      </c>
      <c r="S343" s="12" t="s">
        <v>3</v>
      </c>
      <c r="T343" s="12" t="s">
        <v>38</v>
      </c>
      <c r="U343" s="12" t="s">
        <v>1</v>
      </c>
      <c r="V343" s="12" t="s">
        <v>18</v>
      </c>
      <c r="W343" s="11">
        <v>42</v>
      </c>
      <c r="X343" s="10"/>
    </row>
    <row r="344" spans="1:24" hidden="1" x14ac:dyDescent="0.25">
      <c r="A344" s="8">
        <v>5475</v>
      </c>
      <c r="B344" s="8" t="s">
        <v>3503</v>
      </c>
      <c r="C344" s="7" t="s">
        <v>3502</v>
      </c>
      <c r="D344" s="6" t="s">
        <v>15</v>
      </c>
      <c r="E344" s="5" t="s">
        <v>968</v>
      </c>
      <c r="F344" s="4">
        <v>38991</v>
      </c>
      <c r="G344" s="4" t="s">
        <v>1</v>
      </c>
      <c r="H344" s="4" t="s">
        <v>1</v>
      </c>
      <c r="I344" s="3" t="s">
        <v>145</v>
      </c>
      <c r="J344" s="3" t="s">
        <v>34</v>
      </c>
      <c r="K344" s="3" t="s">
        <v>33</v>
      </c>
      <c r="L344" s="3" t="s">
        <v>33</v>
      </c>
      <c r="M344" s="3" t="s">
        <v>3485</v>
      </c>
      <c r="N344" s="3" t="s">
        <v>241</v>
      </c>
      <c r="O344" s="3" t="s">
        <v>3485</v>
      </c>
      <c r="P344" s="3" t="s">
        <v>30</v>
      </c>
      <c r="Q344" s="3" t="s">
        <v>47</v>
      </c>
      <c r="R344" s="3" t="s">
        <v>4</v>
      </c>
      <c r="S344" s="3" t="s">
        <v>3</v>
      </c>
      <c r="T344" s="3" t="s">
        <v>121</v>
      </c>
      <c r="U344" s="3" t="s">
        <v>1</v>
      </c>
      <c r="V344" s="3" t="s">
        <v>0</v>
      </c>
      <c r="W344" s="2">
        <v>39</v>
      </c>
    </row>
    <row r="345" spans="1:24" hidden="1" x14ac:dyDescent="0.25">
      <c r="A345" s="8">
        <v>5477</v>
      </c>
      <c r="B345" s="8" t="s">
        <v>3501</v>
      </c>
      <c r="C345" s="7" t="s">
        <v>711</v>
      </c>
      <c r="D345" s="6" t="s">
        <v>15</v>
      </c>
      <c r="E345" s="5" t="s">
        <v>968</v>
      </c>
      <c r="F345" s="4">
        <v>38991</v>
      </c>
      <c r="G345" s="4" t="s">
        <v>1</v>
      </c>
      <c r="H345" s="4" t="s">
        <v>1</v>
      </c>
      <c r="I345" s="5" t="s">
        <v>50</v>
      </c>
      <c r="J345" s="5" t="s">
        <v>370</v>
      </c>
      <c r="K345" s="5" t="s">
        <v>33</v>
      </c>
      <c r="L345" s="5" t="s">
        <v>33</v>
      </c>
      <c r="M345" s="5" t="s">
        <v>370</v>
      </c>
      <c r="N345" s="5" t="s">
        <v>2866</v>
      </c>
      <c r="O345" s="5" t="s">
        <v>368</v>
      </c>
      <c r="P345" s="5" t="s">
        <v>30</v>
      </c>
      <c r="Q345" s="5" t="s">
        <v>47</v>
      </c>
      <c r="R345" s="3" t="s">
        <v>4</v>
      </c>
      <c r="S345" s="3" t="s">
        <v>3</v>
      </c>
      <c r="T345" s="3" t="s">
        <v>38</v>
      </c>
      <c r="U345" s="3" t="s">
        <v>1</v>
      </c>
      <c r="V345" s="3" t="s">
        <v>0</v>
      </c>
      <c r="W345" s="2">
        <v>42</v>
      </c>
      <c r="X345" s="20"/>
    </row>
    <row r="346" spans="1:24" s="78" customFormat="1" hidden="1" x14ac:dyDescent="0.25">
      <c r="A346" s="73">
        <v>11268</v>
      </c>
      <c r="B346" s="73" t="s">
        <v>3500</v>
      </c>
      <c r="C346" s="102" t="s">
        <v>3499</v>
      </c>
      <c r="D346" s="88" t="s">
        <v>15</v>
      </c>
      <c r="E346" s="89" t="s">
        <v>2052</v>
      </c>
      <c r="F346" s="90">
        <v>40617</v>
      </c>
      <c r="G346" s="90" t="s">
        <v>1</v>
      </c>
      <c r="H346" s="90" t="s">
        <v>1</v>
      </c>
      <c r="I346" s="92" t="s">
        <v>13</v>
      </c>
      <c r="J346" s="92" t="s">
        <v>133</v>
      </c>
      <c r="K346" s="92" t="s">
        <v>11</v>
      </c>
      <c r="L346" s="92" t="s">
        <v>10</v>
      </c>
      <c r="M346" s="92" t="s">
        <v>290</v>
      </c>
      <c r="N346" s="92" t="s">
        <v>870</v>
      </c>
      <c r="O346" s="92" t="s">
        <v>21</v>
      </c>
      <c r="P346" s="92" t="s">
        <v>72</v>
      </c>
      <c r="Q346" s="92" t="s">
        <v>20</v>
      </c>
      <c r="R346" s="92" t="s">
        <v>4</v>
      </c>
      <c r="S346" s="92" t="s">
        <v>3</v>
      </c>
      <c r="T346" s="92" t="s">
        <v>2</v>
      </c>
      <c r="U346" s="92" t="s">
        <v>1</v>
      </c>
      <c r="V346" s="92" t="s">
        <v>0</v>
      </c>
      <c r="W346" s="93">
        <v>33</v>
      </c>
    </row>
    <row r="347" spans="1:24" s="78" customFormat="1" hidden="1" x14ac:dyDescent="0.25">
      <c r="A347" s="73">
        <v>5480</v>
      </c>
      <c r="B347" s="73" t="s">
        <v>3498</v>
      </c>
      <c r="C347" s="87" t="s">
        <v>3497</v>
      </c>
      <c r="D347" s="88" t="s">
        <v>15</v>
      </c>
      <c r="E347" s="89" t="s">
        <v>343</v>
      </c>
      <c r="F347" s="90">
        <v>38991</v>
      </c>
      <c r="G347" s="90" t="s">
        <v>1</v>
      </c>
      <c r="H347" s="90" t="s">
        <v>1</v>
      </c>
      <c r="I347" s="89" t="s">
        <v>50</v>
      </c>
      <c r="J347" s="89" t="s">
        <v>49</v>
      </c>
      <c r="K347" s="89" t="s">
        <v>33</v>
      </c>
      <c r="L347" s="89" t="s">
        <v>33</v>
      </c>
      <c r="M347" s="89" t="s">
        <v>49</v>
      </c>
      <c r="N347" s="89" t="s">
        <v>939</v>
      </c>
      <c r="O347" s="91" t="s">
        <v>624</v>
      </c>
      <c r="P347" s="89" t="s">
        <v>30</v>
      </c>
      <c r="Q347" s="89" t="s">
        <v>47</v>
      </c>
      <c r="R347" s="92" t="s">
        <v>4</v>
      </c>
      <c r="S347" s="92" t="s">
        <v>3</v>
      </c>
      <c r="T347" s="92" t="s">
        <v>338</v>
      </c>
      <c r="U347" s="92" t="s">
        <v>1</v>
      </c>
      <c r="V347" s="92" t="s">
        <v>18</v>
      </c>
      <c r="W347" s="93">
        <v>40</v>
      </c>
      <c r="X347" s="94"/>
    </row>
    <row r="348" spans="1:24" hidden="1" x14ac:dyDescent="0.25">
      <c r="A348" s="8">
        <v>5483</v>
      </c>
      <c r="B348" s="8" t="s">
        <v>3496</v>
      </c>
      <c r="C348" s="7" t="s">
        <v>3495</v>
      </c>
      <c r="D348" s="6" t="s">
        <v>15</v>
      </c>
      <c r="E348" s="5" t="s">
        <v>3268</v>
      </c>
      <c r="F348" s="4">
        <v>38991</v>
      </c>
      <c r="G348" s="4" t="s">
        <v>1</v>
      </c>
      <c r="H348" s="4" t="s">
        <v>1</v>
      </c>
      <c r="I348" s="5" t="s">
        <v>93</v>
      </c>
      <c r="J348" s="3" t="s">
        <v>92</v>
      </c>
      <c r="K348" s="3" t="s">
        <v>33</v>
      </c>
      <c r="L348" s="3" t="s">
        <v>33</v>
      </c>
      <c r="M348" s="3" t="s">
        <v>91</v>
      </c>
      <c r="N348" s="3" t="s">
        <v>90</v>
      </c>
      <c r="O348" s="3" t="s">
        <v>89</v>
      </c>
      <c r="P348" s="3" t="s">
        <v>6</v>
      </c>
      <c r="Q348" s="3" t="s">
        <v>20</v>
      </c>
      <c r="R348" s="3" t="s">
        <v>4</v>
      </c>
      <c r="S348" s="3" t="s">
        <v>3</v>
      </c>
      <c r="T348" s="3" t="s">
        <v>88</v>
      </c>
      <c r="U348" s="3" t="s">
        <v>1</v>
      </c>
      <c r="V348" s="3" t="s">
        <v>18</v>
      </c>
      <c r="W348" s="2">
        <v>39</v>
      </c>
    </row>
    <row r="349" spans="1:24" hidden="1" x14ac:dyDescent="0.25">
      <c r="A349" s="8">
        <v>11610</v>
      </c>
      <c r="B349" s="8" t="s">
        <v>3494</v>
      </c>
      <c r="C349" s="7" t="s">
        <v>3493</v>
      </c>
      <c r="D349" s="6" t="s">
        <v>15</v>
      </c>
      <c r="E349" s="5" t="s">
        <v>1763</v>
      </c>
      <c r="F349" s="4">
        <v>40707</v>
      </c>
      <c r="G349" s="4" t="s">
        <v>1</v>
      </c>
      <c r="H349" s="4" t="s">
        <v>1</v>
      </c>
      <c r="I349" s="3" t="s">
        <v>13</v>
      </c>
      <c r="J349" s="3" t="s">
        <v>133</v>
      </c>
      <c r="K349" s="3" t="s">
        <v>11</v>
      </c>
      <c r="L349" s="3" t="s">
        <v>10</v>
      </c>
      <c r="M349" s="3" t="s">
        <v>290</v>
      </c>
      <c r="N349" s="3" t="s">
        <v>198</v>
      </c>
      <c r="O349" s="3" t="s">
        <v>184</v>
      </c>
      <c r="P349" s="3" t="s">
        <v>72</v>
      </c>
      <c r="Q349" s="3" t="s">
        <v>20</v>
      </c>
      <c r="R349" s="3" t="s">
        <v>4</v>
      </c>
      <c r="S349" s="3" t="s">
        <v>3</v>
      </c>
      <c r="T349" s="3" t="s">
        <v>2</v>
      </c>
      <c r="U349" s="3" t="s">
        <v>1</v>
      </c>
      <c r="V349" s="3" t="s">
        <v>0</v>
      </c>
      <c r="W349" s="2">
        <v>31</v>
      </c>
    </row>
    <row r="350" spans="1:24" s="78" customFormat="1" hidden="1" x14ac:dyDescent="0.25">
      <c r="A350" s="73" t="s">
        <v>3492</v>
      </c>
      <c r="B350" s="73" t="s">
        <v>3492</v>
      </c>
      <c r="C350" s="87" t="s">
        <v>3491</v>
      </c>
      <c r="D350" s="88" t="s">
        <v>15</v>
      </c>
      <c r="E350" s="89" t="s">
        <v>219</v>
      </c>
      <c r="F350" s="90">
        <v>40896</v>
      </c>
      <c r="G350" s="90" t="s">
        <v>1</v>
      </c>
      <c r="H350" s="90" t="s">
        <v>1</v>
      </c>
      <c r="I350" s="92" t="s">
        <v>13</v>
      </c>
      <c r="J350" s="92" t="s">
        <v>133</v>
      </c>
      <c r="K350" s="92" t="s">
        <v>11</v>
      </c>
      <c r="L350" s="92" t="s">
        <v>10</v>
      </c>
      <c r="M350" s="92" t="s">
        <v>290</v>
      </c>
      <c r="N350" s="92" t="s">
        <v>198</v>
      </c>
      <c r="O350" s="92" t="s">
        <v>184</v>
      </c>
      <c r="P350" s="92" t="s">
        <v>72</v>
      </c>
      <c r="Q350" s="92" t="s">
        <v>20</v>
      </c>
      <c r="R350" s="92" t="s">
        <v>4</v>
      </c>
      <c r="S350" s="92" t="s">
        <v>3</v>
      </c>
      <c r="T350" s="92" t="s">
        <v>2</v>
      </c>
      <c r="U350" s="92" t="s">
        <v>1</v>
      </c>
      <c r="V350" s="92" t="s">
        <v>0</v>
      </c>
      <c r="W350" s="93">
        <v>31</v>
      </c>
    </row>
    <row r="351" spans="1:24" hidden="1" x14ac:dyDescent="0.25">
      <c r="A351" s="8">
        <v>67</v>
      </c>
      <c r="B351" s="8" t="s">
        <v>3490</v>
      </c>
      <c r="C351" s="7" t="s">
        <v>3489</v>
      </c>
      <c r="D351" s="6" t="s">
        <v>15</v>
      </c>
      <c r="E351" s="5" t="s">
        <v>310</v>
      </c>
      <c r="F351" s="4">
        <v>37578</v>
      </c>
      <c r="G351" s="4" t="s">
        <v>1</v>
      </c>
      <c r="H351" s="4" t="s">
        <v>1</v>
      </c>
      <c r="I351" s="3" t="s">
        <v>13</v>
      </c>
      <c r="J351" s="3" t="s">
        <v>133</v>
      </c>
      <c r="K351" s="3" t="s">
        <v>212</v>
      </c>
      <c r="L351" s="3" t="s">
        <v>211</v>
      </c>
      <c r="M351" s="3" t="s">
        <v>210</v>
      </c>
      <c r="N351" s="3" t="s">
        <v>1078</v>
      </c>
      <c r="O351" s="3" t="s">
        <v>29</v>
      </c>
      <c r="P351" s="3" t="s">
        <v>72</v>
      </c>
      <c r="Q351" s="3" t="s">
        <v>20</v>
      </c>
      <c r="R351" s="3" t="s">
        <v>4</v>
      </c>
      <c r="S351" s="3" t="s">
        <v>3</v>
      </c>
      <c r="T351" s="3" t="s">
        <v>1077</v>
      </c>
      <c r="U351" s="3" t="s">
        <v>1</v>
      </c>
      <c r="V351" s="3" t="s">
        <v>0</v>
      </c>
      <c r="W351" s="2">
        <v>41</v>
      </c>
    </row>
    <row r="352" spans="1:24" hidden="1" x14ac:dyDescent="0.25">
      <c r="A352" s="8">
        <v>5506</v>
      </c>
      <c r="B352" s="8" t="s">
        <v>3488</v>
      </c>
      <c r="C352" s="19" t="s">
        <v>3487</v>
      </c>
      <c r="D352" s="6" t="s">
        <v>15</v>
      </c>
      <c r="E352" s="18" t="s">
        <v>2759</v>
      </c>
      <c r="F352" s="4">
        <v>39022</v>
      </c>
      <c r="G352" s="4" t="s">
        <v>1</v>
      </c>
      <c r="H352" s="4" t="s">
        <v>1</v>
      </c>
      <c r="I352" s="3" t="s">
        <v>13</v>
      </c>
      <c r="J352" s="3" t="s">
        <v>12</v>
      </c>
      <c r="K352" s="3" t="s">
        <v>283</v>
      </c>
      <c r="L352" s="3" t="s">
        <v>282</v>
      </c>
      <c r="M352" s="3" t="s">
        <v>698</v>
      </c>
      <c r="N352" s="3" t="s">
        <v>870</v>
      </c>
      <c r="O352" s="3" t="s">
        <v>21</v>
      </c>
      <c r="P352" s="3" t="s">
        <v>6</v>
      </c>
      <c r="Q352" s="3" t="s">
        <v>20</v>
      </c>
      <c r="R352" s="3" t="s">
        <v>4</v>
      </c>
      <c r="S352" s="3" t="s">
        <v>3</v>
      </c>
      <c r="T352" s="3" t="s">
        <v>2</v>
      </c>
      <c r="U352" s="3" t="s">
        <v>1</v>
      </c>
      <c r="V352" s="3" t="s">
        <v>0</v>
      </c>
      <c r="W352" s="2">
        <v>40</v>
      </c>
    </row>
    <row r="353" spans="1:24" s="9" customFormat="1" hidden="1" x14ac:dyDescent="0.25">
      <c r="A353" s="17">
        <v>5510</v>
      </c>
      <c r="B353" s="17" t="s">
        <v>3486</v>
      </c>
      <c r="C353" s="23" t="s">
        <v>3141</v>
      </c>
      <c r="D353" s="15" t="s">
        <v>15</v>
      </c>
      <c r="E353" s="14" t="s">
        <v>2759</v>
      </c>
      <c r="F353" s="13">
        <v>39022</v>
      </c>
      <c r="G353" s="13" t="s">
        <v>1</v>
      </c>
      <c r="H353" s="13" t="s">
        <v>1</v>
      </c>
      <c r="I353" s="12" t="s">
        <v>145</v>
      </c>
      <c r="J353" s="12" t="s">
        <v>34</v>
      </c>
      <c r="K353" s="12" t="s">
        <v>33</v>
      </c>
      <c r="L353" s="12" t="s">
        <v>33</v>
      </c>
      <c r="M353" s="12" t="s">
        <v>3485</v>
      </c>
      <c r="N353" s="12" t="s">
        <v>3484</v>
      </c>
      <c r="O353" s="12" t="s">
        <v>368</v>
      </c>
      <c r="P353" s="12" t="s">
        <v>30</v>
      </c>
      <c r="Q353" s="12" t="s">
        <v>47</v>
      </c>
      <c r="R353" s="12" t="s">
        <v>4</v>
      </c>
      <c r="S353" s="12" t="s">
        <v>3</v>
      </c>
      <c r="T353" s="12" t="s">
        <v>38</v>
      </c>
      <c r="U353" s="12" t="s">
        <v>1</v>
      </c>
      <c r="V353" s="12" t="s">
        <v>0</v>
      </c>
      <c r="W353" s="11">
        <v>40</v>
      </c>
      <c r="X353" s="10"/>
    </row>
    <row r="354" spans="1:24" hidden="1" x14ac:dyDescent="0.25">
      <c r="A354" s="8">
        <v>5518</v>
      </c>
      <c r="B354" s="8" t="s">
        <v>3483</v>
      </c>
      <c r="C354" s="7" t="s">
        <v>3482</v>
      </c>
      <c r="D354" s="6" t="s">
        <v>15</v>
      </c>
      <c r="E354" s="5" t="s">
        <v>2759</v>
      </c>
      <c r="F354" s="4">
        <v>39022</v>
      </c>
      <c r="G354" s="4" t="s">
        <v>1</v>
      </c>
      <c r="H354" s="4" t="s">
        <v>1</v>
      </c>
      <c r="I354" s="3" t="s">
        <v>13</v>
      </c>
      <c r="J354" s="3" t="s">
        <v>12</v>
      </c>
      <c r="K354" s="3" t="s">
        <v>262</v>
      </c>
      <c r="L354" s="3" t="s">
        <v>261</v>
      </c>
      <c r="M354" s="3" t="s">
        <v>329</v>
      </c>
      <c r="N354" s="3" t="s">
        <v>8</v>
      </c>
      <c r="O354" s="3" t="s">
        <v>7</v>
      </c>
      <c r="P354" s="3" t="s">
        <v>6</v>
      </c>
      <c r="Q354" s="3" t="s">
        <v>5</v>
      </c>
      <c r="R354" s="3" t="s">
        <v>4</v>
      </c>
      <c r="S354" s="3" t="s">
        <v>3</v>
      </c>
      <c r="T354" s="3" t="s">
        <v>2</v>
      </c>
      <c r="U354" s="3" t="s">
        <v>1</v>
      </c>
      <c r="V354" s="3" t="s">
        <v>0</v>
      </c>
      <c r="W354" s="2">
        <v>39</v>
      </c>
    </row>
    <row r="355" spans="1:24" hidden="1" x14ac:dyDescent="0.25">
      <c r="A355" s="8">
        <v>5522</v>
      </c>
      <c r="B355" s="8" t="s">
        <v>3481</v>
      </c>
      <c r="C355" s="7" t="s">
        <v>3480</v>
      </c>
      <c r="D355" s="6" t="s">
        <v>15</v>
      </c>
      <c r="E355" s="5" t="s">
        <v>2759</v>
      </c>
      <c r="F355" s="4">
        <v>39022</v>
      </c>
      <c r="G355" s="4" t="s">
        <v>1</v>
      </c>
      <c r="H355" s="4" t="s">
        <v>1</v>
      </c>
      <c r="I355" s="3" t="s">
        <v>145</v>
      </c>
      <c r="J355" s="3" t="s">
        <v>12</v>
      </c>
      <c r="K355" s="3" t="s">
        <v>63</v>
      </c>
      <c r="L355" s="3" t="s">
        <v>174</v>
      </c>
      <c r="M355" s="3" t="s">
        <v>80</v>
      </c>
      <c r="N355" s="3" t="s">
        <v>269</v>
      </c>
      <c r="O355" s="3" t="s">
        <v>29</v>
      </c>
      <c r="P355" s="3" t="s">
        <v>6</v>
      </c>
      <c r="Q355" s="3" t="s">
        <v>20</v>
      </c>
      <c r="R355" s="3" t="s">
        <v>4</v>
      </c>
      <c r="S355" s="3" t="s">
        <v>3</v>
      </c>
      <c r="T355" s="3" t="s">
        <v>29</v>
      </c>
      <c r="U355" s="3" t="s">
        <v>1</v>
      </c>
      <c r="V355" s="3" t="s">
        <v>0</v>
      </c>
      <c r="W355" s="2">
        <v>40</v>
      </c>
    </row>
    <row r="356" spans="1:24" hidden="1" x14ac:dyDescent="0.25">
      <c r="A356" s="8">
        <v>5527</v>
      </c>
      <c r="B356" s="8" t="s">
        <v>3479</v>
      </c>
      <c r="C356" s="7" t="s">
        <v>3478</v>
      </c>
      <c r="D356" s="6" t="s">
        <v>15</v>
      </c>
      <c r="E356" s="5" t="s">
        <v>3475</v>
      </c>
      <c r="F356" s="4">
        <v>39022</v>
      </c>
      <c r="G356" s="4" t="s">
        <v>1</v>
      </c>
      <c r="H356" s="4" t="s">
        <v>1</v>
      </c>
      <c r="I356" s="5" t="s">
        <v>50</v>
      </c>
      <c r="J356" s="5" t="s">
        <v>370</v>
      </c>
      <c r="K356" s="5" t="s">
        <v>33</v>
      </c>
      <c r="L356" s="5" t="s">
        <v>33</v>
      </c>
      <c r="M356" s="5" t="s">
        <v>370</v>
      </c>
      <c r="N356" s="5" t="s">
        <v>2866</v>
      </c>
      <c r="O356" s="5" t="s">
        <v>368</v>
      </c>
      <c r="P356" s="5" t="s">
        <v>30</v>
      </c>
      <c r="Q356" s="5" t="s">
        <v>47</v>
      </c>
      <c r="R356" s="3" t="s">
        <v>4</v>
      </c>
      <c r="S356" s="3" t="s">
        <v>3</v>
      </c>
      <c r="T356" s="3" t="s">
        <v>38</v>
      </c>
      <c r="U356" s="3" t="s">
        <v>1</v>
      </c>
      <c r="V356" s="3" t="s">
        <v>0</v>
      </c>
      <c r="W356" s="2">
        <v>40</v>
      </c>
      <c r="X356" s="20"/>
    </row>
    <row r="357" spans="1:24" hidden="1" x14ac:dyDescent="0.25">
      <c r="A357" s="8">
        <v>5528</v>
      </c>
      <c r="B357" s="8" t="s">
        <v>3477</v>
      </c>
      <c r="C357" s="7" t="s">
        <v>3476</v>
      </c>
      <c r="D357" s="6" t="s">
        <v>15</v>
      </c>
      <c r="E357" s="5" t="s">
        <v>3475</v>
      </c>
      <c r="F357" s="4">
        <v>39022</v>
      </c>
      <c r="G357" s="4" t="s">
        <v>1</v>
      </c>
      <c r="H357" s="4" t="s">
        <v>1</v>
      </c>
      <c r="I357" s="5" t="s">
        <v>50</v>
      </c>
      <c r="J357" s="5" t="s">
        <v>49</v>
      </c>
      <c r="K357" s="5" t="s">
        <v>33</v>
      </c>
      <c r="L357" s="5" t="s">
        <v>33</v>
      </c>
      <c r="M357" s="5" t="s">
        <v>49</v>
      </c>
      <c r="N357" s="5" t="s">
        <v>3474</v>
      </c>
      <c r="O357" s="5" t="s">
        <v>48</v>
      </c>
      <c r="P357" s="5" t="s">
        <v>30</v>
      </c>
      <c r="Q357" s="5" t="s">
        <v>47</v>
      </c>
      <c r="R357" s="3" t="s">
        <v>4</v>
      </c>
      <c r="S357" s="3" t="s">
        <v>3</v>
      </c>
      <c r="T357" s="3" t="s">
        <v>121</v>
      </c>
      <c r="U357" s="3" t="s">
        <v>1</v>
      </c>
      <c r="V357" s="3" t="s">
        <v>0</v>
      </c>
      <c r="W357" s="2">
        <v>41</v>
      </c>
      <c r="X357" s="20"/>
    </row>
    <row r="358" spans="1:24" hidden="1" x14ac:dyDescent="0.25">
      <c r="A358" s="8">
        <v>786</v>
      </c>
      <c r="B358" s="8" t="s">
        <v>3473</v>
      </c>
      <c r="C358" s="7" t="s">
        <v>3194</v>
      </c>
      <c r="D358" s="6" t="s">
        <v>15</v>
      </c>
      <c r="E358" s="5" t="s">
        <v>3472</v>
      </c>
      <c r="F358" s="4">
        <v>37830</v>
      </c>
      <c r="G358" s="4" t="s">
        <v>1</v>
      </c>
      <c r="H358" s="4" t="s">
        <v>1</v>
      </c>
      <c r="I358" s="3" t="s">
        <v>13</v>
      </c>
      <c r="J358" s="3" t="s">
        <v>133</v>
      </c>
      <c r="K358" s="3" t="s">
        <v>212</v>
      </c>
      <c r="L358" s="3" t="s">
        <v>211</v>
      </c>
      <c r="M358" s="3" t="s">
        <v>210</v>
      </c>
      <c r="N358" s="3" t="s">
        <v>1362</v>
      </c>
      <c r="O358" s="3" t="s">
        <v>39</v>
      </c>
      <c r="P358" s="3" t="s">
        <v>72</v>
      </c>
      <c r="Q358" s="3" t="s">
        <v>20</v>
      </c>
      <c r="R358" s="3" t="s">
        <v>4</v>
      </c>
      <c r="S358" s="3" t="s">
        <v>3</v>
      </c>
      <c r="T358" s="3" t="s">
        <v>1361</v>
      </c>
      <c r="U358" s="3" t="s">
        <v>1</v>
      </c>
      <c r="V358" s="3" t="s">
        <v>18</v>
      </c>
      <c r="W358" s="2">
        <v>43</v>
      </c>
    </row>
    <row r="359" spans="1:24" hidden="1" x14ac:dyDescent="0.25">
      <c r="A359" s="8">
        <v>5535</v>
      </c>
      <c r="B359" s="8" t="s">
        <v>3471</v>
      </c>
      <c r="C359" s="7" t="s">
        <v>3470</v>
      </c>
      <c r="D359" s="6" t="s">
        <v>15</v>
      </c>
      <c r="E359" s="5" t="s">
        <v>343</v>
      </c>
      <c r="F359" s="4">
        <v>39027</v>
      </c>
      <c r="G359" s="4" t="s">
        <v>1</v>
      </c>
      <c r="H359" s="4" t="s">
        <v>1</v>
      </c>
      <c r="I359" s="5" t="s">
        <v>100</v>
      </c>
      <c r="J359" s="5" t="s">
        <v>738</v>
      </c>
      <c r="K359" s="5" t="s">
        <v>33</v>
      </c>
      <c r="L359" s="5" t="s">
        <v>33</v>
      </c>
      <c r="M359" s="5" t="s">
        <v>739</v>
      </c>
      <c r="N359" s="5" t="s">
        <v>738</v>
      </c>
      <c r="O359" s="5" t="s">
        <v>122</v>
      </c>
      <c r="P359" s="5" t="s">
        <v>30</v>
      </c>
      <c r="Q359" s="5" t="s">
        <v>121</v>
      </c>
      <c r="R359" s="3" t="s">
        <v>4</v>
      </c>
      <c r="S359" s="3" t="s">
        <v>3</v>
      </c>
      <c r="T359" s="3" t="s">
        <v>3469</v>
      </c>
      <c r="U359" s="3" t="s">
        <v>1</v>
      </c>
      <c r="V359" s="3" t="s">
        <v>18</v>
      </c>
      <c r="W359" s="2">
        <v>40</v>
      </c>
    </row>
    <row r="360" spans="1:24" hidden="1" x14ac:dyDescent="0.25">
      <c r="A360" s="8">
        <v>5537</v>
      </c>
      <c r="B360" s="8" t="s">
        <v>3468</v>
      </c>
      <c r="C360" s="7" t="s">
        <v>3467</v>
      </c>
      <c r="D360" s="6" t="s">
        <v>15</v>
      </c>
      <c r="E360" s="5" t="s">
        <v>41</v>
      </c>
      <c r="F360" s="4">
        <v>39052</v>
      </c>
      <c r="G360" s="4" t="s">
        <v>1</v>
      </c>
      <c r="H360" s="4" t="s">
        <v>1</v>
      </c>
      <c r="I360" s="5" t="s">
        <v>50</v>
      </c>
      <c r="J360" s="5" t="s">
        <v>49</v>
      </c>
      <c r="K360" s="5" t="s">
        <v>33</v>
      </c>
      <c r="L360" s="5" t="s">
        <v>33</v>
      </c>
      <c r="M360" s="5" t="s">
        <v>49</v>
      </c>
      <c r="N360" s="5" t="s">
        <v>49</v>
      </c>
      <c r="O360" s="5" t="s">
        <v>48</v>
      </c>
      <c r="P360" s="5" t="s">
        <v>6</v>
      </c>
      <c r="Q360" s="5" t="s">
        <v>47</v>
      </c>
      <c r="R360" s="3" t="s">
        <v>4</v>
      </c>
      <c r="S360" s="3" t="s">
        <v>3</v>
      </c>
      <c r="T360" s="3" t="s">
        <v>2</v>
      </c>
      <c r="U360" s="3" t="s">
        <v>1</v>
      </c>
      <c r="V360" s="3" t="s">
        <v>18</v>
      </c>
      <c r="W360" s="2">
        <v>40</v>
      </c>
    </row>
    <row r="361" spans="1:24" s="9" customFormat="1" hidden="1" x14ac:dyDescent="0.25">
      <c r="A361" s="17">
        <v>5538</v>
      </c>
      <c r="B361" s="17" t="s">
        <v>3466</v>
      </c>
      <c r="C361" s="16" t="s">
        <v>3465</v>
      </c>
      <c r="D361" s="15" t="s">
        <v>15</v>
      </c>
      <c r="E361" s="14" t="s">
        <v>41</v>
      </c>
      <c r="F361" s="13">
        <v>39052</v>
      </c>
      <c r="G361" s="13" t="s">
        <v>1</v>
      </c>
      <c r="H361" s="13" t="s">
        <v>1</v>
      </c>
      <c r="I361" s="14" t="s">
        <v>93</v>
      </c>
      <c r="J361" s="14" t="s">
        <v>866</v>
      </c>
      <c r="K361" s="14" t="s">
        <v>33</v>
      </c>
      <c r="L361" s="14" t="s">
        <v>33</v>
      </c>
      <c r="M361" s="14" t="s">
        <v>866</v>
      </c>
      <c r="N361" s="14" t="s">
        <v>3464</v>
      </c>
      <c r="O361" s="14" t="s">
        <v>1660</v>
      </c>
      <c r="P361" s="14" t="s">
        <v>30</v>
      </c>
      <c r="Q361" s="14" t="s">
        <v>47</v>
      </c>
      <c r="R361" s="12" t="s">
        <v>4</v>
      </c>
      <c r="S361" s="12" t="s">
        <v>3</v>
      </c>
      <c r="T361" s="12" t="s">
        <v>29</v>
      </c>
      <c r="U361" s="12" t="s">
        <v>1</v>
      </c>
      <c r="V361" s="12" t="s">
        <v>18</v>
      </c>
      <c r="W361" s="11">
        <v>41</v>
      </c>
      <c r="X361" s="10"/>
    </row>
    <row r="362" spans="1:24" s="78" customFormat="1" hidden="1" x14ac:dyDescent="0.25">
      <c r="A362" s="73">
        <v>4530</v>
      </c>
      <c r="B362" s="73" t="s">
        <v>3463</v>
      </c>
      <c r="C362" s="87" t="s">
        <v>3141</v>
      </c>
      <c r="D362" s="88" t="s">
        <v>15</v>
      </c>
      <c r="E362" s="89" t="s">
        <v>3462</v>
      </c>
      <c r="F362" s="90">
        <v>38789</v>
      </c>
      <c r="G362" s="90" t="s">
        <v>1</v>
      </c>
      <c r="H362" s="90" t="s">
        <v>1</v>
      </c>
      <c r="I362" s="92" t="s">
        <v>13</v>
      </c>
      <c r="J362" s="92" t="s">
        <v>133</v>
      </c>
      <c r="K362" s="92" t="s">
        <v>212</v>
      </c>
      <c r="L362" s="92" t="s">
        <v>211</v>
      </c>
      <c r="M362" s="92" t="s">
        <v>210</v>
      </c>
      <c r="N362" s="92" t="s">
        <v>185</v>
      </c>
      <c r="O362" s="92" t="s">
        <v>184</v>
      </c>
      <c r="P362" s="92" t="s">
        <v>72</v>
      </c>
      <c r="Q362" s="92" t="s">
        <v>20</v>
      </c>
      <c r="R362" s="92" t="s">
        <v>4</v>
      </c>
      <c r="S362" s="92" t="s">
        <v>3</v>
      </c>
      <c r="T362" s="92" t="s">
        <v>2</v>
      </c>
      <c r="U362" s="92" t="s">
        <v>1</v>
      </c>
      <c r="V362" s="92" t="s">
        <v>0</v>
      </c>
      <c r="W362" s="93">
        <v>39</v>
      </c>
    </row>
    <row r="363" spans="1:24" hidden="1" x14ac:dyDescent="0.25">
      <c r="A363" s="8">
        <v>5545</v>
      </c>
      <c r="B363" s="8" t="s">
        <v>3461</v>
      </c>
      <c r="C363" s="7" t="s">
        <v>3460</v>
      </c>
      <c r="D363" s="6" t="s">
        <v>15</v>
      </c>
      <c r="E363" s="5" t="s">
        <v>41</v>
      </c>
      <c r="F363" s="4">
        <v>39052</v>
      </c>
      <c r="G363" s="4" t="s">
        <v>1</v>
      </c>
      <c r="H363" s="4" t="s">
        <v>1</v>
      </c>
      <c r="I363" s="3" t="s">
        <v>13</v>
      </c>
      <c r="J363" s="3" t="s">
        <v>12</v>
      </c>
      <c r="K363" s="3" t="s">
        <v>262</v>
      </c>
      <c r="L363" s="3" t="s">
        <v>261</v>
      </c>
      <c r="M363" s="3" t="s">
        <v>260</v>
      </c>
      <c r="N363" s="3" t="s">
        <v>22</v>
      </c>
      <c r="O363" s="3" t="s">
        <v>21</v>
      </c>
      <c r="P363" s="3" t="s">
        <v>6</v>
      </c>
      <c r="Q363" s="3" t="s">
        <v>20</v>
      </c>
      <c r="R363" s="3" t="s">
        <v>4</v>
      </c>
      <c r="S363" s="3" t="s">
        <v>3</v>
      </c>
      <c r="T363" s="3" t="s">
        <v>19</v>
      </c>
      <c r="U363" s="3" t="s">
        <v>1</v>
      </c>
      <c r="V363" s="3" t="s">
        <v>18</v>
      </c>
      <c r="W363" s="2">
        <v>40</v>
      </c>
    </row>
    <row r="364" spans="1:24" s="78" customFormat="1" hidden="1" x14ac:dyDescent="0.25">
      <c r="A364" s="73">
        <v>8859</v>
      </c>
      <c r="B364" s="73" t="s">
        <v>3459</v>
      </c>
      <c r="C364" s="87" t="s">
        <v>3458</v>
      </c>
      <c r="D364" s="88" t="s">
        <v>15</v>
      </c>
      <c r="E364" s="89" t="s">
        <v>202</v>
      </c>
      <c r="F364" s="90">
        <v>39937</v>
      </c>
      <c r="G364" s="90" t="s">
        <v>1</v>
      </c>
      <c r="H364" s="90" t="s">
        <v>1</v>
      </c>
      <c r="I364" s="92" t="s">
        <v>13</v>
      </c>
      <c r="J364" s="92" t="s">
        <v>133</v>
      </c>
      <c r="K364" s="92" t="s">
        <v>212</v>
      </c>
      <c r="L364" s="92" t="s">
        <v>211</v>
      </c>
      <c r="M364" s="92" t="s">
        <v>210</v>
      </c>
      <c r="N364" s="92" t="s">
        <v>198</v>
      </c>
      <c r="O364" s="92" t="s">
        <v>184</v>
      </c>
      <c r="P364" s="92" t="s">
        <v>72</v>
      </c>
      <c r="Q364" s="92" t="s">
        <v>20</v>
      </c>
      <c r="R364" s="92" t="s">
        <v>4</v>
      </c>
      <c r="S364" s="92" t="s">
        <v>3</v>
      </c>
      <c r="T364" s="92" t="s">
        <v>2</v>
      </c>
      <c r="U364" s="92" t="s">
        <v>1</v>
      </c>
      <c r="V364" s="92" t="s">
        <v>0</v>
      </c>
      <c r="W364" s="93">
        <v>35</v>
      </c>
    </row>
    <row r="365" spans="1:24" hidden="1" x14ac:dyDescent="0.25">
      <c r="A365" s="8">
        <v>8885</v>
      </c>
      <c r="B365" s="8" t="s">
        <v>3457</v>
      </c>
      <c r="C365" s="7" t="s">
        <v>3456</v>
      </c>
      <c r="D365" s="6" t="s">
        <v>15</v>
      </c>
      <c r="E365" s="5" t="s">
        <v>191</v>
      </c>
      <c r="F365" s="4">
        <v>39961</v>
      </c>
      <c r="G365" s="4" t="s">
        <v>1</v>
      </c>
      <c r="H365" s="4" t="s">
        <v>1</v>
      </c>
      <c r="I365" s="3" t="s">
        <v>13</v>
      </c>
      <c r="J365" s="3" t="s">
        <v>133</v>
      </c>
      <c r="K365" s="3" t="s">
        <v>212</v>
      </c>
      <c r="L365" s="3" t="s">
        <v>211</v>
      </c>
      <c r="M365" s="3" t="s">
        <v>210</v>
      </c>
      <c r="N365" s="3" t="s">
        <v>3011</v>
      </c>
      <c r="O365" s="3" t="s">
        <v>128</v>
      </c>
      <c r="P365" s="3" t="s">
        <v>72</v>
      </c>
      <c r="Q365" s="3" t="s">
        <v>5</v>
      </c>
      <c r="R365" s="3" t="s">
        <v>4</v>
      </c>
      <c r="S365" s="3" t="s">
        <v>3</v>
      </c>
      <c r="T365" s="3" t="s">
        <v>2</v>
      </c>
      <c r="U365" s="3" t="s">
        <v>1</v>
      </c>
      <c r="V365" s="3" t="s">
        <v>0</v>
      </c>
      <c r="W365" s="2">
        <v>35</v>
      </c>
    </row>
    <row r="366" spans="1:24" hidden="1" x14ac:dyDescent="0.25">
      <c r="A366" s="8">
        <v>5549</v>
      </c>
      <c r="B366" s="8" t="s">
        <v>3455</v>
      </c>
      <c r="C366" s="7" t="s">
        <v>3454</v>
      </c>
      <c r="D366" s="6" t="s">
        <v>15</v>
      </c>
      <c r="E366" s="5" t="s">
        <v>41</v>
      </c>
      <c r="F366" s="4">
        <v>39052</v>
      </c>
      <c r="G366" s="4" t="s">
        <v>1</v>
      </c>
      <c r="H366" s="4" t="s">
        <v>1</v>
      </c>
      <c r="I366" s="5" t="s">
        <v>50</v>
      </c>
      <c r="J366" s="5" t="s">
        <v>75</v>
      </c>
      <c r="K366" s="5" t="s">
        <v>33</v>
      </c>
      <c r="L366" s="5" t="s">
        <v>33</v>
      </c>
      <c r="M366" s="5" t="s">
        <v>75</v>
      </c>
      <c r="N366" s="21" t="s">
        <v>74</v>
      </c>
      <c r="O366" s="5" t="s">
        <v>3285</v>
      </c>
      <c r="P366" s="18" t="s">
        <v>6</v>
      </c>
      <c r="Q366" s="5" t="s">
        <v>47</v>
      </c>
      <c r="R366" s="3" t="s">
        <v>4</v>
      </c>
      <c r="S366" s="3" t="s">
        <v>3</v>
      </c>
      <c r="T366" s="3" t="s">
        <v>2</v>
      </c>
      <c r="U366" s="3" t="s">
        <v>1</v>
      </c>
      <c r="V366" s="3" t="s">
        <v>0</v>
      </c>
      <c r="W366" s="2">
        <v>40</v>
      </c>
    </row>
    <row r="367" spans="1:24" s="9" customFormat="1" hidden="1" x14ac:dyDescent="0.25">
      <c r="A367" s="17">
        <v>9074</v>
      </c>
      <c r="B367" s="17" t="s">
        <v>3453</v>
      </c>
      <c r="C367" s="16" t="s">
        <v>3452</v>
      </c>
      <c r="D367" s="15" t="s">
        <v>15</v>
      </c>
      <c r="E367" s="14" t="s">
        <v>2013</v>
      </c>
      <c r="F367" s="13">
        <v>39993</v>
      </c>
      <c r="G367" s="13" t="s">
        <v>1</v>
      </c>
      <c r="H367" s="13" t="s">
        <v>1</v>
      </c>
      <c r="I367" s="12" t="s">
        <v>13</v>
      </c>
      <c r="J367" s="12" t="s">
        <v>133</v>
      </c>
      <c r="K367" s="12" t="s">
        <v>212</v>
      </c>
      <c r="L367" s="12" t="s">
        <v>211</v>
      </c>
      <c r="M367" s="12" t="s">
        <v>210</v>
      </c>
      <c r="N367" s="12" t="s">
        <v>198</v>
      </c>
      <c r="O367" s="12" t="s">
        <v>184</v>
      </c>
      <c r="P367" s="12" t="s">
        <v>72</v>
      </c>
      <c r="Q367" s="12" t="s">
        <v>20</v>
      </c>
      <c r="R367" s="12" t="s">
        <v>4</v>
      </c>
      <c r="S367" s="12" t="s">
        <v>3</v>
      </c>
      <c r="T367" s="12" t="s">
        <v>2</v>
      </c>
      <c r="U367" s="12" t="s">
        <v>1</v>
      </c>
      <c r="V367" s="12" t="s">
        <v>0</v>
      </c>
      <c r="W367" s="11">
        <v>33</v>
      </c>
      <c r="X367" s="10"/>
    </row>
    <row r="368" spans="1:24" hidden="1" x14ac:dyDescent="0.25">
      <c r="A368" s="8">
        <v>5553</v>
      </c>
      <c r="B368" s="8" t="s">
        <v>3451</v>
      </c>
      <c r="C368" s="28" t="s">
        <v>3450</v>
      </c>
      <c r="D368" s="6" t="s">
        <v>15</v>
      </c>
      <c r="E368" s="5" t="s">
        <v>3449</v>
      </c>
      <c r="F368" s="4">
        <v>39052</v>
      </c>
      <c r="G368" s="4" t="s">
        <v>1</v>
      </c>
      <c r="H368" s="4" t="s">
        <v>1</v>
      </c>
      <c r="I368" s="5" t="s">
        <v>365</v>
      </c>
      <c r="J368" s="5" t="s">
        <v>813</v>
      </c>
      <c r="K368" s="5" t="s">
        <v>33</v>
      </c>
      <c r="L368" s="5" t="s">
        <v>33</v>
      </c>
      <c r="M368" s="5" t="s">
        <v>812</v>
      </c>
      <c r="N368" s="5" t="s">
        <v>3089</v>
      </c>
      <c r="O368" s="5" t="s">
        <v>347</v>
      </c>
      <c r="P368" s="5" t="s">
        <v>30</v>
      </c>
      <c r="Q368" s="5" t="s">
        <v>121</v>
      </c>
      <c r="R368" s="3" t="s">
        <v>4</v>
      </c>
      <c r="S368" s="3" t="s">
        <v>3</v>
      </c>
      <c r="T368" s="3" t="s">
        <v>38</v>
      </c>
      <c r="U368" s="3" t="s">
        <v>1</v>
      </c>
      <c r="V368" s="3" t="s">
        <v>0</v>
      </c>
      <c r="W368" s="2">
        <v>42</v>
      </c>
    </row>
    <row r="369" spans="1:24" hidden="1" x14ac:dyDescent="0.25">
      <c r="A369" s="8">
        <v>5555</v>
      </c>
      <c r="B369" s="8" t="s">
        <v>3448</v>
      </c>
      <c r="C369" s="7" t="s">
        <v>3447</v>
      </c>
      <c r="D369" s="6" t="s">
        <v>15</v>
      </c>
      <c r="E369" s="5" t="s">
        <v>3437</v>
      </c>
      <c r="F369" s="4">
        <v>39052</v>
      </c>
      <c r="G369" s="4" t="s">
        <v>1</v>
      </c>
      <c r="H369" s="4" t="s">
        <v>1</v>
      </c>
      <c r="I369" s="5" t="s">
        <v>93</v>
      </c>
      <c r="J369" s="5" t="s">
        <v>89</v>
      </c>
      <c r="K369" s="5" t="s">
        <v>33</v>
      </c>
      <c r="L369" s="5" t="s">
        <v>33</v>
      </c>
      <c r="M369" s="5" t="s">
        <v>1216</v>
      </c>
      <c r="N369" s="5" t="s">
        <v>1216</v>
      </c>
      <c r="O369" s="5" t="s">
        <v>89</v>
      </c>
      <c r="P369" s="5" t="s">
        <v>72</v>
      </c>
      <c r="Q369" s="5" t="s">
        <v>20</v>
      </c>
      <c r="R369" s="3" t="s">
        <v>4</v>
      </c>
      <c r="S369" s="3" t="s">
        <v>3</v>
      </c>
      <c r="T369" s="3" t="s">
        <v>88</v>
      </c>
      <c r="U369" s="3" t="s">
        <v>1</v>
      </c>
      <c r="V369" s="3" t="s">
        <v>18</v>
      </c>
      <c r="W369" s="2">
        <v>40</v>
      </c>
    </row>
    <row r="370" spans="1:24" hidden="1" x14ac:dyDescent="0.25">
      <c r="A370" s="8">
        <v>5556</v>
      </c>
      <c r="B370" s="8" t="s">
        <v>3446</v>
      </c>
      <c r="C370" s="28" t="s">
        <v>3445</v>
      </c>
      <c r="D370" s="6" t="s">
        <v>15</v>
      </c>
      <c r="E370" s="5" t="s">
        <v>3437</v>
      </c>
      <c r="F370" s="4">
        <v>39052</v>
      </c>
      <c r="G370" s="4" t="s">
        <v>1</v>
      </c>
      <c r="H370" s="4" t="s">
        <v>1</v>
      </c>
      <c r="I370" s="5" t="s">
        <v>365</v>
      </c>
      <c r="J370" s="5" t="s">
        <v>918</v>
      </c>
      <c r="K370" s="5" t="s">
        <v>33</v>
      </c>
      <c r="L370" s="5" t="s">
        <v>33</v>
      </c>
      <c r="M370" s="5" t="s">
        <v>918</v>
      </c>
      <c r="N370" s="5" t="s">
        <v>989</v>
      </c>
      <c r="O370" s="5" t="s">
        <v>988</v>
      </c>
      <c r="P370" s="5" t="s">
        <v>30</v>
      </c>
      <c r="Q370" s="5" t="s">
        <v>121</v>
      </c>
      <c r="R370" s="3" t="s">
        <v>4</v>
      </c>
      <c r="S370" s="3" t="s">
        <v>3</v>
      </c>
      <c r="T370" s="3" t="s">
        <v>29</v>
      </c>
      <c r="U370" s="3" t="s">
        <v>1</v>
      </c>
      <c r="V370" s="3" t="s">
        <v>18</v>
      </c>
      <c r="W370" s="2">
        <v>39</v>
      </c>
    </row>
    <row r="371" spans="1:24" s="9" customFormat="1" hidden="1" x14ac:dyDescent="0.25">
      <c r="A371" s="17">
        <v>5557</v>
      </c>
      <c r="B371" s="17" t="s">
        <v>3444</v>
      </c>
      <c r="C371" s="16" t="s">
        <v>3443</v>
      </c>
      <c r="D371" s="15" t="s">
        <v>15</v>
      </c>
      <c r="E371" s="14" t="s">
        <v>3437</v>
      </c>
      <c r="F371" s="13">
        <v>39052</v>
      </c>
      <c r="G371" s="13" t="s">
        <v>1</v>
      </c>
      <c r="H371" s="13" t="s">
        <v>1</v>
      </c>
      <c r="I371" s="14" t="s">
        <v>93</v>
      </c>
      <c r="J371" s="14" t="s">
        <v>92</v>
      </c>
      <c r="K371" s="14" t="s">
        <v>33</v>
      </c>
      <c r="L371" s="14" t="s">
        <v>33</v>
      </c>
      <c r="M371" s="14" t="s">
        <v>1050</v>
      </c>
      <c r="N371" s="14" t="s">
        <v>3442</v>
      </c>
      <c r="O371" s="14" t="s">
        <v>368</v>
      </c>
      <c r="P371" s="14" t="s">
        <v>30</v>
      </c>
      <c r="Q371" s="14" t="s">
        <v>47</v>
      </c>
      <c r="R371" s="12" t="s">
        <v>4</v>
      </c>
      <c r="S371" s="12" t="s">
        <v>3</v>
      </c>
      <c r="T371" s="12" t="s">
        <v>38</v>
      </c>
      <c r="U371" s="12" t="s">
        <v>1</v>
      </c>
      <c r="V371" s="12" t="s">
        <v>18</v>
      </c>
      <c r="W371" s="11">
        <v>40</v>
      </c>
      <c r="X371" s="10"/>
    </row>
    <row r="372" spans="1:24" hidden="1" x14ac:dyDescent="0.25">
      <c r="A372" s="8">
        <v>5558</v>
      </c>
      <c r="B372" s="8" t="s">
        <v>3441</v>
      </c>
      <c r="C372" s="7" t="s">
        <v>3440</v>
      </c>
      <c r="D372" s="6" t="s">
        <v>15</v>
      </c>
      <c r="E372" s="5" t="s">
        <v>3437</v>
      </c>
      <c r="F372" s="4">
        <v>39052</v>
      </c>
      <c r="G372" s="4" t="s">
        <v>1</v>
      </c>
      <c r="H372" s="4" t="s">
        <v>1</v>
      </c>
      <c r="I372" s="5" t="s">
        <v>93</v>
      </c>
      <c r="J372" s="5" t="s">
        <v>89</v>
      </c>
      <c r="K372" s="5" t="s">
        <v>33</v>
      </c>
      <c r="L372" s="5" t="s">
        <v>33</v>
      </c>
      <c r="M372" s="5" t="s">
        <v>1216</v>
      </c>
      <c r="N372" s="5" t="s">
        <v>1216</v>
      </c>
      <c r="O372" s="5" t="s">
        <v>89</v>
      </c>
      <c r="P372" s="5" t="s">
        <v>6</v>
      </c>
      <c r="Q372" s="5" t="s">
        <v>20</v>
      </c>
      <c r="R372" s="3" t="s">
        <v>4</v>
      </c>
      <c r="S372" s="3" t="s">
        <v>3</v>
      </c>
      <c r="T372" s="3" t="s">
        <v>88</v>
      </c>
      <c r="U372" s="3" t="s">
        <v>1</v>
      </c>
      <c r="V372" s="3" t="s">
        <v>18</v>
      </c>
      <c r="W372" s="2">
        <v>39</v>
      </c>
    </row>
    <row r="373" spans="1:24" hidden="1" x14ac:dyDescent="0.25">
      <c r="A373" s="8">
        <v>5559</v>
      </c>
      <c r="B373" s="8" t="s">
        <v>3439</v>
      </c>
      <c r="C373" s="7" t="s">
        <v>3438</v>
      </c>
      <c r="D373" s="6" t="s">
        <v>15</v>
      </c>
      <c r="E373" s="5" t="s">
        <v>3437</v>
      </c>
      <c r="F373" s="4">
        <v>39052</v>
      </c>
      <c r="G373" s="4" t="s">
        <v>1</v>
      </c>
      <c r="H373" s="4" t="s">
        <v>1</v>
      </c>
      <c r="I373" s="5" t="s">
        <v>93</v>
      </c>
      <c r="J373" s="5" t="s">
        <v>92</v>
      </c>
      <c r="K373" s="5" t="s">
        <v>33</v>
      </c>
      <c r="L373" s="5" t="s">
        <v>33</v>
      </c>
      <c r="M373" s="3" t="s">
        <v>449</v>
      </c>
      <c r="N373" s="3" t="s">
        <v>3436</v>
      </c>
      <c r="O373" s="3" t="s">
        <v>368</v>
      </c>
      <c r="P373" s="3" t="s">
        <v>30</v>
      </c>
      <c r="Q373" s="3" t="s">
        <v>47</v>
      </c>
      <c r="R373" s="3" t="s">
        <v>4</v>
      </c>
      <c r="S373" s="3" t="s">
        <v>3</v>
      </c>
      <c r="T373" s="3" t="s">
        <v>38</v>
      </c>
      <c r="U373" s="3" t="s">
        <v>1</v>
      </c>
      <c r="V373" s="3" t="s">
        <v>18</v>
      </c>
      <c r="W373" s="2">
        <v>41</v>
      </c>
    </row>
    <row r="374" spans="1:24" hidden="1" x14ac:dyDescent="0.25">
      <c r="A374" s="8">
        <v>5561</v>
      </c>
      <c r="B374" s="8" t="s">
        <v>3435</v>
      </c>
      <c r="C374" s="7" t="s">
        <v>3434</v>
      </c>
      <c r="D374" s="6" t="s">
        <v>15</v>
      </c>
      <c r="E374" s="5" t="s">
        <v>343</v>
      </c>
      <c r="F374" s="4">
        <v>39052</v>
      </c>
      <c r="G374" s="4" t="s">
        <v>1</v>
      </c>
      <c r="H374" s="4" t="s">
        <v>1</v>
      </c>
      <c r="I374" s="5" t="s">
        <v>93</v>
      </c>
      <c r="J374" s="5" t="s">
        <v>89</v>
      </c>
      <c r="K374" s="5" t="s">
        <v>33</v>
      </c>
      <c r="L374" s="5" t="s">
        <v>33</v>
      </c>
      <c r="M374" s="5" t="s">
        <v>1216</v>
      </c>
      <c r="N374" s="5" t="s">
        <v>939</v>
      </c>
      <c r="O374" s="5" t="s">
        <v>624</v>
      </c>
      <c r="P374" s="5" t="s">
        <v>30</v>
      </c>
      <c r="Q374" s="5" t="s">
        <v>47</v>
      </c>
      <c r="R374" s="3" t="s">
        <v>4</v>
      </c>
      <c r="S374" s="3" t="s">
        <v>3</v>
      </c>
      <c r="T374" s="3" t="s">
        <v>338</v>
      </c>
      <c r="U374" s="3" t="s">
        <v>1</v>
      </c>
      <c r="V374" s="3" t="s">
        <v>18</v>
      </c>
      <c r="W374" s="2">
        <v>40</v>
      </c>
    </row>
    <row r="375" spans="1:24" hidden="1" x14ac:dyDescent="0.25">
      <c r="A375" s="8">
        <v>5683</v>
      </c>
      <c r="B375" s="8" t="s">
        <v>3433</v>
      </c>
      <c r="C375" s="7" t="s">
        <v>3432</v>
      </c>
      <c r="D375" s="6" t="s">
        <v>15</v>
      </c>
      <c r="E375" s="5" t="s">
        <v>527</v>
      </c>
      <c r="F375" s="4">
        <v>39098</v>
      </c>
      <c r="G375" s="4" t="s">
        <v>1</v>
      </c>
      <c r="H375" s="4" t="s">
        <v>1</v>
      </c>
      <c r="I375" s="3" t="s">
        <v>13</v>
      </c>
      <c r="J375" s="3" t="s">
        <v>12</v>
      </c>
      <c r="K375" s="3" t="s">
        <v>539</v>
      </c>
      <c r="L375" s="3" t="s">
        <v>538</v>
      </c>
      <c r="M375" s="3" t="s">
        <v>537</v>
      </c>
      <c r="N375" s="3" t="s">
        <v>870</v>
      </c>
      <c r="O375" s="3" t="s">
        <v>21</v>
      </c>
      <c r="P375" s="3" t="s">
        <v>6</v>
      </c>
      <c r="Q375" s="3" t="s">
        <v>20</v>
      </c>
      <c r="R375" s="3" t="s">
        <v>4</v>
      </c>
      <c r="S375" s="3" t="s">
        <v>3</v>
      </c>
      <c r="T375" s="3" t="s">
        <v>2</v>
      </c>
      <c r="U375" s="3" t="s">
        <v>1</v>
      </c>
      <c r="V375" s="3" t="s">
        <v>18</v>
      </c>
      <c r="W375" s="2">
        <v>41</v>
      </c>
    </row>
    <row r="376" spans="1:24" s="9" customFormat="1" hidden="1" x14ac:dyDescent="0.25">
      <c r="A376" s="17">
        <v>5684</v>
      </c>
      <c r="B376" s="17" t="s">
        <v>3431</v>
      </c>
      <c r="C376" s="16" t="s">
        <v>3430</v>
      </c>
      <c r="D376" s="15" t="s">
        <v>15</v>
      </c>
      <c r="E376" s="14" t="s">
        <v>527</v>
      </c>
      <c r="F376" s="13">
        <v>39098</v>
      </c>
      <c r="G376" s="13" t="s">
        <v>1</v>
      </c>
      <c r="H376" s="13" t="s">
        <v>1</v>
      </c>
      <c r="I376" s="12" t="s">
        <v>384</v>
      </c>
      <c r="J376" s="12" t="s">
        <v>1709</v>
      </c>
      <c r="K376" s="12" t="s">
        <v>33</v>
      </c>
      <c r="L376" s="12" t="s">
        <v>33</v>
      </c>
      <c r="M376" s="12" t="s">
        <v>1709</v>
      </c>
      <c r="N376" s="12" t="s">
        <v>3429</v>
      </c>
      <c r="O376" s="12" t="s">
        <v>624</v>
      </c>
      <c r="P376" s="12" t="s">
        <v>30</v>
      </c>
      <c r="Q376" s="12" t="s">
        <v>47</v>
      </c>
      <c r="R376" s="12" t="s">
        <v>4</v>
      </c>
      <c r="S376" s="12" t="s">
        <v>3</v>
      </c>
      <c r="T376" s="12" t="s">
        <v>338</v>
      </c>
      <c r="U376" s="12" t="s">
        <v>1</v>
      </c>
      <c r="V376" s="12" t="s">
        <v>18</v>
      </c>
      <c r="W376" s="11">
        <v>39</v>
      </c>
      <c r="X376" s="10"/>
    </row>
    <row r="377" spans="1:24" hidden="1" x14ac:dyDescent="0.25">
      <c r="A377" s="8">
        <v>5688</v>
      </c>
      <c r="B377" s="8" t="s">
        <v>3428</v>
      </c>
      <c r="C377" s="7" t="s">
        <v>3427</v>
      </c>
      <c r="D377" s="6" t="s">
        <v>15</v>
      </c>
      <c r="E377" s="5" t="s">
        <v>527</v>
      </c>
      <c r="F377" s="4">
        <v>39098</v>
      </c>
      <c r="G377" s="4" t="s">
        <v>1</v>
      </c>
      <c r="H377" s="4" t="s">
        <v>1</v>
      </c>
      <c r="I377" s="3" t="s">
        <v>13</v>
      </c>
      <c r="J377" s="3" t="s">
        <v>12</v>
      </c>
      <c r="K377" s="3" t="s">
        <v>11</v>
      </c>
      <c r="L377" s="3" t="s">
        <v>10</v>
      </c>
      <c r="M377" s="3" t="s">
        <v>9</v>
      </c>
      <c r="N377" s="3" t="s">
        <v>3426</v>
      </c>
      <c r="O377" s="3" t="s">
        <v>258</v>
      </c>
      <c r="P377" s="3" t="s">
        <v>6</v>
      </c>
      <c r="Q377" s="3" t="s">
        <v>5</v>
      </c>
      <c r="R377" s="3" t="s">
        <v>4</v>
      </c>
      <c r="S377" s="3" t="s">
        <v>3</v>
      </c>
      <c r="T377" s="3" t="s">
        <v>2</v>
      </c>
      <c r="U377" s="3" t="s">
        <v>1</v>
      </c>
      <c r="V377" s="3" t="s">
        <v>0</v>
      </c>
      <c r="W377" s="2">
        <v>41</v>
      </c>
    </row>
    <row r="378" spans="1:24" s="9" customFormat="1" hidden="1" x14ac:dyDescent="0.25">
      <c r="A378" s="17">
        <v>10096</v>
      </c>
      <c r="B378" s="17" t="s">
        <v>3425</v>
      </c>
      <c r="C378" s="16" t="s">
        <v>3424</v>
      </c>
      <c r="D378" s="15" t="s">
        <v>15</v>
      </c>
      <c r="E378" s="14" t="s">
        <v>1034</v>
      </c>
      <c r="F378" s="13">
        <v>40444</v>
      </c>
      <c r="G378" s="13" t="s">
        <v>1</v>
      </c>
      <c r="H378" s="13" t="s">
        <v>1</v>
      </c>
      <c r="I378" s="12" t="s">
        <v>13</v>
      </c>
      <c r="J378" s="12" t="s">
        <v>133</v>
      </c>
      <c r="K378" s="12" t="s">
        <v>212</v>
      </c>
      <c r="L378" s="12" t="s">
        <v>211</v>
      </c>
      <c r="M378" s="12" t="s">
        <v>210</v>
      </c>
      <c r="N378" s="12" t="s">
        <v>3423</v>
      </c>
      <c r="O378" s="12" t="s">
        <v>128</v>
      </c>
      <c r="P378" s="12" t="s">
        <v>72</v>
      </c>
      <c r="Q378" s="12" t="s">
        <v>5</v>
      </c>
      <c r="R378" s="12" t="s">
        <v>4</v>
      </c>
      <c r="S378" s="12" t="s">
        <v>3</v>
      </c>
      <c r="T378" s="12" t="s">
        <v>2</v>
      </c>
      <c r="U378" s="12" t="s">
        <v>1</v>
      </c>
      <c r="V378" s="12" t="s">
        <v>0</v>
      </c>
      <c r="W378" s="11">
        <v>32</v>
      </c>
      <c r="X378" s="10"/>
    </row>
    <row r="379" spans="1:24" s="9" customFormat="1" hidden="1" x14ac:dyDescent="0.25">
      <c r="A379" s="17">
        <v>5692</v>
      </c>
      <c r="B379" s="17" t="s">
        <v>3422</v>
      </c>
      <c r="C379" s="16" t="s">
        <v>3421</v>
      </c>
      <c r="D379" s="15" t="s">
        <v>15</v>
      </c>
      <c r="E379" s="14" t="s">
        <v>527</v>
      </c>
      <c r="F379" s="13">
        <v>39098</v>
      </c>
      <c r="G379" s="13" t="s">
        <v>1</v>
      </c>
      <c r="H379" s="13" t="s">
        <v>1</v>
      </c>
      <c r="I379" s="14" t="s">
        <v>93</v>
      </c>
      <c r="J379" s="14" t="s">
        <v>834</v>
      </c>
      <c r="K379" s="14" t="s">
        <v>33</v>
      </c>
      <c r="L379" s="14" t="s">
        <v>33</v>
      </c>
      <c r="M379" s="14" t="s">
        <v>834</v>
      </c>
      <c r="N379" s="14" t="s">
        <v>3420</v>
      </c>
      <c r="O379" s="14" t="s">
        <v>368</v>
      </c>
      <c r="P379" s="14" t="s">
        <v>30</v>
      </c>
      <c r="Q379" s="14" t="s">
        <v>47</v>
      </c>
      <c r="R379" s="12" t="s">
        <v>4</v>
      </c>
      <c r="S379" s="12" t="s">
        <v>3</v>
      </c>
      <c r="T379" s="12" t="s">
        <v>38</v>
      </c>
      <c r="U379" s="12" t="s">
        <v>1</v>
      </c>
      <c r="V379" s="12" t="s">
        <v>18</v>
      </c>
      <c r="W379" s="11">
        <v>40</v>
      </c>
      <c r="X379" s="10"/>
    </row>
    <row r="380" spans="1:24" hidden="1" x14ac:dyDescent="0.25">
      <c r="A380" s="8">
        <v>5694</v>
      </c>
      <c r="B380" s="8" t="s">
        <v>3419</v>
      </c>
      <c r="C380" s="7" t="s">
        <v>3418</v>
      </c>
      <c r="D380" s="6" t="s">
        <v>15</v>
      </c>
      <c r="E380" s="5" t="s">
        <v>527</v>
      </c>
      <c r="F380" s="4">
        <v>39098</v>
      </c>
      <c r="G380" s="4" t="s">
        <v>1</v>
      </c>
      <c r="H380" s="4" t="s">
        <v>1</v>
      </c>
      <c r="I380" s="3" t="s">
        <v>13</v>
      </c>
      <c r="J380" s="3" t="s">
        <v>12</v>
      </c>
      <c r="K380" s="3" t="s">
        <v>262</v>
      </c>
      <c r="L380" s="3" t="s">
        <v>261</v>
      </c>
      <c r="M380" s="3" t="s">
        <v>329</v>
      </c>
      <c r="N380" s="3" t="s">
        <v>1362</v>
      </c>
      <c r="O380" s="3" t="s">
        <v>39</v>
      </c>
      <c r="P380" s="3" t="s">
        <v>6</v>
      </c>
      <c r="Q380" s="3" t="s">
        <v>20</v>
      </c>
      <c r="R380" s="3" t="s">
        <v>4</v>
      </c>
      <c r="S380" s="3" t="s">
        <v>3</v>
      </c>
      <c r="T380" s="3" t="s">
        <v>1361</v>
      </c>
      <c r="U380" s="3" t="s">
        <v>1</v>
      </c>
      <c r="V380" s="3" t="s">
        <v>0</v>
      </c>
      <c r="W380" s="2">
        <v>39</v>
      </c>
    </row>
    <row r="381" spans="1:24" hidden="1" x14ac:dyDescent="0.25">
      <c r="A381" s="8">
        <v>5695</v>
      </c>
      <c r="B381" s="8" t="s">
        <v>3417</v>
      </c>
      <c r="C381" s="7" t="s">
        <v>3416</v>
      </c>
      <c r="D381" s="6" t="s">
        <v>15</v>
      </c>
      <c r="E381" s="5" t="s">
        <v>527</v>
      </c>
      <c r="F381" s="4">
        <v>39098</v>
      </c>
      <c r="G381" s="4" t="s">
        <v>1</v>
      </c>
      <c r="H381" s="4" t="s">
        <v>1</v>
      </c>
      <c r="I381" s="3" t="s">
        <v>13</v>
      </c>
      <c r="J381" s="3" t="s">
        <v>133</v>
      </c>
      <c r="K381" s="3" t="s">
        <v>132</v>
      </c>
      <c r="L381" s="3" t="s">
        <v>218</v>
      </c>
      <c r="M381" s="3" t="s">
        <v>217</v>
      </c>
      <c r="N381" s="3" t="s">
        <v>3415</v>
      </c>
      <c r="O381" s="3" t="s">
        <v>128</v>
      </c>
      <c r="P381" s="3" t="s">
        <v>6</v>
      </c>
      <c r="Q381" s="3" t="s">
        <v>5</v>
      </c>
      <c r="R381" s="3" t="s">
        <v>4</v>
      </c>
      <c r="S381" s="3" t="s">
        <v>3</v>
      </c>
      <c r="T381" s="3" t="s">
        <v>2</v>
      </c>
      <c r="U381" s="3" t="s">
        <v>1</v>
      </c>
      <c r="V381" s="3" t="s">
        <v>0</v>
      </c>
      <c r="W381" s="2">
        <v>41</v>
      </c>
    </row>
    <row r="382" spans="1:24" s="9" customFormat="1" hidden="1" x14ac:dyDescent="0.25">
      <c r="A382" s="17">
        <v>11825</v>
      </c>
      <c r="B382" s="17" t="s">
        <v>3414</v>
      </c>
      <c r="C382" s="16" t="s">
        <v>3413</v>
      </c>
      <c r="D382" s="15" t="s">
        <v>15</v>
      </c>
      <c r="E382" s="14" t="s">
        <v>1089</v>
      </c>
      <c r="F382" s="13">
        <v>40721</v>
      </c>
      <c r="G382" s="13" t="s">
        <v>1</v>
      </c>
      <c r="H382" s="13" t="s">
        <v>1</v>
      </c>
      <c r="I382" s="12" t="s">
        <v>13</v>
      </c>
      <c r="J382" s="12" t="s">
        <v>133</v>
      </c>
      <c r="K382" s="12" t="s">
        <v>212</v>
      </c>
      <c r="L382" s="12" t="s">
        <v>211</v>
      </c>
      <c r="M382" s="12" t="s">
        <v>210</v>
      </c>
      <c r="N382" s="12" t="s">
        <v>3412</v>
      </c>
      <c r="O382" s="12" t="s">
        <v>128</v>
      </c>
      <c r="P382" s="12" t="s">
        <v>72</v>
      </c>
      <c r="Q382" s="12" t="s">
        <v>5</v>
      </c>
      <c r="R382" s="12" t="s">
        <v>4</v>
      </c>
      <c r="S382" s="12" t="s">
        <v>3</v>
      </c>
      <c r="T382" s="12" t="s">
        <v>2</v>
      </c>
      <c r="U382" s="12" t="s">
        <v>1</v>
      </c>
      <c r="V382" s="12" t="s">
        <v>0</v>
      </c>
      <c r="W382" s="11">
        <v>31</v>
      </c>
      <c r="X382" s="10"/>
    </row>
    <row r="383" spans="1:24" hidden="1" x14ac:dyDescent="0.25">
      <c r="A383" s="8">
        <v>12571</v>
      </c>
      <c r="B383" s="8" t="s">
        <v>3411</v>
      </c>
      <c r="C383" s="7" t="s">
        <v>3410</v>
      </c>
      <c r="D383" s="6" t="s">
        <v>15</v>
      </c>
      <c r="E383" s="5" t="s">
        <v>154</v>
      </c>
      <c r="F383" s="4">
        <v>40812</v>
      </c>
      <c r="G383" s="4" t="s">
        <v>1</v>
      </c>
      <c r="H383" s="4" t="s">
        <v>1</v>
      </c>
      <c r="I383" s="3" t="s">
        <v>13</v>
      </c>
      <c r="J383" s="3" t="s">
        <v>133</v>
      </c>
      <c r="K383" s="3" t="s">
        <v>212</v>
      </c>
      <c r="L383" s="3" t="s">
        <v>211</v>
      </c>
      <c r="M383" s="3" t="s">
        <v>210</v>
      </c>
      <c r="N383" s="3" t="s">
        <v>1078</v>
      </c>
      <c r="O383" s="3" t="s">
        <v>29</v>
      </c>
      <c r="P383" s="3" t="s">
        <v>72</v>
      </c>
      <c r="Q383" s="3" t="s">
        <v>20</v>
      </c>
      <c r="R383" s="3" t="s">
        <v>4</v>
      </c>
      <c r="S383" s="3" t="s">
        <v>3</v>
      </c>
      <c r="T383" s="3" t="s">
        <v>1077</v>
      </c>
      <c r="U383" s="3" t="s">
        <v>1</v>
      </c>
      <c r="V383" s="3" t="s">
        <v>0</v>
      </c>
      <c r="W383" s="2">
        <v>32</v>
      </c>
    </row>
    <row r="384" spans="1:24" hidden="1" x14ac:dyDescent="0.25">
      <c r="A384" s="8">
        <v>12714</v>
      </c>
      <c r="B384" s="8" t="s">
        <v>3409</v>
      </c>
      <c r="C384" s="7" t="s">
        <v>3333</v>
      </c>
      <c r="D384" s="6" t="s">
        <v>15</v>
      </c>
      <c r="E384" s="5" t="s">
        <v>149</v>
      </c>
      <c r="F384" s="4">
        <v>40819</v>
      </c>
      <c r="G384" s="4" t="s">
        <v>1</v>
      </c>
      <c r="H384" s="4" t="s">
        <v>1</v>
      </c>
      <c r="I384" s="3" t="s">
        <v>13</v>
      </c>
      <c r="J384" s="3" t="s">
        <v>133</v>
      </c>
      <c r="K384" s="3" t="s">
        <v>212</v>
      </c>
      <c r="L384" s="3" t="s">
        <v>211</v>
      </c>
      <c r="M384" s="3" t="s">
        <v>210</v>
      </c>
      <c r="N384" s="3" t="s">
        <v>198</v>
      </c>
      <c r="O384" s="3" t="s">
        <v>184</v>
      </c>
      <c r="P384" s="3" t="s">
        <v>72</v>
      </c>
      <c r="Q384" s="3" t="s">
        <v>20</v>
      </c>
      <c r="R384" s="3" t="s">
        <v>4</v>
      </c>
      <c r="S384" s="3" t="s">
        <v>3</v>
      </c>
      <c r="T384" s="3" t="s">
        <v>2</v>
      </c>
      <c r="U384" s="3" t="s">
        <v>1</v>
      </c>
      <c r="V384" s="3" t="s">
        <v>0</v>
      </c>
      <c r="W384" s="2">
        <v>34</v>
      </c>
    </row>
    <row r="385" spans="1:24" hidden="1" x14ac:dyDescent="0.25">
      <c r="A385" s="8">
        <v>5702</v>
      </c>
      <c r="B385" s="8" t="s">
        <v>3408</v>
      </c>
      <c r="C385" s="7" t="s">
        <v>3407</v>
      </c>
      <c r="D385" s="6" t="s">
        <v>15</v>
      </c>
      <c r="E385" s="5" t="s">
        <v>527</v>
      </c>
      <c r="F385" s="4">
        <v>39098</v>
      </c>
      <c r="G385" s="4" t="s">
        <v>1</v>
      </c>
      <c r="H385" s="4" t="s">
        <v>1</v>
      </c>
      <c r="I385" s="3" t="s">
        <v>384</v>
      </c>
      <c r="J385" s="3" t="s">
        <v>2360</v>
      </c>
      <c r="K385" s="5" t="s">
        <v>33</v>
      </c>
      <c r="L385" s="5" t="s">
        <v>33</v>
      </c>
      <c r="M385" s="3" t="s">
        <v>2360</v>
      </c>
      <c r="N385" s="3" t="s">
        <v>2417</v>
      </c>
      <c r="O385" s="5" t="s">
        <v>387</v>
      </c>
      <c r="P385" s="5" t="s">
        <v>30</v>
      </c>
      <c r="Q385" s="5" t="s">
        <v>47</v>
      </c>
      <c r="R385" s="3" t="s">
        <v>4</v>
      </c>
      <c r="S385" s="3" t="s">
        <v>3</v>
      </c>
      <c r="T385" s="3" t="s">
        <v>29</v>
      </c>
      <c r="U385" s="3" t="s">
        <v>1</v>
      </c>
      <c r="V385" s="3" t="s">
        <v>0</v>
      </c>
      <c r="W385" s="2">
        <v>39</v>
      </c>
    </row>
    <row r="386" spans="1:24" hidden="1" x14ac:dyDescent="0.25">
      <c r="A386" s="8">
        <v>5703</v>
      </c>
      <c r="B386" s="8" t="s">
        <v>3406</v>
      </c>
      <c r="C386" s="7" t="s">
        <v>3405</v>
      </c>
      <c r="D386" s="6" t="s">
        <v>15</v>
      </c>
      <c r="E386" s="5" t="s">
        <v>527</v>
      </c>
      <c r="F386" s="4">
        <v>39098</v>
      </c>
      <c r="G386" s="4" t="s">
        <v>1</v>
      </c>
      <c r="H386" s="4" t="s">
        <v>1</v>
      </c>
      <c r="I386" s="18" t="s">
        <v>93</v>
      </c>
      <c r="J386" s="5" t="s">
        <v>92</v>
      </c>
      <c r="K386" s="18" t="s">
        <v>33</v>
      </c>
      <c r="L386" s="18" t="s">
        <v>33</v>
      </c>
      <c r="M386" s="5" t="s">
        <v>91</v>
      </c>
      <c r="N386" s="5" t="s">
        <v>549</v>
      </c>
      <c r="O386" s="5" t="s">
        <v>394</v>
      </c>
      <c r="P386" s="5" t="s">
        <v>30</v>
      </c>
      <c r="Q386" s="5" t="s">
        <v>47</v>
      </c>
      <c r="R386" s="3" t="s">
        <v>4</v>
      </c>
      <c r="S386" s="3" t="s">
        <v>3</v>
      </c>
      <c r="T386" s="3" t="s">
        <v>88</v>
      </c>
      <c r="U386" s="3" t="s">
        <v>1</v>
      </c>
      <c r="V386" s="3" t="s">
        <v>18</v>
      </c>
      <c r="W386" s="2">
        <v>42</v>
      </c>
    </row>
    <row r="387" spans="1:24" s="78" customFormat="1" hidden="1" x14ac:dyDescent="0.25">
      <c r="A387" s="73" t="s">
        <v>3404</v>
      </c>
      <c r="B387" s="73" t="s">
        <v>3404</v>
      </c>
      <c r="C387" s="87" t="s">
        <v>3403</v>
      </c>
      <c r="D387" s="88" t="s">
        <v>15</v>
      </c>
      <c r="E387" s="89" t="s">
        <v>234</v>
      </c>
      <c r="F387" s="90">
        <v>40882</v>
      </c>
      <c r="G387" s="90" t="s">
        <v>1</v>
      </c>
      <c r="H387" s="90" t="s">
        <v>1</v>
      </c>
      <c r="I387" s="92" t="s">
        <v>13</v>
      </c>
      <c r="J387" s="92" t="s">
        <v>133</v>
      </c>
      <c r="K387" s="92" t="s">
        <v>212</v>
      </c>
      <c r="L387" s="92" t="s">
        <v>211</v>
      </c>
      <c r="M387" s="92" t="s">
        <v>210</v>
      </c>
      <c r="N387" s="92" t="s">
        <v>3402</v>
      </c>
      <c r="O387" s="92" t="s">
        <v>1231</v>
      </c>
      <c r="P387" s="92" t="s">
        <v>72</v>
      </c>
      <c r="Q387" s="92" t="s">
        <v>5</v>
      </c>
      <c r="R387" s="92" t="s">
        <v>4</v>
      </c>
      <c r="S387" s="92" t="s">
        <v>3</v>
      </c>
      <c r="T387" s="92" t="s">
        <v>2</v>
      </c>
      <c r="U387" s="92" t="s">
        <v>1</v>
      </c>
      <c r="V387" s="92" t="s">
        <v>0</v>
      </c>
      <c r="W387" s="93">
        <v>32</v>
      </c>
    </row>
    <row r="388" spans="1:24" hidden="1" x14ac:dyDescent="0.25">
      <c r="A388" s="8">
        <v>5706</v>
      </c>
      <c r="B388" s="8" t="s">
        <v>3401</v>
      </c>
      <c r="C388" s="46" t="s">
        <v>3400</v>
      </c>
      <c r="D388" s="45" t="s">
        <v>15</v>
      </c>
      <c r="E388" s="5" t="s">
        <v>527</v>
      </c>
      <c r="F388" s="4">
        <v>39098</v>
      </c>
      <c r="G388" s="4" t="s">
        <v>1</v>
      </c>
      <c r="H388" s="4" t="s">
        <v>1</v>
      </c>
      <c r="I388" s="3" t="s">
        <v>145</v>
      </c>
      <c r="J388" s="3" t="s">
        <v>12</v>
      </c>
      <c r="K388" s="3" t="s">
        <v>262</v>
      </c>
      <c r="L388" s="3" t="s">
        <v>261</v>
      </c>
      <c r="M388" s="3" t="s">
        <v>260</v>
      </c>
      <c r="N388" s="3" t="s">
        <v>771</v>
      </c>
      <c r="O388" s="3" t="s">
        <v>771</v>
      </c>
      <c r="P388" s="3" t="s">
        <v>6</v>
      </c>
      <c r="Q388" s="3" t="s">
        <v>20</v>
      </c>
      <c r="R388" s="3" t="s">
        <v>4</v>
      </c>
      <c r="S388" s="3" t="s">
        <v>3</v>
      </c>
      <c r="T388" s="3" t="s">
        <v>2</v>
      </c>
      <c r="U388" s="3" t="s">
        <v>1</v>
      </c>
      <c r="V388" s="3" t="s">
        <v>0</v>
      </c>
      <c r="W388" s="2">
        <v>38</v>
      </c>
    </row>
    <row r="389" spans="1:24" hidden="1" x14ac:dyDescent="0.25">
      <c r="A389" s="8">
        <v>165</v>
      </c>
      <c r="B389" s="8" t="s">
        <v>3399</v>
      </c>
      <c r="C389" s="7" t="s">
        <v>3398</v>
      </c>
      <c r="D389" s="6" t="s">
        <v>15</v>
      </c>
      <c r="E389" s="5" t="s">
        <v>803</v>
      </c>
      <c r="F389" s="4">
        <v>37679</v>
      </c>
      <c r="G389" s="4" t="s">
        <v>1</v>
      </c>
      <c r="H389" s="4" t="s">
        <v>1</v>
      </c>
      <c r="I389" s="3" t="s">
        <v>13</v>
      </c>
      <c r="J389" s="3" t="s">
        <v>133</v>
      </c>
      <c r="K389" s="3" t="s">
        <v>63</v>
      </c>
      <c r="L389" s="3" t="s">
        <v>1634</v>
      </c>
      <c r="M389" s="3" t="s">
        <v>1633</v>
      </c>
      <c r="N389" s="3" t="s">
        <v>1078</v>
      </c>
      <c r="O389" s="3" t="s">
        <v>29</v>
      </c>
      <c r="P389" s="3" t="s">
        <v>72</v>
      </c>
      <c r="Q389" s="3" t="s">
        <v>20</v>
      </c>
      <c r="R389" s="3" t="s">
        <v>4</v>
      </c>
      <c r="S389" s="3" t="s">
        <v>3</v>
      </c>
      <c r="T389" s="3" t="s">
        <v>1077</v>
      </c>
      <c r="U389" s="3" t="s">
        <v>1</v>
      </c>
      <c r="V389" s="3" t="s">
        <v>0</v>
      </c>
      <c r="W389" s="2">
        <v>42</v>
      </c>
    </row>
    <row r="390" spans="1:24" s="78" customFormat="1" hidden="1" x14ac:dyDescent="0.25">
      <c r="A390" s="73">
        <v>1455</v>
      </c>
      <c r="B390" s="73" t="s">
        <v>3397</v>
      </c>
      <c r="C390" s="87" t="s">
        <v>3396</v>
      </c>
      <c r="D390" s="88" t="s">
        <v>15</v>
      </c>
      <c r="E390" s="89" t="s">
        <v>3395</v>
      </c>
      <c r="F390" s="90">
        <v>37977</v>
      </c>
      <c r="G390" s="90" t="s">
        <v>1</v>
      </c>
      <c r="H390" s="90" t="s">
        <v>1</v>
      </c>
      <c r="I390" s="92" t="s">
        <v>13</v>
      </c>
      <c r="J390" s="92" t="s">
        <v>133</v>
      </c>
      <c r="K390" s="92" t="s">
        <v>63</v>
      </c>
      <c r="L390" s="92" t="s">
        <v>1634</v>
      </c>
      <c r="M390" s="92" t="s">
        <v>1633</v>
      </c>
      <c r="N390" s="92" t="s">
        <v>2449</v>
      </c>
      <c r="O390" s="92" t="s">
        <v>128</v>
      </c>
      <c r="P390" s="92" t="s">
        <v>72</v>
      </c>
      <c r="Q390" s="92" t="s">
        <v>5</v>
      </c>
      <c r="R390" s="92" t="s">
        <v>4</v>
      </c>
      <c r="S390" s="92" t="s">
        <v>3</v>
      </c>
      <c r="T390" s="92" t="s">
        <v>2</v>
      </c>
      <c r="U390" s="92" t="s">
        <v>1</v>
      </c>
      <c r="V390" s="92" t="s">
        <v>0</v>
      </c>
      <c r="W390" s="93">
        <v>39</v>
      </c>
    </row>
    <row r="391" spans="1:24" hidden="1" x14ac:dyDescent="0.25">
      <c r="A391" s="8">
        <v>5724</v>
      </c>
      <c r="B391" s="8" t="s">
        <v>3394</v>
      </c>
      <c r="C391" s="7" t="s">
        <v>3393</v>
      </c>
      <c r="D391" s="6" t="s">
        <v>15</v>
      </c>
      <c r="E391" s="5" t="s">
        <v>527</v>
      </c>
      <c r="F391" s="4">
        <v>39098</v>
      </c>
      <c r="G391" s="4" t="s">
        <v>1</v>
      </c>
      <c r="H391" s="4" t="s">
        <v>1</v>
      </c>
      <c r="I391" s="3" t="s">
        <v>13</v>
      </c>
      <c r="J391" s="3" t="s">
        <v>12</v>
      </c>
      <c r="K391" s="3" t="s">
        <v>63</v>
      </c>
      <c r="L391" s="3" t="s">
        <v>62</v>
      </c>
      <c r="M391" s="3" t="s">
        <v>61</v>
      </c>
      <c r="N391" s="3" t="s">
        <v>716</v>
      </c>
      <c r="O391" s="3" t="s">
        <v>59</v>
      </c>
      <c r="P391" s="3" t="s">
        <v>6</v>
      </c>
      <c r="Q391" s="3" t="s">
        <v>5</v>
      </c>
      <c r="R391" s="3" t="s">
        <v>4</v>
      </c>
      <c r="S391" s="3" t="s">
        <v>3</v>
      </c>
      <c r="T391" s="3" t="s">
        <v>2</v>
      </c>
      <c r="U391" s="3" t="s">
        <v>1</v>
      </c>
      <c r="V391" s="3" t="s">
        <v>0</v>
      </c>
      <c r="W391" s="2">
        <v>38</v>
      </c>
    </row>
    <row r="392" spans="1:24" hidden="1" x14ac:dyDescent="0.25">
      <c r="A392" s="8">
        <v>9825</v>
      </c>
      <c r="B392" s="8" t="s">
        <v>3392</v>
      </c>
      <c r="C392" s="7" t="s">
        <v>3391</v>
      </c>
      <c r="D392" s="6" t="s">
        <v>15</v>
      </c>
      <c r="E392" s="5" t="s">
        <v>3390</v>
      </c>
      <c r="F392" s="4">
        <v>40391</v>
      </c>
      <c r="G392" s="4" t="s">
        <v>1</v>
      </c>
      <c r="H392" s="4" t="s">
        <v>1</v>
      </c>
      <c r="I392" s="3" t="s">
        <v>13</v>
      </c>
      <c r="J392" s="3" t="s">
        <v>133</v>
      </c>
      <c r="K392" s="3" t="s">
        <v>63</v>
      </c>
      <c r="L392" s="3" t="s">
        <v>1634</v>
      </c>
      <c r="M392" s="3" t="s">
        <v>1633</v>
      </c>
      <c r="N392" s="3" t="s">
        <v>198</v>
      </c>
      <c r="O392" s="3" t="s">
        <v>184</v>
      </c>
      <c r="P392" s="3" t="s">
        <v>72</v>
      </c>
      <c r="Q392" s="3" t="s">
        <v>20</v>
      </c>
      <c r="R392" s="3" t="s">
        <v>4</v>
      </c>
      <c r="S392" s="3" t="s">
        <v>3</v>
      </c>
      <c r="T392" s="3" t="s">
        <v>2</v>
      </c>
      <c r="U392" s="3" t="s">
        <v>1</v>
      </c>
      <c r="V392" s="3" t="s">
        <v>0</v>
      </c>
      <c r="W392" s="2">
        <v>38</v>
      </c>
    </row>
    <row r="393" spans="1:24" hidden="1" x14ac:dyDescent="0.25">
      <c r="A393" s="8">
        <v>10090</v>
      </c>
      <c r="B393" s="8" t="s">
        <v>3389</v>
      </c>
      <c r="C393" s="7" t="s">
        <v>3388</v>
      </c>
      <c r="D393" s="6" t="s">
        <v>15</v>
      </c>
      <c r="E393" s="5" t="s">
        <v>1034</v>
      </c>
      <c r="F393" s="4">
        <v>40444</v>
      </c>
      <c r="G393" s="4" t="s">
        <v>1</v>
      </c>
      <c r="H393" s="4" t="s">
        <v>1</v>
      </c>
      <c r="I393" s="3" t="s">
        <v>13</v>
      </c>
      <c r="J393" s="3" t="s">
        <v>133</v>
      </c>
      <c r="K393" s="3" t="s">
        <v>63</v>
      </c>
      <c r="L393" s="3" t="s">
        <v>1634</v>
      </c>
      <c r="M393" s="3" t="s">
        <v>1633</v>
      </c>
      <c r="N393" s="3" t="s">
        <v>3387</v>
      </c>
      <c r="O393" s="3" t="s">
        <v>128</v>
      </c>
      <c r="P393" s="3" t="s">
        <v>72</v>
      </c>
      <c r="Q393" s="3" t="s">
        <v>5</v>
      </c>
      <c r="R393" s="3" t="s">
        <v>4</v>
      </c>
      <c r="S393" s="3" t="s">
        <v>3</v>
      </c>
      <c r="T393" s="3" t="s">
        <v>2</v>
      </c>
      <c r="U393" s="3" t="s">
        <v>1</v>
      </c>
      <c r="V393" s="3" t="s">
        <v>0</v>
      </c>
      <c r="W393" s="2">
        <v>32</v>
      </c>
    </row>
    <row r="394" spans="1:24" s="9" customFormat="1" hidden="1" x14ac:dyDescent="0.25">
      <c r="A394" s="17">
        <v>10181</v>
      </c>
      <c r="B394" s="17" t="s">
        <v>3386</v>
      </c>
      <c r="C394" s="16" t="s">
        <v>3385</v>
      </c>
      <c r="D394" s="15" t="s">
        <v>15</v>
      </c>
      <c r="E394" s="14" t="s">
        <v>476</v>
      </c>
      <c r="F394" s="13">
        <v>40458</v>
      </c>
      <c r="G394" s="13" t="s">
        <v>1</v>
      </c>
      <c r="H394" s="13" t="s">
        <v>1</v>
      </c>
      <c r="I394" s="12" t="s">
        <v>13</v>
      </c>
      <c r="J394" s="12" t="s">
        <v>133</v>
      </c>
      <c r="K394" s="12" t="s">
        <v>63</v>
      </c>
      <c r="L394" s="12" t="s">
        <v>1634</v>
      </c>
      <c r="M394" s="12" t="s">
        <v>1633</v>
      </c>
      <c r="N394" s="12" t="s">
        <v>3332</v>
      </c>
      <c r="O394" s="12" t="s">
        <v>128</v>
      </c>
      <c r="P394" s="12" t="s">
        <v>72</v>
      </c>
      <c r="Q394" s="12" t="s">
        <v>5</v>
      </c>
      <c r="R394" s="12" t="s">
        <v>4</v>
      </c>
      <c r="S394" s="12" t="s">
        <v>3</v>
      </c>
      <c r="T394" s="12" t="s">
        <v>2</v>
      </c>
      <c r="U394" s="12" t="s">
        <v>1</v>
      </c>
      <c r="V394" s="12" t="s">
        <v>0</v>
      </c>
      <c r="W394" s="11">
        <v>32</v>
      </c>
      <c r="X394" s="10"/>
    </row>
    <row r="395" spans="1:24" hidden="1" x14ac:dyDescent="0.25">
      <c r="A395" s="8">
        <v>11026</v>
      </c>
      <c r="B395" s="8" t="s">
        <v>3384</v>
      </c>
      <c r="C395" s="7" t="s">
        <v>3383</v>
      </c>
      <c r="D395" s="6" t="s">
        <v>15</v>
      </c>
      <c r="E395" s="5" t="s">
        <v>1434</v>
      </c>
      <c r="F395" s="4">
        <v>40585</v>
      </c>
      <c r="G395" s="4" t="s">
        <v>1</v>
      </c>
      <c r="H395" s="4" t="s">
        <v>1</v>
      </c>
      <c r="I395" s="3" t="s">
        <v>13</v>
      </c>
      <c r="J395" s="3" t="s">
        <v>133</v>
      </c>
      <c r="K395" s="3" t="s">
        <v>63</v>
      </c>
      <c r="L395" s="3" t="s">
        <v>1634</v>
      </c>
      <c r="M395" s="3" t="s">
        <v>1633</v>
      </c>
      <c r="N395" s="3" t="s">
        <v>870</v>
      </c>
      <c r="O395" s="3" t="s">
        <v>21</v>
      </c>
      <c r="P395" s="3" t="s">
        <v>72</v>
      </c>
      <c r="Q395" s="3" t="s">
        <v>20</v>
      </c>
      <c r="R395" s="3" t="s">
        <v>4</v>
      </c>
      <c r="S395" s="3" t="s">
        <v>3</v>
      </c>
      <c r="T395" s="3" t="s">
        <v>2</v>
      </c>
      <c r="U395" s="3" t="s">
        <v>1</v>
      </c>
      <c r="V395" s="3" t="s">
        <v>0</v>
      </c>
      <c r="W395" s="2">
        <v>32</v>
      </c>
    </row>
    <row r="396" spans="1:24" hidden="1" x14ac:dyDescent="0.25">
      <c r="A396" s="8">
        <v>5742</v>
      </c>
      <c r="B396" s="8" t="s">
        <v>3382</v>
      </c>
      <c r="C396" s="7" t="s">
        <v>1008</v>
      </c>
      <c r="D396" s="6" t="s">
        <v>15</v>
      </c>
      <c r="E396" s="5" t="s">
        <v>527</v>
      </c>
      <c r="F396" s="4">
        <v>39098</v>
      </c>
      <c r="G396" s="4" t="s">
        <v>1</v>
      </c>
      <c r="H396" s="4" t="s">
        <v>1</v>
      </c>
      <c r="I396" s="3" t="s">
        <v>13</v>
      </c>
      <c r="J396" s="3" t="s">
        <v>12</v>
      </c>
      <c r="K396" s="3" t="s">
        <v>63</v>
      </c>
      <c r="L396" s="3" t="s">
        <v>1469</v>
      </c>
      <c r="M396" s="3" t="s">
        <v>1468</v>
      </c>
      <c r="N396" s="3" t="s">
        <v>1078</v>
      </c>
      <c r="O396" s="3" t="s">
        <v>29</v>
      </c>
      <c r="P396" s="3" t="s">
        <v>6</v>
      </c>
      <c r="Q396" s="3" t="s">
        <v>20</v>
      </c>
      <c r="R396" s="3" t="s">
        <v>4</v>
      </c>
      <c r="S396" s="3" t="s">
        <v>3</v>
      </c>
      <c r="T396" s="3" t="s">
        <v>1077</v>
      </c>
      <c r="U396" s="3" t="s">
        <v>1</v>
      </c>
      <c r="V396" s="3" t="s">
        <v>0</v>
      </c>
      <c r="W396" s="2">
        <v>40</v>
      </c>
    </row>
    <row r="397" spans="1:24" s="78" customFormat="1" hidden="1" x14ac:dyDescent="0.25">
      <c r="A397" s="73">
        <v>5743</v>
      </c>
      <c r="B397" s="73" t="s">
        <v>3381</v>
      </c>
      <c r="C397" s="87" t="s">
        <v>3380</v>
      </c>
      <c r="D397" s="88" t="s">
        <v>15</v>
      </c>
      <c r="E397" s="89" t="s">
        <v>527</v>
      </c>
      <c r="F397" s="90">
        <v>39098</v>
      </c>
      <c r="G397" s="90" t="s">
        <v>1</v>
      </c>
      <c r="H397" s="90" t="s">
        <v>1</v>
      </c>
      <c r="I397" s="89" t="s">
        <v>50</v>
      </c>
      <c r="J397" s="89" t="s">
        <v>75</v>
      </c>
      <c r="K397" s="89" t="s">
        <v>33</v>
      </c>
      <c r="L397" s="89" t="s">
        <v>33</v>
      </c>
      <c r="M397" s="89" t="s">
        <v>75</v>
      </c>
      <c r="N397" s="89" t="s">
        <v>3286</v>
      </c>
      <c r="O397" s="89" t="s">
        <v>3285</v>
      </c>
      <c r="P397" s="89" t="s">
        <v>72</v>
      </c>
      <c r="Q397" s="89" t="s">
        <v>47</v>
      </c>
      <c r="R397" s="92" t="s">
        <v>4</v>
      </c>
      <c r="S397" s="92" t="s">
        <v>3</v>
      </c>
      <c r="T397" s="92" t="s">
        <v>2</v>
      </c>
      <c r="U397" s="92" t="s">
        <v>1</v>
      </c>
      <c r="V397" s="92" t="s">
        <v>18</v>
      </c>
      <c r="W397" s="93">
        <v>40</v>
      </c>
      <c r="X397" s="94"/>
    </row>
    <row r="398" spans="1:24" hidden="1" x14ac:dyDescent="0.25">
      <c r="A398" s="8">
        <v>11345</v>
      </c>
      <c r="B398" s="8" t="s">
        <v>3379</v>
      </c>
      <c r="C398" s="19" t="s">
        <v>3378</v>
      </c>
      <c r="D398" s="6" t="s">
        <v>15</v>
      </c>
      <c r="E398" s="18" t="s">
        <v>2019</v>
      </c>
      <c r="F398" s="4">
        <v>40672</v>
      </c>
      <c r="G398" s="4" t="s">
        <v>1</v>
      </c>
      <c r="H398" s="4" t="s">
        <v>1</v>
      </c>
      <c r="I398" s="3" t="s">
        <v>13</v>
      </c>
      <c r="J398" s="3" t="s">
        <v>133</v>
      </c>
      <c r="K398" s="3" t="s">
        <v>63</v>
      </c>
      <c r="L398" s="3" t="s">
        <v>1634</v>
      </c>
      <c r="M398" s="3" t="s">
        <v>1633</v>
      </c>
      <c r="N398" s="3" t="s">
        <v>198</v>
      </c>
      <c r="O398" s="3" t="s">
        <v>184</v>
      </c>
      <c r="P398" s="3" t="s">
        <v>72</v>
      </c>
      <c r="Q398" s="3" t="s">
        <v>20</v>
      </c>
      <c r="R398" s="3" t="s">
        <v>4</v>
      </c>
      <c r="S398" s="3" t="s">
        <v>3</v>
      </c>
      <c r="T398" s="3" t="s">
        <v>2</v>
      </c>
      <c r="U398" s="3" t="s">
        <v>1</v>
      </c>
      <c r="V398" s="3" t="s">
        <v>0</v>
      </c>
      <c r="W398" s="2">
        <v>35</v>
      </c>
    </row>
    <row r="399" spans="1:24" hidden="1" x14ac:dyDescent="0.25">
      <c r="A399" s="8">
        <v>5747</v>
      </c>
      <c r="B399" s="8" t="s">
        <v>3377</v>
      </c>
      <c r="C399" s="7" t="s">
        <v>3376</v>
      </c>
      <c r="D399" s="6" t="s">
        <v>15</v>
      </c>
      <c r="E399" s="5" t="s">
        <v>527</v>
      </c>
      <c r="F399" s="4">
        <v>39098</v>
      </c>
      <c r="G399" s="4" t="s">
        <v>1</v>
      </c>
      <c r="H399" s="4" t="s">
        <v>1</v>
      </c>
      <c r="I399" s="3" t="s">
        <v>13</v>
      </c>
      <c r="J399" s="3" t="s">
        <v>12</v>
      </c>
      <c r="K399" s="3" t="s">
        <v>187</v>
      </c>
      <c r="L399" s="3" t="s">
        <v>229</v>
      </c>
      <c r="M399" s="3" t="s">
        <v>228</v>
      </c>
      <c r="N399" s="3" t="s">
        <v>646</v>
      </c>
      <c r="O399" s="3" t="s">
        <v>67</v>
      </c>
      <c r="P399" s="3" t="s">
        <v>6</v>
      </c>
      <c r="Q399" s="3" t="s">
        <v>5</v>
      </c>
      <c r="R399" s="3" t="s">
        <v>4</v>
      </c>
      <c r="S399" s="3" t="s">
        <v>3</v>
      </c>
      <c r="T399" s="3" t="s">
        <v>2</v>
      </c>
      <c r="U399" s="3" t="s">
        <v>1</v>
      </c>
      <c r="V399" s="3" t="s">
        <v>0</v>
      </c>
      <c r="W399" s="2">
        <v>41</v>
      </c>
    </row>
    <row r="400" spans="1:24" hidden="1" x14ac:dyDescent="0.25">
      <c r="A400" s="8">
        <v>5748</v>
      </c>
      <c r="B400" s="8" t="s">
        <v>3375</v>
      </c>
      <c r="C400" s="7" t="s">
        <v>3374</v>
      </c>
      <c r="D400" s="6" t="s">
        <v>15</v>
      </c>
      <c r="E400" s="5" t="s">
        <v>527</v>
      </c>
      <c r="F400" s="4">
        <v>39098</v>
      </c>
      <c r="G400" s="4" t="s">
        <v>1</v>
      </c>
      <c r="H400" s="4" t="s">
        <v>1</v>
      </c>
      <c r="I400" s="5" t="s">
        <v>50</v>
      </c>
      <c r="J400" s="5" t="s">
        <v>75</v>
      </c>
      <c r="K400" s="5" t="s">
        <v>33</v>
      </c>
      <c r="L400" s="5" t="s">
        <v>33</v>
      </c>
      <c r="M400" s="5" t="s">
        <v>75</v>
      </c>
      <c r="N400" s="5" t="s">
        <v>348</v>
      </c>
      <c r="O400" s="18" t="s">
        <v>368</v>
      </c>
      <c r="P400" s="5" t="s">
        <v>6</v>
      </c>
      <c r="Q400" s="5" t="s">
        <v>47</v>
      </c>
      <c r="R400" s="3" t="s">
        <v>4</v>
      </c>
      <c r="S400" s="3" t="s">
        <v>3</v>
      </c>
      <c r="T400" s="3" t="s">
        <v>38</v>
      </c>
      <c r="U400" s="3" t="s">
        <v>1</v>
      </c>
      <c r="V400" s="3" t="s">
        <v>18</v>
      </c>
      <c r="W400" s="2">
        <v>40</v>
      </c>
    </row>
    <row r="401" spans="1:23" hidden="1" x14ac:dyDescent="0.25">
      <c r="A401" s="8">
        <v>5749</v>
      </c>
      <c r="B401" s="8" t="s">
        <v>3373</v>
      </c>
      <c r="C401" s="7" t="s">
        <v>3372</v>
      </c>
      <c r="D401" s="6" t="s">
        <v>15</v>
      </c>
      <c r="E401" s="5" t="s">
        <v>527</v>
      </c>
      <c r="F401" s="4">
        <v>39098</v>
      </c>
      <c r="G401" s="4" t="s">
        <v>1</v>
      </c>
      <c r="H401" s="4" t="s">
        <v>1</v>
      </c>
      <c r="I401" s="3" t="s">
        <v>13</v>
      </c>
      <c r="J401" s="3" t="s">
        <v>12</v>
      </c>
      <c r="K401" s="3" t="s">
        <v>758</v>
      </c>
      <c r="L401" s="3" t="s">
        <v>757</v>
      </c>
      <c r="M401" s="3" t="s">
        <v>756</v>
      </c>
      <c r="N401" s="3" t="s">
        <v>870</v>
      </c>
      <c r="O401" s="3" t="s">
        <v>21</v>
      </c>
      <c r="P401" s="3" t="s">
        <v>6</v>
      </c>
      <c r="Q401" s="3" t="s">
        <v>20</v>
      </c>
      <c r="R401" s="3" t="s">
        <v>4</v>
      </c>
      <c r="S401" s="3" t="s">
        <v>3</v>
      </c>
      <c r="T401" s="3" t="s">
        <v>2</v>
      </c>
      <c r="U401" s="3" t="s">
        <v>1</v>
      </c>
      <c r="V401" s="3" t="s">
        <v>0</v>
      </c>
      <c r="W401" s="2">
        <v>40</v>
      </c>
    </row>
    <row r="402" spans="1:23" s="78" customFormat="1" hidden="1" x14ac:dyDescent="0.25">
      <c r="A402" s="73">
        <v>5751</v>
      </c>
      <c r="B402" s="73" t="s">
        <v>3371</v>
      </c>
      <c r="C402" s="104" t="s">
        <v>3370</v>
      </c>
      <c r="D402" s="88" t="s">
        <v>15</v>
      </c>
      <c r="E402" s="89" t="s">
        <v>527</v>
      </c>
      <c r="F402" s="90">
        <v>39098</v>
      </c>
      <c r="G402" s="90" t="s">
        <v>1</v>
      </c>
      <c r="H402" s="90" t="s">
        <v>1</v>
      </c>
      <c r="I402" s="92" t="s">
        <v>145</v>
      </c>
      <c r="J402" s="92" t="s">
        <v>12</v>
      </c>
      <c r="K402" s="92" t="s">
        <v>11</v>
      </c>
      <c r="L402" s="92" t="s">
        <v>10</v>
      </c>
      <c r="M402" s="92" t="s">
        <v>9</v>
      </c>
      <c r="N402" s="92" t="s">
        <v>771</v>
      </c>
      <c r="O402" s="92" t="s">
        <v>771</v>
      </c>
      <c r="P402" s="92" t="s">
        <v>72</v>
      </c>
      <c r="Q402" s="92" t="s">
        <v>20</v>
      </c>
      <c r="R402" s="92" t="s">
        <v>4</v>
      </c>
      <c r="S402" s="92" t="s">
        <v>3</v>
      </c>
      <c r="T402" s="92" t="s">
        <v>2</v>
      </c>
      <c r="U402" s="92" t="s">
        <v>1</v>
      </c>
      <c r="V402" s="92" t="s">
        <v>0</v>
      </c>
      <c r="W402" s="93">
        <v>39</v>
      </c>
    </row>
    <row r="403" spans="1:23" s="78" customFormat="1" hidden="1" x14ac:dyDescent="0.25">
      <c r="A403" s="73">
        <v>5754</v>
      </c>
      <c r="B403" s="73" t="s">
        <v>3369</v>
      </c>
      <c r="C403" s="87" t="s">
        <v>3368</v>
      </c>
      <c r="D403" s="88" t="s">
        <v>15</v>
      </c>
      <c r="E403" s="89" t="s">
        <v>251</v>
      </c>
      <c r="F403" s="90">
        <v>39114</v>
      </c>
      <c r="G403" s="90" t="s">
        <v>1</v>
      </c>
      <c r="H403" s="90" t="s">
        <v>1</v>
      </c>
      <c r="I403" s="91" t="s">
        <v>93</v>
      </c>
      <c r="J403" s="89" t="s">
        <v>92</v>
      </c>
      <c r="K403" s="91" t="s">
        <v>33</v>
      </c>
      <c r="L403" s="91" t="s">
        <v>33</v>
      </c>
      <c r="M403" s="89" t="s">
        <v>449</v>
      </c>
      <c r="N403" s="89" t="s">
        <v>3367</v>
      </c>
      <c r="O403" s="89" t="s">
        <v>394</v>
      </c>
      <c r="P403" s="89" t="s">
        <v>30</v>
      </c>
      <c r="Q403" s="89" t="s">
        <v>47</v>
      </c>
      <c r="R403" s="92" t="s">
        <v>4</v>
      </c>
      <c r="S403" s="92" t="s">
        <v>3</v>
      </c>
      <c r="T403" s="92" t="s">
        <v>88</v>
      </c>
      <c r="U403" s="92" t="s">
        <v>1</v>
      </c>
      <c r="V403" s="92" t="s">
        <v>18</v>
      </c>
      <c r="W403" s="93">
        <v>41</v>
      </c>
    </row>
    <row r="404" spans="1:23" hidden="1" x14ac:dyDescent="0.25">
      <c r="A404" s="8">
        <v>11549</v>
      </c>
      <c r="B404" s="8" t="s">
        <v>3366</v>
      </c>
      <c r="C404" s="7" t="s">
        <v>3365</v>
      </c>
      <c r="D404" s="6" t="s">
        <v>15</v>
      </c>
      <c r="E404" s="5" t="s">
        <v>1763</v>
      </c>
      <c r="F404" s="4">
        <v>40707</v>
      </c>
      <c r="G404" s="4" t="s">
        <v>1</v>
      </c>
      <c r="H404" s="4" t="s">
        <v>1</v>
      </c>
      <c r="I404" s="3" t="s">
        <v>13</v>
      </c>
      <c r="J404" s="3" t="s">
        <v>133</v>
      </c>
      <c r="K404" s="3" t="s">
        <v>63</v>
      </c>
      <c r="L404" s="3" t="s">
        <v>1634</v>
      </c>
      <c r="M404" s="3" t="s">
        <v>1633</v>
      </c>
      <c r="N404" s="3" t="s">
        <v>2766</v>
      </c>
      <c r="O404" s="3" t="s">
        <v>128</v>
      </c>
      <c r="P404" s="3" t="s">
        <v>72</v>
      </c>
      <c r="Q404" s="3" t="s">
        <v>5</v>
      </c>
      <c r="R404" s="3" t="s">
        <v>4</v>
      </c>
      <c r="S404" s="3" t="s">
        <v>3</v>
      </c>
      <c r="T404" s="3" t="s">
        <v>2</v>
      </c>
      <c r="U404" s="3" t="s">
        <v>1</v>
      </c>
      <c r="V404" s="3" t="s">
        <v>0</v>
      </c>
      <c r="W404" s="2">
        <v>31</v>
      </c>
    </row>
    <row r="405" spans="1:23" hidden="1" x14ac:dyDescent="0.25">
      <c r="A405" s="8">
        <v>5762</v>
      </c>
      <c r="B405" s="8" t="s">
        <v>3364</v>
      </c>
      <c r="C405" s="7" t="s">
        <v>3363</v>
      </c>
      <c r="D405" s="6" t="s">
        <v>15</v>
      </c>
      <c r="E405" s="5" t="s">
        <v>251</v>
      </c>
      <c r="F405" s="4">
        <v>39114</v>
      </c>
      <c r="G405" s="4" t="s">
        <v>1</v>
      </c>
      <c r="H405" s="4" t="s">
        <v>1</v>
      </c>
      <c r="I405" s="3" t="s">
        <v>13</v>
      </c>
      <c r="J405" s="3" t="s">
        <v>133</v>
      </c>
      <c r="K405" s="3" t="s">
        <v>187</v>
      </c>
      <c r="L405" s="3" t="s">
        <v>187</v>
      </c>
      <c r="M405" s="3" t="s">
        <v>186</v>
      </c>
      <c r="N405" s="3" t="s">
        <v>276</v>
      </c>
      <c r="O405" s="3" t="s">
        <v>184</v>
      </c>
      <c r="P405" s="3" t="s">
        <v>6</v>
      </c>
      <c r="Q405" s="3" t="s">
        <v>20</v>
      </c>
      <c r="R405" s="3" t="s">
        <v>4</v>
      </c>
      <c r="S405" s="3" t="s">
        <v>3</v>
      </c>
      <c r="T405" s="3" t="s">
        <v>2</v>
      </c>
      <c r="U405" s="3" t="s">
        <v>1</v>
      </c>
      <c r="V405" s="3" t="s">
        <v>0</v>
      </c>
      <c r="W405" s="2">
        <v>41</v>
      </c>
    </row>
    <row r="406" spans="1:23" hidden="1" x14ac:dyDescent="0.25">
      <c r="A406" s="8">
        <v>5764</v>
      </c>
      <c r="B406" s="8" t="s">
        <v>3362</v>
      </c>
      <c r="C406" s="7" t="s">
        <v>3361</v>
      </c>
      <c r="D406" s="6" t="s">
        <v>15</v>
      </c>
      <c r="E406" s="5" t="s">
        <v>251</v>
      </c>
      <c r="F406" s="4">
        <v>39114</v>
      </c>
      <c r="G406" s="4" t="s">
        <v>1</v>
      </c>
      <c r="H406" s="4" t="s">
        <v>1</v>
      </c>
      <c r="I406" s="3" t="s">
        <v>13</v>
      </c>
      <c r="J406" s="3" t="s">
        <v>133</v>
      </c>
      <c r="K406" s="3" t="s">
        <v>25</v>
      </c>
      <c r="L406" s="3" t="s">
        <v>24</v>
      </c>
      <c r="M406" s="3" t="s">
        <v>199</v>
      </c>
      <c r="N406" s="3" t="s">
        <v>3360</v>
      </c>
      <c r="O406" s="3" t="s">
        <v>128</v>
      </c>
      <c r="P406" s="3" t="s">
        <v>6</v>
      </c>
      <c r="Q406" s="3" t="s">
        <v>5</v>
      </c>
      <c r="R406" s="3" t="s">
        <v>4</v>
      </c>
      <c r="S406" s="3" t="s">
        <v>3</v>
      </c>
      <c r="T406" s="3" t="s">
        <v>2</v>
      </c>
      <c r="U406" s="3" t="s">
        <v>1</v>
      </c>
      <c r="V406" s="3" t="s">
        <v>0</v>
      </c>
      <c r="W406" s="2">
        <v>38</v>
      </c>
    </row>
    <row r="407" spans="1:23" hidden="1" x14ac:dyDescent="0.25">
      <c r="A407" s="8">
        <v>5767</v>
      </c>
      <c r="B407" s="8" t="s">
        <v>3359</v>
      </c>
      <c r="C407" s="7" t="s">
        <v>3358</v>
      </c>
      <c r="D407" s="6" t="s">
        <v>15</v>
      </c>
      <c r="E407" s="5" t="s">
        <v>251</v>
      </c>
      <c r="F407" s="4">
        <v>39114</v>
      </c>
      <c r="G407" s="4" t="s">
        <v>1</v>
      </c>
      <c r="H407" s="4" t="s">
        <v>1</v>
      </c>
      <c r="I407" s="3" t="s">
        <v>145</v>
      </c>
      <c r="J407" s="3" t="s">
        <v>34</v>
      </c>
      <c r="K407" s="3" t="s">
        <v>33</v>
      </c>
      <c r="L407" s="3" t="s">
        <v>33</v>
      </c>
      <c r="M407" s="3" t="s">
        <v>161</v>
      </c>
      <c r="N407" s="3" t="s">
        <v>1657</v>
      </c>
      <c r="O407" s="3" t="s">
        <v>29</v>
      </c>
      <c r="P407" s="3" t="s">
        <v>30</v>
      </c>
      <c r="Q407" s="3" t="s">
        <v>20</v>
      </c>
      <c r="R407" s="3" t="s">
        <v>4</v>
      </c>
      <c r="S407" s="3" t="s">
        <v>3</v>
      </c>
      <c r="T407" s="3" t="s">
        <v>29</v>
      </c>
      <c r="U407" s="3" t="s">
        <v>1</v>
      </c>
      <c r="V407" s="3" t="s">
        <v>0</v>
      </c>
      <c r="W407" s="2">
        <v>39</v>
      </c>
    </row>
    <row r="408" spans="1:23" hidden="1" x14ac:dyDescent="0.25">
      <c r="A408" s="8">
        <v>11990</v>
      </c>
      <c r="B408" s="8" t="s">
        <v>3357</v>
      </c>
      <c r="C408" s="7" t="s">
        <v>3356</v>
      </c>
      <c r="D408" s="6" t="s">
        <v>15</v>
      </c>
      <c r="E408" s="5" t="s">
        <v>1752</v>
      </c>
      <c r="F408" s="4">
        <v>40777</v>
      </c>
      <c r="G408" s="4" t="s">
        <v>1</v>
      </c>
      <c r="H408" s="4" t="s">
        <v>1</v>
      </c>
      <c r="I408" s="3" t="s">
        <v>13</v>
      </c>
      <c r="J408" s="3" t="s">
        <v>133</v>
      </c>
      <c r="K408" s="3" t="s">
        <v>63</v>
      </c>
      <c r="L408" s="3" t="s">
        <v>1634</v>
      </c>
      <c r="M408" s="3" t="s">
        <v>1633</v>
      </c>
      <c r="N408" s="3" t="s">
        <v>3355</v>
      </c>
      <c r="O408" s="3" t="s">
        <v>1726</v>
      </c>
      <c r="P408" s="3" t="s">
        <v>72</v>
      </c>
      <c r="Q408" s="3" t="s">
        <v>5</v>
      </c>
      <c r="R408" s="3" t="s">
        <v>4</v>
      </c>
      <c r="S408" s="3" t="s">
        <v>3</v>
      </c>
      <c r="T408" s="3" t="s">
        <v>2</v>
      </c>
      <c r="U408" s="3" t="s">
        <v>1</v>
      </c>
      <c r="V408" s="3" t="s">
        <v>0</v>
      </c>
      <c r="W408" s="2">
        <v>32</v>
      </c>
    </row>
    <row r="409" spans="1:23" hidden="1" x14ac:dyDescent="0.25">
      <c r="A409" s="8">
        <v>5772</v>
      </c>
      <c r="B409" s="8" t="s">
        <v>3354</v>
      </c>
      <c r="C409" s="7" t="s">
        <v>3353</v>
      </c>
      <c r="D409" s="6" t="s">
        <v>15</v>
      </c>
      <c r="E409" s="5" t="s">
        <v>251</v>
      </c>
      <c r="F409" s="4">
        <v>39114</v>
      </c>
      <c r="G409" s="4" t="s">
        <v>1</v>
      </c>
      <c r="H409" s="4" t="s">
        <v>1</v>
      </c>
      <c r="I409" s="3" t="s">
        <v>13</v>
      </c>
      <c r="J409" s="3" t="s">
        <v>12</v>
      </c>
      <c r="K409" s="3" t="s">
        <v>758</v>
      </c>
      <c r="L409" s="3" t="s">
        <v>757</v>
      </c>
      <c r="M409" s="3" t="s">
        <v>756</v>
      </c>
      <c r="N409" s="3" t="s">
        <v>1299</v>
      </c>
      <c r="O409" s="3" t="s">
        <v>67</v>
      </c>
      <c r="P409" s="3" t="s">
        <v>6</v>
      </c>
      <c r="Q409" s="3" t="s">
        <v>5</v>
      </c>
      <c r="R409" s="3" t="s">
        <v>4</v>
      </c>
      <c r="S409" s="3" t="s">
        <v>3</v>
      </c>
      <c r="T409" s="3" t="s">
        <v>2</v>
      </c>
      <c r="U409" s="3" t="s">
        <v>1</v>
      </c>
      <c r="V409" s="3" t="s">
        <v>0</v>
      </c>
      <c r="W409" s="2">
        <v>40</v>
      </c>
    </row>
    <row r="410" spans="1:23" hidden="1" x14ac:dyDescent="0.25">
      <c r="A410" s="8">
        <v>12641</v>
      </c>
      <c r="B410" s="8" t="s">
        <v>3352</v>
      </c>
      <c r="C410" s="19" t="s">
        <v>3351</v>
      </c>
      <c r="D410" s="6" t="s">
        <v>15</v>
      </c>
      <c r="E410" s="18" t="s">
        <v>149</v>
      </c>
      <c r="F410" s="4">
        <v>40819</v>
      </c>
      <c r="G410" s="4" t="s">
        <v>1</v>
      </c>
      <c r="H410" s="4" t="s">
        <v>1</v>
      </c>
      <c r="I410" s="3" t="s">
        <v>13</v>
      </c>
      <c r="J410" s="3" t="s">
        <v>133</v>
      </c>
      <c r="K410" s="3" t="s">
        <v>63</v>
      </c>
      <c r="L410" s="3" t="s">
        <v>1634</v>
      </c>
      <c r="M410" s="3" t="s">
        <v>1633</v>
      </c>
      <c r="N410" s="3" t="s">
        <v>198</v>
      </c>
      <c r="O410" s="3" t="s">
        <v>184</v>
      </c>
      <c r="P410" s="3" t="s">
        <v>72</v>
      </c>
      <c r="Q410" s="3" t="s">
        <v>20</v>
      </c>
      <c r="R410" s="3" t="s">
        <v>4</v>
      </c>
      <c r="S410" s="3" t="s">
        <v>3</v>
      </c>
      <c r="T410" s="3" t="s">
        <v>2</v>
      </c>
      <c r="U410" s="3" t="s">
        <v>1</v>
      </c>
      <c r="V410" s="3" t="s">
        <v>0</v>
      </c>
      <c r="W410" s="2">
        <v>29</v>
      </c>
    </row>
    <row r="411" spans="1:23" hidden="1" x14ac:dyDescent="0.25">
      <c r="A411" s="8">
        <v>5780</v>
      </c>
      <c r="B411" s="8" t="s">
        <v>3350</v>
      </c>
      <c r="C411" s="19" t="s">
        <v>3349</v>
      </c>
      <c r="D411" s="6" t="s">
        <v>15</v>
      </c>
      <c r="E411" s="18" t="s">
        <v>251</v>
      </c>
      <c r="F411" s="4">
        <v>39114</v>
      </c>
      <c r="G411" s="4" t="s">
        <v>1</v>
      </c>
      <c r="H411" s="4" t="s">
        <v>1</v>
      </c>
      <c r="I411" s="3" t="s">
        <v>13</v>
      </c>
      <c r="J411" s="3" t="s">
        <v>133</v>
      </c>
      <c r="K411" s="3" t="s">
        <v>212</v>
      </c>
      <c r="L411" s="3" t="s">
        <v>211</v>
      </c>
      <c r="M411" s="3" t="s">
        <v>210</v>
      </c>
      <c r="N411" s="3" t="s">
        <v>198</v>
      </c>
      <c r="O411" s="3" t="s">
        <v>184</v>
      </c>
      <c r="P411" s="3" t="s">
        <v>6</v>
      </c>
      <c r="Q411" s="3" t="s">
        <v>20</v>
      </c>
      <c r="R411" s="3" t="s">
        <v>4</v>
      </c>
      <c r="S411" s="3" t="s">
        <v>3</v>
      </c>
      <c r="T411" s="3" t="s">
        <v>2</v>
      </c>
      <c r="U411" s="3" t="s">
        <v>1</v>
      </c>
      <c r="V411" s="3" t="s">
        <v>0</v>
      </c>
      <c r="W411" s="2">
        <v>39</v>
      </c>
    </row>
    <row r="412" spans="1:23" hidden="1" x14ac:dyDescent="0.25">
      <c r="A412" s="8">
        <v>5783</v>
      </c>
      <c r="B412" s="8" t="s">
        <v>3348</v>
      </c>
      <c r="C412" s="19" t="s">
        <v>3347</v>
      </c>
      <c r="D412" s="6" t="s">
        <v>15</v>
      </c>
      <c r="E412" s="5" t="s">
        <v>251</v>
      </c>
      <c r="F412" s="4">
        <v>39114</v>
      </c>
      <c r="G412" s="4" t="s">
        <v>1</v>
      </c>
      <c r="H412" s="4" t="s">
        <v>1</v>
      </c>
      <c r="I412" s="3" t="s">
        <v>13</v>
      </c>
      <c r="J412" s="3" t="s">
        <v>12</v>
      </c>
      <c r="K412" s="3" t="s">
        <v>25</v>
      </c>
      <c r="L412" s="3" t="s">
        <v>24</v>
      </c>
      <c r="M412" s="3" t="s">
        <v>23</v>
      </c>
      <c r="N412" s="3" t="s">
        <v>3346</v>
      </c>
      <c r="O412" s="3" t="s">
        <v>258</v>
      </c>
      <c r="P412" s="3" t="s">
        <v>6</v>
      </c>
      <c r="Q412" s="3" t="s">
        <v>5</v>
      </c>
      <c r="R412" s="3" t="s">
        <v>4</v>
      </c>
      <c r="S412" s="3" t="s">
        <v>3</v>
      </c>
      <c r="T412" s="3" t="s">
        <v>2</v>
      </c>
      <c r="U412" s="3" t="s">
        <v>1</v>
      </c>
      <c r="V412" s="3" t="s">
        <v>0</v>
      </c>
      <c r="W412" s="2">
        <v>38</v>
      </c>
    </row>
    <row r="413" spans="1:23" s="78" customFormat="1" hidden="1" x14ac:dyDescent="0.25">
      <c r="A413" s="73">
        <v>21905</v>
      </c>
      <c r="B413" s="73" t="s">
        <v>3345</v>
      </c>
      <c r="C413" s="102" t="s">
        <v>3344</v>
      </c>
      <c r="D413" s="88" t="s">
        <v>15</v>
      </c>
      <c r="E413" s="91" t="s">
        <v>2367</v>
      </c>
      <c r="F413" s="90">
        <v>43103</v>
      </c>
      <c r="G413" s="90" t="s">
        <v>1</v>
      </c>
      <c r="H413" s="90" t="s">
        <v>1</v>
      </c>
      <c r="I413" s="92" t="s">
        <v>13</v>
      </c>
      <c r="J413" s="92" t="s">
        <v>133</v>
      </c>
      <c r="K413" s="92" t="s">
        <v>63</v>
      </c>
      <c r="L413" s="92" t="s">
        <v>1634</v>
      </c>
      <c r="M413" s="92" t="s">
        <v>1633</v>
      </c>
      <c r="N413" s="92" t="s">
        <v>3343</v>
      </c>
      <c r="O413" s="92" t="s">
        <v>453</v>
      </c>
      <c r="P413" s="92" t="s">
        <v>72</v>
      </c>
      <c r="Q413" s="92" t="s">
        <v>5</v>
      </c>
      <c r="R413" s="92" t="s">
        <v>4</v>
      </c>
      <c r="S413" s="92" t="s">
        <v>3</v>
      </c>
      <c r="T413" s="92" t="s">
        <v>2</v>
      </c>
      <c r="U413" s="92" t="s">
        <v>1</v>
      </c>
      <c r="V413" s="92" t="s">
        <v>0</v>
      </c>
      <c r="W413" s="93">
        <v>25</v>
      </c>
    </row>
    <row r="414" spans="1:23" s="78" customFormat="1" hidden="1" x14ac:dyDescent="0.25">
      <c r="A414" s="73">
        <v>5789</v>
      </c>
      <c r="B414" s="73" t="s">
        <v>3342</v>
      </c>
      <c r="C414" s="87" t="s">
        <v>3341</v>
      </c>
      <c r="D414" s="88" t="s">
        <v>15</v>
      </c>
      <c r="E414" s="89" t="s">
        <v>251</v>
      </c>
      <c r="F414" s="90">
        <v>39114</v>
      </c>
      <c r="G414" s="90" t="s">
        <v>1</v>
      </c>
      <c r="H414" s="90" t="s">
        <v>1</v>
      </c>
      <c r="I414" s="92" t="s">
        <v>145</v>
      </c>
      <c r="J414" s="92" t="s">
        <v>34</v>
      </c>
      <c r="K414" s="92" t="s">
        <v>33</v>
      </c>
      <c r="L414" s="92" t="s">
        <v>33</v>
      </c>
      <c r="M414" s="92" t="s">
        <v>144</v>
      </c>
      <c r="N414" s="92" t="s">
        <v>143</v>
      </c>
      <c r="O414" s="92" t="s">
        <v>142</v>
      </c>
      <c r="P414" s="92" t="s">
        <v>72</v>
      </c>
      <c r="Q414" s="92" t="s">
        <v>47</v>
      </c>
      <c r="R414" s="92" t="s">
        <v>4</v>
      </c>
      <c r="S414" s="92" t="s">
        <v>3</v>
      </c>
      <c r="T414" s="92" t="s">
        <v>2</v>
      </c>
      <c r="U414" s="92" t="s">
        <v>1</v>
      </c>
      <c r="V414" s="92" t="s">
        <v>0</v>
      </c>
      <c r="W414" s="93">
        <v>39</v>
      </c>
    </row>
    <row r="415" spans="1:23" hidden="1" x14ac:dyDescent="0.25">
      <c r="A415" s="8" t="s">
        <v>3340</v>
      </c>
      <c r="B415" s="8" t="s">
        <v>3340</v>
      </c>
      <c r="C415" s="7" t="s">
        <v>3339</v>
      </c>
      <c r="D415" s="6" t="s">
        <v>15</v>
      </c>
      <c r="E415" s="5" t="s">
        <v>230</v>
      </c>
      <c r="F415" s="4">
        <v>40889</v>
      </c>
      <c r="G415" s="4" t="s">
        <v>1</v>
      </c>
      <c r="H415" s="4" t="s">
        <v>1</v>
      </c>
      <c r="I415" s="3" t="s">
        <v>13</v>
      </c>
      <c r="J415" s="3" t="s">
        <v>133</v>
      </c>
      <c r="K415" s="3" t="s">
        <v>63</v>
      </c>
      <c r="L415" s="3" t="s">
        <v>1634</v>
      </c>
      <c r="M415" s="3" t="s">
        <v>1633</v>
      </c>
      <c r="N415" s="3" t="s">
        <v>198</v>
      </c>
      <c r="O415" s="3" t="s">
        <v>184</v>
      </c>
      <c r="P415" s="3" t="s">
        <v>72</v>
      </c>
      <c r="Q415" s="3" t="s">
        <v>20</v>
      </c>
      <c r="R415" s="3" t="s">
        <v>4</v>
      </c>
      <c r="S415" s="3" t="s">
        <v>3</v>
      </c>
      <c r="T415" s="3" t="s">
        <v>2</v>
      </c>
      <c r="U415" s="3" t="s">
        <v>1</v>
      </c>
      <c r="V415" s="3" t="s">
        <v>0</v>
      </c>
      <c r="W415" s="2">
        <v>31</v>
      </c>
    </row>
    <row r="416" spans="1:23" s="78" customFormat="1" hidden="1" x14ac:dyDescent="0.25">
      <c r="A416" s="73">
        <v>5794</v>
      </c>
      <c r="B416" s="73" t="s">
        <v>3338</v>
      </c>
      <c r="C416" s="104" t="s">
        <v>3337</v>
      </c>
      <c r="D416" s="88" t="s">
        <v>15</v>
      </c>
      <c r="E416" s="89" t="s">
        <v>251</v>
      </c>
      <c r="F416" s="90">
        <v>39114</v>
      </c>
      <c r="G416" s="90" t="s">
        <v>1</v>
      </c>
      <c r="H416" s="90" t="s">
        <v>1</v>
      </c>
      <c r="I416" s="92" t="s">
        <v>145</v>
      </c>
      <c r="J416" s="92" t="s">
        <v>12</v>
      </c>
      <c r="K416" s="92" t="s">
        <v>25</v>
      </c>
      <c r="L416" s="92" t="s">
        <v>24</v>
      </c>
      <c r="M416" s="92" t="s">
        <v>23</v>
      </c>
      <c r="N416" s="92" t="s">
        <v>269</v>
      </c>
      <c r="O416" s="92" t="s">
        <v>29</v>
      </c>
      <c r="P416" s="92" t="s">
        <v>72</v>
      </c>
      <c r="Q416" s="92" t="s">
        <v>20</v>
      </c>
      <c r="R416" s="92" t="s">
        <v>4</v>
      </c>
      <c r="S416" s="92" t="s">
        <v>3</v>
      </c>
      <c r="T416" s="92" t="s">
        <v>29</v>
      </c>
      <c r="U416" s="92" t="s">
        <v>1</v>
      </c>
      <c r="V416" s="92" t="s">
        <v>0</v>
      </c>
      <c r="W416" s="93">
        <v>40</v>
      </c>
    </row>
    <row r="417" spans="1:24" s="78" customFormat="1" hidden="1" x14ac:dyDescent="0.25">
      <c r="A417" s="73">
        <v>315</v>
      </c>
      <c r="B417" s="73" t="s">
        <v>3336</v>
      </c>
      <c r="C417" s="87" t="s">
        <v>3335</v>
      </c>
      <c r="D417" s="88" t="s">
        <v>15</v>
      </c>
      <c r="E417" s="89" t="s">
        <v>301</v>
      </c>
      <c r="F417" s="90">
        <v>37725</v>
      </c>
      <c r="G417" s="90" t="s">
        <v>1</v>
      </c>
      <c r="H417" s="90" t="s">
        <v>1</v>
      </c>
      <c r="I417" s="92" t="s">
        <v>13</v>
      </c>
      <c r="J417" s="92" t="s">
        <v>133</v>
      </c>
      <c r="K417" s="92" t="s">
        <v>283</v>
      </c>
      <c r="L417" s="92" t="s">
        <v>999</v>
      </c>
      <c r="M417" s="92" t="s">
        <v>998</v>
      </c>
      <c r="N417" s="92" t="s">
        <v>3296</v>
      </c>
      <c r="O417" s="92" t="s">
        <v>100</v>
      </c>
      <c r="P417" s="92" t="s">
        <v>72</v>
      </c>
      <c r="Q417" s="92" t="s">
        <v>20</v>
      </c>
      <c r="R417" s="92" t="s">
        <v>4</v>
      </c>
      <c r="S417" s="92" t="s">
        <v>3</v>
      </c>
      <c r="T417" s="92" t="s">
        <v>2</v>
      </c>
      <c r="U417" s="92" t="s">
        <v>1</v>
      </c>
      <c r="V417" s="92" t="s">
        <v>0</v>
      </c>
      <c r="W417" s="93">
        <v>42</v>
      </c>
    </row>
    <row r="418" spans="1:24" hidden="1" x14ac:dyDescent="0.25">
      <c r="A418" s="8">
        <v>5797</v>
      </c>
      <c r="B418" s="8" t="s">
        <v>3334</v>
      </c>
      <c r="C418" s="7" t="s">
        <v>3333</v>
      </c>
      <c r="D418" s="6" t="s">
        <v>15</v>
      </c>
      <c r="E418" s="5" t="s">
        <v>251</v>
      </c>
      <c r="F418" s="4">
        <v>39114</v>
      </c>
      <c r="G418" s="4" t="s">
        <v>1</v>
      </c>
      <c r="H418" s="4" t="s">
        <v>1</v>
      </c>
      <c r="I418" s="3" t="s">
        <v>13</v>
      </c>
      <c r="J418" s="3" t="s">
        <v>133</v>
      </c>
      <c r="K418" s="3" t="s">
        <v>63</v>
      </c>
      <c r="L418" s="3" t="s">
        <v>1634</v>
      </c>
      <c r="M418" s="3" t="s">
        <v>1633</v>
      </c>
      <c r="N418" s="3" t="s">
        <v>3332</v>
      </c>
      <c r="O418" s="3" t="s">
        <v>128</v>
      </c>
      <c r="P418" s="3" t="s">
        <v>6</v>
      </c>
      <c r="Q418" s="3" t="s">
        <v>5</v>
      </c>
      <c r="R418" s="3" t="s">
        <v>4</v>
      </c>
      <c r="S418" s="3" t="s">
        <v>3</v>
      </c>
      <c r="T418" s="3" t="s">
        <v>2</v>
      </c>
      <c r="U418" s="3" t="s">
        <v>1</v>
      </c>
      <c r="V418" s="3" t="s">
        <v>0</v>
      </c>
      <c r="W418" s="2">
        <v>38</v>
      </c>
    </row>
    <row r="419" spans="1:24" hidden="1" x14ac:dyDescent="0.25">
      <c r="A419" s="8">
        <v>5799</v>
      </c>
      <c r="B419" s="8" t="s">
        <v>3331</v>
      </c>
      <c r="C419" s="7" t="s">
        <v>3330</v>
      </c>
      <c r="D419" s="6" t="s">
        <v>15</v>
      </c>
      <c r="E419" s="5" t="s">
        <v>251</v>
      </c>
      <c r="F419" s="4">
        <v>39114</v>
      </c>
      <c r="G419" s="4" t="s">
        <v>1</v>
      </c>
      <c r="H419" s="4" t="s">
        <v>1</v>
      </c>
      <c r="I419" s="3" t="s">
        <v>384</v>
      </c>
      <c r="J419" s="3" t="s">
        <v>2360</v>
      </c>
      <c r="K419" s="3" t="s">
        <v>33</v>
      </c>
      <c r="L419" s="3" t="s">
        <v>33</v>
      </c>
      <c r="M419" s="3" t="s">
        <v>2360</v>
      </c>
      <c r="N419" s="3" t="s">
        <v>1708</v>
      </c>
      <c r="O419" s="3" t="s">
        <v>387</v>
      </c>
      <c r="P419" s="3" t="s">
        <v>30</v>
      </c>
      <c r="Q419" s="3" t="s">
        <v>47</v>
      </c>
      <c r="R419" s="3" t="s">
        <v>4</v>
      </c>
      <c r="S419" s="3" t="s">
        <v>3</v>
      </c>
      <c r="T419" s="3" t="s">
        <v>2</v>
      </c>
      <c r="U419" s="3" t="s">
        <v>1</v>
      </c>
      <c r="V419" s="3" t="s">
        <v>0</v>
      </c>
      <c r="W419" s="2">
        <v>39</v>
      </c>
    </row>
    <row r="420" spans="1:24" hidden="1" x14ac:dyDescent="0.25">
      <c r="A420" s="8">
        <v>498</v>
      </c>
      <c r="B420" s="8" t="s">
        <v>3329</v>
      </c>
      <c r="C420" s="7" t="s">
        <v>3328</v>
      </c>
      <c r="D420" s="6" t="s">
        <v>15</v>
      </c>
      <c r="E420" s="5" t="s">
        <v>3249</v>
      </c>
      <c r="F420" s="4">
        <v>37760</v>
      </c>
      <c r="G420" s="4" t="s">
        <v>1</v>
      </c>
      <c r="H420" s="4" t="s">
        <v>1</v>
      </c>
      <c r="I420" s="3" t="s">
        <v>13</v>
      </c>
      <c r="J420" s="3" t="s">
        <v>133</v>
      </c>
      <c r="K420" s="3" t="s">
        <v>283</v>
      </c>
      <c r="L420" s="3" t="s">
        <v>999</v>
      </c>
      <c r="M420" s="3" t="s">
        <v>998</v>
      </c>
      <c r="N420" s="3" t="s">
        <v>3327</v>
      </c>
      <c r="O420" s="3" t="s">
        <v>100</v>
      </c>
      <c r="P420" s="3" t="s">
        <v>72</v>
      </c>
      <c r="Q420" s="3" t="s">
        <v>20</v>
      </c>
      <c r="R420" s="3" t="s">
        <v>4</v>
      </c>
      <c r="S420" s="3" t="s">
        <v>3</v>
      </c>
      <c r="T420" s="3" t="s">
        <v>2</v>
      </c>
      <c r="U420" s="3" t="s">
        <v>1</v>
      </c>
      <c r="V420" s="3" t="s">
        <v>0</v>
      </c>
      <c r="W420" s="2">
        <v>42</v>
      </c>
    </row>
    <row r="421" spans="1:24" hidden="1" x14ac:dyDescent="0.25">
      <c r="A421" s="8">
        <v>5802</v>
      </c>
      <c r="B421" s="8" t="s">
        <v>3326</v>
      </c>
      <c r="C421" s="7" t="s">
        <v>3325</v>
      </c>
      <c r="D421" s="6" t="s">
        <v>15</v>
      </c>
      <c r="E421" s="5" t="s">
        <v>251</v>
      </c>
      <c r="F421" s="4">
        <v>39114</v>
      </c>
      <c r="G421" s="4" t="s">
        <v>1</v>
      </c>
      <c r="H421" s="4" t="s">
        <v>1</v>
      </c>
      <c r="I421" s="3" t="s">
        <v>13</v>
      </c>
      <c r="J421" s="3" t="s">
        <v>12</v>
      </c>
      <c r="K421" s="3" t="s">
        <v>262</v>
      </c>
      <c r="L421" s="3" t="s">
        <v>261</v>
      </c>
      <c r="M421" s="3" t="s">
        <v>260</v>
      </c>
      <c r="N421" s="3" t="s">
        <v>1313</v>
      </c>
      <c r="O421" s="3" t="s">
        <v>7</v>
      </c>
      <c r="P421" s="3" t="s">
        <v>6</v>
      </c>
      <c r="Q421" s="3" t="s">
        <v>5</v>
      </c>
      <c r="R421" s="3" t="s">
        <v>4</v>
      </c>
      <c r="S421" s="3" t="s">
        <v>3</v>
      </c>
      <c r="T421" s="3" t="s">
        <v>2</v>
      </c>
      <c r="U421" s="3" t="s">
        <v>1</v>
      </c>
      <c r="V421" s="3" t="s">
        <v>0</v>
      </c>
      <c r="W421" s="2">
        <v>39</v>
      </c>
    </row>
    <row r="422" spans="1:24" hidden="1" x14ac:dyDescent="0.25">
      <c r="A422" s="8">
        <v>5803</v>
      </c>
      <c r="B422" s="8" t="s">
        <v>3324</v>
      </c>
      <c r="C422" s="7" t="s">
        <v>3323</v>
      </c>
      <c r="D422" s="6" t="s">
        <v>15</v>
      </c>
      <c r="E422" s="5" t="s">
        <v>251</v>
      </c>
      <c r="F422" s="4">
        <v>39114</v>
      </c>
      <c r="G422" s="4" t="s">
        <v>1</v>
      </c>
      <c r="H422" s="4" t="s">
        <v>1</v>
      </c>
      <c r="I422" s="3" t="s">
        <v>13</v>
      </c>
      <c r="J422" s="3" t="s">
        <v>133</v>
      </c>
      <c r="K422" s="3" t="s">
        <v>11</v>
      </c>
      <c r="L422" s="3" t="s">
        <v>10</v>
      </c>
      <c r="M422" s="3" t="s">
        <v>290</v>
      </c>
      <c r="N422" s="3" t="s">
        <v>870</v>
      </c>
      <c r="O422" s="3" t="s">
        <v>21</v>
      </c>
      <c r="P422" s="3" t="s">
        <v>6</v>
      </c>
      <c r="Q422" s="3" t="s">
        <v>20</v>
      </c>
      <c r="R422" s="3" t="s">
        <v>4</v>
      </c>
      <c r="S422" s="3" t="s">
        <v>3</v>
      </c>
      <c r="T422" s="3" t="s">
        <v>2</v>
      </c>
      <c r="U422" s="3" t="s">
        <v>1</v>
      </c>
      <c r="V422" s="3" t="s">
        <v>0</v>
      </c>
      <c r="W422" s="2">
        <v>38</v>
      </c>
    </row>
    <row r="423" spans="1:24" hidden="1" x14ac:dyDescent="0.25">
      <c r="A423" s="8">
        <v>1144</v>
      </c>
      <c r="B423" s="8" t="s">
        <v>3322</v>
      </c>
      <c r="C423" s="7" t="s">
        <v>3321</v>
      </c>
      <c r="D423" s="6" t="s">
        <v>15</v>
      </c>
      <c r="E423" s="5" t="s">
        <v>556</v>
      </c>
      <c r="F423" s="4">
        <v>37900</v>
      </c>
      <c r="G423" s="4" t="s">
        <v>1</v>
      </c>
      <c r="H423" s="4" t="s">
        <v>1</v>
      </c>
      <c r="I423" s="3" t="s">
        <v>13</v>
      </c>
      <c r="J423" s="3" t="s">
        <v>133</v>
      </c>
      <c r="K423" s="3" t="s">
        <v>283</v>
      </c>
      <c r="L423" s="3" t="s">
        <v>999</v>
      </c>
      <c r="M423" s="3" t="s">
        <v>998</v>
      </c>
      <c r="N423" s="3" t="s">
        <v>3320</v>
      </c>
      <c r="O423" s="3" t="s">
        <v>100</v>
      </c>
      <c r="P423" s="3" t="s">
        <v>72</v>
      </c>
      <c r="Q423" s="3" t="s">
        <v>20</v>
      </c>
      <c r="R423" s="3" t="s">
        <v>4</v>
      </c>
      <c r="S423" s="3" t="s">
        <v>3</v>
      </c>
      <c r="T423" s="3" t="s">
        <v>2</v>
      </c>
      <c r="U423" s="3" t="s">
        <v>1</v>
      </c>
      <c r="V423" s="3" t="s">
        <v>0</v>
      </c>
      <c r="W423" s="2">
        <v>40</v>
      </c>
    </row>
    <row r="424" spans="1:24" s="78" customFormat="1" hidden="1" x14ac:dyDescent="0.25">
      <c r="A424" s="73">
        <v>5786</v>
      </c>
      <c r="B424" s="73" t="s">
        <v>3319</v>
      </c>
      <c r="C424" s="87" t="s">
        <v>3318</v>
      </c>
      <c r="D424" s="88" t="s">
        <v>15</v>
      </c>
      <c r="E424" s="89" t="s">
        <v>251</v>
      </c>
      <c r="F424" s="90">
        <v>39114</v>
      </c>
      <c r="G424" s="90" t="s">
        <v>1</v>
      </c>
      <c r="H424" s="90" t="s">
        <v>1</v>
      </c>
      <c r="I424" s="92" t="s">
        <v>13</v>
      </c>
      <c r="J424" s="92" t="s">
        <v>133</v>
      </c>
      <c r="K424" s="92" t="s">
        <v>283</v>
      </c>
      <c r="L424" s="92" t="s">
        <v>999</v>
      </c>
      <c r="M424" s="92" t="s">
        <v>998</v>
      </c>
      <c r="N424" s="92" t="s">
        <v>3296</v>
      </c>
      <c r="O424" s="92" t="s">
        <v>100</v>
      </c>
      <c r="P424" s="92" t="s">
        <v>72</v>
      </c>
      <c r="Q424" s="92" t="s">
        <v>20</v>
      </c>
      <c r="R424" s="92" t="s">
        <v>4</v>
      </c>
      <c r="S424" s="92" t="s">
        <v>3</v>
      </c>
      <c r="T424" s="92" t="s">
        <v>2</v>
      </c>
      <c r="U424" s="92" t="s">
        <v>1</v>
      </c>
      <c r="V424" s="92" t="s">
        <v>0</v>
      </c>
      <c r="W424" s="93">
        <v>40</v>
      </c>
    </row>
    <row r="425" spans="1:24" hidden="1" x14ac:dyDescent="0.25">
      <c r="A425" s="8">
        <v>5819</v>
      </c>
      <c r="B425" s="8" t="s">
        <v>3317</v>
      </c>
      <c r="C425" s="7" t="s">
        <v>3316</v>
      </c>
      <c r="D425" s="6" t="s">
        <v>15</v>
      </c>
      <c r="E425" s="5" t="s">
        <v>251</v>
      </c>
      <c r="F425" s="4">
        <v>39114</v>
      </c>
      <c r="G425" s="4" t="s">
        <v>1</v>
      </c>
      <c r="H425" s="4" t="s">
        <v>1</v>
      </c>
      <c r="I425" s="3" t="s">
        <v>13</v>
      </c>
      <c r="J425" s="3" t="s">
        <v>133</v>
      </c>
      <c r="K425" s="3" t="s">
        <v>187</v>
      </c>
      <c r="L425" s="3" t="s">
        <v>187</v>
      </c>
      <c r="M425" s="3" t="s">
        <v>186</v>
      </c>
      <c r="N425" s="3" t="s">
        <v>779</v>
      </c>
      <c r="O425" s="3" t="s">
        <v>453</v>
      </c>
      <c r="P425" s="3" t="s">
        <v>6</v>
      </c>
      <c r="Q425" s="3" t="s">
        <v>5</v>
      </c>
      <c r="R425" s="3" t="s">
        <v>4</v>
      </c>
      <c r="S425" s="3" t="s">
        <v>3</v>
      </c>
      <c r="T425" s="3" t="s">
        <v>2</v>
      </c>
      <c r="U425" s="3" t="s">
        <v>1</v>
      </c>
      <c r="V425" s="3" t="s">
        <v>0</v>
      </c>
      <c r="W425" s="2">
        <v>38</v>
      </c>
    </row>
    <row r="426" spans="1:24" hidden="1" x14ac:dyDescent="0.25">
      <c r="A426" s="8">
        <v>8683</v>
      </c>
      <c r="B426" s="8" t="s">
        <v>3315</v>
      </c>
      <c r="C426" s="7" t="s">
        <v>3314</v>
      </c>
      <c r="D426" s="6" t="s">
        <v>15</v>
      </c>
      <c r="E426" s="5" t="s">
        <v>1338</v>
      </c>
      <c r="F426" s="4">
        <v>39888</v>
      </c>
      <c r="G426" s="4" t="s">
        <v>1</v>
      </c>
      <c r="H426" s="4" t="s">
        <v>1</v>
      </c>
      <c r="I426" s="3" t="s">
        <v>13</v>
      </c>
      <c r="J426" s="3" t="s">
        <v>133</v>
      </c>
      <c r="K426" s="3" t="s">
        <v>283</v>
      </c>
      <c r="L426" s="3" t="s">
        <v>999</v>
      </c>
      <c r="M426" s="3" t="s">
        <v>998</v>
      </c>
      <c r="N426" s="3" t="s">
        <v>3313</v>
      </c>
      <c r="O426" s="3" t="s">
        <v>100</v>
      </c>
      <c r="P426" s="3" t="s">
        <v>72</v>
      </c>
      <c r="Q426" s="3" t="s">
        <v>20</v>
      </c>
      <c r="R426" s="3" t="s">
        <v>4</v>
      </c>
      <c r="S426" s="3" t="s">
        <v>3</v>
      </c>
      <c r="T426" s="3" t="s">
        <v>2</v>
      </c>
      <c r="U426" s="3" t="s">
        <v>1</v>
      </c>
      <c r="V426" s="3" t="s">
        <v>0</v>
      </c>
      <c r="W426" s="2">
        <v>34</v>
      </c>
    </row>
    <row r="427" spans="1:24" hidden="1" x14ac:dyDescent="0.25">
      <c r="A427" s="8">
        <v>5825</v>
      </c>
      <c r="B427" s="8" t="s">
        <v>3312</v>
      </c>
      <c r="C427" s="7" t="s">
        <v>3311</v>
      </c>
      <c r="D427" s="6" t="s">
        <v>15</v>
      </c>
      <c r="E427" s="5" t="s">
        <v>251</v>
      </c>
      <c r="F427" s="4">
        <v>39114</v>
      </c>
      <c r="G427" s="4" t="s">
        <v>1</v>
      </c>
      <c r="H427" s="4" t="s">
        <v>1</v>
      </c>
      <c r="I427" s="3" t="s">
        <v>145</v>
      </c>
      <c r="J427" s="3" t="s">
        <v>34</v>
      </c>
      <c r="K427" s="3" t="s">
        <v>33</v>
      </c>
      <c r="L427" s="3" t="s">
        <v>282</v>
      </c>
      <c r="M427" s="3" t="s">
        <v>953</v>
      </c>
      <c r="N427" s="3" t="s">
        <v>952</v>
      </c>
      <c r="O427" s="3" t="s">
        <v>39</v>
      </c>
      <c r="P427" s="3" t="s">
        <v>30</v>
      </c>
      <c r="Q427" s="3" t="s">
        <v>20</v>
      </c>
      <c r="R427" s="3" t="s">
        <v>4</v>
      </c>
      <c r="S427" s="3" t="s">
        <v>3</v>
      </c>
      <c r="T427" s="3" t="s">
        <v>38</v>
      </c>
      <c r="U427" s="3" t="s">
        <v>1</v>
      </c>
      <c r="V427" s="3" t="s">
        <v>18</v>
      </c>
      <c r="W427" s="2">
        <v>39</v>
      </c>
    </row>
    <row r="428" spans="1:24" hidden="1" x14ac:dyDescent="0.25">
      <c r="A428" s="8">
        <v>5828</v>
      </c>
      <c r="B428" s="8" t="s">
        <v>3310</v>
      </c>
      <c r="C428" s="7" t="s">
        <v>3309</v>
      </c>
      <c r="D428" s="6" t="s">
        <v>15</v>
      </c>
      <c r="E428" s="5" t="s">
        <v>251</v>
      </c>
      <c r="F428" s="4">
        <v>39114</v>
      </c>
      <c r="G428" s="4" t="s">
        <v>1</v>
      </c>
      <c r="H428" s="4" t="s">
        <v>1</v>
      </c>
      <c r="I428" s="3" t="s">
        <v>145</v>
      </c>
      <c r="J428" s="3" t="s">
        <v>34</v>
      </c>
      <c r="K428" s="3" t="s">
        <v>33</v>
      </c>
      <c r="L428" s="3" t="s">
        <v>33</v>
      </c>
      <c r="M428" s="3" t="s">
        <v>144</v>
      </c>
      <c r="N428" s="3" t="s">
        <v>3308</v>
      </c>
      <c r="O428" s="3" t="s">
        <v>142</v>
      </c>
      <c r="P428" s="3" t="s">
        <v>30</v>
      </c>
      <c r="Q428" s="3" t="s">
        <v>47</v>
      </c>
      <c r="R428" s="3" t="s">
        <v>4</v>
      </c>
      <c r="S428" s="3" t="s">
        <v>3</v>
      </c>
      <c r="T428" s="3" t="s">
        <v>29</v>
      </c>
      <c r="U428" s="3" t="s">
        <v>1</v>
      </c>
      <c r="V428" s="3" t="s">
        <v>18</v>
      </c>
      <c r="W428" s="2">
        <v>41</v>
      </c>
    </row>
    <row r="429" spans="1:24" hidden="1" x14ac:dyDescent="0.25">
      <c r="A429" s="8">
        <v>9450</v>
      </c>
      <c r="B429" s="8" t="s">
        <v>3307</v>
      </c>
      <c r="C429" s="7" t="s">
        <v>3306</v>
      </c>
      <c r="D429" s="6" t="s">
        <v>15</v>
      </c>
      <c r="E429" s="5" t="s">
        <v>491</v>
      </c>
      <c r="F429" s="4">
        <v>40148</v>
      </c>
      <c r="G429" s="4" t="s">
        <v>1</v>
      </c>
      <c r="H429" s="4" t="s">
        <v>1</v>
      </c>
      <c r="I429" s="3" t="s">
        <v>13</v>
      </c>
      <c r="J429" s="3" t="s">
        <v>133</v>
      </c>
      <c r="K429" s="3" t="s">
        <v>283</v>
      </c>
      <c r="L429" s="3" t="s">
        <v>999</v>
      </c>
      <c r="M429" s="3" t="s">
        <v>998</v>
      </c>
      <c r="N429" s="3" t="s">
        <v>1362</v>
      </c>
      <c r="O429" s="3" t="s">
        <v>39</v>
      </c>
      <c r="P429" s="3" t="s">
        <v>72</v>
      </c>
      <c r="Q429" s="3" t="s">
        <v>20</v>
      </c>
      <c r="R429" s="3" t="s">
        <v>4</v>
      </c>
      <c r="S429" s="3" t="s">
        <v>3</v>
      </c>
      <c r="T429" s="3" t="s">
        <v>1361</v>
      </c>
      <c r="U429" s="3" t="s">
        <v>1</v>
      </c>
      <c r="V429" s="3" t="s">
        <v>0</v>
      </c>
      <c r="W429" s="2">
        <v>33</v>
      </c>
    </row>
    <row r="430" spans="1:24" s="9" customFormat="1" hidden="1" x14ac:dyDescent="0.25">
      <c r="A430" s="17">
        <v>9574</v>
      </c>
      <c r="B430" s="17" t="s">
        <v>3305</v>
      </c>
      <c r="C430" s="16" t="s">
        <v>3304</v>
      </c>
      <c r="D430" s="15" t="s">
        <v>15</v>
      </c>
      <c r="E430" s="14" t="s">
        <v>178</v>
      </c>
      <c r="F430" s="13">
        <v>40179</v>
      </c>
      <c r="G430" s="13" t="s">
        <v>1</v>
      </c>
      <c r="H430" s="13" t="s">
        <v>1</v>
      </c>
      <c r="I430" s="12" t="s">
        <v>13</v>
      </c>
      <c r="J430" s="12" t="s">
        <v>133</v>
      </c>
      <c r="K430" s="12" t="s">
        <v>283</v>
      </c>
      <c r="L430" s="12" t="s">
        <v>999</v>
      </c>
      <c r="M430" s="12" t="s">
        <v>998</v>
      </c>
      <c r="N430" s="12" t="s">
        <v>1078</v>
      </c>
      <c r="O430" s="12" t="s">
        <v>29</v>
      </c>
      <c r="P430" s="12" t="s">
        <v>72</v>
      </c>
      <c r="Q430" s="12" t="s">
        <v>20</v>
      </c>
      <c r="R430" s="12" t="s">
        <v>4</v>
      </c>
      <c r="S430" s="12" t="s">
        <v>3</v>
      </c>
      <c r="T430" s="12" t="s">
        <v>1077</v>
      </c>
      <c r="U430" s="12" t="s">
        <v>1</v>
      </c>
      <c r="V430" s="12" t="s">
        <v>18</v>
      </c>
      <c r="W430" s="11">
        <v>35</v>
      </c>
      <c r="X430" s="10"/>
    </row>
    <row r="431" spans="1:24" s="78" customFormat="1" hidden="1" x14ac:dyDescent="0.25">
      <c r="A431" s="73">
        <v>10512</v>
      </c>
      <c r="B431" s="73" t="s">
        <v>3303</v>
      </c>
      <c r="C431" s="87" t="s">
        <v>3302</v>
      </c>
      <c r="D431" s="88" t="s">
        <v>15</v>
      </c>
      <c r="E431" s="89" t="s">
        <v>157</v>
      </c>
      <c r="F431" s="90">
        <v>40535</v>
      </c>
      <c r="G431" s="90" t="s">
        <v>1</v>
      </c>
      <c r="H431" s="90" t="s">
        <v>1</v>
      </c>
      <c r="I431" s="92" t="s">
        <v>13</v>
      </c>
      <c r="J431" s="92" t="s">
        <v>133</v>
      </c>
      <c r="K431" s="92" t="s">
        <v>283</v>
      </c>
      <c r="L431" s="92" t="s">
        <v>999</v>
      </c>
      <c r="M431" s="92" t="s">
        <v>998</v>
      </c>
      <c r="N431" s="92" t="s">
        <v>3301</v>
      </c>
      <c r="O431" s="92" t="s">
        <v>100</v>
      </c>
      <c r="P431" s="92" t="s">
        <v>72</v>
      </c>
      <c r="Q431" s="92" t="s">
        <v>20</v>
      </c>
      <c r="R431" s="92" t="s">
        <v>4</v>
      </c>
      <c r="S431" s="92" t="s">
        <v>3</v>
      </c>
      <c r="T431" s="92" t="s">
        <v>2</v>
      </c>
      <c r="U431" s="92" t="s">
        <v>1</v>
      </c>
      <c r="V431" s="92" t="s">
        <v>0</v>
      </c>
      <c r="W431" s="93">
        <v>32</v>
      </c>
    </row>
    <row r="432" spans="1:24" hidden="1" x14ac:dyDescent="0.25">
      <c r="A432" s="8">
        <v>5882</v>
      </c>
      <c r="B432" s="8" t="s">
        <v>3300</v>
      </c>
      <c r="C432" s="7" t="s">
        <v>3299</v>
      </c>
      <c r="D432" s="6" t="s">
        <v>15</v>
      </c>
      <c r="E432" s="5" t="s">
        <v>248</v>
      </c>
      <c r="F432" s="4">
        <v>39129</v>
      </c>
      <c r="G432" s="4" t="s">
        <v>1</v>
      </c>
      <c r="H432" s="4" t="s">
        <v>1</v>
      </c>
      <c r="I432" s="3" t="s">
        <v>13</v>
      </c>
      <c r="J432" s="3" t="s">
        <v>12</v>
      </c>
      <c r="K432" s="3" t="s">
        <v>283</v>
      </c>
      <c r="L432" s="3" t="s">
        <v>282</v>
      </c>
      <c r="M432" s="3" t="s">
        <v>698</v>
      </c>
      <c r="N432" s="3" t="s">
        <v>1401</v>
      </c>
      <c r="O432" s="3" t="s">
        <v>100</v>
      </c>
      <c r="P432" s="3" t="s">
        <v>6</v>
      </c>
      <c r="Q432" s="3" t="s">
        <v>20</v>
      </c>
      <c r="R432" s="3" t="s">
        <v>4</v>
      </c>
      <c r="S432" s="3" t="s">
        <v>3</v>
      </c>
      <c r="T432" s="3" t="s">
        <v>2</v>
      </c>
      <c r="U432" s="3" t="s">
        <v>1</v>
      </c>
      <c r="V432" s="3" t="s">
        <v>0</v>
      </c>
      <c r="W432" s="2">
        <v>38</v>
      </c>
    </row>
    <row r="433" spans="1:24" s="78" customFormat="1" hidden="1" x14ac:dyDescent="0.25">
      <c r="A433" s="73">
        <v>10870</v>
      </c>
      <c r="B433" s="73" t="s">
        <v>3298</v>
      </c>
      <c r="C433" s="87" t="s">
        <v>3297</v>
      </c>
      <c r="D433" s="88" t="s">
        <v>15</v>
      </c>
      <c r="E433" s="89" t="s">
        <v>1319</v>
      </c>
      <c r="F433" s="90">
        <v>40572</v>
      </c>
      <c r="G433" s="90" t="s">
        <v>1</v>
      </c>
      <c r="H433" s="90" t="s">
        <v>1</v>
      </c>
      <c r="I433" s="92" t="s">
        <v>13</v>
      </c>
      <c r="J433" s="92" t="s">
        <v>133</v>
      </c>
      <c r="K433" s="92" t="s">
        <v>283</v>
      </c>
      <c r="L433" s="92" t="s">
        <v>999</v>
      </c>
      <c r="M433" s="92" t="s">
        <v>998</v>
      </c>
      <c r="N433" s="92" t="s">
        <v>3296</v>
      </c>
      <c r="O433" s="92" t="s">
        <v>100</v>
      </c>
      <c r="P433" s="92" t="s">
        <v>72</v>
      </c>
      <c r="Q433" s="92" t="s">
        <v>20</v>
      </c>
      <c r="R433" s="92" t="s">
        <v>4</v>
      </c>
      <c r="S433" s="92" t="s">
        <v>3</v>
      </c>
      <c r="T433" s="92" t="s">
        <v>2</v>
      </c>
      <c r="U433" s="92" t="s">
        <v>1</v>
      </c>
      <c r="V433" s="92" t="s">
        <v>0</v>
      </c>
      <c r="W433" s="93">
        <v>32</v>
      </c>
    </row>
    <row r="434" spans="1:24" s="78" customFormat="1" hidden="1" x14ac:dyDescent="0.25">
      <c r="A434" s="73">
        <v>11243</v>
      </c>
      <c r="B434" s="73" t="s">
        <v>3295</v>
      </c>
      <c r="C434" s="87" t="s">
        <v>3294</v>
      </c>
      <c r="D434" s="88" t="s">
        <v>15</v>
      </c>
      <c r="E434" s="89" t="s">
        <v>2052</v>
      </c>
      <c r="F434" s="90">
        <v>40617</v>
      </c>
      <c r="G434" s="90" t="s">
        <v>1</v>
      </c>
      <c r="H434" s="90" t="s">
        <v>1</v>
      </c>
      <c r="I434" s="92" t="s">
        <v>13</v>
      </c>
      <c r="J434" s="92" t="s">
        <v>133</v>
      </c>
      <c r="K434" s="92" t="s">
        <v>283</v>
      </c>
      <c r="L434" s="92" t="s">
        <v>999</v>
      </c>
      <c r="M434" s="92" t="s">
        <v>998</v>
      </c>
      <c r="N434" s="92" t="s">
        <v>2602</v>
      </c>
      <c r="O434" s="92" t="s">
        <v>100</v>
      </c>
      <c r="P434" s="92" t="s">
        <v>72</v>
      </c>
      <c r="Q434" s="92" t="s">
        <v>20</v>
      </c>
      <c r="R434" s="92" t="s">
        <v>4</v>
      </c>
      <c r="S434" s="92" t="s">
        <v>3</v>
      </c>
      <c r="T434" s="92" t="s">
        <v>2</v>
      </c>
      <c r="U434" s="92" t="s">
        <v>1</v>
      </c>
      <c r="V434" s="92" t="s">
        <v>0</v>
      </c>
      <c r="W434" s="93">
        <v>32</v>
      </c>
    </row>
    <row r="435" spans="1:24" hidden="1" x14ac:dyDescent="0.25">
      <c r="A435" s="8">
        <v>11372</v>
      </c>
      <c r="B435" s="8" t="s">
        <v>3293</v>
      </c>
      <c r="C435" s="7" t="s">
        <v>3292</v>
      </c>
      <c r="D435" s="6" t="s">
        <v>15</v>
      </c>
      <c r="E435" s="5" t="s">
        <v>2168</v>
      </c>
      <c r="F435" s="4">
        <v>40696</v>
      </c>
      <c r="G435" s="4" t="s">
        <v>1</v>
      </c>
      <c r="H435" s="4" t="s">
        <v>1</v>
      </c>
      <c r="I435" s="3" t="s">
        <v>13</v>
      </c>
      <c r="J435" s="3" t="s">
        <v>133</v>
      </c>
      <c r="K435" s="3" t="s">
        <v>283</v>
      </c>
      <c r="L435" s="3" t="s">
        <v>999</v>
      </c>
      <c r="M435" s="3" t="s">
        <v>998</v>
      </c>
      <c r="N435" s="3" t="s">
        <v>2330</v>
      </c>
      <c r="O435" s="3" t="s">
        <v>100</v>
      </c>
      <c r="P435" s="3" t="s">
        <v>72</v>
      </c>
      <c r="Q435" s="3" t="s">
        <v>20</v>
      </c>
      <c r="R435" s="3" t="s">
        <v>4</v>
      </c>
      <c r="S435" s="3" t="s">
        <v>3</v>
      </c>
      <c r="T435" s="3" t="s">
        <v>2</v>
      </c>
      <c r="U435" s="3" t="s">
        <v>1</v>
      </c>
      <c r="V435" s="3" t="s">
        <v>0</v>
      </c>
      <c r="W435" s="2">
        <v>32</v>
      </c>
    </row>
    <row r="436" spans="1:24" hidden="1" x14ac:dyDescent="0.25">
      <c r="A436" s="8">
        <v>12463</v>
      </c>
      <c r="B436" s="8" t="s">
        <v>3291</v>
      </c>
      <c r="C436" s="19" t="s">
        <v>3290</v>
      </c>
      <c r="D436" s="6" t="s">
        <v>15</v>
      </c>
      <c r="E436" s="18" t="s">
        <v>154</v>
      </c>
      <c r="F436" s="4">
        <v>40812</v>
      </c>
      <c r="G436" s="4" t="s">
        <v>1</v>
      </c>
      <c r="H436" s="4" t="s">
        <v>1</v>
      </c>
      <c r="I436" s="3" t="s">
        <v>13</v>
      </c>
      <c r="J436" s="3" t="s">
        <v>133</v>
      </c>
      <c r="K436" s="3" t="s">
        <v>283</v>
      </c>
      <c r="L436" s="3" t="s">
        <v>999</v>
      </c>
      <c r="M436" s="3" t="s">
        <v>998</v>
      </c>
      <c r="N436" s="3" t="s">
        <v>3289</v>
      </c>
      <c r="O436" s="3" t="s">
        <v>100</v>
      </c>
      <c r="P436" s="3" t="s">
        <v>72</v>
      </c>
      <c r="Q436" s="3" t="s">
        <v>20</v>
      </c>
      <c r="R436" s="3" t="s">
        <v>4</v>
      </c>
      <c r="S436" s="3" t="s">
        <v>3</v>
      </c>
      <c r="T436" s="3" t="s">
        <v>2</v>
      </c>
      <c r="U436" s="3" t="s">
        <v>1</v>
      </c>
      <c r="V436" s="3" t="s">
        <v>0</v>
      </c>
      <c r="W436" s="2">
        <v>35</v>
      </c>
    </row>
    <row r="437" spans="1:24" hidden="1" x14ac:dyDescent="0.25">
      <c r="A437" s="8">
        <v>5905</v>
      </c>
      <c r="B437" s="8" t="s">
        <v>3288</v>
      </c>
      <c r="C437" s="7" t="s">
        <v>3287</v>
      </c>
      <c r="D437" s="6" t="s">
        <v>15</v>
      </c>
      <c r="E437" s="5" t="s">
        <v>248</v>
      </c>
      <c r="F437" s="4">
        <v>39129</v>
      </c>
      <c r="G437" s="4" t="s">
        <v>1</v>
      </c>
      <c r="H437" s="4" t="s">
        <v>1</v>
      </c>
      <c r="I437" s="5" t="s">
        <v>50</v>
      </c>
      <c r="J437" s="5" t="s">
        <v>75</v>
      </c>
      <c r="K437" s="5" t="s">
        <v>33</v>
      </c>
      <c r="L437" s="5" t="s">
        <v>33</v>
      </c>
      <c r="M437" s="5" t="s">
        <v>75</v>
      </c>
      <c r="N437" s="5" t="s">
        <v>3286</v>
      </c>
      <c r="O437" s="5" t="s">
        <v>3285</v>
      </c>
      <c r="P437" s="5" t="s">
        <v>72</v>
      </c>
      <c r="Q437" s="5" t="s">
        <v>47</v>
      </c>
      <c r="R437" s="3" t="s">
        <v>4</v>
      </c>
      <c r="S437" s="3" t="s">
        <v>3</v>
      </c>
      <c r="T437" s="3" t="s">
        <v>2</v>
      </c>
      <c r="U437" s="3" t="s">
        <v>1</v>
      </c>
      <c r="V437" s="3" t="s">
        <v>18</v>
      </c>
      <c r="W437" s="2">
        <v>40</v>
      </c>
      <c r="X437" s="20"/>
    </row>
    <row r="438" spans="1:24" hidden="1" x14ac:dyDescent="0.25">
      <c r="A438" s="8">
        <v>5906</v>
      </c>
      <c r="B438" s="8" t="s">
        <v>3284</v>
      </c>
      <c r="C438" s="19" t="s">
        <v>2721</v>
      </c>
      <c r="D438" s="6" t="s">
        <v>15</v>
      </c>
      <c r="E438" s="18" t="s">
        <v>248</v>
      </c>
      <c r="F438" s="4">
        <v>39129</v>
      </c>
      <c r="G438" s="4" t="s">
        <v>1</v>
      </c>
      <c r="H438" s="4" t="s">
        <v>1</v>
      </c>
      <c r="I438" s="3" t="s">
        <v>145</v>
      </c>
      <c r="J438" s="3" t="s">
        <v>133</v>
      </c>
      <c r="K438" s="3" t="s">
        <v>879</v>
      </c>
      <c r="L438" s="3" t="s">
        <v>879</v>
      </c>
      <c r="M438" s="3" t="s">
        <v>878</v>
      </c>
      <c r="N438" s="3" t="s">
        <v>209</v>
      </c>
      <c r="O438" s="3" t="s">
        <v>208</v>
      </c>
      <c r="P438" s="3" t="s">
        <v>6</v>
      </c>
      <c r="Q438" s="3" t="s">
        <v>47</v>
      </c>
      <c r="R438" s="3" t="s">
        <v>4</v>
      </c>
      <c r="S438" s="3" t="s">
        <v>3</v>
      </c>
      <c r="T438" s="3" t="s">
        <v>2</v>
      </c>
      <c r="U438" s="3" t="s">
        <v>1</v>
      </c>
      <c r="V438" s="3" t="s">
        <v>0</v>
      </c>
      <c r="W438" s="2">
        <v>39</v>
      </c>
    </row>
    <row r="439" spans="1:24" hidden="1" x14ac:dyDescent="0.25">
      <c r="A439" s="8">
        <v>5912</v>
      </c>
      <c r="B439" s="8" t="s">
        <v>3283</v>
      </c>
      <c r="C439" s="7" t="s">
        <v>3282</v>
      </c>
      <c r="D439" s="6" t="s">
        <v>15</v>
      </c>
      <c r="E439" s="5" t="s">
        <v>248</v>
      </c>
      <c r="F439" s="4">
        <v>39129</v>
      </c>
      <c r="G439" s="4" t="s">
        <v>1</v>
      </c>
      <c r="H439" s="4" t="s">
        <v>1</v>
      </c>
      <c r="I439" s="3" t="s">
        <v>13</v>
      </c>
      <c r="J439" s="3" t="s">
        <v>133</v>
      </c>
      <c r="K439" s="3" t="s">
        <v>63</v>
      </c>
      <c r="L439" s="3" t="s">
        <v>1634</v>
      </c>
      <c r="M439" s="3" t="s">
        <v>1633</v>
      </c>
      <c r="N439" s="3" t="s">
        <v>1078</v>
      </c>
      <c r="O439" s="3" t="s">
        <v>29</v>
      </c>
      <c r="P439" s="3" t="s">
        <v>6</v>
      </c>
      <c r="Q439" s="3" t="s">
        <v>20</v>
      </c>
      <c r="R439" s="3" t="s">
        <v>4</v>
      </c>
      <c r="S439" s="3" t="s">
        <v>3</v>
      </c>
      <c r="T439" s="3" t="s">
        <v>1077</v>
      </c>
      <c r="U439" s="3" t="s">
        <v>1</v>
      </c>
      <c r="V439" s="3" t="s">
        <v>0</v>
      </c>
      <c r="W439" s="2">
        <v>40</v>
      </c>
    </row>
    <row r="440" spans="1:24" hidden="1" x14ac:dyDescent="0.25">
      <c r="A440" s="8">
        <v>5915</v>
      </c>
      <c r="B440" s="8" t="s">
        <v>3281</v>
      </c>
      <c r="C440" s="19" t="s">
        <v>1903</v>
      </c>
      <c r="D440" s="6" t="s">
        <v>15</v>
      </c>
      <c r="E440" s="18" t="s">
        <v>248</v>
      </c>
      <c r="F440" s="4">
        <v>39129</v>
      </c>
      <c r="G440" s="4" t="s">
        <v>1</v>
      </c>
      <c r="H440" s="4" t="s">
        <v>1</v>
      </c>
      <c r="I440" s="3" t="s">
        <v>145</v>
      </c>
      <c r="J440" s="3" t="s">
        <v>12</v>
      </c>
      <c r="K440" s="3" t="s">
        <v>758</v>
      </c>
      <c r="L440" s="3" t="s">
        <v>757</v>
      </c>
      <c r="M440" s="3" t="s">
        <v>756</v>
      </c>
      <c r="N440" s="3" t="s">
        <v>2218</v>
      </c>
      <c r="O440" s="3" t="s">
        <v>2217</v>
      </c>
      <c r="P440" s="3" t="s">
        <v>6</v>
      </c>
      <c r="Q440" s="3" t="s">
        <v>20</v>
      </c>
      <c r="R440" s="3" t="s">
        <v>4</v>
      </c>
      <c r="S440" s="3" t="s">
        <v>3</v>
      </c>
      <c r="T440" s="3" t="s">
        <v>29</v>
      </c>
      <c r="U440" s="3" t="s">
        <v>1</v>
      </c>
      <c r="V440" s="3" t="s">
        <v>0</v>
      </c>
      <c r="W440" s="2">
        <v>39</v>
      </c>
    </row>
    <row r="441" spans="1:24" hidden="1" x14ac:dyDescent="0.25">
      <c r="A441" s="8">
        <v>5923</v>
      </c>
      <c r="B441" s="8" t="s">
        <v>3280</v>
      </c>
      <c r="C441" s="7" t="s">
        <v>3279</v>
      </c>
      <c r="D441" s="6" t="s">
        <v>15</v>
      </c>
      <c r="E441" s="5" t="s">
        <v>248</v>
      </c>
      <c r="F441" s="4">
        <v>39129</v>
      </c>
      <c r="G441" s="4" t="s">
        <v>1</v>
      </c>
      <c r="H441" s="4" t="s">
        <v>1</v>
      </c>
      <c r="I441" s="3" t="s">
        <v>13</v>
      </c>
      <c r="J441" s="3" t="s">
        <v>133</v>
      </c>
      <c r="K441" s="3" t="s">
        <v>187</v>
      </c>
      <c r="L441" s="3" t="s">
        <v>187</v>
      </c>
      <c r="M441" s="3" t="s">
        <v>186</v>
      </c>
      <c r="N441" s="3" t="s">
        <v>3278</v>
      </c>
      <c r="O441" s="3" t="s">
        <v>128</v>
      </c>
      <c r="P441" s="3" t="s">
        <v>6</v>
      </c>
      <c r="Q441" s="3" t="s">
        <v>5</v>
      </c>
      <c r="R441" s="3" t="s">
        <v>4</v>
      </c>
      <c r="S441" s="3" t="s">
        <v>3</v>
      </c>
      <c r="T441" s="3" t="s">
        <v>2</v>
      </c>
      <c r="U441" s="3" t="s">
        <v>1</v>
      </c>
      <c r="V441" s="3" t="s">
        <v>18</v>
      </c>
      <c r="W441" s="2">
        <v>41</v>
      </c>
    </row>
    <row r="442" spans="1:24" s="9" customFormat="1" hidden="1" x14ac:dyDescent="0.25">
      <c r="A442" s="17">
        <v>443</v>
      </c>
      <c r="B442" s="17" t="s">
        <v>3277</v>
      </c>
      <c r="C442" s="16" t="s">
        <v>3276</v>
      </c>
      <c r="D442" s="15" t="s">
        <v>15</v>
      </c>
      <c r="E442" s="14" t="s">
        <v>3275</v>
      </c>
      <c r="F442" s="13">
        <v>37746</v>
      </c>
      <c r="G442" s="13" t="s">
        <v>1</v>
      </c>
      <c r="H442" s="13" t="s">
        <v>1</v>
      </c>
      <c r="I442" s="12" t="s">
        <v>13</v>
      </c>
      <c r="J442" s="12" t="s">
        <v>34</v>
      </c>
      <c r="K442" s="12" t="s">
        <v>33</v>
      </c>
      <c r="L442" s="12" t="s">
        <v>33</v>
      </c>
      <c r="M442" s="12" t="s">
        <v>3265</v>
      </c>
      <c r="N442" s="12" t="s">
        <v>3267</v>
      </c>
      <c r="O442" s="12" t="s">
        <v>29</v>
      </c>
      <c r="P442" s="12" t="s">
        <v>30</v>
      </c>
      <c r="Q442" s="12" t="s">
        <v>20</v>
      </c>
      <c r="R442" s="12" t="s">
        <v>4</v>
      </c>
      <c r="S442" s="12" t="s">
        <v>3</v>
      </c>
      <c r="T442" s="12" t="s">
        <v>29</v>
      </c>
      <c r="U442" s="12" t="s">
        <v>1</v>
      </c>
      <c r="V442" s="12" t="s">
        <v>0</v>
      </c>
      <c r="W442" s="11">
        <v>42</v>
      </c>
      <c r="X442" s="10"/>
    </row>
    <row r="443" spans="1:24" s="78" customFormat="1" hidden="1" x14ac:dyDescent="0.25">
      <c r="A443" s="73">
        <v>641</v>
      </c>
      <c r="B443" s="73" t="s">
        <v>3274</v>
      </c>
      <c r="C443" s="87" t="s">
        <v>3273</v>
      </c>
      <c r="D443" s="88" t="s">
        <v>15</v>
      </c>
      <c r="E443" s="89" t="s">
        <v>97</v>
      </c>
      <c r="F443" s="90">
        <v>37781</v>
      </c>
      <c r="G443" s="90" t="s">
        <v>1</v>
      </c>
      <c r="H443" s="90" t="s">
        <v>1</v>
      </c>
      <c r="I443" s="92" t="s">
        <v>13</v>
      </c>
      <c r="J443" s="92" t="s">
        <v>34</v>
      </c>
      <c r="K443" s="92" t="s">
        <v>33</v>
      </c>
      <c r="L443" s="92" t="s">
        <v>33</v>
      </c>
      <c r="M443" s="92" t="s">
        <v>3265</v>
      </c>
      <c r="N443" s="92" t="s">
        <v>40</v>
      </c>
      <c r="O443" s="92" t="s">
        <v>39</v>
      </c>
      <c r="P443" s="92" t="s">
        <v>30</v>
      </c>
      <c r="Q443" s="92" t="s">
        <v>20</v>
      </c>
      <c r="R443" s="92" t="s">
        <v>4</v>
      </c>
      <c r="S443" s="92" t="s">
        <v>3</v>
      </c>
      <c r="T443" s="92" t="s">
        <v>38</v>
      </c>
      <c r="U443" s="92" t="s">
        <v>1</v>
      </c>
      <c r="V443" s="92" t="s">
        <v>0</v>
      </c>
      <c r="W443" s="93">
        <v>43</v>
      </c>
    </row>
    <row r="444" spans="1:24" s="78" customFormat="1" hidden="1" x14ac:dyDescent="0.25">
      <c r="A444" s="73">
        <v>4851</v>
      </c>
      <c r="B444" s="73" t="s">
        <v>3272</v>
      </c>
      <c r="C444" s="87" t="s">
        <v>3271</v>
      </c>
      <c r="D444" s="88" t="s">
        <v>15</v>
      </c>
      <c r="E444" s="89" t="s">
        <v>553</v>
      </c>
      <c r="F444" s="90">
        <v>38930</v>
      </c>
      <c r="G444" s="90" t="s">
        <v>1</v>
      </c>
      <c r="H444" s="90" t="s">
        <v>1</v>
      </c>
      <c r="I444" s="92" t="s">
        <v>13</v>
      </c>
      <c r="J444" s="92" t="s">
        <v>34</v>
      </c>
      <c r="K444" s="92" t="s">
        <v>33</v>
      </c>
      <c r="L444" s="92" t="s">
        <v>33</v>
      </c>
      <c r="M444" s="92" t="s">
        <v>3265</v>
      </c>
      <c r="N444" s="92" t="s">
        <v>3264</v>
      </c>
      <c r="O444" s="92" t="s">
        <v>100</v>
      </c>
      <c r="P444" s="92" t="s">
        <v>30</v>
      </c>
      <c r="Q444" s="92" t="s">
        <v>20</v>
      </c>
      <c r="R444" s="92" t="s">
        <v>4</v>
      </c>
      <c r="S444" s="92" t="s">
        <v>3</v>
      </c>
      <c r="T444" s="92" t="s">
        <v>88</v>
      </c>
      <c r="U444" s="92" t="s">
        <v>1</v>
      </c>
      <c r="V444" s="92" t="s">
        <v>18</v>
      </c>
      <c r="W444" s="93">
        <v>40</v>
      </c>
    </row>
    <row r="445" spans="1:24" s="78" customFormat="1" hidden="1" x14ac:dyDescent="0.25">
      <c r="A445" s="73">
        <v>5484</v>
      </c>
      <c r="B445" s="73" t="s">
        <v>3270</v>
      </c>
      <c r="C445" s="87" t="s">
        <v>3269</v>
      </c>
      <c r="D445" s="88" t="s">
        <v>15</v>
      </c>
      <c r="E445" s="89" t="s">
        <v>3268</v>
      </c>
      <c r="F445" s="90">
        <v>38991</v>
      </c>
      <c r="G445" s="90" t="s">
        <v>1</v>
      </c>
      <c r="H445" s="90" t="s">
        <v>1</v>
      </c>
      <c r="I445" s="92" t="s">
        <v>13</v>
      </c>
      <c r="J445" s="92" t="s">
        <v>34</v>
      </c>
      <c r="K445" s="92" t="s">
        <v>33</v>
      </c>
      <c r="L445" s="92" t="s">
        <v>33</v>
      </c>
      <c r="M445" s="92" t="s">
        <v>3265</v>
      </c>
      <c r="N445" s="92" t="s">
        <v>3267</v>
      </c>
      <c r="O445" s="92" t="s">
        <v>100</v>
      </c>
      <c r="P445" s="92" t="s">
        <v>30</v>
      </c>
      <c r="Q445" s="92" t="s">
        <v>20</v>
      </c>
      <c r="R445" s="92" t="s">
        <v>4</v>
      </c>
      <c r="S445" s="92" t="s">
        <v>3</v>
      </c>
      <c r="T445" s="92" t="s">
        <v>88</v>
      </c>
      <c r="U445" s="92" t="s">
        <v>1</v>
      </c>
      <c r="V445" s="92" t="s">
        <v>18</v>
      </c>
      <c r="W445" s="93">
        <v>41</v>
      </c>
    </row>
    <row r="446" spans="1:24" s="78" customFormat="1" hidden="1" x14ac:dyDescent="0.25">
      <c r="A446" s="73">
        <v>5738</v>
      </c>
      <c r="B446" s="73" t="s">
        <v>3266</v>
      </c>
      <c r="C446" s="87" t="s">
        <v>2251</v>
      </c>
      <c r="D446" s="88" t="s">
        <v>15</v>
      </c>
      <c r="E446" s="89" t="s">
        <v>527</v>
      </c>
      <c r="F446" s="90">
        <v>39098</v>
      </c>
      <c r="G446" s="90" t="s">
        <v>1</v>
      </c>
      <c r="H446" s="90" t="s">
        <v>1</v>
      </c>
      <c r="I446" s="92" t="s">
        <v>13</v>
      </c>
      <c r="J446" s="92" t="s">
        <v>34</v>
      </c>
      <c r="K446" s="92" t="s">
        <v>33</v>
      </c>
      <c r="L446" s="92" t="s">
        <v>33</v>
      </c>
      <c r="M446" s="92" t="s">
        <v>3265</v>
      </c>
      <c r="N446" s="92" t="s">
        <v>3264</v>
      </c>
      <c r="O446" s="92" t="s">
        <v>29</v>
      </c>
      <c r="P446" s="92" t="s">
        <v>30</v>
      </c>
      <c r="Q446" s="92" t="s">
        <v>20</v>
      </c>
      <c r="R446" s="92" t="s">
        <v>4</v>
      </c>
      <c r="S446" s="92" t="s">
        <v>3</v>
      </c>
      <c r="T446" s="92" t="s">
        <v>29</v>
      </c>
      <c r="U446" s="92" t="s">
        <v>1</v>
      </c>
      <c r="V446" s="92" t="s">
        <v>0</v>
      </c>
      <c r="W446" s="93">
        <v>39</v>
      </c>
    </row>
    <row r="447" spans="1:24" s="78" customFormat="1" hidden="1" x14ac:dyDescent="0.25">
      <c r="A447" s="73">
        <v>340</v>
      </c>
      <c r="B447" s="73" t="s">
        <v>3263</v>
      </c>
      <c r="C447" s="87" t="s">
        <v>1851</v>
      </c>
      <c r="D447" s="88" t="s">
        <v>15</v>
      </c>
      <c r="E447" s="89" t="s">
        <v>301</v>
      </c>
      <c r="F447" s="90">
        <v>37725</v>
      </c>
      <c r="G447" s="90" t="s">
        <v>1</v>
      </c>
      <c r="H447" s="90" t="s">
        <v>1</v>
      </c>
      <c r="I447" s="92" t="s">
        <v>13</v>
      </c>
      <c r="J447" s="92" t="s">
        <v>133</v>
      </c>
      <c r="K447" s="92" t="s">
        <v>2899</v>
      </c>
      <c r="L447" s="92" t="s">
        <v>2899</v>
      </c>
      <c r="M447" s="92" t="s">
        <v>2899</v>
      </c>
      <c r="N447" s="92" t="s">
        <v>1078</v>
      </c>
      <c r="O447" s="92" t="s">
        <v>29</v>
      </c>
      <c r="P447" s="92" t="s">
        <v>72</v>
      </c>
      <c r="Q447" s="92" t="s">
        <v>20</v>
      </c>
      <c r="R447" s="92" t="s">
        <v>4</v>
      </c>
      <c r="S447" s="92" t="s">
        <v>3</v>
      </c>
      <c r="T447" s="92" t="s">
        <v>1077</v>
      </c>
      <c r="U447" s="92" t="s">
        <v>1</v>
      </c>
      <c r="V447" s="92" t="s">
        <v>0</v>
      </c>
      <c r="W447" s="93">
        <v>42</v>
      </c>
    </row>
    <row r="448" spans="1:24" hidden="1" x14ac:dyDescent="0.25">
      <c r="A448" s="8">
        <v>562</v>
      </c>
      <c r="B448" s="8" t="s">
        <v>3262</v>
      </c>
      <c r="C448" s="7" t="s">
        <v>1853</v>
      </c>
      <c r="D448" s="6" t="s">
        <v>15</v>
      </c>
      <c r="E448" s="5" t="s">
        <v>3261</v>
      </c>
      <c r="F448" s="4">
        <v>37774</v>
      </c>
      <c r="G448" s="4" t="s">
        <v>1</v>
      </c>
      <c r="H448" s="4" t="s">
        <v>1</v>
      </c>
      <c r="I448" s="3" t="s">
        <v>13</v>
      </c>
      <c r="J448" s="3" t="s">
        <v>133</v>
      </c>
      <c r="K448" s="3" t="s">
        <v>2899</v>
      </c>
      <c r="L448" s="3" t="s">
        <v>2899</v>
      </c>
      <c r="M448" s="3" t="s">
        <v>2899</v>
      </c>
      <c r="N448" s="3" t="s">
        <v>198</v>
      </c>
      <c r="O448" s="3" t="s">
        <v>184</v>
      </c>
      <c r="P448" s="3" t="s">
        <v>72</v>
      </c>
      <c r="Q448" s="3" t="s">
        <v>20</v>
      </c>
      <c r="R448" s="3" t="s">
        <v>4</v>
      </c>
      <c r="S448" s="3" t="s">
        <v>3</v>
      </c>
      <c r="T448" s="3" t="s">
        <v>2</v>
      </c>
      <c r="U448" s="3" t="s">
        <v>1</v>
      </c>
      <c r="V448" s="3" t="s">
        <v>0</v>
      </c>
      <c r="W448" s="2">
        <v>40</v>
      </c>
    </row>
    <row r="449" spans="1:24" hidden="1" x14ac:dyDescent="0.25">
      <c r="A449" s="8">
        <v>5957</v>
      </c>
      <c r="B449" s="8" t="s">
        <v>3260</v>
      </c>
      <c r="C449" s="7" t="s">
        <v>2337</v>
      </c>
      <c r="D449" s="6" t="s">
        <v>15</v>
      </c>
      <c r="E449" s="5" t="s">
        <v>248</v>
      </c>
      <c r="F449" s="4">
        <v>39129</v>
      </c>
      <c r="G449" s="4" t="s">
        <v>1</v>
      </c>
      <c r="H449" s="4" t="s">
        <v>1</v>
      </c>
      <c r="I449" s="3" t="s">
        <v>13</v>
      </c>
      <c r="J449" s="3" t="s">
        <v>12</v>
      </c>
      <c r="K449" s="3" t="s">
        <v>262</v>
      </c>
      <c r="L449" s="3" t="s">
        <v>261</v>
      </c>
      <c r="M449" s="3" t="s">
        <v>329</v>
      </c>
      <c r="N449" s="3" t="s">
        <v>646</v>
      </c>
      <c r="O449" s="3" t="s">
        <v>67</v>
      </c>
      <c r="P449" s="3" t="s">
        <v>6</v>
      </c>
      <c r="Q449" s="3" t="s">
        <v>5</v>
      </c>
      <c r="R449" s="3" t="s">
        <v>4</v>
      </c>
      <c r="S449" s="3" t="s">
        <v>3</v>
      </c>
      <c r="T449" s="3" t="s">
        <v>2</v>
      </c>
      <c r="U449" s="3" t="s">
        <v>1</v>
      </c>
      <c r="V449" s="3" t="s">
        <v>0</v>
      </c>
      <c r="W449" s="2">
        <v>39</v>
      </c>
    </row>
    <row r="450" spans="1:24" hidden="1" x14ac:dyDescent="0.25">
      <c r="A450" s="8">
        <v>5961</v>
      </c>
      <c r="B450" s="8" t="s">
        <v>3259</v>
      </c>
      <c r="C450" s="19" t="s">
        <v>3258</v>
      </c>
      <c r="D450" s="6" t="s">
        <v>15</v>
      </c>
      <c r="E450" s="18" t="s">
        <v>248</v>
      </c>
      <c r="F450" s="4">
        <v>39129</v>
      </c>
      <c r="G450" s="4" t="s">
        <v>1</v>
      </c>
      <c r="H450" s="4" t="s">
        <v>1</v>
      </c>
      <c r="I450" s="3" t="s">
        <v>13</v>
      </c>
      <c r="J450" s="3" t="s">
        <v>12</v>
      </c>
      <c r="K450" s="3" t="s">
        <v>262</v>
      </c>
      <c r="L450" s="3" t="s">
        <v>261</v>
      </c>
      <c r="M450" s="3" t="s">
        <v>329</v>
      </c>
      <c r="N450" s="3" t="s">
        <v>22</v>
      </c>
      <c r="O450" s="3" t="s">
        <v>21</v>
      </c>
      <c r="P450" s="3" t="s">
        <v>6</v>
      </c>
      <c r="Q450" s="3" t="s">
        <v>20</v>
      </c>
      <c r="R450" s="3" t="s">
        <v>4</v>
      </c>
      <c r="S450" s="3" t="s">
        <v>3</v>
      </c>
      <c r="T450" s="3" t="s">
        <v>2</v>
      </c>
      <c r="U450" s="3" t="s">
        <v>1</v>
      </c>
      <c r="V450" s="3" t="s">
        <v>0</v>
      </c>
      <c r="W450" s="2">
        <v>38</v>
      </c>
    </row>
    <row r="451" spans="1:24" hidden="1" x14ac:dyDescent="0.25">
      <c r="A451" s="8">
        <v>9646</v>
      </c>
      <c r="B451" s="8" t="s">
        <v>3257</v>
      </c>
      <c r="C451" s="7" t="s">
        <v>3256</v>
      </c>
      <c r="D451" s="6" t="s">
        <v>15</v>
      </c>
      <c r="E451" s="5" t="s">
        <v>178</v>
      </c>
      <c r="F451" s="4">
        <v>40179</v>
      </c>
      <c r="G451" s="4" t="s">
        <v>1</v>
      </c>
      <c r="H451" s="4" t="s">
        <v>1</v>
      </c>
      <c r="I451" s="3" t="s">
        <v>13</v>
      </c>
      <c r="J451" s="3" t="s">
        <v>133</v>
      </c>
      <c r="K451" s="3" t="s">
        <v>2899</v>
      </c>
      <c r="L451" s="3" t="s">
        <v>2899</v>
      </c>
      <c r="M451" s="3" t="s">
        <v>2899</v>
      </c>
      <c r="N451" s="3" t="s">
        <v>3255</v>
      </c>
      <c r="O451" s="3" t="s">
        <v>2899</v>
      </c>
      <c r="P451" s="3" t="s">
        <v>72</v>
      </c>
      <c r="Q451" s="3" t="s">
        <v>5</v>
      </c>
      <c r="R451" s="3" t="s">
        <v>4</v>
      </c>
      <c r="S451" s="3" t="s">
        <v>3</v>
      </c>
      <c r="T451" s="3" t="s">
        <v>2</v>
      </c>
      <c r="U451" s="3" t="s">
        <v>1</v>
      </c>
      <c r="V451" s="3" t="s">
        <v>18</v>
      </c>
      <c r="W451" s="2">
        <v>36</v>
      </c>
    </row>
    <row r="452" spans="1:24" s="78" customFormat="1" hidden="1" x14ac:dyDescent="0.25">
      <c r="A452" s="73">
        <v>307</v>
      </c>
      <c r="B452" s="73" t="s">
        <v>3254</v>
      </c>
      <c r="C452" s="87" t="s">
        <v>3253</v>
      </c>
      <c r="D452" s="88" t="s">
        <v>15</v>
      </c>
      <c r="E452" s="89" t="s">
        <v>301</v>
      </c>
      <c r="F452" s="90">
        <v>37725</v>
      </c>
      <c r="G452" s="90" t="s">
        <v>1</v>
      </c>
      <c r="H452" s="90" t="s">
        <v>1</v>
      </c>
      <c r="I452" s="92" t="s">
        <v>13</v>
      </c>
      <c r="J452" s="92" t="s">
        <v>12</v>
      </c>
      <c r="K452" s="92" t="s">
        <v>3159</v>
      </c>
      <c r="L452" s="92" t="s">
        <v>3159</v>
      </c>
      <c r="M452" s="92" t="s">
        <v>3158</v>
      </c>
      <c r="N452" s="92" t="s">
        <v>3252</v>
      </c>
      <c r="O452" s="92" t="s">
        <v>59</v>
      </c>
      <c r="P452" s="92" t="s">
        <v>72</v>
      </c>
      <c r="Q452" s="92" t="s">
        <v>5</v>
      </c>
      <c r="R452" s="92" t="s">
        <v>4</v>
      </c>
      <c r="S452" s="92" t="s">
        <v>3</v>
      </c>
      <c r="T452" s="92" t="s">
        <v>2</v>
      </c>
      <c r="U452" s="92" t="s">
        <v>1</v>
      </c>
      <c r="V452" s="92" t="s">
        <v>0</v>
      </c>
      <c r="W452" s="93">
        <v>40</v>
      </c>
    </row>
    <row r="453" spans="1:24" s="9" customFormat="1" hidden="1" x14ac:dyDescent="0.25">
      <c r="A453" s="17">
        <v>480</v>
      </c>
      <c r="B453" s="17" t="s">
        <v>3251</v>
      </c>
      <c r="C453" s="16" t="s">
        <v>3250</v>
      </c>
      <c r="D453" s="15" t="s">
        <v>15</v>
      </c>
      <c r="E453" s="14" t="s">
        <v>3249</v>
      </c>
      <c r="F453" s="13">
        <v>37760</v>
      </c>
      <c r="G453" s="13" t="s">
        <v>1</v>
      </c>
      <c r="H453" s="13" t="s">
        <v>1</v>
      </c>
      <c r="I453" s="12" t="s">
        <v>13</v>
      </c>
      <c r="J453" s="12" t="s">
        <v>12</v>
      </c>
      <c r="K453" s="12" t="s">
        <v>3159</v>
      </c>
      <c r="L453" s="12" t="s">
        <v>3159</v>
      </c>
      <c r="M453" s="12" t="s">
        <v>3158</v>
      </c>
      <c r="N453" s="12" t="s">
        <v>1362</v>
      </c>
      <c r="O453" s="12" t="s">
        <v>39</v>
      </c>
      <c r="P453" s="12" t="s">
        <v>72</v>
      </c>
      <c r="Q453" s="12" t="s">
        <v>20</v>
      </c>
      <c r="R453" s="12" t="s">
        <v>4</v>
      </c>
      <c r="S453" s="12" t="s">
        <v>3</v>
      </c>
      <c r="T453" s="12" t="s">
        <v>1361</v>
      </c>
      <c r="U453" s="12" t="s">
        <v>1</v>
      </c>
      <c r="V453" s="12" t="s">
        <v>0</v>
      </c>
      <c r="W453" s="11">
        <v>40</v>
      </c>
      <c r="X453" s="10"/>
    </row>
    <row r="454" spans="1:24" hidden="1" x14ac:dyDescent="0.25">
      <c r="A454" s="8">
        <v>5967</v>
      </c>
      <c r="B454" s="8" t="s">
        <v>3248</v>
      </c>
      <c r="C454" s="7" t="s">
        <v>3247</v>
      </c>
      <c r="D454" s="6" t="s">
        <v>15</v>
      </c>
      <c r="E454" s="5" t="s">
        <v>3244</v>
      </c>
      <c r="F454" s="4">
        <v>39129</v>
      </c>
      <c r="G454" s="4" t="s">
        <v>1</v>
      </c>
      <c r="H454" s="4" t="s">
        <v>1</v>
      </c>
      <c r="I454" s="5" t="s">
        <v>93</v>
      </c>
      <c r="J454" s="5" t="s">
        <v>89</v>
      </c>
      <c r="K454" s="5" t="s">
        <v>33</v>
      </c>
      <c r="L454" s="5" t="s">
        <v>33</v>
      </c>
      <c r="M454" s="5" t="s">
        <v>1216</v>
      </c>
      <c r="N454" s="5" t="s">
        <v>1216</v>
      </c>
      <c r="O454" s="5" t="s">
        <v>89</v>
      </c>
      <c r="P454" s="5" t="s">
        <v>6</v>
      </c>
      <c r="Q454" s="5" t="s">
        <v>20</v>
      </c>
      <c r="R454" s="3" t="s">
        <v>4</v>
      </c>
      <c r="S454" s="3" t="s">
        <v>3</v>
      </c>
      <c r="T454" s="3" t="s">
        <v>29</v>
      </c>
      <c r="U454" s="3" t="s">
        <v>1</v>
      </c>
      <c r="V454" s="3" t="s">
        <v>18</v>
      </c>
      <c r="W454" s="2">
        <v>38</v>
      </c>
    </row>
    <row r="455" spans="1:24" hidden="1" x14ac:dyDescent="0.25">
      <c r="A455" s="8">
        <v>5972</v>
      </c>
      <c r="B455" s="8" t="s">
        <v>3246</v>
      </c>
      <c r="C455" s="7" t="s">
        <v>3245</v>
      </c>
      <c r="D455" s="6" t="s">
        <v>15</v>
      </c>
      <c r="E455" s="5" t="s">
        <v>3244</v>
      </c>
      <c r="F455" s="4">
        <v>39129</v>
      </c>
      <c r="G455" s="4" t="s">
        <v>1</v>
      </c>
      <c r="H455" s="4" t="s">
        <v>1</v>
      </c>
      <c r="I455" s="5" t="s">
        <v>93</v>
      </c>
      <c r="J455" s="5" t="s">
        <v>89</v>
      </c>
      <c r="K455" s="5" t="s">
        <v>33</v>
      </c>
      <c r="L455" s="5" t="s">
        <v>33</v>
      </c>
      <c r="M455" s="5" t="s">
        <v>1216</v>
      </c>
      <c r="N455" s="5" t="s">
        <v>1216</v>
      </c>
      <c r="O455" s="5" t="s">
        <v>89</v>
      </c>
      <c r="P455" s="5" t="s">
        <v>6</v>
      </c>
      <c r="Q455" s="5" t="s">
        <v>20</v>
      </c>
      <c r="R455" s="3" t="s">
        <v>4</v>
      </c>
      <c r="S455" s="3" t="s">
        <v>3</v>
      </c>
      <c r="T455" s="3" t="s">
        <v>88</v>
      </c>
      <c r="U455" s="3" t="s">
        <v>1</v>
      </c>
      <c r="V455" s="3" t="s">
        <v>18</v>
      </c>
      <c r="W455" s="2">
        <v>39</v>
      </c>
    </row>
    <row r="456" spans="1:24" hidden="1" x14ac:dyDescent="0.25">
      <c r="A456" s="8">
        <v>5974</v>
      </c>
      <c r="B456" s="8" t="s">
        <v>3243</v>
      </c>
      <c r="C456" s="7" t="s">
        <v>3242</v>
      </c>
      <c r="D456" s="6" t="s">
        <v>15</v>
      </c>
      <c r="E456" s="5" t="s">
        <v>3241</v>
      </c>
      <c r="F456" s="4">
        <v>39129</v>
      </c>
      <c r="G456" s="4" t="s">
        <v>1</v>
      </c>
      <c r="H456" s="4" t="s">
        <v>1</v>
      </c>
      <c r="I456" s="5" t="s">
        <v>50</v>
      </c>
      <c r="J456" s="5" t="s">
        <v>370</v>
      </c>
      <c r="K456" s="5" t="s">
        <v>33</v>
      </c>
      <c r="L456" s="5" t="s">
        <v>33</v>
      </c>
      <c r="M456" s="5" t="s">
        <v>370</v>
      </c>
      <c r="N456" s="5" t="s">
        <v>3240</v>
      </c>
      <c r="O456" s="5" t="s">
        <v>1690</v>
      </c>
      <c r="P456" s="5" t="s">
        <v>30</v>
      </c>
      <c r="Q456" s="5" t="s">
        <v>47</v>
      </c>
      <c r="R456" s="3" t="s">
        <v>4</v>
      </c>
      <c r="S456" s="3" t="s">
        <v>3</v>
      </c>
      <c r="T456" s="3" t="s">
        <v>121</v>
      </c>
      <c r="U456" s="3" t="s">
        <v>1</v>
      </c>
      <c r="V456" s="3" t="s">
        <v>0</v>
      </c>
      <c r="W456" s="2">
        <v>40</v>
      </c>
      <c r="X456" s="20"/>
    </row>
    <row r="457" spans="1:24" s="78" customFormat="1" hidden="1" x14ac:dyDescent="0.25">
      <c r="A457" s="73">
        <v>6029</v>
      </c>
      <c r="B457" s="73" t="s">
        <v>3239</v>
      </c>
      <c r="C457" s="87" t="s">
        <v>3238</v>
      </c>
      <c r="D457" s="88" t="s">
        <v>15</v>
      </c>
      <c r="E457" s="89" t="s">
        <v>237</v>
      </c>
      <c r="F457" s="90">
        <v>39142</v>
      </c>
      <c r="G457" s="90" t="s">
        <v>1</v>
      </c>
      <c r="H457" s="90" t="s">
        <v>1</v>
      </c>
      <c r="I457" s="89" t="s">
        <v>50</v>
      </c>
      <c r="J457" s="89" t="s">
        <v>75</v>
      </c>
      <c r="K457" s="89" t="s">
        <v>33</v>
      </c>
      <c r="L457" s="89" t="s">
        <v>33</v>
      </c>
      <c r="M457" s="89" t="s">
        <v>75</v>
      </c>
      <c r="N457" s="89" t="s">
        <v>3204</v>
      </c>
      <c r="O457" s="89" t="s">
        <v>73</v>
      </c>
      <c r="P457" s="89" t="s">
        <v>72</v>
      </c>
      <c r="Q457" s="89" t="s">
        <v>47</v>
      </c>
      <c r="R457" s="92" t="s">
        <v>4</v>
      </c>
      <c r="S457" s="92" t="s">
        <v>3</v>
      </c>
      <c r="T457" s="92" t="s">
        <v>29</v>
      </c>
      <c r="U457" s="92" t="s">
        <v>1</v>
      </c>
      <c r="V457" s="92" t="s">
        <v>18</v>
      </c>
      <c r="W457" s="93">
        <v>40</v>
      </c>
      <c r="X457" s="94"/>
    </row>
    <row r="458" spans="1:24" s="78" customFormat="1" hidden="1" x14ac:dyDescent="0.25">
      <c r="A458" s="73">
        <v>1271</v>
      </c>
      <c r="B458" s="73" t="s">
        <v>3237</v>
      </c>
      <c r="C458" s="87" t="s">
        <v>2908</v>
      </c>
      <c r="D458" s="88" t="s">
        <v>15</v>
      </c>
      <c r="E458" s="89" t="s">
        <v>1581</v>
      </c>
      <c r="F458" s="90">
        <v>37921</v>
      </c>
      <c r="G458" s="90" t="s">
        <v>1</v>
      </c>
      <c r="H458" s="90" t="s">
        <v>1</v>
      </c>
      <c r="I458" s="92" t="s">
        <v>13</v>
      </c>
      <c r="J458" s="92" t="s">
        <v>12</v>
      </c>
      <c r="K458" s="92" t="s">
        <v>3159</v>
      </c>
      <c r="L458" s="92" t="s">
        <v>3159</v>
      </c>
      <c r="M458" s="92" t="s">
        <v>3158</v>
      </c>
      <c r="N458" s="92" t="s">
        <v>1078</v>
      </c>
      <c r="O458" s="92" t="s">
        <v>29</v>
      </c>
      <c r="P458" s="92" t="s">
        <v>72</v>
      </c>
      <c r="Q458" s="92" t="s">
        <v>20</v>
      </c>
      <c r="R458" s="92" t="s">
        <v>4</v>
      </c>
      <c r="S458" s="92" t="s">
        <v>3</v>
      </c>
      <c r="T458" s="92" t="s">
        <v>1077</v>
      </c>
      <c r="U458" s="92" t="s">
        <v>1</v>
      </c>
      <c r="V458" s="92" t="s">
        <v>0</v>
      </c>
      <c r="W458" s="93">
        <v>40</v>
      </c>
    </row>
    <row r="459" spans="1:24" hidden="1" x14ac:dyDescent="0.25">
      <c r="A459" s="8">
        <v>6032</v>
      </c>
      <c r="B459" s="8" t="s">
        <v>3236</v>
      </c>
      <c r="C459" s="7" t="s">
        <v>3235</v>
      </c>
      <c r="D459" s="6" t="s">
        <v>15</v>
      </c>
      <c r="E459" s="5" t="s">
        <v>237</v>
      </c>
      <c r="F459" s="4">
        <v>39142</v>
      </c>
      <c r="G459" s="4" t="s">
        <v>1</v>
      </c>
      <c r="H459" s="4" t="s">
        <v>1</v>
      </c>
      <c r="I459" s="5" t="s">
        <v>50</v>
      </c>
      <c r="J459" s="5" t="s">
        <v>734</v>
      </c>
      <c r="K459" s="5" t="s">
        <v>33</v>
      </c>
      <c r="L459" s="5" t="s">
        <v>33</v>
      </c>
      <c r="M459" s="5" t="s">
        <v>1072</v>
      </c>
      <c r="N459" s="5" t="s">
        <v>1071</v>
      </c>
      <c r="O459" s="5" t="s">
        <v>734</v>
      </c>
      <c r="P459" s="5" t="s">
        <v>6</v>
      </c>
      <c r="Q459" s="5" t="s">
        <v>47</v>
      </c>
      <c r="R459" s="3" t="s">
        <v>4</v>
      </c>
      <c r="S459" s="3" t="s">
        <v>3</v>
      </c>
      <c r="T459" s="3" t="s">
        <v>2</v>
      </c>
      <c r="U459" s="3" t="s">
        <v>1</v>
      </c>
      <c r="V459" s="3" t="s">
        <v>18</v>
      </c>
      <c r="W459" s="2">
        <v>40</v>
      </c>
    </row>
    <row r="460" spans="1:24" hidden="1" x14ac:dyDescent="0.25">
      <c r="A460" s="8">
        <v>6033</v>
      </c>
      <c r="B460" s="8" t="s">
        <v>3234</v>
      </c>
      <c r="C460" s="7" t="s">
        <v>3233</v>
      </c>
      <c r="D460" s="6" t="s">
        <v>15</v>
      </c>
      <c r="E460" s="5" t="s">
        <v>237</v>
      </c>
      <c r="F460" s="4">
        <v>39142</v>
      </c>
      <c r="G460" s="4" t="s">
        <v>1</v>
      </c>
      <c r="H460" s="4" t="s">
        <v>1</v>
      </c>
      <c r="I460" s="5" t="s">
        <v>384</v>
      </c>
      <c r="J460" s="5" t="s">
        <v>3211</v>
      </c>
      <c r="K460" s="5" t="s">
        <v>33</v>
      </c>
      <c r="L460" s="5" t="s">
        <v>33</v>
      </c>
      <c r="M460" s="5" t="s">
        <v>3211</v>
      </c>
      <c r="N460" s="5" t="s">
        <v>3232</v>
      </c>
      <c r="O460" s="5" t="s">
        <v>2825</v>
      </c>
      <c r="P460" s="5" t="s">
        <v>30</v>
      </c>
      <c r="Q460" s="5" t="s">
        <v>47</v>
      </c>
      <c r="R460" s="3" t="s">
        <v>4</v>
      </c>
      <c r="S460" s="3" t="s">
        <v>3</v>
      </c>
      <c r="T460" s="3" t="s">
        <v>121</v>
      </c>
      <c r="U460" s="3" t="s">
        <v>1</v>
      </c>
      <c r="V460" s="3" t="s">
        <v>0</v>
      </c>
      <c r="W460" s="2">
        <v>39</v>
      </c>
    </row>
    <row r="461" spans="1:24" hidden="1" x14ac:dyDescent="0.25">
      <c r="A461" s="8">
        <v>6036</v>
      </c>
      <c r="B461" s="8" t="s">
        <v>3231</v>
      </c>
      <c r="C461" s="7" t="s">
        <v>3230</v>
      </c>
      <c r="D461" s="6" t="s">
        <v>15</v>
      </c>
      <c r="E461" s="5" t="s">
        <v>237</v>
      </c>
      <c r="F461" s="4">
        <v>39142</v>
      </c>
      <c r="G461" s="4" t="s">
        <v>1</v>
      </c>
      <c r="H461" s="4" t="s">
        <v>1</v>
      </c>
      <c r="I461" s="3" t="s">
        <v>13</v>
      </c>
      <c r="J461" s="3" t="s">
        <v>12</v>
      </c>
      <c r="K461" s="3" t="s">
        <v>283</v>
      </c>
      <c r="L461" s="3" t="s">
        <v>282</v>
      </c>
      <c r="M461" s="3" t="s">
        <v>281</v>
      </c>
      <c r="N461" s="3" t="s">
        <v>3229</v>
      </c>
      <c r="O461" s="3" t="s">
        <v>100</v>
      </c>
      <c r="P461" s="3" t="s">
        <v>6</v>
      </c>
      <c r="Q461" s="3" t="s">
        <v>20</v>
      </c>
      <c r="R461" s="3" t="s">
        <v>4</v>
      </c>
      <c r="S461" s="3" t="s">
        <v>3</v>
      </c>
      <c r="T461" s="3" t="s">
        <v>2</v>
      </c>
      <c r="U461" s="3" t="s">
        <v>1</v>
      </c>
      <c r="V461" s="3" t="s">
        <v>0</v>
      </c>
      <c r="W461" s="2">
        <v>38</v>
      </c>
    </row>
    <row r="462" spans="1:24" hidden="1" x14ac:dyDescent="0.25">
      <c r="A462" s="8">
        <v>6038</v>
      </c>
      <c r="B462" s="8" t="s">
        <v>3228</v>
      </c>
      <c r="C462" s="28" t="s">
        <v>3227</v>
      </c>
      <c r="D462" s="6" t="s">
        <v>15</v>
      </c>
      <c r="E462" s="5" t="s">
        <v>237</v>
      </c>
      <c r="F462" s="4">
        <v>39142</v>
      </c>
      <c r="G462" s="4" t="s">
        <v>1</v>
      </c>
      <c r="H462" s="4" t="s">
        <v>1</v>
      </c>
      <c r="I462" s="5" t="s">
        <v>365</v>
      </c>
      <c r="J462" s="5" t="s">
        <v>918</v>
      </c>
      <c r="K462" s="5" t="s">
        <v>33</v>
      </c>
      <c r="L462" s="5" t="s">
        <v>33</v>
      </c>
      <c r="M462" s="5" t="s">
        <v>918</v>
      </c>
      <c r="N462" s="5" t="s">
        <v>1023</v>
      </c>
      <c r="O462" s="5" t="s">
        <v>918</v>
      </c>
      <c r="P462" s="5" t="s">
        <v>30</v>
      </c>
      <c r="Q462" s="5" t="s">
        <v>121</v>
      </c>
      <c r="R462" s="3" t="s">
        <v>4</v>
      </c>
      <c r="S462" s="3" t="s">
        <v>3</v>
      </c>
      <c r="T462" s="3" t="s">
        <v>38</v>
      </c>
      <c r="U462" s="3" t="s">
        <v>1</v>
      </c>
      <c r="V462" s="3" t="s">
        <v>18</v>
      </c>
      <c r="W462" s="2">
        <v>40</v>
      </c>
    </row>
    <row r="463" spans="1:24" hidden="1" x14ac:dyDescent="0.25">
      <c r="A463" s="8">
        <v>6047</v>
      </c>
      <c r="B463" s="8" t="s">
        <v>3226</v>
      </c>
      <c r="C463" s="7" t="s">
        <v>3225</v>
      </c>
      <c r="D463" s="6" t="s">
        <v>15</v>
      </c>
      <c r="E463" s="5" t="s">
        <v>237</v>
      </c>
      <c r="F463" s="4">
        <v>39142</v>
      </c>
      <c r="G463" s="4" t="s">
        <v>1</v>
      </c>
      <c r="H463" s="4" t="s">
        <v>1</v>
      </c>
      <c r="I463" s="3" t="s">
        <v>145</v>
      </c>
      <c r="J463" s="3" t="s">
        <v>12</v>
      </c>
      <c r="K463" s="3" t="s">
        <v>262</v>
      </c>
      <c r="L463" s="3" t="s">
        <v>261</v>
      </c>
      <c r="M463" s="3" t="s">
        <v>329</v>
      </c>
      <c r="N463" s="3" t="s">
        <v>2218</v>
      </c>
      <c r="O463" s="3" t="s">
        <v>2217</v>
      </c>
      <c r="P463" s="3" t="s">
        <v>72</v>
      </c>
      <c r="Q463" s="3" t="s">
        <v>20</v>
      </c>
      <c r="R463" s="3" t="s">
        <v>4</v>
      </c>
      <c r="S463" s="3" t="s">
        <v>3</v>
      </c>
      <c r="T463" s="3" t="s">
        <v>29</v>
      </c>
      <c r="U463" s="3" t="s">
        <v>1</v>
      </c>
      <c r="V463" s="3" t="s">
        <v>0</v>
      </c>
      <c r="W463" s="2">
        <v>38</v>
      </c>
    </row>
    <row r="464" spans="1:24" hidden="1" x14ac:dyDescent="0.25">
      <c r="A464" s="8">
        <v>6054</v>
      </c>
      <c r="B464" s="8" t="s">
        <v>3224</v>
      </c>
      <c r="C464" s="7" t="s">
        <v>3223</v>
      </c>
      <c r="D464" s="6" t="s">
        <v>15</v>
      </c>
      <c r="E464" s="5" t="s">
        <v>237</v>
      </c>
      <c r="F464" s="4">
        <v>39142</v>
      </c>
      <c r="G464" s="4" t="s">
        <v>1</v>
      </c>
      <c r="H464" s="4" t="s">
        <v>1</v>
      </c>
      <c r="I464" s="5" t="s">
        <v>50</v>
      </c>
      <c r="J464" s="5" t="s">
        <v>75</v>
      </c>
      <c r="K464" s="5" t="s">
        <v>33</v>
      </c>
      <c r="L464" s="5" t="s">
        <v>33</v>
      </c>
      <c r="M464" s="5" t="s">
        <v>75</v>
      </c>
      <c r="N464" s="5" t="s">
        <v>3204</v>
      </c>
      <c r="O464" s="5" t="s">
        <v>73</v>
      </c>
      <c r="P464" s="5" t="s">
        <v>6</v>
      </c>
      <c r="Q464" s="5" t="s">
        <v>47</v>
      </c>
      <c r="R464" s="3" t="s">
        <v>4</v>
      </c>
      <c r="S464" s="3" t="s">
        <v>3</v>
      </c>
      <c r="T464" s="3" t="s">
        <v>29</v>
      </c>
      <c r="U464" s="3" t="s">
        <v>1</v>
      </c>
      <c r="V464" s="3" t="s">
        <v>18</v>
      </c>
      <c r="W464" s="2">
        <v>38</v>
      </c>
    </row>
    <row r="465" spans="1:24" hidden="1" x14ac:dyDescent="0.25">
      <c r="A465" s="8">
        <v>6056</v>
      </c>
      <c r="B465" s="8" t="s">
        <v>3222</v>
      </c>
      <c r="C465" s="7" t="s">
        <v>3221</v>
      </c>
      <c r="D465" s="6" t="s">
        <v>15</v>
      </c>
      <c r="E465" s="5" t="s">
        <v>237</v>
      </c>
      <c r="F465" s="4">
        <v>39142</v>
      </c>
      <c r="G465" s="4" t="s">
        <v>1</v>
      </c>
      <c r="H465" s="4" t="s">
        <v>1</v>
      </c>
      <c r="I465" s="18" t="s">
        <v>100</v>
      </c>
      <c r="J465" s="18" t="s">
        <v>124</v>
      </c>
      <c r="K465" s="18" t="s">
        <v>33</v>
      </c>
      <c r="L465" s="18" t="s">
        <v>33</v>
      </c>
      <c r="M465" s="18" t="s">
        <v>124</v>
      </c>
      <c r="N465" s="18" t="s">
        <v>194</v>
      </c>
      <c r="O465" s="18" t="s">
        <v>122</v>
      </c>
      <c r="P465" s="5" t="s">
        <v>1</v>
      </c>
      <c r="Q465" s="5" t="s">
        <v>121</v>
      </c>
      <c r="R465" s="3" t="s">
        <v>4</v>
      </c>
      <c r="S465" s="3" t="s">
        <v>3</v>
      </c>
      <c r="T465" s="3" t="s">
        <v>29</v>
      </c>
      <c r="U465" s="3" t="s">
        <v>1</v>
      </c>
      <c r="V465" s="3" t="s">
        <v>0</v>
      </c>
      <c r="W465" s="2">
        <v>38</v>
      </c>
    </row>
    <row r="466" spans="1:24" s="78" customFormat="1" hidden="1" x14ac:dyDescent="0.25">
      <c r="A466" s="73">
        <v>6058</v>
      </c>
      <c r="B466" s="73" t="s">
        <v>3220</v>
      </c>
      <c r="C466" s="87" t="s">
        <v>3219</v>
      </c>
      <c r="D466" s="88" t="s">
        <v>15</v>
      </c>
      <c r="E466" s="89" t="s">
        <v>237</v>
      </c>
      <c r="F466" s="90">
        <v>39142</v>
      </c>
      <c r="G466" s="90" t="s">
        <v>1</v>
      </c>
      <c r="H466" s="90" t="s">
        <v>1</v>
      </c>
      <c r="I466" s="91" t="s">
        <v>100</v>
      </c>
      <c r="J466" s="91" t="s">
        <v>2741</v>
      </c>
      <c r="K466" s="91" t="s">
        <v>33</v>
      </c>
      <c r="L466" s="91" t="s">
        <v>33</v>
      </c>
      <c r="M466" s="91" t="s">
        <v>2742</v>
      </c>
      <c r="N466" s="91" t="s">
        <v>2741</v>
      </c>
      <c r="O466" s="91" t="s">
        <v>122</v>
      </c>
      <c r="P466" s="89" t="s">
        <v>30</v>
      </c>
      <c r="Q466" s="89" t="s">
        <v>121</v>
      </c>
      <c r="R466" s="92" t="s">
        <v>4</v>
      </c>
      <c r="S466" s="92" t="s">
        <v>3</v>
      </c>
      <c r="T466" s="92" t="s">
        <v>2</v>
      </c>
      <c r="U466" s="92" t="s">
        <v>1</v>
      </c>
      <c r="V466" s="92" t="s">
        <v>0</v>
      </c>
      <c r="W466" s="93">
        <v>38</v>
      </c>
    </row>
    <row r="467" spans="1:24" s="78" customFormat="1" hidden="1" x14ac:dyDescent="0.25">
      <c r="A467" s="73">
        <v>8766</v>
      </c>
      <c r="B467" s="73" t="s">
        <v>3218</v>
      </c>
      <c r="C467" s="87" t="s">
        <v>3217</v>
      </c>
      <c r="D467" s="88" t="s">
        <v>15</v>
      </c>
      <c r="E467" s="89" t="s">
        <v>222</v>
      </c>
      <c r="F467" s="90">
        <v>39931</v>
      </c>
      <c r="G467" s="90" t="s">
        <v>1</v>
      </c>
      <c r="H467" s="90" t="s">
        <v>1</v>
      </c>
      <c r="I467" s="92" t="s">
        <v>13</v>
      </c>
      <c r="J467" s="92" t="s">
        <v>12</v>
      </c>
      <c r="K467" s="92" t="s">
        <v>3159</v>
      </c>
      <c r="L467" s="92" t="s">
        <v>3159</v>
      </c>
      <c r="M467" s="92" t="s">
        <v>3158</v>
      </c>
      <c r="N467" s="92" t="s">
        <v>3157</v>
      </c>
      <c r="O467" s="92" t="s">
        <v>258</v>
      </c>
      <c r="P467" s="92" t="s">
        <v>72</v>
      </c>
      <c r="Q467" s="92" t="s">
        <v>5</v>
      </c>
      <c r="R467" s="92" t="s">
        <v>4</v>
      </c>
      <c r="S467" s="92" t="s">
        <v>3</v>
      </c>
      <c r="T467" s="92" t="s">
        <v>2</v>
      </c>
      <c r="U467" s="92" t="s">
        <v>1</v>
      </c>
      <c r="V467" s="92" t="s">
        <v>0</v>
      </c>
      <c r="W467" s="93">
        <v>36</v>
      </c>
    </row>
    <row r="468" spans="1:24" hidden="1" x14ac:dyDescent="0.25">
      <c r="A468" s="8">
        <v>6064</v>
      </c>
      <c r="B468" s="8" t="s">
        <v>3216</v>
      </c>
      <c r="C468" s="7" t="s">
        <v>3215</v>
      </c>
      <c r="D468" s="6" t="s">
        <v>15</v>
      </c>
      <c r="E468" s="5" t="s">
        <v>237</v>
      </c>
      <c r="F468" s="4">
        <v>39142</v>
      </c>
      <c r="G468" s="4" t="s">
        <v>1</v>
      </c>
      <c r="H468" s="4" t="s">
        <v>1</v>
      </c>
      <c r="I468" s="5" t="s">
        <v>384</v>
      </c>
      <c r="J468" s="5" t="s">
        <v>3211</v>
      </c>
      <c r="K468" s="5" t="s">
        <v>33</v>
      </c>
      <c r="L468" s="5" t="s">
        <v>33</v>
      </c>
      <c r="M468" s="5" t="s">
        <v>3211</v>
      </c>
      <c r="N468" s="5" t="s">
        <v>3214</v>
      </c>
      <c r="O468" s="5" t="s">
        <v>368</v>
      </c>
      <c r="P468" s="5" t="s">
        <v>30</v>
      </c>
      <c r="Q468" s="5" t="s">
        <v>47</v>
      </c>
      <c r="R468" s="3" t="s">
        <v>4</v>
      </c>
      <c r="S468" s="3" t="s">
        <v>3</v>
      </c>
      <c r="T468" s="3" t="s">
        <v>38</v>
      </c>
      <c r="U468" s="3" t="s">
        <v>1</v>
      </c>
      <c r="V468" s="3" t="s">
        <v>18</v>
      </c>
      <c r="W468" s="2">
        <v>40</v>
      </c>
    </row>
    <row r="469" spans="1:24" s="9" customFormat="1" hidden="1" x14ac:dyDescent="0.25">
      <c r="A469" s="17">
        <v>6066</v>
      </c>
      <c r="B469" s="17" t="s">
        <v>3213</v>
      </c>
      <c r="C469" s="16" t="s">
        <v>3212</v>
      </c>
      <c r="D469" s="15" t="s">
        <v>15</v>
      </c>
      <c r="E469" s="14" t="s">
        <v>237</v>
      </c>
      <c r="F469" s="13">
        <v>39142</v>
      </c>
      <c r="G469" s="13" t="s">
        <v>1</v>
      </c>
      <c r="H469" s="13" t="s">
        <v>1</v>
      </c>
      <c r="I469" s="14" t="s">
        <v>384</v>
      </c>
      <c r="J469" s="14" t="s">
        <v>3211</v>
      </c>
      <c r="K469" s="22" t="s">
        <v>33</v>
      </c>
      <c r="L469" s="22" t="s">
        <v>33</v>
      </c>
      <c r="M469" s="14" t="s">
        <v>3211</v>
      </c>
      <c r="N469" s="14" t="s">
        <v>3210</v>
      </c>
      <c r="O469" s="14" t="s">
        <v>368</v>
      </c>
      <c r="P469" s="14" t="s">
        <v>30</v>
      </c>
      <c r="Q469" s="14" t="s">
        <v>47</v>
      </c>
      <c r="R469" s="12" t="s">
        <v>4</v>
      </c>
      <c r="S469" s="12" t="s">
        <v>3</v>
      </c>
      <c r="T469" s="12" t="s">
        <v>38</v>
      </c>
      <c r="U469" s="12" t="s">
        <v>1</v>
      </c>
      <c r="V469" s="12" t="s">
        <v>18</v>
      </c>
      <c r="W469" s="11">
        <v>39</v>
      </c>
      <c r="X469" s="10"/>
    </row>
    <row r="470" spans="1:24" hidden="1" x14ac:dyDescent="0.25">
      <c r="A470" s="8">
        <v>6070</v>
      </c>
      <c r="B470" s="8" t="s">
        <v>3209</v>
      </c>
      <c r="C470" s="7" t="s">
        <v>3208</v>
      </c>
      <c r="D470" s="6" t="s">
        <v>15</v>
      </c>
      <c r="E470" s="5" t="s">
        <v>237</v>
      </c>
      <c r="F470" s="4">
        <v>39142</v>
      </c>
      <c r="G470" s="4" t="s">
        <v>1</v>
      </c>
      <c r="H470" s="4" t="s">
        <v>1</v>
      </c>
      <c r="I470" s="3" t="s">
        <v>13</v>
      </c>
      <c r="J470" s="3" t="s">
        <v>12</v>
      </c>
      <c r="K470" s="3" t="s">
        <v>262</v>
      </c>
      <c r="L470" s="3" t="s">
        <v>261</v>
      </c>
      <c r="M470" s="3" t="s">
        <v>260</v>
      </c>
      <c r="N470" s="3" t="s">
        <v>3207</v>
      </c>
      <c r="O470" s="3" t="s">
        <v>258</v>
      </c>
      <c r="P470" s="3" t="s">
        <v>6</v>
      </c>
      <c r="Q470" s="3" t="s">
        <v>5</v>
      </c>
      <c r="R470" s="3" t="s">
        <v>4</v>
      </c>
      <c r="S470" s="3" t="s">
        <v>3</v>
      </c>
      <c r="T470" s="3" t="s">
        <v>2</v>
      </c>
      <c r="U470" s="3" t="s">
        <v>1</v>
      </c>
      <c r="V470" s="3" t="s">
        <v>0</v>
      </c>
      <c r="W470" s="2">
        <v>39</v>
      </c>
    </row>
    <row r="471" spans="1:24" hidden="1" x14ac:dyDescent="0.25">
      <c r="A471" s="8">
        <v>6072</v>
      </c>
      <c r="B471" s="8" t="s">
        <v>3206</v>
      </c>
      <c r="C471" s="7" t="s">
        <v>3205</v>
      </c>
      <c r="D471" s="6" t="s">
        <v>15</v>
      </c>
      <c r="E471" s="5" t="s">
        <v>237</v>
      </c>
      <c r="F471" s="4">
        <v>39142</v>
      </c>
      <c r="G471" s="4" t="s">
        <v>1</v>
      </c>
      <c r="H471" s="4" t="s">
        <v>1</v>
      </c>
      <c r="I471" s="5" t="s">
        <v>50</v>
      </c>
      <c r="J471" s="5" t="s">
        <v>75</v>
      </c>
      <c r="K471" s="5" t="s">
        <v>33</v>
      </c>
      <c r="L471" s="5" t="s">
        <v>33</v>
      </c>
      <c r="M471" s="5" t="s">
        <v>75</v>
      </c>
      <c r="N471" s="5" t="s">
        <v>3204</v>
      </c>
      <c r="O471" s="5" t="s">
        <v>73</v>
      </c>
      <c r="P471" s="5" t="s">
        <v>72</v>
      </c>
      <c r="Q471" s="5" t="s">
        <v>47</v>
      </c>
      <c r="R471" s="3" t="s">
        <v>4</v>
      </c>
      <c r="S471" s="3" t="s">
        <v>3</v>
      </c>
      <c r="T471" s="3" t="s">
        <v>29</v>
      </c>
      <c r="U471" s="3" t="s">
        <v>1</v>
      </c>
      <c r="V471" s="3" t="s">
        <v>18</v>
      </c>
      <c r="W471" s="2">
        <v>38</v>
      </c>
      <c r="X471" s="20"/>
    </row>
    <row r="472" spans="1:24" hidden="1" x14ac:dyDescent="0.25">
      <c r="A472" s="8">
        <v>6084</v>
      </c>
      <c r="B472" s="8" t="s">
        <v>3203</v>
      </c>
      <c r="C472" s="7" t="s">
        <v>3202</v>
      </c>
      <c r="D472" s="6" t="s">
        <v>15</v>
      </c>
      <c r="E472" s="5" t="s">
        <v>237</v>
      </c>
      <c r="F472" s="4">
        <v>39142</v>
      </c>
      <c r="G472" s="4" t="s">
        <v>1</v>
      </c>
      <c r="H472" s="4" t="s">
        <v>1</v>
      </c>
      <c r="I472" s="3" t="s">
        <v>13</v>
      </c>
      <c r="J472" s="3" t="s">
        <v>12</v>
      </c>
      <c r="K472" s="3" t="s">
        <v>262</v>
      </c>
      <c r="L472" s="3" t="s">
        <v>261</v>
      </c>
      <c r="M472" s="3" t="s">
        <v>260</v>
      </c>
      <c r="N472" s="3" t="s">
        <v>1810</v>
      </c>
      <c r="O472" s="3" t="s">
        <v>258</v>
      </c>
      <c r="P472" s="3" t="s">
        <v>6</v>
      </c>
      <c r="Q472" s="3" t="s">
        <v>5</v>
      </c>
      <c r="R472" s="3" t="s">
        <v>4</v>
      </c>
      <c r="S472" s="3" t="s">
        <v>3</v>
      </c>
      <c r="T472" s="3" t="s">
        <v>2</v>
      </c>
      <c r="U472" s="3" t="s">
        <v>1</v>
      </c>
      <c r="V472" s="3" t="s">
        <v>0</v>
      </c>
      <c r="W472" s="2">
        <v>39</v>
      </c>
    </row>
    <row r="473" spans="1:24" s="78" customFormat="1" hidden="1" x14ac:dyDescent="0.25">
      <c r="A473" s="73">
        <v>10201</v>
      </c>
      <c r="B473" s="73" t="s">
        <v>3201</v>
      </c>
      <c r="C473" s="102" t="s">
        <v>3200</v>
      </c>
      <c r="D473" s="88" t="s">
        <v>15</v>
      </c>
      <c r="E473" s="91" t="s">
        <v>476</v>
      </c>
      <c r="F473" s="90">
        <v>40458</v>
      </c>
      <c r="G473" s="90" t="s">
        <v>1</v>
      </c>
      <c r="H473" s="90" t="s">
        <v>1</v>
      </c>
      <c r="I473" s="92" t="s">
        <v>13</v>
      </c>
      <c r="J473" s="92" t="s">
        <v>12</v>
      </c>
      <c r="K473" s="92" t="s">
        <v>3159</v>
      </c>
      <c r="L473" s="92" t="s">
        <v>3159</v>
      </c>
      <c r="M473" s="92" t="s">
        <v>3158</v>
      </c>
      <c r="N473" s="92" t="s">
        <v>3199</v>
      </c>
      <c r="O473" s="92" t="s">
        <v>59</v>
      </c>
      <c r="P473" s="92" t="s">
        <v>72</v>
      </c>
      <c r="Q473" s="92" t="s">
        <v>5</v>
      </c>
      <c r="R473" s="92" t="s">
        <v>4</v>
      </c>
      <c r="S473" s="92" t="s">
        <v>3</v>
      </c>
      <c r="T473" s="92" t="s">
        <v>2</v>
      </c>
      <c r="U473" s="92" t="s">
        <v>1</v>
      </c>
      <c r="V473" s="92" t="s">
        <v>0</v>
      </c>
      <c r="W473" s="93">
        <v>32</v>
      </c>
    </row>
    <row r="474" spans="1:24" s="78" customFormat="1" hidden="1" x14ac:dyDescent="0.25">
      <c r="A474" s="73">
        <v>10409</v>
      </c>
      <c r="B474" s="73" t="s">
        <v>3198</v>
      </c>
      <c r="C474" s="87" t="s">
        <v>3197</v>
      </c>
      <c r="D474" s="88" t="s">
        <v>15</v>
      </c>
      <c r="E474" s="89" t="s">
        <v>1515</v>
      </c>
      <c r="F474" s="90">
        <v>40518</v>
      </c>
      <c r="G474" s="90" t="s">
        <v>1</v>
      </c>
      <c r="H474" s="90" t="s">
        <v>1</v>
      </c>
      <c r="I474" s="92" t="s">
        <v>13</v>
      </c>
      <c r="J474" s="92" t="s">
        <v>12</v>
      </c>
      <c r="K474" s="92" t="s">
        <v>3159</v>
      </c>
      <c r="L474" s="92" t="s">
        <v>3159</v>
      </c>
      <c r="M474" s="92" t="s">
        <v>3158</v>
      </c>
      <c r="N474" s="92" t="s">
        <v>3164</v>
      </c>
      <c r="O474" s="92" t="s">
        <v>258</v>
      </c>
      <c r="P474" s="92" t="s">
        <v>72</v>
      </c>
      <c r="Q474" s="92" t="s">
        <v>5</v>
      </c>
      <c r="R474" s="92" t="s">
        <v>4</v>
      </c>
      <c r="S474" s="92" t="s">
        <v>3</v>
      </c>
      <c r="T474" s="92" t="s">
        <v>2</v>
      </c>
      <c r="U474" s="92" t="s">
        <v>1</v>
      </c>
      <c r="V474" s="92" t="s">
        <v>0</v>
      </c>
      <c r="W474" s="93">
        <v>32</v>
      </c>
    </row>
    <row r="475" spans="1:24" hidden="1" x14ac:dyDescent="0.25">
      <c r="A475" s="8">
        <v>6095</v>
      </c>
      <c r="B475" s="8" t="s">
        <v>3196</v>
      </c>
      <c r="C475" s="7" t="s">
        <v>1805</v>
      </c>
      <c r="D475" s="6" t="s">
        <v>15</v>
      </c>
      <c r="E475" s="5" t="s">
        <v>237</v>
      </c>
      <c r="F475" s="4">
        <v>39142</v>
      </c>
      <c r="G475" s="4" t="s">
        <v>1</v>
      </c>
      <c r="H475" s="4" t="s">
        <v>1</v>
      </c>
      <c r="I475" s="3" t="s">
        <v>13</v>
      </c>
      <c r="J475" s="3" t="s">
        <v>12</v>
      </c>
      <c r="K475" s="3" t="s">
        <v>539</v>
      </c>
      <c r="L475" s="3" t="s">
        <v>538</v>
      </c>
      <c r="M475" s="3" t="s">
        <v>537</v>
      </c>
      <c r="N475" s="3" t="s">
        <v>646</v>
      </c>
      <c r="O475" s="3" t="s">
        <v>67</v>
      </c>
      <c r="P475" s="3" t="s">
        <v>6</v>
      </c>
      <c r="Q475" s="3" t="s">
        <v>5</v>
      </c>
      <c r="R475" s="3" t="s">
        <v>4</v>
      </c>
      <c r="S475" s="3" t="s">
        <v>3</v>
      </c>
      <c r="T475" s="3" t="s">
        <v>2</v>
      </c>
      <c r="U475" s="3" t="s">
        <v>1</v>
      </c>
      <c r="V475" s="3" t="s">
        <v>0</v>
      </c>
      <c r="W475" s="2">
        <v>38</v>
      </c>
    </row>
    <row r="476" spans="1:24" hidden="1" x14ac:dyDescent="0.25">
      <c r="A476" s="8">
        <v>6096</v>
      </c>
      <c r="B476" s="8" t="s">
        <v>3195</v>
      </c>
      <c r="C476" s="28" t="s">
        <v>3194</v>
      </c>
      <c r="D476" s="6" t="s">
        <v>15</v>
      </c>
      <c r="E476" s="5" t="s">
        <v>237</v>
      </c>
      <c r="F476" s="4">
        <v>39142</v>
      </c>
      <c r="G476" s="4" t="s">
        <v>1</v>
      </c>
      <c r="H476" s="4" t="s">
        <v>1</v>
      </c>
      <c r="I476" s="5" t="s">
        <v>365</v>
      </c>
      <c r="J476" s="5" t="s">
        <v>918</v>
      </c>
      <c r="K476" s="5" t="s">
        <v>33</v>
      </c>
      <c r="L476" s="5" t="s">
        <v>33</v>
      </c>
      <c r="M476" s="5" t="s">
        <v>918</v>
      </c>
      <c r="N476" s="5" t="s">
        <v>989</v>
      </c>
      <c r="O476" s="5" t="s">
        <v>988</v>
      </c>
      <c r="P476" s="5" t="s">
        <v>30</v>
      </c>
      <c r="Q476" s="5" t="s">
        <v>121</v>
      </c>
      <c r="R476" s="3" t="s">
        <v>4</v>
      </c>
      <c r="S476" s="3" t="s">
        <v>3</v>
      </c>
      <c r="T476" s="3" t="s">
        <v>29</v>
      </c>
      <c r="U476" s="3" t="s">
        <v>1</v>
      </c>
      <c r="V476" s="3" t="s">
        <v>18</v>
      </c>
      <c r="W476" s="2">
        <v>40</v>
      </c>
    </row>
    <row r="477" spans="1:24" hidden="1" x14ac:dyDescent="0.25">
      <c r="A477" s="26">
        <v>6097</v>
      </c>
      <c r="B477" s="8" t="s">
        <v>3193</v>
      </c>
      <c r="C477" s="19" t="s">
        <v>3192</v>
      </c>
      <c r="D477" s="6" t="s">
        <v>15</v>
      </c>
      <c r="E477" s="18" t="s">
        <v>237</v>
      </c>
      <c r="F477" s="4">
        <v>39142</v>
      </c>
      <c r="G477" s="4" t="s">
        <v>1</v>
      </c>
      <c r="H477" s="4" t="s">
        <v>1</v>
      </c>
      <c r="I477" s="3" t="s">
        <v>13</v>
      </c>
      <c r="J477" s="3" t="s">
        <v>12</v>
      </c>
      <c r="K477" s="3" t="s">
        <v>758</v>
      </c>
      <c r="L477" s="3" t="s">
        <v>757</v>
      </c>
      <c r="M477" s="3" t="s">
        <v>756</v>
      </c>
      <c r="N477" s="3" t="s">
        <v>3191</v>
      </c>
      <c r="O477" s="3" t="s">
        <v>67</v>
      </c>
      <c r="P477" s="3" t="s">
        <v>6</v>
      </c>
      <c r="Q477" s="3" t="s">
        <v>5</v>
      </c>
      <c r="R477" s="3" t="s">
        <v>4</v>
      </c>
      <c r="S477" s="3" t="s">
        <v>3</v>
      </c>
      <c r="T477" s="3" t="s">
        <v>2</v>
      </c>
      <c r="U477" s="3" t="s">
        <v>1</v>
      </c>
      <c r="V477" s="3" t="s">
        <v>0</v>
      </c>
      <c r="W477" s="2">
        <v>40</v>
      </c>
    </row>
    <row r="478" spans="1:24" s="78" customFormat="1" hidden="1" x14ac:dyDescent="0.25">
      <c r="A478" s="73">
        <v>6099</v>
      </c>
      <c r="B478" s="73" t="s">
        <v>3190</v>
      </c>
      <c r="C478" s="87" t="s">
        <v>3189</v>
      </c>
      <c r="D478" s="88" t="s">
        <v>15</v>
      </c>
      <c r="E478" s="89" t="s">
        <v>237</v>
      </c>
      <c r="F478" s="90">
        <v>39142</v>
      </c>
      <c r="G478" s="90" t="s">
        <v>1</v>
      </c>
      <c r="H478" s="90" t="s">
        <v>1</v>
      </c>
      <c r="I478" s="89" t="s">
        <v>50</v>
      </c>
      <c r="J478" s="89" t="s">
        <v>370</v>
      </c>
      <c r="K478" s="89" t="s">
        <v>33</v>
      </c>
      <c r="L478" s="89" t="s">
        <v>33</v>
      </c>
      <c r="M478" s="89" t="s">
        <v>370</v>
      </c>
      <c r="N478" s="89" t="s">
        <v>3188</v>
      </c>
      <c r="O478" s="89" t="s">
        <v>610</v>
      </c>
      <c r="P478" s="89" t="s">
        <v>30</v>
      </c>
      <c r="Q478" s="89" t="s">
        <v>47</v>
      </c>
      <c r="R478" s="92" t="s">
        <v>4</v>
      </c>
      <c r="S478" s="92" t="s">
        <v>3</v>
      </c>
      <c r="T478" s="92" t="s">
        <v>2</v>
      </c>
      <c r="U478" s="92" t="s">
        <v>1</v>
      </c>
      <c r="V478" s="92" t="s">
        <v>0</v>
      </c>
      <c r="W478" s="93">
        <v>38</v>
      </c>
      <c r="X478" s="94"/>
    </row>
    <row r="479" spans="1:24" hidden="1" x14ac:dyDescent="0.25">
      <c r="A479" s="8">
        <v>6106</v>
      </c>
      <c r="B479" s="8" t="s">
        <v>3187</v>
      </c>
      <c r="C479" s="7" t="s">
        <v>3186</v>
      </c>
      <c r="D479" s="6" t="s">
        <v>15</v>
      </c>
      <c r="E479" s="5" t="s">
        <v>237</v>
      </c>
      <c r="F479" s="4">
        <v>39142</v>
      </c>
      <c r="G479" s="4" t="s">
        <v>1</v>
      </c>
      <c r="H479" s="4" t="s">
        <v>1</v>
      </c>
      <c r="I479" s="3" t="s">
        <v>145</v>
      </c>
      <c r="J479" s="3" t="s">
        <v>34</v>
      </c>
      <c r="K479" s="3" t="s">
        <v>33</v>
      </c>
      <c r="L479" s="3" t="s">
        <v>33</v>
      </c>
      <c r="M479" s="3" t="s">
        <v>1094</v>
      </c>
      <c r="N479" s="3" t="s">
        <v>1503</v>
      </c>
      <c r="O479" s="3" t="s">
        <v>1094</v>
      </c>
      <c r="P479" s="3" t="s">
        <v>72</v>
      </c>
      <c r="Q479" s="3" t="s">
        <v>47</v>
      </c>
      <c r="R479" s="3" t="s">
        <v>4</v>
      </c>
      <c r="S479" s="3" t="s">
        <v>3</v>
      </c>
      <c r="T479" s="3" t="s">
        <v>2</v>
      </c>
      <c r="U479" s="3" t="s">
        <v>1</v>
      </c>
      <c r="V479" s="3" t="s">
        <v>0</v>
      </c>
      <c r="W479" s="2">
        <v>38</v>
      </c>
    </row>
    <row r="480" spans="1:24" s="78" customFormat="1" hidden="1" x14ac:dyDescent="0.25">
      <c r="A480" s="73">
        <v>11707</v>
      </c>
      <c r="B480" s="73" t="s">
        <v>3185</v>
      </c>
      <c r="C480" s="87" t="s">
        <v>3184</v>
      </c>
      <c r="D480" s="88" t="s">
        <v>15</v>
      </c>
      <c r="E480" s="89" t="s">
        <v>424</v>
      </c>
      <c r="F480" s="90">
        <v>40714</v>
      </c>
      <c r="G480" s="90" t="s">
        <v>1</v>
      </c>
      <c r="H480" s="90" t="s">
        <v>1</v>
      </c>
      <c r="I480" s="92" t="s">
        <v>13</v>
      </c>
      <c r="J480" s="92" t="s">
        <v>12</v>
      </c>
      <c r="K480" s="92" t="s">
        <v>3159</v>
      </c>
      <c r="L480" s="92" t="s">
        <v>3159</v>
      </c>
      <c r="M480" s="92" t="s">
        <v>3158</v>
      </c>
      <c r="N480" s="92" t="s">
        <v>3183</v>
      </c>
      <c r="O480" s="92" t="s">
        <v>59</v>
      </c>
      <c r="P480" s="92" t="s">
        <v>72</v>
      </c>
      <c r="Q480" s="92" t="s">
        <v>5</v>
      </c>
      <c r="R480" s="92" t="s">
        <v>4</v>
      </c>
      <c r="S480" s="92" t="s">
        <v>3</v>
      </c>
      <c r="T480" s="92" t="s">
        <v>2</v>
      </c>
      <c r="U480" s="92" t="s">
        <v>1</v>
      </c>
      <c r="V480" s="92" t="s">
        <v>0</v>
      </c>
      <c r="W480" s="93">
        <v>31</v>
      </c>
    </row>
    <row r="481" spans="1:24" hidden="1" x14ac:dyDescent="0.25">
      <c r="A481" s="8">
        <v>6110</v>
      </c>
      <c r="B481" s="8" t="s">
        <v>3182</v>
      </c>
      <c r="C481" s="28" t="s">
        <v>3181</v>
      </c>
      <c r="D481" s="6" t="s">
        <v>15</v>
      </c>
      <c r="E481" s="5" t="s">
        <v>3176</v>
      </c>
      <c r="F481" s="4">
        <v>39142</v>
      </c>
      <c r="G481" s="4" t="s">
        <v>1</v>
      </c>
      <c r="H481" s="4" t="s">
        <v>1</v>
      </c>
      <c r="I481" s="5" t="s">
        <v>365</v>
      </c>
      <c r="J481" s="5" t="s">
        <v>918</v>
      </c>
      <c r="K481" s="5" t="s">
        <v>33</v>
      </c>
      <c r="L481" s="5" t="s">
        <v>33</v>
      </c>
      <c r="M481" s="5" t="s">
        <v>918</v>
      </c>
      <c r="N481" s="5" t="s">
        <v>989</v>
      </c>
      <c r="O481" s="5" t="s">
        <v>988</v>
      </c>
      <c r="P481" s="5" t="s">
        <v>30</v>
      </c>
      <c r="Q481" s="5" t="s">
        <v>121</v>
      </c>
      <c r="R481" s="3" t="s">
        <v>4</v>
      </c>
      <c r="S481" s="3" t="s">
        <v>3</v>
      </c>
      <c r="T481" s="3" t="s">
        <v>365</v>
      </c>
      <c r="U481" s="3" t="s">
        <v>1</v>
      </c>
      <c r="V481" s="3" t="s">
        <v>18</v>
      </c>
      <c r="W481" s="2">
        <v>38</v>
      </c>
    </row>
    <row r="482" spans="1:24" hidden="1" x14ac:dyDescent="0.25">
      <c r="A482" s="8">
        <v>6113</v>
      </c>
      <c r="B482" s="8" t="s">
        <v>3180</v>
      </c>
      <c r="C482" s="7" t="s">
        <v>3179</v>
      </c>
      <c r="D482" s="6" t="s">
        <v>15</v>
      </c>
      <c r="E482" s="5" t="s">
        <v>3176</v>
      </c>
      <c r="F482" s="4">
        <v>39142</v>
      </c>
      <c r="G482" s="4" t="s">
        <v>1</v>
      </c>
      <c r="H482" s="4" t="s">
        <v>1</v>
      </c>
      <c r="I482" s="5" t="s">
        <v>93</v>
      </c>
      <c r="J482" s="5" t="s">
        <v>89</v>
      </c>
      <c r="K482" s="5" t="s">
        <v>33</v>
      </c>
      <c r="L482" s="5" t="s">
        <v>33</v>
      </c>
      <c r="M482" s="5" t="s">
        <v>2611</v>
      </c>
      <c r="N482" s="5" t="s">
        <v>3178</v>
      </c>
      <c r="O482" s="5" t="s">
        <v>368</v>
      </c>
      <c r="P482" s="5" t="s">
        <v>30</v>
      </c>
      <c r="Q482" s="5" t="s">
        <v>47</v>
      </c>
      <c r="R482" s="3" t="s">
        <v>4</v>
      </c>
      <c r="S482" s="3" t="s">
        <v>3</v>
      </c>
      <c r="T482" s="3" t="s">
        <v>38</v>
      </c>
      <c r="U482" s="3" t="s">
        <v>1</v>
      </c>
      <c r="V482" s="3" t="s">
        <v>18</v>
      </c>
      <c r="W482" s="2">
        <v>39</v>
      </c>
    </row>
    <row r="483" spans="1:24" hidden="1" x14ac:dyDescent="0.25">
      <c r="A483" s="8">
        <v>6116</v>
      </c>
      <c r="B483" s="8" t="s">
        <v>3177</v>
      </c>
      <c r="C483" s="7" t="s">
        <v>3075</v>
      </c>
      <c r="D483" s="6" t="s">
        <v>15</v>
      </c>
      <c r="E483" s="5" t="s">
        <v>3176</v>
      </c>
      <c r="F483" s="4">
        <v>39142</v>
      </c>
      <c r="G483" s="4" t="s">
        <v>1</v>
      </c>
      <c r="H483" s="4" t="s">
        <v>1</v>
      </c>
      <c r="I483" s="5" t="s">
        <v>93</v>
      </c>
      <c r="J483" s="5" t="s">
        <v>92</v>
      </c>
      <c r="K483" s="5" t="s">
        <v>33</v>
      </c>
      <c r="L483" s="5" t="s">
        <v>33</v>
      </c>
      <c r="M483" s="5" t="s">
        <v>91</v>
      </c>
      <c r="N483" s="5" t="s">
        <v>3175</v>
      </c>
      <c r="O483" s="5" t="s">
        <v>368</v>
      </c>
      <c r="P483" s="5" t="s">
        <v>72</v>
      </c>
      <c r="Q483" s="5" t="s">
        <v>47</v>
      </c>
      <c r="R483" s="3" t="s">
        <v>4</v>
      </c>
      <c r="S483" s="3" t="s">
        <v>3</v>
      </c>
      <c r="T483" s="3" t="s">
        <v>38</v>
      </c>
      <c r="U483" s="3" t="s">
        <v>1</v>
      </c>
      <c r="V483" s="3" t="s">
        <v>18</v>
      </c>
      <c r="W483" s="2">
        <v>40</v>
      </c>
    </row>
    <row r="484" spans="1:24" hidden="1" x14ac:dyDescent="0.25">
      <c r="A484" s="8">
        <v>6118</v>
      </c>
      <c r="B484" s="8" t="s">
        <v>3174</v>
      </c>
      <c r="C484" s="7" t="s">
        <v>3173</v>
      </c>
      <c r="D484" s="6" t="s">
        <v>15</v>
      </c>
      <c r="E484" s="5" t="s">
        <v>3172</v>
      </c>
      <c r="F484" s="4">
        <v>39142</v>
      </c>
      <c r="G484" s="4" t="s">
        <v>1</v>
      </c>
      <c r="H484" s="4" t="s">
        <v>1</v>
      </c>
      <c r="I484" s="5" t="s">
        <v>93</v>
      </c>
      <c r="J484" s="5" t="s">
        <v>89</v>
      </c>
      <c r="K484" s="5" t="s">
        <v>33</v>
      </c>
      <c r="L484" s="5" t="s">
        <v>33</v>
      </c>
      <c r="M484" s="5" t="s">
        <v>1212</v>
      </c>
      <c r="N484" s="5" t="s">
        <v>3171</v>
      </c>
      <c r="O484" s="5" t="s">
        <v>368</v>
      </c>
      <c r="P484" s="5" t="s">
        <v>30</v>
      </c>
      <c r="Q484" s="5" t="s">
        <v>47</v>
      </c>
      <c r="R484" s="3" t="s">
        <v>4</v>
      </c>
      <c r="S484" s="3" t="s">
        <v>3</v>
      </c>
      <c r="T484" s="3" t="s">
        <v>38</v>
      </c>
      <c r="U484" s="3" t="s">
        <v>1</v>
      </c>
      <c r="V484" s="3" t="s">
        <v>18</v>
      </c>
      <c r="W484" s="2">
        <v>41</v>
      </c>
    </row>
    <row r="485" spans="1:24" s="9" customFormat="1" hidden="1" x14ac:dyDescent="0.25">
      <c r="A485" s="17">
        <v>6122</v>
      </c>
      <c r="B485" s="17" t="s">
        <v>3170</v>
      </c>
      <c r="C485" s="43" t="s">
        <v>3169</v>
      </c>
      <c r="D485" s="15" t="s">
        <v>15</v>
      </c>
      <c r="E485" s="14" t="s">
        <v>768</v>
      </c>
      <c r="F485" s="13">
        <v>39157</v>
      </c>
      <c r="G485" s="13" t="s">
        <v>1</v>
      </c>
      <c r="H485" s="13" t="s">
        <v>1</v>
      </c>
      <c r="I485" s="14" t="s">
        <v>342</v>
      </c>
      <c r="J485" s="14" t="s">
        <v>1186</v>
      </c>
      <c r="K485" s="14" t="s">
        <v>33</v>
      </c>
      <c r="L485" s="14" t="s">
        <v>33</v>
      </c>
      <c r="M485" s="14" t="s">
        <v>1186</v>
      </c>
      <c r="N485" s="14" t="s">
        <v>1186</v>
      </c>
      <c r="O485" s="14" t="s">
        <v>342</v>
      </c>
      <c r="P485" s="14" t="s">
        <v>30</v>
      </c>
      <c r="Q485" s="14" t="s">
        <v>121</v>
      </c>
      <c r="R485" s="12" t="s">
        <v>4</v>
      </c>
      <c r="S485" s="12" t="s">
        <v>3</v>
      </c>
      <c r="T485" s="12" t="s">
        <v>121</v>
      </c>
      <c r="U485" s="12" t="s">
        <v>1</v>
      </c>
      <c r="V485" s="12" t="s">
        <v>0</v>
      </c>
      <c r="W485" s="11">
        <v>39</v>
      </c>
      <c r="X485" s="10"/>
    </row>
    <row r="486" spans="1:24" hidden="1" x14ac:dyDescent="0.25">
      <c r="A486" s="8">
        <v>11782</v>
      </c>
      <c r="B486" s="8" t="s">
        <v>3168</v>
      </c>
      <c r="C486" s="7" t="s">
        <v>3167</v>
      </c>
      <c r="D486" s="6" t="s">
        <v>15</v>
      </c>
      <c r="E486" s="5" t="s">
        <v>424</v>
      </c>
      <c r="F486" s="4">
        <v>40714</v>
      </c>
      <c r="G486" s="4" t="s">
        <v>1</v>
      </c>
      <c r="H486" s="4" t="s">
        <v>1</v>
      </c>
      <c r="I486" s="3" t="s">
        <v>13</v>
      </c>
      <c r="J486" s="3" t="s">
        <v>12</v>
      </c>
      <c r="K486" s="3" t="s">
        <v>3159</v>
      </c>
      <c r="L486" s="3" t="s">
        <v>3159</v>
      </c>
      <c r="M486" s="3" t="s">
        <v>3158</v>
      </c>
      <c r="N486" s="3" t="s">
        <v>22</v>
      </c>
      <c r="O486" s="3" t="s">
        <v>21</v>
      </c>
      <c r="P486" s="3" t="s">
        <v>72</v>
      </c>
      <c r="Q486" s="3" t="s">
        <v>20</v>
      </c>
      <c r="R486" s="3" t="s">
        <v>4</v>
      </c>
      <c r="S486" s="3" t="s">
        <v>3</v>
      </c>
      <c r="T486" s="3" t="s">
        <v>19</v>
      </c>
      <c r="U486" s="3" t="s">
        <v>1</v>
      </c>
      <c r="V486" s="3" t="s">
        <v>0</v>
      </c>
      <c r="W486" s="2">
        <v>32</v>
      </c>
    </row>
    <row r="487" spans="1:24" hidden="1" x14ac:dyDescent="0.25">
      <c r="A487" s="8">
        <v>11834</v>
      </c>
      <c r="B487" s="8" t="s">
        <v>3166</v>
      </c>
      <c r="C487" s="7" t="s">
        <v>3165</v>
      </c>
      <c r="D487" s="6" t="s">
        <v>15</v>
      </c>
      <c r="E487" s="5" t="s">
        <v>1089</v>
      </c>
      <c r="F487" s="4">
        <v>40721</v>
      </c>
      <c r="G487" s="4" t="s">
        <v>1</v>
      </c>
      <c r="H487" s="4" t="s">
        <v>1</v>
      </c>
      <c r="I487" s="3" t="s">
        <v>13</v>
      </c>
      <c r="J487" s="3" t="s">
        <v>12</v>
      </c>
      <c r="K487" s="3" t="s">
        <v>3159</v>
      </c>
      <c r="L487" s="3" t="s">
        <v>3159</v>
      </c>
      <c r="M487" s="3" t="s">
        <v>3158</v>
      </c>
      <c r="N487" s="3" t="s">
        <v>3164</v>
      </c>
      <c r="O487" s="3" t="s">
        <v>258</v>
      </c>
      <c r="P487" s="3" t="s">
        <v>72</v>
      </c>
      <c r="Q487" s="3" t="s">
        <v>5</v>
      </c>
      <c r="R487" s="3" t="s">
        <v>4</v>
      </c>
      <c r="S487" s="3" t="s">
        <v>3</v>
      </c>
      <c r="T487" s="3" t="s">
        <v>2</v>
      </c>
      <c r="U487" s="3" t="s">
        <v>1</v>
      </c>
      <c r="V487" s="3" t="s">
        <v>0</v>
      </c>
      <c r="W487" s="2">
        <v>33</v>
      </c>
    </row>
    <row r="488" spans="1:24" hidden="1" x14ac:dyDescent="0.25">
      <c r="A488" s="8">
        <v>6131</v>
      </c>
      <c r="B488" s="8" t="s">
        <v>3163</v>
      </c>
      <c r="C488" s="25" t="s">
        <v>3162</v>
      </c>
      <c r="D488" s="6" t="s">
        <v>15</v>
      </c>
      <c r="E488" s="5" t="s">
        <v>768</v>
      </c>
      <c r="F488" s="4">
        <v>39157</v>
      </c>
      <c r="G488" s="4" t="s">
        <v>1</v>
      </c>
      <c r="H488" s="4" t="s">
        <v>1</v>
      </c>
      <c r="I488" s="3" t="s">
        <v>145</v>
      </c>
      <c r="J488" s="3" t="s">
        <v>12</v>
      </c>
      <c r="K488" s="3" t="s">
        <v>262</v>
      </c>
      <c r="L488" s="3" t="s">
        <v>261</v>
      </c>
      <c r="M488" s="3" t="s">
        <v>260</v>
      </c>
      <c r="N488" s="3" t="s">
        <v>2218</v>
      </c>
      <c r="O488" s="3" t="s">
        <v>2217</v>
      </c>
      <c r="P488" s="3" t="s">
        <v>6</v>
      </c>
      <c r="Q488" s="3" t="s">
        <v>20</v>
      </c>
      <c r="R488" s="3" t="s">
        <v>4</v>
      </c>
      <c r="S488" s="3" t="s">
        <v>3</v>
      </c>
      <c r="T488" s="3" t="s">
        <v>29</v>
      </c>
      <c r="U488" s="3" t="s">
        <v>1</v>
      </c>
      <c r="V488" s="3" t="s">
        <v>0</v>
      </c>
      <c r="W488" s="2">
        <v>38</v>
      </c>
    </row>
    <row r="489" spans="1:24" s="9" customFormat="1" hidden="1" x14ac:dyDescent="0.25">
      <c r="A489" s="17">
        <v>11966</v>
      </c>
      <c r="B489" s="17" t="s">
        <v>3161</v>
      </c>
      <c r="C489" s="16" t="s">
        <v>3160</v>
      </c>
      <c r="D489" s="15" t="s">
        <v>15</v>
      </c>
      <c r="E489" s="14" t="s">
        <v>1233</v>
      </c>
      <c r="F489" s="13">
        <v>40770</v>
      </c>
      <c r="G489" s="13" t="s">
        <v>1</v>
      </c>
      <c r="H489" s="13" t="s">
        <v>1</v>
      </c>
      <c r="I489" s="12" t="s">
        <v>13</v>
      </c>
      <c r="J489" s="12" t="s">
        <v>12</v>
      </c>
      <c r="K489" s="12" t="s">
        <v>3159</v>
      </c>
      <c r="L489" s="12" t="s">
        <v>3159</v>
      </c>
      <c r="M489" s="12" t="s">
        <v>3158</v>
      </c>
      <c r="N489" s="12" t="s">
        <v>3157</v>
      </c>
      <c r="O489" s="12" t="s">
        <v>258</v>
      </c>
      <c r="P489" s="12" t="s">
        <v>72</v>
      </c>
      <c r="Q489" s="12" t="s">
        <v>5</v>
      </c>
      <c r="R489" s="12" t="s">
        <v>4</v>
      </c>
      <c r="S489" s="12" t="s">
        <v>3</v>
      </c>
      <c r="T489" s="12" t="s">
        <v>2</v>
      </c>
      <c r="U489" s="12" t="s">
        <v>1</v>
      </c>
      <c r="V489" s="12" t="s">
        <v>0</v>
      </c>
      <c r="W489" s="11">
        <v>31</v>
      </c>
      <c r="X489" s="10"/>
    </row>
    <row r="490" spans="1:24" hidden="1" x14ac:dyDescent="0.25">
      <c r="A490" s="8">
        <v>378</v>
      </c>
      <c r="B490" s="8" t="s">
        <v>3156</v>
      </c>
      <c r="C490" s="7" t="s">
        <v>3155</v>
      </c>
      <c r="D490" s="6" t="s">
        <v>15</v>
      </c>
      <c r="E490" s="5" t="s">
        <v>298</v>
      </c>
      <c r="F490" s="4">
        <v>37732</v>
      </c>
      <c r="G490" s="4" t="s">
        <v>1</v>
      </c>
      <c r="H490" s="4" t="s">
        <v>1</v>
      </c>
      <c r="I490" s="3" t="s">
        <v>13</v>
      </c>
      <c r="J490" s="3" t="s">
        <v>12</v>
      </c>
      <c r="K490" s="3" t="s">
        <v>758</v>
      </c>
      <c r="L490" s="3" t="s">
        <v>757</v>
      </c>
      <c r="M490" s="3" t="s">
        <v>756</v>
      </c>
      <c r="N490" s="3" t="s">
        <v>1078</v>
      </c>
      <c r="O490" s="3" t="s">
        <v>29</v>
      </c>
      <c r="P490" s="3" t="s">
        <v>72</v>
      </c>
      <c r="Q490" s="3" t="s">
        <v>20</v>
      </c>
      <c r="R490" s="3" t="s">
        <v>4</v>
      </c>
      <c r="S490" s="3" t="s">
        <v>3</v>
      </c>
      <c r="T490" s="3" t="s">
        <v>1077</v>
      </c>
      <c r="U490" s="3" t="s">
        <v>1</v>
      </c>
      <c r="V490" s="3" t="s">
        <v>0</v>
      </c>
      <c r="W490" s="2">
        <v>42</v>
      </c>
    </row>
    <row r="491" spans="1:24" hidden="1" x14ac:dyDescent="0.25">
      <c r="A491" s="8">
        <v>6140</v>
      </c>
      <c r="B491" s="8" t="s">
        <v>3154</v>
      </c>
      <c r="C491" s="7" t="s">
        <v>3153</v>
      </c>
      <c r="D491" s="6" t="s">
        <v>15</v>
      </c>
      <c r="E491" s="5" t="s">
        <v>768</v>
      </c>
      <c r="F491" s="4">
        <v>39157</v>
      </c>
      <c r="G491" s="4" t="s">
        <v>1</v>
      </c>
      <c r="H491" s="4" t="s">
        <v>1</v>
      </c>
      <c r="I491" s="3" t="s">
        <v>145</v>
      </c>
      <c r="J491" s="3" t="s">
        <v>34</v>
      </c>
      <c r="K491" s="3" t="s">
        <v>33</v>
      </c>
      <c r="L491" s="3" t="s">
        <v>33</v>
      </c>
      <c r="M491" s="3" t="s">
        <v>144</v>
      </c>
      <c r="N491" s="3" t="s">
        <v>143</v>
      </c>
      <c r="O491" s="3" t="s">
        <v>142</v>
      </c>
      <c r="P491" s="3" t="s">
        <v>72</v>
      </c>
      <c r="Q491" s="3" t="s">
        <v>47</v>
      </c>
      <c r="R491" s="3" t="s">
        <v>4</v>
      </c>
      <c r="S491" s="3" t="s">
        <v>3</v>
      </c>
      <c r="T491" s="3" t="s">
        <v>2</v>
      </c>
      <c r="U491" s="3" t="s">
        <v>1</v>
      </c>
      <c r="V491" s="3" t="s">
        <v>0</v>
      </c>
      <c r="W491" s="2">
        <v>41</v>
      </c>
    </row>
    <row r="492" spans="1:24" hidden="1" x14ac:dyDescent="0.25">
      <c r="A492" s="8">
        <v>6145</v>
      </c>
      <c r="B492" s="8" t="s">
        <v>3152</v>
      </c>
      <c r="C492" s="7" t="s">
        <v>3151</v>
      </c>
      <c r="D492" s="6" t="s">
        <v>15</v>
      </c>
      <c r="E492" s="5" t="s">
        <v>768</v>
      </c>
      <c r="F492" s="4">
        <v>39157</v>
      </c>
      <c r="G492" s="4" t="s">
        <v>1</v>
      </c>
      <c r="H492" s="4" t="s">
        <v>1</v>
      </c>
      <c r="I492" s="18" t="s">
        <v>100</v>
      </c>
      <c r="J492" s="18" t="s">
        <v>124</v>
      </c>
      <c r="K492" s="18" t="s">
        <v>33</v>
      </c>
      <c r="L492" s="18" t="s">
        <v>33</v>
      </c>
      <c r="M492" s="18" t="s">
        <v>124</v>
      </c>
      <c r="N492" s="18" t="s">
        <v>194</v>
      </c>
      <c r="O492" s="18" t="s">
        <v>122</v>
      </c>
      <c r="P492" s="5" t="s">
        <v>1</v>
      </c>
      <c r="Q492" s="5" t="s">
        <v>121</v>
      </c>
      <c r="R492" s="3" t="s">
        <v>4</v>
      </c>
      <c r="S492" s="3" t="s">
        <v>3</v>
      </c>
      <c r="T492" s="3" t="s">
        <v>38</v>
      </c>
      <c r="U492" s="3" t="s">
        <v>1</v>
      </c>
      <c r="V492" s="3" t="s">
        <v>0</v>
      </c>
      <c r="W492" s="2">
        <v>40</v>
      </c>
    </row>
    <row r="493" spans="1:24" hidden="1" x14ac:dyDescent="0.25">
      <c r="A493" s="8">
        <v>6147</v>
      </c>
      <c r="B493" s="8" t="s">
        <v>3150</v>
      </c>
      <c r="C493" s="7" t="s">
        <v>1565</v>
      </c>
      <c r="D493" s="6" t="s">
        <v>15</v>
      </c>
      <c r="E493" s="5" t="s">
        <v>768</v>
      </c>
      <c r="F493" s="4">
        <v>39157</v>
      </c>
      <c r="G493" s="4" t="s">
        <v>1</v>
      </c>
      <c r="H493" s="4" t="s">
        <v>1</v>
      </c>
      <c r="I493" s="3" t="s">
        <v>145</v>
      </c>
      <c r="J493" s="3" t="s">
        <v>12</v>
      </c>
      <c r="K493" s="3" t="s">
        <v>63</v>
      </c>
      <c r="L493" s="3" t="s">
        <v>460</v>
      </c>
      <c r="M493" s="3" t="s">
        <v>459</v>
      </c>
      <c r="N493" s="3" t="s">
        <v>1196</v>
      </c>
      <c r="O493" s="3" t="s">
        <v>21</v>
      </c>
      <c r="P493" s="3" t="s">
        <v>6</v>
      </c>
      <c r="Q493" s="3" t="s">
        <v>20</v>
      </c>
      <c r="R493" s="3" t="s">
        <v>4</v>
      </c>
      <c r="S493" s="3" t="s">
        <v>3</v>
      </c>
      <c r="T493" s="3" t="s">
        <v>19</v>
      </c>
      <c r="U493" s="3" t="s">
        <v>1</v>
      </c>
      <c r="V493" s="3" t="s">
        <v>0</v>
      </c>
      <c r="W493" s="2">
        <v>39</v>
      </c>
    </row>
    <row r="494" spans="1:24" hidden="1" x14ac:dyDescent="0.25">
      <c r="A494" s="8">
        <v>1200</v>
      </c>
      <c r="B494" s="8" t="s">
        <v>3149</v>
      </c>
      <c r="C494" s="7" t="s">
        <v>3148</v>
      </c>
      <c r="D494" s="6" t="s">
        <v>15</v>
      </c>
      <c r="E494" s="5" t="s">
        <v>1942</v>
      </c>
      <c r="F494" s="4">
        <v>37907</v>
      </c>
      <c r="G494" s="4" t="s">
        <v>1</v>
      </c>
      <c r="H494" s="4" t="s">
        <v>1</v>
      </c>
      <c r="I494" s="3" t="s">
        <v>13</v>
      </c>
      <c r="J494" s="3" t="s">
        <v>12</v>
      </c>
      <c r="K494" s="3" t="s">
        <v>758</v>
      </c>
      <c r="L494" s="3" t="s">
        <v>757</v>
      </c>
      <c r="M494" s="3" t="s">
        <v>756</v>
      </c>
      <c r="N494" s="3" t="s">
        <v>68</v>
      </c>
      <c r="O494" s="3" t="s">
        <v>67</v>
      </c>
      <c r="P494" s="3" t="s">
        <v>72</v>
      </c>
      <c r="Q494" s="3" t="s">
        <v>5</v>
      </c>
      <c r="R494" s="3" t="s">
        <v>4</v>
      </c>
      <c r="S494" s="3" t="s">
        <v>3</v>
      </c>
      <c r="T494" s="3" t="s">
        <v>2</v>
      </c>
      <c r="U494" s="3" t="s">
        <v>1</v>
      </c>
      <c r="V494" s="3" t="s">
        <v>0</v>
      </c>
      <c r="W494" s="2">
        <v>39</v>
      </c>
    </row>
    <row r="495" spans="1:24" hidden="1" x14ac:dyDescent="0.25">
      <c r="A495" s="8">
        <v>5843</v>
      </c>
      <c r="B495" s="8" t="s">
        <v>3147</v>
      </c>
      <c r="C495" s="7" t="s">
        <v>3146</v>
      </c>
      <c r="D495" s="6" t="s">
        <v>15</v>
      </c>
      <c r="E495" s="5" t="s">
        <v>251</v>
      </c>
      <c r="F495" s="4">
        <v>39114</v>
      </c>
      <c r="G495" s="4" t="s">
        <v>1</v>
      </c>
      <c r="H495" s="4" t="s">
        <v>1</v>
      </c>
      <c r="I495" s="3" t="s">
        <v>13</v>
      </c>
      <c r="J495" s="3" t="s">
        <v>12</v>
      </c>
      <c r="K495" s="3" t="s">
        <v>758</v>
      </c>
      <c r="L495" s="3" t="s">
        <v>757</v>
      </c>
      <c r="M495" s="3" t="s">
        <v>756</v>
      </c>
      <c r="N495" s="3" t="s">
        <v>1362</v>
      </c>
      <c r="O495" s="3" t="s">
        <v>39</v>
      </c>
      <c r="P495" s="3" t="s">
        <v>72</v>
      </c>
      <c r="Q495" s="3" t="s">
        <v>20</v>
      </c>
      <c r="R495" s="3" t="s">
        <v>4</v>
      </c>
      <c r="S495" s="3" t="s">
        <v>3</v>
      </c>
      <c r="T495" s="3" t="s">
        <v>1361</v>
      </c>
      <c r="U495" s="3" t="s">
        <v>1</v>
      </c>
      <c r="V495" s="3" t="s">
        <v>0</v>
      </c>
      <c r="W495" s="2">
        <v>38</v>
      </c>
    </row>
    <row r="496" spans="1:24" hidden="1" x14ac:dyDescent="0.25">
      <c r="A496" s="8">
        <v>6156</v>
      </c>
      <c r="B496" s="8" t="s">
        <v>3145</v>
      </c>
      <c r="C496" s="7" t="s">
        <v>3144</v>
      </c>
      <c r="D496" s="6" t="s">
        <v>15</v>
      </c>
      <c r="E496" s="5" t="s">
        <v>768</v>
      </c>
      <c r="F496" s="4">
        <v>39157</v>
      </c>
      <c r="G496" s="4" t="s">
        <v>1</v>
      </c>
      <c r="H496" s="4" t="s">
        <v>1</v>
      </c>
      <c r="I496" s="3" t="s">
        <v>13</v>
      </c>
      <c r="J496" s="3" t="s">
        <v>133</v>
      </c>
      <c r="K496" s="3" t="s">
        <v>262</v>
      </c>
      <c r="L496" s="3" t="s">
        <v>262</v>
      </c>
      <c r="M496" s="3" t="s">
        <v>277</v>
      </c>
      <c r="N496" s="3" t="s">
        <v>1545</v>
      </c>
      <c r="O496" s="3" t="s">
        <v>453</v>
      </c>
      <c r="P496" s="3" t="s">
        <v>6</v>
      </c>
      <c r="Q496" s="3" t="s">
        <v>5</v>
      </c>
      <c r="R496" s="3" t="s">
        <v>4</v>
      </c>
      <c r="S496" s="3" t="s">
        <v>3</v>
      </c>
      <c r="T496" s="3" t="s">
        <v>2</v>
      </c>
      <c r="U496" s="3" t="s">
        <v>1</v>
      </c>
      <c r="V496" s="3" t="s">
        <v>0</v>
      </c>
      <c r="W496" s="2">
        <v>39</v>
      </c>
    </row>
    <row r="497" spans="1:24" hidden="1" x14ac:dyDescent="0.25">
      <c r="A497" s="8">
        <v>6163</v>
      </c>
      <c r="B497" s="8" t="s">
        <v>3143</v>
      </c>
      <c r="C497" s="7" t="s">
        <v>1921</v>
      </c>
      <c r="D497" s="6" t="s">
        <v>15</v>
      </c>
      <c r="E497" s="5" t="s">
        <v>768</v>
      </c>
      <c r="F497" s="4">
        <v>39157</v>
      </c>
      <c r="G497" s="4" t="s">
        <v>1</v>
      </c>
      <c r="H497" s="4" t="s">
        <v>1</v>
      </c>
      <c r="I497" s="3" t="s">
        <v>13</v>
      </c>
      <c r="J497" s="3" t="s">
        <v>133</v>
      </c>
      <c r="K497" s="3" t="s">
        <v>187</v>
      </c>
      <c r="L497" s="3" t="s">
        <v>187</v>
      </c>
      <c r="M497" s="3" t="s">
        <v>186</v>
      </c>
      <c r="N497" s="3" t="s">
        <v>198</v>
      </c>
      <c r="O497" s="3" t="s">
        <v>184</v>
      </c>
      <c r="P497" s="3" t="s">
        <v>6</v>
      </c>
      <c r="Q497" s="3" t="s">
        <v>20</v>
      </c>
      <c r="R497" s="3" t="s">
        <v>4</v>
      </c>
      <c r="S497" s="3" t="s">
        <v>3</v>
      </c>
      <c r="T497" s="3" t="s">
        <v>2</v>
      </c>
      <c r="U497" s="3" t="s">
        <v>1</v>
      </c>
      <c r="V497" s="3" t="s">
        <v>0</v>
      </c>
      <c r="W497" s="2">
        <v>41</v>
      </c>
    </row>
    <row r="498" spans="1:24" hidden="1" x14ac:dyDescent="0.25">
      <c r="A498" s="8">
        <v>6165</v>
      </c>
      <c r="B498" s="8" t="s">
        <v>3142</v>
      </c>
      <c r="C498" s="7" t="s">
        <v>3141</v>
      </c>
      <c r="D498" s="6" t="s">
        <v>15</v>
      </c>
      <c r="E498" s="5" t="s">
        <v>768</v>
      </c>
      <c r="F498" s="4">
        <v>39157</v>
      </c>
      <c r="G498" s="4" t="s">
        <v>1</v>
      </c>
      <c r="H498" s="4" t="s">
        <v>1</v>
      </c>
      <c r="I498" s="3" t="s">
        <v>13</v>
      </c>
      <c r="J498" s="3" t="s">
        <v>12</v>
      </c>
      <c r="K498" s="3" t="s">
        <v>283</v>
      </c>
      <c r="L498" s="3" t="s">
        <v>282</v>
      </c>
      <c r="M498" s="3" t="s">
        <v>698</v>
      </c>
      <c r="N498" s="3" t="s">
        <v>1451</v>
      </c>
      <c r="O498" s="3" t="s">
        <v>100</v>
      </c>
      <c r="P498" s="3" t="s">
        <v>6</v>
      </c>
      <c r="Q498" s="3" t="s">
        <v>20</v>
      </c>
      <c r="R498" s="3" t="s">
        <v>4</v>
      </c>
      <c r="S498" s="3" t="s">
        <v>3</v>
      </c>
      <c r="T498" s="3" t="s">
        <v>2</v>
      </c>
      <c r="U498" s="3" t="s">
        <v>1</v>
      </c>
      <c r="V498" s="3" t="s">
        <v>0</v>
      </c>
      <c r="W498" s="2">
        <v>41</v>
      </c>
    </row>
    <row r="499" spans="1:24" hidden="1" x14ac:dyDescent="0.25">
      <c r="A499" s="8">
        <v>6177</v>
      </c>
      <c r="B499" s="8" t="s">
        <v>3140</v>
      </c>
      <c r="C499" s="7" t="s">
        <v>3139</v>
      </c>
      <c r="D499" s="6" t="s">
        <v>15</v>
      </c>
      <c r="E499" s="5" t="s">
        <v>3129</v>
      </c>
      <c r="F499" s="4">
        <v>39173</v>
      </c>
      <c r="G499" s="4" t="s">
        <v>1</v>
      </c>
      <c r="H499" s="4" t="s">
        <v>1</v>
      </c>
      <c r="I499" s="5" t="s">
        <v>50</v>
      </c>
      <c r="J499" s="5" t="s">
        <v>49</v>
      </c>
      <c r="K499" s="5" t="s">
        <v>33</v>
      </c>
      <c r="L499" s="5" t="s">
        <v>33</v>
      </c>
      <c r="M499" s="5" t="s">
        <v>49</v>
      </c>
      <c r="N499" s="5" t="s">
        <v>29</v>
      </c>
      <c r="O499" s="5" t="s">
        <v>48</v>
      </c>
      <c r="P499" s="5" t="s">
        <v>6</v>
      </c>
      <c r="Q499" s="5" t="s">
        <v>47</v>
      </c>
      <c r="R499" s="3" t="s">
        <v>4</v>
      </c>
      <c r="S499" s="3" t="s">
        <v>3</v>
      </c>
      <c r="T499" s="3" t="s">
        <v>29</v>
      </c>
      <c r="U499" s="3" t="s">
        <v>1</v>
      </c>
      <c r="V499" s="3" t="s">
        <v>18</v>
      </c>
      <c r="W499" s="2">
        <v>39</v>
      </c>
    </row>
    <row r="500" spans="1:24" hidden="1" x14ac:dyDescent="0.25">
      <c r="A500" s="8">
        <v>6180</v>
      </c>
      <c r="B500" s="8" t="s">
        <v>3138</v>
      </c>
      <c r="C500" s="7" t="s">
        <v>3137</v>
      </c>
      <c r="D500" s="6" t="s">
        <v>15</v>
      </c>
      <c r="E500" s="5" t="s">
        <v>3129</v>
      </c>
      <c r="F500" s="4">
        <v>39173</v>
      </c>
      <c r="G500" s="4" t="s">
        <v>1</v>
      </c>
      <c r="H500" s="4" t="s">
        <v>1</v>
      </c>
      <c r="I500" s="3" t="s">
        <v>13</v>
      </c>
      <c r="J500" s="3" t="s">
        <v>133</v>
      </c>
      <c r="K500" s="3" t="s">
        <v>11</v>
      </c>
      <c r="L500" s="3" t="s">
        <v>10</v>
      </c>
      <c r="M500" s="3" t="s">
        <v>290</v>
      </c>
      <c r="N500" s="3" t="s">
        <v>3136</v>
      </c>
      <c r="O500" s="3" t="s">
        <v>128</v>
      </c>
      <c r="P500" s="3" t="s">
        <v>6</v>
      </c>
      <c r="Q500" s="3" t="s">
        <v>5</v>
      </c>
      <c r="R500" s="3" t="s">
        <v>4</v>
      </c>
      <c r="S500" s="3" t="s">
        <v>3</v>
      </c>
      <c r="T500" s="3" t="s">
        <v>2</v>
      </c>
      <c r="U500" s="3" t="s">
        <v>1</v>
      </c>
      <c r="V500" s="3" t="s">
        <v>18</v>
      </c>
      <c r="W500" s="2">
        <v>40</v>
      </c>
    </row>
    <row r="501" spans="1:24" hidden="1" x14ac:dyDescent="0.25">
      <c r="A501" s="8">
        <v>6181</v>
      </c>
      <c r="B501" s="8" t="s">
        <v>3135</v>
      </c>
      <c r="C501" s="7" t="s">
        <v>3134</v>
      </c>
      <c r="D501" s="6" t="s">
        <v>15</v>
      </c>
      <c r="E501" s="5" t="s">
        <v>3129</v>
      </c>
      <c r="F501" s="4">
        <v>39173</v>
      </c>
      <c r="G501" s="4" t="s">
        <v>1</v>
      </c>
      <c r="H501" s="4" t="s">
        <v>1</v>
      </c>
      <c r="I501" s="3" t="s">
        <v>13</v>
      </c>
      <c r="J501" s="3" t="s">
        <v>34</v>
      </c>
      <c r="K501" s="3" t="s">
        <v>33</v>
      </c>
      <c r="L501" s="3" t="s">
        <v>33</v>
      </c>
      <c r="M501" s="3" t="s">
        <v>1017</v>
      </c>
      <c r="N501" s="3" t="s">
        <v>1016</v>
      </c>
      <c r="O501" s="3" t="s">
        <v>100</v>
      </c>
      <c r="P501" s="3" t="s">
        <v>6</v>
      </c>
      <c r="Q501" s="3" t="s">
        <v>20</v>
      </c>
      <c r="R501" s="3" t="s">
        <v>4</v>
      </c>
      <c r="S501" s="3" t="s">
        <v>3</v>
      </c>
      <c r="T501" s="3" t="s">
        <v>2</v>
      </c>
      <c r="U501" s="3" t="s">
        <v>1</v>
      </c>
      <c r="V501" s="3" t="s">
        <v>18</v>
      </c>
      <c r="W501" s="2">
        <v>39</v>
      </c>
    </row>
    <row r="502" spans="1:24" hidden="1" x14ac:dyDescent="0.25">
      <c r="A502" s="8">
        <v>6191</v>
      </c>
      <c r="B502" s="8" t="s">
        <v>3133</v>
      </c>
      <c r="C502" s="7" t="s">
        <v>3132</v>
      </c>
      <c r="D502" s="6" t="s">
        <v>15</v>
      </c>
      <c r="E502" s="5" t="s">
        <v>3129</v>
      </c>
      <c r="F502" s="4">
        <v>39173</v>
      </c>
      <c r="G502" s="4" t="s">
        <v>1</v>
      </c>
      <c r="H502" s="4" t="s">
        <v>1</v>
      </c>
      <c r="I502" s="3" t="s">
        <v>13</v>
      </c>
      <c r="J502" s="3" t="s">
        <v>12</v>
      </c>
      <c r="K502" s="3" t="s">
        <v>283</v>
      </c>
      <c r="L502" s="3" t="s">
        <v>282</v>
      </c>
      <c r="M502" s="3" t="s">
        <v>281</v>
      </c>
      <c r="N502" s="3" t="s">
        <v>1518</v>
      </c>
      <c r="O502" s="3" t="s">
        <v>100</v>
      </c>
      <c r="P502" s="3" t="s">
        <v>6</v>
      </c>
      <c r="Q502" s="3" t="s">
        <v>20</v>
      </c>
      <c r="R502" s="3" t="s">
        <v>4</v>
      </c>
      <c r="S502" s="3" t="s">
        <v>3</v>
      </c>
      <c r="T502" s="3" t="s">
        <v>2</v>
      </c>
      <c r="U502" s="3" t="s">
        <v>1</v>
      </c>
      <c r="V502" s="3" t="s">
        <v>0</v>
      </c>
      <c r="W502" s="2">
        <v>38</v>
      </c>
    </row>
    <row r="503" spans="1:24" s="9" customFormat="1" hidden="1" x14ac:dyDescent="0.25">
      <c r="A503" s="17">
        <v>6193</v>
      </c>
      <c r="B503" s="17" t="s">
        <v>3131</v>
      </c>
      <c r="C503" s="16" t="s">
        <v>3130</v>
      </c>
      <c r="D503" s="15" t="s">
        <v>15</v>
      </c>
      <c r="E503" s="14" t="s">
        <v>3129</v>
      </c>
      <c r="F503" s="13">
        <v>39173</v>
      </c>
      <c r="G503" s="13" t="s">
        <v>1</v>
      </c>
      <c r="H503" s="13" t="s">
        <v>1</v>
      </c>
      <c r="I503" s="14" t="s">
        <v>93</v>
      </c>
      <c r="J503" s="14" t="s">
        <v>834</v>
      </c>
      <c r="K503" s="14" t="s">
        <v>33</v>
      </c>
      <c r="L503" s="14" t="s">
        <v>33</v>
      </c>
      <c r="M503" s="14" t="s">
        <v>834</v>
      </c>
      <c r="N503" s="12" t="s">
        <v>3128</v>
      </c>
      <c r="O503" s="12" t="s">
        <v>832</v>
      </c>
      <c r="P503" s="14" t="s">
        <v>72</v>
      </c>
      <c r="Q503" s="14" t="s">
        <v>47</v>
      </c>
      <c r="R503" s="12" t="s">
        <v>4</v>
      </c>
      <c r="S503" s="12" t="s">
        <v>3</v>
      </c>
      <c r="T503" s="12" t="s">
        <v>2</v>
      </c>
      <c r="U503" s="12" t="s">
        <v>1</v>
      </c>
      <c r="V503" s="12" t="s">
        <v>18</v>
      </c>
      <c r="W503" s="11">
        <v>41</v>
      </c>
      <c r="X503" s="10"/>
    </row>
    <row r="504" spans="1:24" hidden="1" x14ac:dyDescent="0.25">
      <c r="A504" s="8">
        <v>6196</v>
      </c>
      <c r="B504" s="8" t="s">
        <v>3127</v>
      </c>
      <c r="C504" s="28" t="s">
        <v>3126</v>
      </c>
      <c r="D504" s="6" t="s">
        <v>15</v>
      </c>
      <c r="E504" s="5" t="s">
        <v>3118</v>
      </c>
      <c r="F504" s="4">
        <v>39173</v>
      </c>
      <c r="G504" s="4" t="s">
        <v>1</v>
      </c>
      <c r="H504" s="4" t="s">
        <v>1</v>
      </c>
      <c r="I504" s="5" t="s">
        <v>365</v>
      </c>
      <c r="J504" s="5" t="s">
        <v>918</v>
      </c>
      <c r="K504" s="3" t="s">
        <v>33</v>
      </c>
      <c r="L504" s="3" t="s">
        <v>33</v>
      </c>
      <c r="M504" s="3" t="s">
        <v>918</v>
      </c>
      <c r="N504" s="3" t="s">
        <v>1023</v>
      </c>
      <c r="O504" s="3" t="s">
        <v>918</v>
      </c>
      <c r="P504" s="3" t="s">
        <v>30</v>
      </c>
      <c r="Q504" s="3" t="s">
        <v>121</v>
      </c>
      <c r="R504" s="3" t="s">
        <v>4</v>
      </c>
      <c r="S504" s="3" t="s">
        <v>3</v>
      </c>
      <c r="T504" s="3" t="s">
        <v>121</v>
      </c>
      <c r="U504" s="3" t="s">
        <v>1</v>
      </c>
      <c r="V504" s="3" t="s">
        <v>18</v>
      </c>
      <c r="W504" s="2">
        <v>39</v>
      </c>
    </row>
    <row r="505" spans="1:24" s="9" customFormat="1" hidden="1" x14ac:dyDescent="0.25">
      <c r="A505" s="17">
        <v>6198</v>
      </c>
      <c r="B505" s="17" t="s">
        <v>3125</v>
      </c>
      <c r="C505" s="43" t="s">
        <v>3124</v>
      </c>
      <c r="D505" s="15" t="s">
        <v>15</v>
      </c>
      <c r="E505" s="14" t="s">
        <v>3118</v>
      </c>
      <c r="F505" s="13">
        <v>39173</v>
      </c>
      <c r="G505" s="13" t="s">
        <v>1</v>
      </c>
      <c r="H505" s="13" t="s">
        <v>1</v>
      </c>
      <c r="I505" s="14" t="s">
        <v>365</v>
      </c>
      <c r="J505" s="14" t="s">
        <v>918</v>
      </c>
      <c r="K505" s="14" t="s">
        <v>33</v>
      </c>
      <c r="L505" s="14" t="s">
        <v>33</v>
      </c>
      <c r="M505" s="14" t="s">
        <v>918</v>
      </c>
      <c r="N505" s="14" t="s">
        <v>348</v>
      </c>
      <c r="O505" s="14" t="s">
        <v>347</v>
      </c>
      <c r="P505" s="14" t="s">
        <v>30</v>
      </c>
      <c r="Q505" s="14" t="s">
        <v>121</v>
      </c>
      <c r="R505" s="12" t="s">
        <v>4</v>
      </c>
      <c r="S505" s="12" t="s">
        <v>3</v>
      </c>
      <c r="T505" s="12" t="s">
        <v>38</v>
      </c>
      <c r="U505" s="12" t="s">
        <v>1</v>
      </c>
      <c r="V505" s="12" t="s">
        <v>0</v>
      </c>
      <c r="W505" s="11">
        <v>39</v>
      </c>
      <c r="X505" s="10"/>
    </row>
    <row r="506" spans="1:24" hidden="1" x14ac:dyDescent="0.25">
      <c r="A506" s="8">
        <v>6200</v>
      </c>
      <c r="B506" s="8" t="s">
        <v>3123</v>
      </c>
      <c r="C506" s="7" t="s">
        <v>3122</v>
      </c>
      <c r="D506" s="6" t="s">
        <v>15</v>
      </c>
      <c r="E506" s="5" t="s">
        <v>3118</v>
      </c>
      <c r="F506" s="4">
        <v>39173</v>
      </c>
      <c r="G506" s="4" t="s">
        <v>1</v>
      </c>
      <c r="H506" s="4" t="s">
        <v>1</v>
      </c>
      <c r="I506" s="5" t="s">
        <v>50</v>
      </c>
      <c r="J506" s="5" t="s">
        <v>370</v>
      </c>
      <c r="K506" s="5" t="s">
        <v>33</v>
      </c>
      <c r="L506" s="5" t="s">
        <v>33</v>
      </c>
      <c r="M506" s="5" t="s">
        <v>370</v>
      </c>
      <c r="N506" s="5" t="s">
        <v>3121</v>
      </c>
      <c r="O506" s="5" t="s">
        <v>1690</v>
      </c>
      <c r="P506" s="5" t="s">
        <v>30</v>
      </c>
      <c r="Q506" s="5" t="s">
        <v>47</v>
      </c>
      <c r="R506" s="3" t="s">
        <v>4</v>
      </c>
      <c r="S506" s="3" t="s">
        <v>3</v>
      </c>
      <c r="T506" s="3" t="s">
        <v>121</v>
      </c>
      <c r="U506" s="3" t="s">
        <v>1</v>
      </c>
      <c r="V506" s="3" t="s">
        <v>0</v>
      </c>
      <c r="W506" s="2">
        <v>40</v>
      </c>
      <c r="X506" s="20"/>
    </row>
    <row r="507" spans="1:24" hidden="1" x14ac:dyDescent="0.25">
      <c r="A507" s="8">
        <v>6201</v>
      </c>
      <c r="B507" s="8" t="s">
        <v>3120</v>
      </c>
      <c r="C507" s="7" t="s">
        <v>3119</v>
      </c>
      <c r="D507" s="6" t="s">
        <v>15</v>
      </c>
      <c r="E507" s="5" t="s">
        <v>3118</v>
      </c>
      <c r="F507" s="4">
        <v>39173</v>
      </c>
      <c r="G507" s="4" t="s">
        <v>1</v>
      </c>
      <c r="H507" s="4" t="s">
        <v>1</v>
      </c>
      <c r="I507" s="5" t="s">
        <v>50</v>
      </c>
      <c r="J507" s="5" t="s">
        <v>370</v>
      </c>
      <c r="K507" s="5" t="s">
        <v>33</v>
      </c>
      <c r="L507" s="5" t="s">
        <v>33</v>
      </c>
      <c r="M507" s="5" t="s">
        <v>370</v>
      </c>
      <c r="N507" s="5" t="s">
        <v>369</v>
      </c>
      <c r="O507" s="5" t="s">
        <v>368</v>
      </c>
      <c r="P507" s="5" t="s">
        <v>30</v>
      </c>
      <c r="Q507" s="5" t="s">
        <v>47</v>
      </c>
      <c r="R507" s="3" t="s">
        <v>4</v>
      </c>
      <c r="S507" s="3" t="s">
        <v>3</v>
      </c>
      <c r="T507" s="3" t="s">
        <v>38</v>
      </c>
      <c r="U507" s="3" t="s">
        <v>1</v>
      </c>
      <c r="V507" s="3" t="s">
        <v>0</v>
      </c>
      <c r="W507" s="2">
        <v>41</v>
      </c>
      <c r="X507" s="20"/>
    </row>
    <row r="508" spans="1:24" hidden="1" x14ac:dyDescent="0.25">
      <c r="A508" s="8">
        <v>6088</v>
      </c>
      <c r="B508" s="8" t="s">
        <v>3117</v>
      </c>
      <c r="C508" s="7" t="s">
        <v>3116</v>
      </c>
      <c r="D508" s="6" t="s">
        <v>15</v>
      </c>
      <c r="E508" s="5" t="s">
        <v>237</v>
      </c>
      <c r="F508" s="4">
        <v>39142</v>
      </c>
      <c r="G508" s="4" t="s">
        <v>1</v>
      </c>
      <c r="H508" s="4" t="s">
        <v>1</v>
      </c>
      <c r="I508" s="3" t="s">
        <v>13</v>
      </c>
      <c r="J508" s="3" t="s">
        <v>12</v>
      </c>
      <c r="K508" s="3" t="s">
        <v>758</v>
      </c>
      <c r="L508" s="3" t="s">
        <v>757</v>
      </c>
      <c r="M508" s="3" t="s">
        <v>756</v>
      </c>
      <c r="N508" s="3" t="s">
        <v>320</v>
      </c>
      <c r="O508" s="3" t="s">
        <v>59</v>
      </c>
      <c r="P508" s="3" t="s">
        <v>72</v>
      </c>
      <c r="Q508" s="3" t="s">
        <v>5</v>
      </c>
      <c r="R508" s="3" t="s">
        <v>4</v>
      </c>
      <c r="S508" s="3" t="s">
        <v>3</v>
      </c>
      <c r="T508" s="3" t="s">
        <v>2</v>
      </c>
      <c r="U508" s="3" t="s">
        <v>1</v>
      </c>
      <c r="V508" s="3" t="s">
        <v>0</v>
      </c>
      <c r="W508" s="2">
        <v>39</v>
      </c>
    </row>
    <row r="509" spans="1:24" hidden="1" x14ac:dyDescent="0.25">
      <c r="A509" s="8">
        <v>9863</v>
      </c>
      <c r="B509" s="8" t="s">
        <v>3115</v>
      </c>
      <c r="C509" s="7" t="s">
        <v>3114</v>
      </c>
      <c r="D509" s="6" t="s">
        <v>15</v>
      </c>
      <c r="E509" s="5" t="s">
        <v>1674</v>
      </c>
      <c r="F509" s="4">
        <v>40411</v>
      </c>
      <c r="G509" s="4" t="s">
        <v>1</v>
      </c>
      <c r="H509" s="4" t="s">
        <v>1</v>
      </c>
      <c r="I509" s="3" t="s">
        <v>13</v>
      </c>
      <c r="J509" s="3" t="s">
        <v>12</v>
      </c>
      <c r="K509" s="3" t="s">
        <v>758</v>
      </c>
      <c r="L509" s="3" t="s">
        <v>757</v>
      </c>
      <c r="M509" s="3" t="s">
        <v>756</v>
      </c>
      <c r="N509" s="3" t="s">
        <v>646</v>
      </c>
      <c r="O509" s="3" t="s">
        <v>67</v>
      </c>
      <c r="P509" s="3" t="s">
        <v>72</v>
      </c>
      <c r="Q509" s="3" t="s">
        <v>5</v>
      </c>
      <c r="R509" s="3" t="s">
        <v>4</v>
      </c>
      <c r="S509" s="3" t="s">
        <v>3</v>
      </c>
      <c r="T509" s="3" t="s">
        <v>2</v>
      </c>
      <c r="U509" s="3" t="s">
        <v>1</v>
      </c>
      <c r="V509" s="3" t="s">
        <v>0</v>
      </c>
      <c r="W509" s="2">
        <v>34</v>
      </c>
    </row>
    <row r="510" spans="1:24" s="9" customFormat="1" hidden="1" x14ac:dyDescent="0.25">
      <c r="A510" s="17">
        <v>10005</v>
      </c>
      <c r="B510" s="17" t="s">
        <v>3113</v>
      </c>
      <c r="C510" s="16" t="s">
        <v>1248</v>
      </c>
      <c r="D510" s="15" t="s">
        <v>15</v>
      </c>
      <c r="E510" s="14" t="s">
        <v>2484</v>
      </c>
      <c r="F510" s="13">
        <v>40438</v>
      </c>
      <c r="G510" s="13" t="s">
        <v>1</v>
      </c>
      <c r="H510" s="13" t="s">
        <v>1</v>
      </c>
      <c r="I510" s="12" t="s">
        <v>13</v>
      </c>
      <c r="J510" s="12" t="s">
        <v>12</v>
      </c>
      <c r="K510" s="12" t="s">
        <v>758</v>
      </c>
      <c r="L510" s="12" t="s">
        <v>757</v>
      </c>
      <c r="M510" s="12" t="s">
        <v>756</v>
      </c>
      <c r="N510" s="12" t="s">
        <v>22</v>
      </c>
      <c r="O510" s="12" t="s">
        <v>21</v>
      </c>
      <c r="P510" s="12" t="s">
        <v>72</v>
      </c>
      <c r="Q510" s="12" t="s">
        <v>20</v>
      </c>
      <c r="R510" s="12" t="s">
        <v>4</v>
      </c>
      <c r="S510" s="12" t="s">
        <v>3</v>
      </c>
      <c r="T510" s="12" t="s">
        <v>19</v>
      </c>
      <c r="U510" s="12" t="s">
        <v>1</v>
      </c>
      <c r="V510" s="12" t="s">
        <v>0</v>
      </c>
      <c r="W510" s="11">
        <v>35</v>
      </c>
    </row>
    <row r="511" spans="1:24" s="9" customFormat="1" hidden="1" x14ac:dyDescent="0.25">
      <c r="A511" s="17">
        <v>10082</v>
      </c>
      <c r="B511" s="17" t="s">
        <v>3112</v>
      </c>
      <c r="C511" s="16" t="s">
        <v>3111</v>
      </c>
      <c r="D511" s="15" t="s">
        <v>15</v>
      </c>
      <c r="E511" s="14" t="s">
        <v>1034</v>
      </c>
      <c r="F511" s="13">
        <v>40444</v>
      </c>
      <c r="G511" s="13" t="s">
        <v>1</v>
      </c>
      <c r="H511" s="13" t="s">
        <v>1</v>
      </c>
      <c r="I511" s="12" t="s">
        <v>13</v>
      </c>
      <c r="J511" s="12" t="s">
        <v>12</v>
      </c>
      <c r="K511" s="12" t="s">
        <v>758</v>
      </c>
      <c r="L511" s="12" t="s">
        <v>757</v>
      </c>
      <c r="M511" s="12" t="s">
        <v>756</v>
      </c>
      <c r="N511" s="12" t="s">
        <v>606</v>
      </c>
      <c r="O511" s="12" t="s">
        <v>59</v>
      </c>
      <c r="P511" s="12" t="s">
        <v>72</v>
      </c>
      <c r="Q511" s="12" t="s">
        <v>5</v>
      </c>
      <c r="R511" s="12" t="s">
        <v>4</v>
      </c>
      <c r="S511" s="12" t="s">
        <v>3</v>
      </c>
      <c r="T511" s="12" t="s">
        <v>2</v>
      </c>
      <c r="U511" s="12" t="s">
        <v>1</v>
      </c>
      <c r="V511" s="12" t="s">
        <v>0</v>
      </c>
      <c r="W511" s="11">
        <v>32</v>
      </c>
    </row>
    <row r="512" spans="1:24" hidden="1" x14ac:dyDescent="0.25">
      <c r="A512" s="8">
        <v>6366</v>
      </c>
      <c r="B512" s="8" t="s">
        <v>3110</v>
      </c>
      <c r="C512" s="7" t="s">
        <v>3109</v>
      </c>
      <c r="D512" s="6" t="s">
        <v>15</v>
      </c>
      <c r="E512" s="5" t="s">
        <v>765</v>
      </c>
      <c r="F512" s="4">
        <v>39279</v>
      </c>
      <c r="G512" s="4" t="s">
        <v>1</v>
      </c>
      <c r="H512" s="4" t="s">
        <v>1</v>
      </c>
      <c r="I512" s="3" t="s">
        <v>145</v>
      </c>
      <c r="J512" s="3" t="s">
        <v>34</v>
      </c>
      <c r="K512" s="3" t="s">
        <v>33</v>
      </c>
      <c r="L512" s="3" t="s">
        <v>3108</v>
      </c>
      <c r="M512" s="3" t="s">
        <v>953</v>
      </c>
      <c r="N512" s="3" t="s">
        <v>952</v>
      </c>
      <c r="O512" s="3" t="s">
        <v>39</v>
      </c>
      <c r="P512" s="3" t="s">
        <v>30</v>
      </c>
      <c r="Q512" s="3" t="s">
        <v>20</v>
      </c>
      <c r="R512" s="3" t="s">
        <v>4</v>
      </c>
      <c r="S512" s="3" t="s">
        <v>3</v>
      </c>
      <c r="T512" s="3" t="s">
        <v>38</v>
      </c>
      <c r="U512" s="3" t="s">
        <v>1</v>
      </c>
      <c r="V512" s="3" t="s">
        <v>18</v>
      </c>
      <c r="W512" s="2">
        <v>40</v>
      </c>
    </row>
    <row r="513" spans="1:24" hidden="1" x14ac:dyDescent="0.25">
      <c r="A513" s="8">
        <v>7077</v>
      </c>
      <c r="B513" s="8" t="s">
        <v>3107</v>
      </c>
      <c r="C513" s="7" t="s">
        <v>3106</v>
      </c>
      <c r="D513" s="6" t="s">
        <v>15</v>
      </c>
      <c r="E513" s="5" t="s">
        <v>3099</v>
      </c>
      <c r="F513" s="4">
        <v>39479</v>
      </c>
      <c r="G513" s="4" t="s">
        <v>1</v>
      </c>
      <c r="H513" s="4" t="s">
        <v>1</v>
      </c>
      <c r="I513" s="5" t="s">
        <v>93</v>
      </c>
      <c r="J513" s="18" t="s">
        <v>92</v>
      </c>
      <c r="K513" s="5" t="s">
        <v>33</v>
      </c>
      <c r="L513" s="5" t="s">
        <v>33</v>
      </c>
      <c r="M513" s="3" t="s">
        <v>91</v>
      </c>
      <c r="N513" s="5" t="s">
        <v>3105</v>
      </c>
      <c r="O513" s="5" t="s">
        <v>368</v>
      </c>
      <c r="P513" s="5" t="s">
        <v>30</v>
      </c>
      <c r="Q513" s="5" t="s">
        <v>47</v>
      </c>
      <c r="R513" s="3" t="s">
        <v>4</v>
      </c>
      <c r="S513" s="3" t="s">
        <v>3</v>
      </c>
      <c r="T513" s="3" t="s">
        <v>38</v>
      </c>
      <c r="U513" s="3" t="s">
        <v>1</v>
      </c>
      <c r="V513" s="3" t="s">
        <v>18</v>
      </c>
      <c r="W513" s="2">
        <v>40</v>
      </c>
    </row>
    <row r="514" spans="1:24" hidden="1" x14ac:dyDescent="0.25">
      <c r="A514" s="8">
        <v>7078</v>
      </c>
      <c r="B514" s="8" t="s">
        <v>3104</v>
      </c>
      <c r="C514" s="7" t="s">
        <v>3103</v>
      </c>
      <c r="D514" s="6" t="s">
        <v>15</v>
      </c>
      <c r="E514" s="5" t="s">
        <v>3099</v>
      </c>
      <c r="F514" s="4">
        <v>39479</v>
      </c>
      <c r="G514" s="4" t="s">
        <v>1</v>
      </c>
      <c r="H514" s="4" t="s">
        <v>1</v>
      </c>
      <c r="I514" s="5" t="s">
        <v>93</v>
      </c>
      <c r="J514" s="5" t="s">
        <v>92</v>
      </c>
      <c r="K514" s="5" t="s">
        <v>33</v>
      </c>
      <c r="L514" s="5" t="s">
        <v>33</v>
      </c>
      <c r="M514" s="5" t="s">
        <v>1050</v>
      </c>
      <c r="N514" s="5" t="s">
        <v>3102</v>
      </c>
      <c r="O514" s="5" t="s">
        <v>1050</v>
      </c>
      <c r="P514" s="5" t="s">
        <v>30</v>
      </c>
      <c r="Q514" s="5" t="s">
        <v>47</v>
      </c>
      <c r="R514" s="3" t="s">
        <v>4</v>
      </c>
      <c r="S514" s="3" t="s">
        <v>3</v>
      </c>
      <c r="T514" s="3" t="s">
        <v>88</v>
      </c>
      <c r="U514" s="3" t="s">
        <v>1</v>
      </c>
      <c r="V514" s="3" t="s">
        <v>18</v>
      </c>
      <c r="W514" s="2">
        <v>42</v>
      </c>
    </row>
    <row r="515" spans="1:24" hidden="1" x14ac:dyDescent="0.25">
      <c r="A515" s="8">
        <v>7079</v>
      </c>
      <c r="B515" s="8" t="s">
        <v>3101</v>
      </c>
      <c r="C515" s="7" t="s">
        <v>3100</v>
      </c>
      <c r="D515" s="6" t="s">
        <v>15</v>
      </c>
      <c r="E515" s="5" t="s">
        <v>3099</v>
      </c>
      <c r="F515" s="4">
        <v>39479</v>
      </c>
      <c r="G515" s="4" t="s">
        <v>1</v>
      </c>
      <c r="H515" s="4" t="s">
        <v>1</v>
      </c>
      <c r="I515" s="5" t="s">
        <v>93</v>
      </c>
      <c r="J515" s="3" t="s">
        <v>92</v>
      </c>
      <c r="K515" s="3" t="s">
        <v>33</v>
      </c>
      <c r="L515" s="3" t="s">
        <v>33</v>
      </c>
      <c r="M515" s="3" t="s">
        <v>91</v>
      </c>
      <c r="N515" s="3" t="s">
        <v>90</v>
      </c>
      <c r="O515" s="3" t="s">
        <v>89</v>
      </c>
      <c r="P515" s="3" t="s">
        <v>72</v>
      </c>
      <c r="Q515" s="3" t="s">
        <v>20</v>
      </c>
      <c r="R515" s="3" t="s">
        <v>4</v>
      </c>
      <c r="S515" s="3" t="s">
        <v>3</v>
      </c>
      <c r="T515" s="3" t="s">
        <v>88</v>
      </c>
      <c r="U515" s="3" t="s">
        <v>1</v>
      </c>
      <c r="V515" s="3" t="s">
        <v>18</v>
      </c>
      <c r="W515" s="2">
        <v>40</v>
      </c>
      <c r="X515" s="20"/>
    </row>
    <row r="516" spans="1:24" hidden="1" x14ac:dyDescent="0.25">
      <c r="A516" s="8">
        <v>7091</v>
      </c>
      <c r="B516" s="8" t="s">
        <v>3098</v>
      </c>
      <c r="C516" s="7" t="s">
        <v>3097</v>
      </c>
      <c r="D516" s="6" t="s">
        <v>15</v>
      </c>
      <c r="E516" s="5" t="s">
        <v>343</v>
      </c>
      <c r="F516" s="4">
        <v>39479</v>
      </c>
      <c r="G516" s="4" t="s">
        <v>1</v>
      </c>
      <c r="H516" s="4" t="s">
        <v>1</v>
      </c>
      <c r="I516" s="3" t="s">
        <v>384</v>
      </c>
      <c r="J516" s="3" t="s">
        <v>2383</v>
      </c>
      <c r="K516" s="3" t="s">
        <v>33</v>
      </c>
      <c r="L516" s="3" t="s">
        <v>33</v>
      </c>
      <c r="M516" s="3" t="s">
        <v>2383</v>
      </c>
      <c r="N516" s="3" t="s">
        <v>939</v>
      </c>
      <c r="O516" s="3" t="s">
        <v>624</v>
      </c>
      <c r="P516" s="3" t="s">
        <v>30</v>
      </c>
      <c r="Q516" s="3" t="s">
        <v>47</v>
      </c>
      <c r="R516" s="3" t="s">
        <v>4</v>
      </c>
      <c r="S516" s="3" t="s">
        <v>3</v>
      </c>
      <c r="T516" s="3" t="s">
        <v>338</v>
      </c>
      <c r="U516" s="3" t="s">
        <v>1</v>
      </c>
      <c r="V516" s="3" t="s">
        <v>18</v>
      </c>
      <c r="W516" s="2">
        <v>40</v>
      </c>
    </row>
    <row r="517" spans="1:24" s="9" customFormat="1" hidden="1" x14ac:dyDescent="0.25">
      <c r="A517" s="17">
        <v>7094</v>
      </c>
      <c r="B517" s="17" t="s">
        <v>3096</v>
      </c>
      <c r="C517" s="16" t="s">
        <v>3095</v>
      </c>
      <c r="D517" s="15" t="s">
        <v>15</v>
      </c>
      <c r="E517" s="14" t="s">
        <v>343</v>
      </c>
      <c r="F517" s="13">
        <v>39479</v>
      </c>
      <c r="G517" s="13" t="s">
        <v>1</v>
      </c>
      <c r="H517" s="13" t="s">
        <v>1</v>
      </c>
      <c r="I517" s="12" t="s">
        <v>145</v>
      </c>
      <c r="J517" s="12" t="s">
        <v>34</v>
      </c>
      <c r="K517" s="12" t="s">
        <v>33</v>
      </c>
      <c r="L517" s="12" t="s">
        <v>33</v>
      </c>
      <c r="M517" s="12" t="s">
        <v>939</v>
      </c>
      <c r="N517" s="12" t="s">
        <v>954</v>
      </c>
      <c r="O517" s="12" t="s">
        <v>624</v>
      </c>
      <c r="P517" s="12" t="s">
        <v>30</v>
      </c>
      <c r="Q517" s="12" t="s">
        <v>47</v>
      </c>
      <c r="R517" s="12" t="s">
        <v>4</v>
      </c>
      <c r="S517" s="12" t="s">
        <v>3</v>
      </c>
      <c r="T517" s="12" t="s">
        <v>338</v>
      </c>
      <c r="U517" s="12" t="s">
        <v>1</v>
      </c>
      <c r="V517" s="12" t="s">
        <v>18</v>
      </c>
      <c r="W517" s="11">
        <v>39</v>
      </c>
      <c r="X517" s="10"/>
    </row>
    <row r="518" spans="1:24" hidden="1" x14ac:dyDescent="0.25">
      <c r="A518" s="8">
        <v>7260</v>
      </c>
      <c r="B518" s="8" t="s">
        <v>3094</v>
      </c>
      <c r="C518" s="7" t="s">
        <v>3093</v>
      </c>
      <c r="D518" s="6" t="s">
        <v>15</v>
      </c>
      <c r="E518" s="5" t="s">
        <v>3092</v>
      </c>
      <c r="F518" s="4">
        <v>39539</v>
      </c>
      <c r="G518" s="4" t="s">
        <v>1</v>
      </c>
      <c r="H518" s="4" t="s">
        <v>1</v>
      </c>
      <c r="I518" s="5" t="s">
        <v>93</v>
      </c>
      <c r="J518" s="5" t="s">
        <v>89</v>
      </c>
      <c r="K518" s="5" t="s">
        <v>33</v>
      </c>
      <c r="L518" s="5" t="s">
        <v>33</v>
      </c>
      <c r="M518" s="5" t="s">
        <v>1216</v>
      </c>
      <c r="N518" s="5" t="s">
        <v>1216</v>
      </c>
      <c r="O518" s="5" t="s">
        <v>89</v>
      </c>
      <c r="P518" s="5" t="s">
        <v>72</v>
      </c>
      <c r="Q518" s="5" t="s">
        <v>20</v>
      </c>
      <c r="R518" s="3" t="s">
        <v>4</v>
      </c>
      <c r="S518" s="3" t="s">
        <v>3</v>
      </c>
      <c r="T518" s="3" t="s">
        <v>88</v>
      </c>
      <c r="U518" s="3" t="s">
        <v>1</v>
      </c>
      <c r="V518" s="3" t="s">
        <v>18</v>
      </c>
      <c r="W518" s="2">
        <v>41</v>
      </c>
    </row>
    <row r="519" spans="1:24" hidden="1" x14ac:dyDescent="0.25">
      <c r="A519" s="8">
        <v>7434</v>
      </c>
      <c r="B519" s="8" t="s">
        <v>3091</v>
      </c>
      <c r="C519" s="7" t="s">
        <v>3090</v>
      </c>
      <c r="D519" s="6" t="s">
        <v>15</v>
      </c>
      <c r="E519" s="5" t="s">
        <v>3086</v>
      </c>
      <c r="F519" s="4">
        <v>39600</v>
      </c>
      <c r="G519" s="4" t="s">
        <v>1</v>
      </c>
      <c r="H519" s="4" t="s">
        <v>1</v>
      </c>
      <c r="I519" s="5" t="s">
        <v>365</v>
      </c>
      <c r="J519" s="5" t="s">
        <v>813</v>
      </c>
      <c r="K519" s="5" t="s">
        <v>33</v>
      </c>
      <c r="L519" s="5" t="s">
        <v>33</v>
      </c>
      <c r="M519" s="5" t="s">
        <v>812</v>
      </c>
      <c r="N519" s="3" t="s">
        <v>3089</v>
      </c>
      <c r="O519" s="3" t="s">
        <v>812</v>
      </c>
      <c r="P519" s="3" t="s">
        <v>30</v>
      </c>
      <c r="Q519" s="3" t="s">
        <v>121</v>
      </c>
      <c r="R519" s="3" t="s">
        <v>4</v>
      </c>
      <c r="S519" s="3" t="s">
        <v>3</v>
      </c>
      <c r="T519" s="3" t="s">
        <v>29</v>
      </c>
      <c r="U519" s="3" t="s">
        <v>1</v>
      </c>
      <c r="V519" s="3" t="s">
        <v>0</v>
      </c>
      <c r="W519" s="2">
        <v>37</v>
      </c>
    </row>
    <row r="520" spans="1:24" s="9" customFormat="1" hidden="1" x14ac:dyDescent="0.25">
      <c r="A520" s="17">
        <v>7498</v>
      </c>
      <c r="B520" s="17" t="s">
        <v>3088</v>
      </c>
      <c r="C520" s="16" t="s">
        <v>3087</v>
      </c>
      <c r="D520" s="15" t="s">
        <v>15</v>
      </c>
      <c r="E520" s="14" t="s">
        <v>3086</v>
      </c>
      <c r="F520" s="13">
        <v>39600</v>
      </c>
      <c r="G520" s="13" t="s">
        <v>1</v>
      </c>
      <c r="H520" s="13" t="s">
        <v>1</v>
      </c>
      <c r="I520" s="14" t="s">
        <v>50</v>
      </c>
      <c r="J520" s="14" t="s">
        <v>734</v>
      </c>
      <c r="K520" s="14" t="s">
        <v>33</v>
      </c>
      <c r="L520" s="14" t="s">
        <v>33</v>
      </c>
      <c r="M520" s="22" t="s">
        <v>1072</v>
      </c>
      <c r="N520" s="22" t="s">
        <v>733</v>
      </c>
      <c r="O520" s="14" t="s">
        <v>368</v>
      </c>
      <c r="P520" s="60" t="s">
        <v>30</v>
      </c>
      <c r="Q520" s="14" t="s">
        <v>47</v>
      </c>
      <c r="R520" s="12" t="s">
        <v>4</v>
      </c>
      <c r="S520" s="12" t="s">
        <v>3</v>
      </c>
      <c r="T520" s="12" t="s">
        <v>38</v>
      </c>
      <c r="U520" s="12" t="s">
        <v>1</v>
      </c>
      <c r="V520" s="12" t="s">
        <v>0</v>
      </c>
      <c r="W520" s="11">
        <v>37</v>
      </c>
      <c r="X520" s="10"/>
    </row>
    <row r="521" spans="1:24" hidden="1" x14ac:dyDescent="0.25">
      <c r="A521" s="8">
        <v>7558</v>
      </c>
      <c r="B521" s="8" t="s">
        <v>3085</v>
      </c>
      <c r="C521" s="7" t="s">
        <v>3084</v>
      </c>
      <c r="D521" s="6" t="s">
        <v>15</v>
      </c>
      <c r="E521" s="5" t="s">
        <v>3083</v>
      </c>
      <c r="F521" s="4">
        <v>39600</v>
      </c>
      <c r="G521" s="4" t="s">
        <v>1</v>
      </c>
      <c r="H521" s="4" t="s">
        <v>1</v>
      </c>
      <c r="I521" s="5" t="s">
        <v>93</v>
      </c>
      <c r="J521" s="5" t="s">
        <v>89</v>
      </c>
      <c r="K521" s="5" t="s">
        <v>33</v>
      </c>
      <c r="L521" s="5" t="s">
        <v>33</v>
      </c>
      <c r="M521" s="5" t="s">
        <v>1216</v>
      </c>
      <c r="N521" s="5" t="s">
        <v>1216</v>
      </c>
      <c r="O521" s="5" t="s">
        <v>89</v>
      </c>
      <c r="P521" s="5" t="s">
        <v>72</v>
      </c>
      <c r="Q521" s="5" t="s">
        <v>20</v>
      </c>
      <c r="R521" s="3" t="s">
        <v>4</v>
      </c>
      <c r="S521" s="3" t="s">
        <v>3</v>
      </c>
      <c r="T521" s="3" t="s">
        <v>88</v>
      </c>
      <c r="U521" s="3" t="s">
        <v>1</v>
      </c>
      <c r="V521" s="3" t="s">
        <v>18</v>
      </c>
      <c r="W521" s="2">
        <v>38</v>
      </c>
    </row>
    <row r="522" spans="1:24" s="9" customFormat="1" hidden="1" x14ac:dyDescent="0.25">
      <c r="A522" s="17">
        <v>7780</v>
      </c>
      <c r="B522" s="17" t="s">
        <v>3082</v>
      </c>
      <c r="C522" s="43" t="s">
        <v>3081</v>
      </c>
      <c r="D522" s="15" t="s">
        <v>15</v>
      </c>
      <c r="E522" s="14" t="s">
        <v>3077</v>
      </c>
      <c r="F522" s="13">
        <v>39630</v>
      </c>
      <c r="G522" s="13" t="s">
        <v>1</v>
      </c>
      <c r="H522" s="13" t="s">
        <v>1</v>
      </c>
      <c r="I522" s="14" t="s">
        <v>342</v>
      </c>
      <c r="J522" s="14" t="s">
        <v>634</v>
      </c>
      <c r="K522" s="14" t="s">
        <v>33</v>
      </c>
      <c r="L522" s="14" t="s">
        <v>33</v>
      </c>
      <c r="M522" s="14" t="s">
        <v>633</v>
      </c>
      <c r="N522" s="14" t="s">
        <v>3080</v>
      </c>
      <c r="O522" s="14" t="s">
        <v>347</v>
      </c>
      <c r="P522" s="14" t="s">
        <v>30</v>
      </c>
      <c r="Q522" s="14" t="s">
        <v>121</v>
      </c>
      <c r="R522" s="12" t="s">
        <v>4</v>
      </c>
      <c r="S522" s="12" t="s">
        <v>3</v>
      </c>
      <c r="T522" s="12" t="s">
        <v>38</v>
      </c>
      <c r="U522" s="12" t="s">
        <v>1</v>
      </c>
      <c r="V522" s="12" t="s">
        <v>0</v>
      </c>
      <c r="W522" s="11">
        <v>39</v>
      </c>
      <c r="X522" s="10"/>
    </row>
    <row r="523" spans="1:24" s="9" customFormat="1" hidden="1" x14ac:dyDescent="0.25">
      <c r="A523" s="17">
        <v>7782</v>
      </c>
      <c r="B523" s="17" t="s">
        <v>3079</v>
      </c>
      <c r="C523" s="16" t="s">
        <v>3078</v>
      </c>
      <c r="D523" s="15" t="s">
        <v>15</v>
      </c>
      <c r="E523" s="14" t="s">
        <v>3077</v>
      </c>
      <c r="F523" s="13">
        <v>39630</v>
      </c>
      <c r="G523" s="13" t="s">
        <v>1</v>
      </c>
      <c r="H523" s="13" t="s">
        <v>1</v>
      </c>
      <c r="I523" s="22" t="s">
        <v>93</v>
      </c>
      <c r="J523" s="14" t="s">
        <v>866</v>
      </c>
      <c r="K523" s="14" t="s">
        <v>33</v>
      </c>
      <c r="L523" s="14" t="s">
        <v>33</v>
      </c>
      <c r="M523" s="14" t="s">
        <v>866</v>
      </c>
      <c r="N523" s="14" t="s">
        <v>865</v>
      </c>
      <c r="O523" s="14" t="s">
        <v>368</v>
      </c>
      <c r="P523" s="14" t="s">
        <v>30</v>
      </c>
      <c r="Q523" s="14" t="s">
        <v>47</v>
      </c>
      <c r="R523" s="12" t="s">
        <v>4</v>
      </c>
      <c r="S523" s="12" t="s">
        <v>3</v>
      </c>
      <c r="T523" s="12" t="s">
        <v>38</v>
      </c>
      <c r="U523" s="12" t="s">
        <v>1</v>
      </c>
      <c r="V523" s="12" t="s">
        <v>18</v>
      </c>
      <c r="W523" s="11">
        <v>39</v>
      </c>
      <c r="X523" s="10"/>
    </row>
    <row r="524" spans="1:24" hidden="1" x14ac:dyDescent="0.25">
      <c r="A524" s="8">
        <v>7788</v>
      </c>
      <c r="B524" s="8" t="s">
        <v>3076</v>
      </c>
      <c r="C524" s="7" t="s">
        <v>3075</v>
      </c>
      <c r="D524" s="6" t="s">
        <v>15</v>
      </c>
      <c r="E524" s="5" t="s">
        <v>3074</v>
      </c>
      <c r="F524" s="4">
        <v>39630</v>
      </c>
      <c r="G524" s="4" t="s">
        <v>1</v>
      </c>
      <c r="H524" s="4" t="s">
        <v>1</v>
      </c>
      <c r="I524" s="5" t="s">
        <v>93</v>
      </c>
      <c r="J524" s="5" t="s">
        <v>89</v>
      </c>
      <c r="K524" s="5" t="s">
        <v>33</v>
      </c>
      <c r="L524" s="5" t="s">
        <v>33</v>
      </c>
      <c r="M524" s="5" t="s">
        <v>1216</v>
      </c>
      <c r="N524" s="5" t="s">
        <v>1216</v>
      </c>
      <c r="O524" s="5" t="s">
        <v>89</v>
      </c>
      <c r="P524" s="5" t="s">
        <v>6</v>
      </c>
      <c r="Q524" s="5" t="s">
        <v>20</v>
      </c>
      <c r="R524" s="3" t="s">
        <v>4</v>
      </c>
      <c r="S524" s="3" t="s">
        <v>3</v>
      </c>
      <c r="T524" s="3" t="s">
        <v>88</v>
      </c>
      <c r="U524" s="3" t="s">
        <v>1</v>
      </c>
      <c r="V524" s="3" t="s">
        <v>18</v>
      </c>
      <c r="W524" s="2">
        <v>39</v>
      </c>
    </row>
    <row r="525" spans="1:24" s="9" customFormat="1" hidden="1" x14ac:dyDescent="0.25">
      <c r="A525" s="17">
        <v>8038</v>
      </c>
      <c r="B525" s="17" t="s">
        <v>3073</v>
      </c>
      <c r="C525" s="43" t="s">
        <v>3072</v>
      </c>
      <c r="D525" s="15" t="s">
        <v>15</v>
      </c>
      <c r="E525" s="14" t="s">
        <v>343</v>
      </c>
      <c r="F525" s="13">
        <v>39661</v>
      </c>
      <c r="G525" s="13" t="s">
        <v>1</v>
      </c>
      <c r="H525" s="13" t="s">
        <v>1</v>
      </c>
      <c r="I525" s="14" t="s">
        <v>365</v>
      </c>
      <c r="J525" s="14" t="s">
        <v>530</v>
      </c>
      <c r="K525" s="14" t="s">
        <v>33</v>
      </c>
      <c r="L525" s="14" t="s">
        <v>33</v>
      </c>
      <c r="M525" s="14" t="s">
        <v>530</v>
      </c>
      <c r="N525" s="14" t="s">
        <v>3066</v>
      </c>
      <c r="O525" s="14" t="s">
        <v>339</v>
      </c>
      <c r="P525" s="14" t="s">
        <v>30</v>
      </c>
      <c r="Q525" s="14" t="s">
        <v>121</v>
      </c>
      <c r="R525" s="12" t="s">
        <v>4</v>
      </c>
      <c r="S525" s="12" t="s">
        <v>3</v>
      </c>
      <c r="T525" s="12" t="s">
        <v>3065</v>
      </c>
      <c r="U525" s="12" t="s">
        <v>1</v>
      </c>
      <c r="V525" s="12" t="s">
        <v>18</v>
      </c>
      <c r="W525" s="11">
        <v>40</v>
      </c>
      <c r="X525" s="10"/>
    </row>
    <row r="526" spans="1:24" hidden="1" x14ac:dyDescent="0.25">
      <c r="A526" s="8">
        <v>8043</v>
      </c>
      <c r="B526" s="8" t="s">
        <v>3071</v>
      </c>
      <c r="C526" s="7" t="s">
        <v>3070</v>
      </c>
      <c r="D526" s="6" t="s">
        <v>15</v>
      </c>
      <c r="E526" s="5" t="s">
        <v>3069</v>
      </c>
      <c r="F526" s="4">
        <v>39661</v>
      </c>
      <c r="G526" s="4" t="s">
        <v>1</v>
      </c>
      <c r="H526" s="4" t="s">
        <v>1</v>
      </c>
      <c r="I526" s="5" t="s">
        <v>93</v>
      </c>
      <c r="J526" s="5" t="s">
        <v>89</v>
      </c>
      <c r="K526" s="5" t="s">
        <v>33</v>
      </c>
      <c r="L526" s="5" t="s">
        <v>33</v>
      </c>
      <c r="M526" s="5" t="s">
        <v>1212</v>
      </c>
      <c r="N526" s="5" t="s">
        <v>1211</v>
      </c>
      <c r="O526" s="5" t="s">
        <v>387</v>
      </c>
      <c r="P526" s="5" t="s">
        <v>72</v>
      </c>
      <c r="Q526" s="5" t="s">
        <v>47</v>
      </c>
      <c r="R526" s="3" t="s">
        <v>4</v>
      </c>
      <c r="S526" s="3" t="s">
        <v>3</v>
      </c>
      <c r="T526" s="3" t="s">
        <v>88</v>
      </c>
      <c r="U526" s="3" t="s">
        <v>1</v>
      </c>
      <c r="V526" s="3" t="s">
        <v>18</v>
      </c>
      <c r="W526" s="2">
        <v>37</v>
      </c>
    </row>
    <row r="527" spans="1:24" hidden="1" x14ac:dyDescent="0.25">
      <c r="A527" s="8">
        <v>8381</v>
      </c>
      <c r="B527" s="8" t="s">
        <v>3068</v>
      </c>
      <c r="C527" s="28" t="s">
        <v>3067</v>
      </c>
      <c r="D527" s="6" t="s">
        <v>15</v>
      </c>
      <c r="E527" s="5" t="s">
        <v>343</v>
      </c>
      <c r="F527" s="4">
        <v>39680</v>
      </c>
      <c r="G527" s="4" t="s">
        <v>1</v>
      </c>
      <c r="H527" s="4" t="s">
        <v>1</v>
      </c>
      <c r="I527" s="5" t="s">
        <v>342</v>
      </c>
      <c r="J527" s="5" t="s">
        <v>634</v>
      </c>
      <c r="K527" s="5" t="s">
        <v>33</v>
      </c>
      <c r="L527" s="5" t="s">
        <v>33</v>
      </c>
      <c r="M527" s="5" t="s">
        <v>633</v>
      </c>
      <c r="N527" s="5" t="s">
        <v>3066</v>
      </c>
      <c r="O527" s="5" t="s">
        <v>339</v>
      </c>
      <c r="P527" s="5" t="s">
        <v>30</v>
      </c>
      <c r="Q527" s="5" t="s">
        <v>121</v>
      </c>
      <c r="R527" s="3" t="s">
        <v>4</v>
      </c>
      <c r="S527" s="3" t="s">
        <v>3</v>
      </c>
      <c r="T527" s="3" t="s">
        <v>3065</v>
      </c>
      <c r="U527" s="3" t="s">
        <v>1</v>
      </c>
      <c r="V527" s="3" t="s">
        <v>18</v>
      </c>
      <c r="W527" s="2">
        <v>42</v>
      </c>
      <c r="X527" s="20"/>
    </row>
    <row r="528" spans="1:24" hidden="1" x14ac:dyDescent="0.25">
      <c r="A528" s="8">
        <v>10291</v>
      </c>
      <c r="B528" s="8" t="s">
        <v>3064</v>
      </c>
      <c r="C528" s="7" t="s">
        <v>3063</v>
      </c>
      <c r="D528" s="6" t="s">
        <v>15</v>
      </c>
      <c r="E528" s="5" t="s">
        <v>2456</v>
      </c>
      <c r="F528" s="4">
        <v>40504</v>
      </c>
      <c r="G528" s="4" t="s">
        <v>1</v>
      </c>
      <c r="H528" s="4" t="s">
        <v>1</v>
      </c>
      <c r="I528" s="3" t="s">
        <v>13</v>
      </c>
      <c r="J528" s="3" t="s">
        <v>12</v>
      </c>
      <c r="K528" s="3" t="s">
        <v>758</v>
      </c>
      <c r="L528" s="3" t="s">
        <v>757</v>
      </c>
      <c r="M528" s="3" t="s">
        <v>756</v>
      </c>
      <c r="N528" s="3" t="s">
        <v>1028</v>
      </c>
      <c r="O528" s="3" t="s">
        <v>67</v>
      </c>
      <c r="P528" s="3" t="s">
        <v>72</v>
      </c>
      <c r="Q528" s="3" t="s">
        <v>5</v>
      </c>
      <c r="R528" s="3" t="s">
        <v>4</v>
      </c>
      <c r="S528" s="3" t="s">
        <v>3</v>
      </c>
      <c r="T528" s="3" t="s">
        <v>2</v>
      </c>
      <c r="U528" s="3" t="s">
        <v>1</v>
      </c>
      <c r="V528" s="3" t="s">
        <v>0</v>
      </c>
      <c r="W528" s="2">
        <v>33</v>
      </c>
    </row>
    <row r="529" spans="1:23" hidden="1" x14ac:dyDescent="0.25">
      <c r="A529" s="8">
        <v>8636</v>
      </c>
      <c r="B529" s="8" t="s">
        <v>3062</v>
      </c>
      <c r="C529" s="7" t="s">
        <v>3061</v>
      </c>
      <c r="D529" s="6" t="s">
        <v>15</v>
      </c>
      <c r="E529" s="5" t="s">
        <v>225</v>
      </c>
      <c r="F529" s="4">
        <v>39878</v>
      </c>
      <c r="G529" s="4" t="s">
        <v>1</v>
      </c>
      <c r="H529" s="4" t="s">
        <v>1</v>
      </c>
      <c r="I529" s="3" t="s">
        <v>13</v>
      </c>
      <c r="J529" s="3" t="s">
        <v>12</v>
      </c>
      <c r="K529" s="3" t="s">
        <v>132</v>
      </c>
      <c r="L529" s="3" t="s">
        <v>400</v>
      </c>
      <c r="M529" s="3" t="s">
        <v>399</v>
      </c>
      <c r="N529" s="3" t="s">
        <v>22</v>
      </c>
      <c r="O529" s="3" t="s">
        <v>21</v>
      </c>
      <c r="P529" s="3" t="s">
        <v>6</v>
      </c>
      <c r="Q529" s="3" t="s">
        <v>20</v>
      </c>
      <c r="R529" s="3" t="s">
        <v>4</v>
      </c>
      <c r="S529" s="3" t="s">
        <v>3</v>
      </c>
      <c r="T529" s="3" t="s">
        <v>1077</v>
      </c>
      <c r="U529" s="3" t="s">
        <v>1</v>
      </c>
      <c r="V529" s="3" t="s">
        <v>0</v>
      </c>
      <c r="W529" s="2">
        <v>36</v>
      </c>
    </row>
    <row r="530" spans="1:23" hidden="1" x14ac:dyDescent="0.25">
      <c r="A530" s="8">
        <v>10568</v>
      </c>
      <c r="B530" s="8" t="s">
        <v>3060</v>
      </c>
      <c r="C530" s="7" t="s">
        <v>3059</v>
      </c>
      <c r="D530" s="6" t="s">
        <v>15</v>
      </c>
      <c r="E530" s="5" t="s">
        <v>1512</v>
      </c>
      <c r="F530" s="4">
        <v>40542</v>
      </c>
      <c r="G530" s="4" t="s">
        <v>1</v>
      </c>
      <c r="H530" s="4" t="s">
        <v>1</v>
      </c>
      <c r="I530" s="3" t="s">
        <v>13</v>
      </c>
      <c r="J530" s="3" t="s">
        <v>12</v>
      </c>
      <c r="K530" s="3" t="s">
        <v>758</v>
      </c>
      <c r="L530" s="3" t="s">
        <v>757</v>
      </c>
      <c r="M530" s="3" t="s">
        <v>756</v>
      </c>
      <c r="N530" s="3" t="s">
        <v>1313</v>
      </c>
      <c r="O530" s="3" t="s">
        <v>7</v>
      </c>
      <c r="P530" s="3" t="s">
        <v>72</v>
      </c>
      <c r="Q530" s="3" t="s">
        <v>5</v>
      </c>
      <c r="R530" s="3" t="s">
        <v>4</v>
      </c>
      <c r="S530" s="3" t="s">
        <v>3</v>
      </c>
      <c r="T530" s="3" t="s">
        <v>2</v>
      </c>
      <c r="U530" s="3" t="s">
        <v>1</v>
      </c>
      <c r="V530" s="3" t="s">
        <v>0</v>
      </c>
      <c r="W530" s="2">
        <v>33</v>
      </c>
    </row>
    <row r="531" spans="1:23" hidden="1" x14ac:dyDescent="0.25">
      <c r="A531" s="8">
        <v>8643</v>
      </c>
      <c r="B531" s="8" t="s">
        <v>3058</v>
      </c>
      <c r="C531" s="7" t="s">
        <v>3057</v>
      </c>
      <c r="D531" s="6" t="s">
        <v>15</v>
      </c>
      <c r="E531" s="5" t="s">
        <v>225</v>
      </c>
      <c r="F531" s="4">
        <v>39878</v>
      </c>
      <c r="G531" s="4" t="s">
        <v>1</v>
      </c>
      <c r="H531" s="4" t="s">
        <v>1</v>
      </c>
      <c r="I531" s="3" t="s">
        <v>13</v>
      </c>
      <c r="J531" s="3" t="s">
        <v>12</v>
      </c>
      <c r="K531" s="3" t="s">
        <v>758</v>
      </c>
      <c r="L531" s="3" t="s">
        <v>757</v>
      </c>
      <c r="M531" s="3" t="s">
        <v>756</v>
      </c>
      <c r="N531" s="3" t="s">
        <v>22</v>
      </c>
      <c r="O531" s="3" t="s">
        <v>21</v>
      </c>
      <c r="P531" s="3" t="s">
        <v>6</v>
      </c>
      <c r="Q531" s="3" t="s">
        <v>20</v>
      </c>
      <c r="R531" s="3" t="s">
        <v>4</v>
      </c>
      <c r="S531" s="3" t="s">
        <v>3</v>
      </c>
      <c r="T531" s="3" t="s">
        <v>19</v>
      </c>
      <c r="U531" s="3" t="s">
        <v>1</v>
      </c>
      <c r="V531" s="3" t="s">
        <v>0</v>
      </c>
      <c r="W531" s="2">
        <v>35</v>
      </c>
    </row>
    <row r="532" spans="1:23" hidden="1" x14ac:dyDescent="0.25">
      <c r="A532" s="8">
        <v>11189</v>
      </c>
      <c r="B532" s="8" t="s">
        <v>3056</v>
      </c>
      <c r="C532" s="7" t="s">
        <v>3055</v>
      </c>
      <c r="D532" s="6" t="s">
        <v>15</v>
      </c>
      <c r="E532" s="5" t="s">
        <v>2082</v>
      </c>
      <c r="F532" s="4">
        <v>40610</v>
      </c>
      <c r="G532" s="4" t="s">
        <v>1</v>
      </c>
      <c r="H532" s="4" t="s">
        <v>1</v>
      </c>
      <c r="I532" s="3" t="s">
        <v>13</v>
      </c>
      <c r="J532" s="3" t="s">
        <v>12</v>
      </c>
      <c r="K532" s="3" t="s">
        <v>758</v>
      </c>
      <c r="L532" s="3" t="s">
        <v>757</v>
      </c>
      <c r="M532" s="3" t="s">
        <v>756</v>
      </c>
      <c r="N532" s="3" t="s">
        <v>870</v>
      </c>
      <c r="O532" s="3" t="s">
        <v>21</v>
      </c>
      <c r="P532" s="3" t="s">
        <v>72</v>
      </c>
      <c r="Q532" s="3" t="s">
        <v>20</v>
      </c>
      <c r="R532" s="3" t="s">
        <v>4</v>
      </c>
      <c r="S532" s="3" t="s">
        <v>3</v>
      </c>
      <c r="T532" s="3" t="s">
        <v>2</v>
      </c>
      <c r="U532" s="3" t="s">
        <v>1</v>
      </c>
      <c r="V532" s="3" t="s">
        <v>0</v>
      </c>
      <c r="W532" s="2">
        <v>35</v>
      </c>
    </row>
    <row r="533" spans="1:23" hidden="1" x14ac:dyDescent="0.25">
      <c r="A533" s="8">
        <v>8645</v>
      </c>
      <c r="B533" s="8" t="s">
        <v>3054</v>
      </c>
      <c r="C533" s="7" t="s">
        <v>3053</v>
      </c>
      <c r="D533" s="6" t="s">
        <v>15</v>
      </c>
      <c r="E533" s="5" t="s">
        <v>225</v>
      </c>
      <c r="F533" s="4">
        <v>39878</v>
      </c>
      <c r="G533" s="4" t="s">
        <v>1</v>
      </c>
      <c r="H533" s="4" t="s">
        <v>1</v>
      </c>
      <c r="I533" s="3" t="s">
        <v>13</v>
      </c>
      <c r="J533" s="3" t="s">
        <v>12</v>
      </c>
      <c r="K533" s="3" t="s">
        <v>63</v>
      </c>
      <c r="L533" s="3" t="s">
        <v>81</v>
      </c>
      <c r="M533" s="3" t="s">
        <v>173</v>
      </c>
      <c r="N533" s="3" t="s">
        <v>1078</v>
      </c>
      <c r="O533" s="3" t="s">
        <v>29</v>
      </c>
      <c r="P533" s="3" t="s">
        <v>6</v>
      </c>
      <c r="Q533" s="3" t="s">
        <v>20</v>
      </c>
      <c r="R533" s="3" t="s">
        <v>4</v>
      </c>
      <c r="S533" s="3" t="s">
        <v>3</v>
      </c>
      <c r="T533" s="3" t="s">
        <v>1077</v>
      </c>
      <c r="U533" s="3" t="s">
        <v>1</v>
      </c>
      <c r="V533" s="3" t="s">
        <v>0</v>
      </c>
      <c r="W533" s="2">
        <v>35</v>
      </c>
    </row>
    <row r="534" spans="1:23" hidden="1" x14ac:dyDescent="0.25">
      <c r="A534" s="8">
        <v>8647</v>
      </c>
      <c r="B534" s="8" t="s">
        <v>3052</v>
      </c>
      <c r="C534" s="19" t="s">
        <v>3051</v>
      </c>
      <c r="D534" s="6" t="s">
        <v>15</v>
      </c>
      <c r="E534" s="5" t="s">
        <v>225</v>
      </c>
      <c r="F534" s="4">
        <v>39878</v>
      </c>
      <c r="G534" s="4" t="s">
        <v>1</v>
      </c>
      <c r="H534" s="4" t="s">
        <v>1</v>
      </c>
      <c r="I534" s="3" t="s">
        <v>384</v>
      </c>
      <c r="J534" s="3" t="s">
        <v>1227</v>
      </c>
      <c r="K534" s="3" t="s">
        <v>33</v>
      </c>
      <c r="L534" s="3" t="s">
        <v>33</v>
      </c>
      <c r="M534" s="3" t="s">
        <v>1227</v>
      </c>
      <c r="N534" s="3" t="s">
        <v>1226</v>
      </c>
      <c r="O534" s="3" t="s">
        <v>387</v>
      </c>
      <c r="P534" s="3" t="s">
        <v>30</v>
      </c>
      <c r="Q534" s="3" t="s">
        <v>47</v>
      </c>
      <c r="R534" s="3" t="s">
        <v>4</v>
      </c>
      <c r="S534" s="3" t="s">
        <v>3</v>
      </c>
      <c r="T534" s="3" t="s">
        <v>2</v>
      </c>
      <c r="U534" s="3" t="s">
        <v>1</v>
      </c>
      <c r="V534" s="3" t="s">
        <v>0</v>
      </c>
      <c r="W534" s="2">
        <v>35</v>
      </c>
    </row>
    <row r="535" spans="1:23" s="78" customFormat="1" hidden="1" x14ac:dyDescent="0.25">
      <c r="A535" s="73">
        <v>11938</v>
      </c>
      <c r="B535" s="73" t="s">
        <v>3050</v>
      </c>
      <c r="C535" s="87" t="s">
        <v>3049</v>
      </c>
      <c r="D535" s="88" t="s">
        <v>15</v>
      </c>
      <c r="E535" s="89" t="s">
        <v>1233</v>
      </c>
      <c r="F535" s="90">
        <v>40770</v>
      </c>
      <c r="G535" s="90" t="s">
        <v>1</v>
      </c>
      <c r="H535" s="90" t="s">
        <v>1</v>
      </c>
      <c r="I535" s="92" t="s">
        <v>13</v>
      </c>
      <c r="J535" s="92" t="s">
        <v>12</v>
      </c>
      <c r="K535" s="92" t="s">
        <v>758</v>
      </c>
      <c r="L535" s="92" t="s">
        <v>757</v>
      </c>
      <c r="M535" s="92" t="s">
        <v>756</v>
      </c>
      <c r="N535" s="92" t="s">
        <v>272</v>
      </c>
      <c r="O535" s="92" t="s">
        <v>59</v>
      </c>
      <c r="P535" s="92" t="s">
        <v>72</v>
      </c>
      <c r="Q535" s="92" t="s">
        <v>5</v>
      </c>
      <c r="R535" s="92" t="s">
        <v>4</v>
      </c>
      <c r="S535" s="92" t="s">
        <v>3</v>
      </c>
      <c r="T535" s="92" t="s">
        <v>2</v>
      </c>
      <c r="U535" s="92" t="s">
        <v>1</v>
      </c>
      <c r="V535" s="92" t="s">
        <v>0</v>
      </c>
      <c r="W535" s="93">
        <v>31</v>
      </c>
    </row>
    <row r="536" spans="1:23" s="78" customFormat="1" hidden="1" x14ac:dyDescent="0.25">
      <c r="A536" s="73">
        <v>12193</v>
      </c>
      <c r="B536" s="73" t="s">
        <v>3048</v>
      </c>
      <c r="C536" s="87" t="s">
        <v>3047</v>
      </c>
      <c r="D536" s="88" t="s">
        <v>15</v>
      </c>
      <c r="E536" s="89" t="s">
        <v>1666</v>
      </c>
      <c r="F536" s="90">
        <v>40802</v>
      </c>
      <c r="G536" s="90" t="s">
        <v>1</v>
      </c>
      <c r="H536" s="90" t="s">
        <v>1</v>
      </c>
      <c r="I536" s="92" t="s">
        <v>13</v>
      </c>
      <c r="J536" s="92" t="s">
        <v>12</v>
      </c>
      <c r="K536" s="92" t="s">
        <v>758</v>
      </c>
      <c r="L536" s="92" t="s">
        <v>757</v>
      </c>
      <c r="M536" s="92" t="s">
        <v>756</v>
      </c>
      <c r="N536" s="92" t="s">
        <v>3046</v>
      </c>
      <c r="O536" s="92" t="s">
        <v>67</v>
      </c>
      <c r="P536" s="92" t="s">
        <v>72</v>
      </c>
      <c r="Q536" s="92" t="s">
        <v>5</v>
      </c>
      <c r="R536" s="92" t="s">
        <v>4</v>
      </c>
      <c r="S536" s="92" t="s">
        <v>3</v>
      </c>
      <c r="T536" s="92" t="s">
        <v>2</v>
      </c>
      <c r="U536" s="92" t="s">
        <v>1</v>
      </c>
      <c r="V536" s="92" t="s">
        <v>0</v>
      </c>
      <c r="W536" s="93">
        <v>32</v>
      </c>
    </row>
    <row r="537" spans="1:23" hidden="1" x14ac:dyDescent="0.25">
      <c r="A537" s="8">
        <v>8667</v>
      </c>
      <c r="B537" s="8" t="s">
        <v>3045</v>
      </c>
      <c r="C537" s="7" t="s">
        <v>3044</v>
      </c>
      <c r="D537" s="6" t="s">
        <v>15</v>
      </c>
      <c r="E537" s="5" t="s">
        <v>225</v>
      </c>
      <c r="F537" s="4">
        <v>39878</v>
      </c>
      <c r="G537" s="4" t="s">
        <v>1</v>
      </c>
      <c r="H537" s="4" t="s">
        <v>1</v>
      </c>
      <c r="I537" s="3" t="s">
        <v>145</v>
      </c>
      <c r="J537" s="3" t="s">
        <v>12</v>
      </c>
      <c r="K537" s="3" t="s">
        <v>1933</v>
      </c>
      <c r="L537" s="3" t="s">
        <v>1932</v>
      </c>
      <c r="M537" s="3" t="s">
        <v>1931</v>
      </c>
      <c r="N537" s="3" t="s">
        <v>1355</v>
      </c>
      <c r="O537" s="3" t="s">
        <v>100</v>
      </c>
      <c r="P537" s="3" t="s">
        <v>30</v>
      </c>
      <c r="Q537" s="3" t="s">
        <v>20</v>
      </c>
      <c r="R537" s="3" t="s">
        <v>4</v>
      </c>
      <c r="S537" s="3" t="s">
        <v>3</v>
      </c>
      <c r="T537" s="3" t="s">
        <v>2</v>
      </c>
      <c r="U537" s="3" t="s">
        <v>1</v>
      </c>
      <c r="V537" s="3" t="s">
        <v>0</v>
      </c>
      <c r="W537" s="2">
        <v>37</v>
      </c>
    </row>
    <row r="538" spans="1:23" hidden="1" x14ac:dyDescent="0.25">
      <c r="A538" s="8">
        <v>8669</v>
      </c>
      <c r="B538" s="8" t="s">
        <v>3043</v>
      </c>
      <c r="C538" s="19" t="s">
        <v>3042</v>
      </c>
      <c r="D538" s="6" t="s">
        <v>15</v>
      </c>
      <c r="E538" s="18" t="s">
        <v>225</v>
      </c>
      <c r="F538" s="4">
        <v>39878</v>
      </c>
      <c r="G538" s="4" t="s">
        <v>1</v>
      </c>
      <c r="H538" s="4" t="s">
        <v>1</v>
      </c>
      <c r="I538" s="3" t="s">
        <v>13</v>
      </c>
      <c r="J538" s="3" t="s">
        <v>12</v>
      </c>
      <c r="K538" s="3" t="s">
        <v>187</v>
      </c>
      <c r="L538" s="3" t="s">
        <v>229</v>
      </c>
      <c r="M538" s="3" t="s">
        <v>228</v>
      </c>
      <c r="N538" s="3" t="s">
        <v>68</v>
      </c>
      <c r="O538" s="3" t="s">
        <v>67</v>
      </c>
      <c r="P538" s="3" t="s">
        <v>6</v>
      </c>
      <c r="Q538" s="3" t="s">
        <v>5</v>
      </c>
      <c r="R538" s="3" t="s">
        <v>4</v>
      </c>
      <c r="S538" s="3" t="s">
        <v>3</v>
      </c>
      <c r="T538" s="3" t="s">
        <v>2</v>
      </c>
      <c r="U538" s="3" t="s">
        <v>1</v>
      </c>
      <c r="V538" s="3" t="s">
        <v>0</v>
      </c>
      <c r="W538" s="2">
        <v>35</v>
      </c>
    </row>
    <row r="539" spans="1:23" hidden="1" x14ac:dyDescent="0.25">
      <c r="A539" s="8">
        <v>8672</v>
      </c>
      <c r="B539" s="8" t="s">
        <v>3041</v>
      </c>
      <c r="C539" s="7" t="s">
        <v>3040</v>
      </c>
      <c r="D539" s="6" t="s">
        <v>15</v>
      </c>
      <c r="E539" s="5" t="s">
        <v>225</v>
      </c>
      <c r="F539" s="4">
        <v>39878</v>
      </c>
      <c r="G539" s="4" t="s">
        <v>1</v>
      </c>
      <c r="H539" s="4" t="s">
        <v>1</v>
      </c>
      <c r="I539" s="18" t="s">
        <v>100</v>
      </c>
      <c r="J539" s="18" t="s">
        <v>124</v>
      </c>
      <c r="K539" s="18" t="s">
        <v>33</v>
      </c>
      <c r="L539" s="18" t="s">
        <v>33</v>
      </c>
      <c r="M539" s="18" t="s">
        <v>124</v>
      </c>
      <c r="N539" s="18" t="s">
        <v>748</v>
      </c>
      <c r="O539" s="18" t="s">
        <v>122</v>
      </c>
      <c r="P539" s="5" t="s">
        <v>1</v>
      </c>
      <c r="Q539" s="5" t="s">
        <v>121</v>
      </c>
      <c r="R539" s="3" t="s">
        <v>4</v>
      </c>
      <c r="S539" s="3" t="s">
        <v>3</v>
      </c>
      <c r="T539" s="3" t="s">
        <v>19</v>
      </c>
      <c r="U539" s="3" t="s">
        <v>1</v>
      </c>
      <c r="V539" s="3" t="s">
        <v>0</v>
      </c>
      <c r="W539" s="2">
        <v>35</v>
      </c>
    </row>
    <row r="540" spans="1:23" s="78" customFormat="1" hidden="1" x14ac:dyDescent="0.25">
      <c r="A540" s="73">
        <v>12209</v>
      </c>
      <c r="B540" s="73" t="s">
        <v>3039</v>
      </c>
      <c r="C540" s="87" t="s">
        <v>3038</v>
      </c>
      <c r="D540" s="88" t="s">
        <v>15</v>
      </c>
      <c r="E540" s="89" t="s">
        <v>1666</v>
      </c>
      <c r="F540" s="90">
        <v>40802</v>
      </c>
      <c r="G540" s="90" t="s">
        <v>1</v>
      </c>
      <c r="H540" s="90" t="s">
        <v>1</v>
      </c>
      <c r="I540" s="92" t="s">
        <v>13</v>
      </c>
      <c r="J540" s="92" t="s">
        <v>12</v>
      </c>
      <c r="K540" s="92" t="s">
        <v>758</v>
      </c>
      <c r="L540" s="92" t="s">
        <v>757</v>
      </c>
      <c r="M540" s="92" t="s">
        <v>756</v>
      </c>
      <c r="N540" s="92" t="s">
        <v>1638</v>
      </c>
      <c r="O540" s="92" t="s">
        <v>1637</v>
      </c>
      <c r="P540" s="92" t="s">
        <v>72</v>
      </c>
      <c r="Q540" s="92" t="s">
        <v>20</v>
      </c>
      <c r="R540" s="92" t="s">
        <v>4</v>
      </c>
      <c r="S540" s="92" t="s">
        <v>3</v>
      </c>
      <c r="T540" s="92" t="s">
        <v>2</v>
      </c>
      <c r="U540" s="92" t="s">
        <v>1</v>
      </c>
      <c r="V540" s="92" t="s">
        <v>0</v>
      </c>
      <c r="W540" s="93">
        <v>34</v>
      </c>
    </row>
    <row r="541" spans="1:23" hidden="1" x14ac:dyDescent="0.25">
      <c r="A541" s="8">
        <v>8680</v>
      </c>
      <c r="B541" s="8" t="s">
        <v>3037</v>
      </c>
      <c r="C541" s="35" t="s">
        <v>3036</v>
      </c>
      <c r="D541" s="6" t="s">
        <v>15</v>
      </c>
      <c r="E541" s="8" t="s">
        <v>1338</v>
      </c>
      <c r="F541" s="4">
        <v>39888</v>
      </c>
      <c r="G541" s="4" t="s">
        <v>1</v>
      </c>
      <c r="H541" s="4" t="s">
        <v>1</v>
      </c>
      <c r="I541" s="3" t="s">
        <v>13</v>
      </c>
      <c r="J541" s="3" t="s">
        <v>133</v>
      </c>
      <c r="K541" s="3" t="s">
        <v>262</v>
      </c>
      <c r="L541" s="3" t="s">
        <v>262</v>
      </c>
      <c r="M541" s="3" t="s">
        <v>277</v>
      </c>
      <c r="N541" s="3" t="s">
        <v>198</v>
      </c>
      <c r="O541" s="3" t="s">
        <v>184</v>
      </c>
      <c r="P541" s="3" t="s">
        <v>6</v>
      </c>
      <c r="Q541" s="3" t="s">
        <v>20</v>
      </c>
      <c r="R541" s="3" t="s">
        <v>4</v>
      </c>
      <c r="S541" s="3" t="s">
        <v>3</v>
      </c>
      <c r="T541" s="3" t="s">
        <v>2</v>
      </c>
      <c r="U541" s="3" t="s">
        <v>1</v>
      </c>
      <c r="V541" s="3" t="s">
        <v>0</v>
      </c>
      <c r="W541" s="2">
        <v>35</v>
      </c>
    </row>
    <row r="542" spans="1:23" s="78" customFormat="1" hidden="1" x14ac:dyDescent="0.25">
      <c r="A542" s="73">
        <v>12609</v>
      </c>
      <c r="B542" s="73" t="s">
        <v>3035</v>
      </c>
      <c r="C542" s="87" t="s">
        <v>3034</v>
      </c>
      <c r="D542" s="88" t="s">
        <v>15</v>
      </c>
      <c r="E542" s="89" t="s">
        <v>1498</v>
      </c>
      <c r="F542" s="90">
        <v>40816</v>
      </c>
      <c r="G542" s="90" t="s">
        <v>1</v>
      </c>
      <c r="H542" s="90" t="s">
        <v>1</v>
      </c>
      <c r="I542" s="92" t="s">
        <v>13</v>
      </c>
      <c r="J542" s="92" t="s">
        <v>12</v>
      </c>
      <c r="K542" s="92" t="s">
        <v>758</v>
      </c>
      <c r="L542" s="92" t="s">
        <v>757</v>
      </c>
      <c r="M542" s="92" t="s">
        <v>756</v>
      </c>
      <c r="N542" s="92" t="s">
        <v>628</v>
      </c>
      <c r="O542" s="92" t="s">
        <v>59</v>
      </c>
      <c r="P542" s="92" t="s">
        <v>72</v>
      </c>
      <c r="Q542" s="92" t="s">
        <v>5</v>
      </c>
      <c r="R542" s="92" t="s">
        <v>4</v>
      </c>
      <c r="S542" s="92" t="s">
        <v>3</v>
      </c>
      <c r="T542" s="92" t="s">
        <v>2</v>
      </c>
      <c r="U542" s="92" t="s">
        <v>1</v>
      </c>
      <c r="V542" s="92" t="s">
        <v>0</v>
      </c>
      <c r="W542" s="93">
        <v>34</v>
      </c>
    </row>
    <row r="543" spans="1:23" hidden="1" x14ac:dyDescent="0.25">
      <c r="A543" s="8">
        <v>17598</v>
      </c>
      <c r="B543" s="8" t="s">
        <v>3033</v>
      </c>
      <c r="C543" s="7" t="s">
        <v>1516</v>
      </c>
      <c r="D543" s="6" t="s">
        <v>15</v>
      </c>
      <c r="E543" s="5" t="s">
        <v>965</v>
      </c>
      <c r="F543" s="4">
        <v>41781</v>
      </c>
      <c r="G543" s="4" t="s">
        <v>1</v>
      </c>
      <c r="H543" s="4" t="s">
        <v>1</v>
      </c>
      <c r="I543" s="3" t="s">
        <v>13</v>
      </c>
      <c r="J543" s="3" t="s">
        <v>12</v>
      </c>
      <c r="K543" s="3" t="s">
        <v>758</v>
      </c>
      <c r="L543" s="3" t="s">
        <v>757</v>
      </c>
      <c r="M543" s="3" t="s">
        <v>756</v>
      </c>
      <c r="N543" s="3" t="s">
        <v>2769</v>
      </c>
      <c r="O543" s="3" t="s">
        <v>258</v>
      </c>
      <c r="P543" s="3" t="s">
        <v>72</v>
      </c>
      <c r="Q543" s="3" t="s">
        <v>5</v>
      </c>
      <c r="R543" s="3" t="s">
        <v>4</v>
      </c>
      <c r="S543" s="3" t="s">
        <v>3</v>
      </c>
      <c r="T543" s="3" t="s">
        <v>2</v>
      </c>
      <c r="U543" s="3" t="s">
        <v>1</v>
      </c>
      <c r="V543" s="3" t="s">
        <v>0</v>
      </c>
      <c r="W543" s="2">
        <v>28</v>
      </c>
    </row>
    <row r="544" spans="1:23" hidden="1" x14ac:dyDescent="0.25">
      <c r="A544" s="8">
        <v>19611</v>
      </c>
      <c r="B544" s="8" t="s">
        <v>3032</v>
      </c>
      <c r="C544" s="7" t="s">
        <v>3031</v>
      </c>
      <c r="D544" s="6" t="s">
        <v>15</v>
      </c>
      <c r="E544" s="5" t="s">
        <v>785</v>
      </c>
      <c r="F544" s="4">
        <v>42475</v>
      </c>
      <c r="G544" s="4" t="s">
        <v>1</v>
      </c>
      <c r="H544" s="4" t="s">
        <v>1</v>
      </c>
      <c r="I544" s="3" t="s">
        <v>13</v>
      </c>
      <c r="J544" s="3" t="s">
        <v>12</v>
      </c>
      <c r="K544" s="3" t="s">
        <v>758</v>
      </c>
      <c r="L544" s="3" t="s">
        <v>757</v>
      </c>
      <c r="M544" s="3" t="s">
        <v>756</v>
      </c>
      <c r="N544" s="3" t="s">
        <v>8</v>
      </c>
      <c r="O544" s="3" t="s">
        <v>7</v>
      </c>
      <c r="P544" s="3" t="s">
        <v>72</v>
      </c>
      <c r="Q544" s="3" t="s">
        <v>5</v>
      </c>
      <c r="R544" s="3" t="s">
        <v>4</v>
      </c>
      <c r="S544" s="3" t="s">
        <v>3</v>
      </c>
      <c r="T544" s="3" t="s">
        <v>2</v>
      </c>
      <c r="U544" s="3" t="s">
        <v>1</v>
      </c>
      <c r="V544" s="3" t="s">
        <v>0</v>
      </c>
      <c r="W544" s="2">
        <v>28</v>
      </c>
    </row>
    <row r="545" spans="1:23" hidden="1" x14ac:dyDescent="0.25">
      <c r="A545" s="8">
        <v>21715</v>
      </c>
      <c r="B545" s="8" t="s">
        <v>3030</v>
      </c>
      <c r="C545" s="19" t="s">
        <v>3029</v>
      </c>
      <c r="D545" s="6" t="s">
        <v>15</v>
      </c>
      <c r="E545" s="18" t="s">
        <v>569</v>
      </c>
      <c r="F545" s="4">
        <v>43087</v>
      </c>
      <c r="G545" s="4" t="s">
        <v>1</v>
      </c>
      <c r="H545" s="4" t="s">
        <v>1</v>
      </c>
      <c r="I545" s="3" t="s">
        <v>13</v>
      </c>
      <c r="J545" s="3" t="s">
        <v>12</v>
      </c>
      <c r="K545" s="3" t="s">
        <v>758</v>
      </c>
      <c r="L545" s="3" t="s">
        <v>757</v>
      </c>
      <c r="M545" s="3" t="s">
        <v>756</v>
      </c>
      <c r="N545" s="3" t="s">
        <v>1100</v>
      </c>
      <c r="O545" s="3" t="s">
        <v>59</v>
      </c>
      <c r="P545" s="3" t="s">
        <v>72</v>
      </c>
      <c r="Q545" s="3" t="s">
        <v>5</v>
      </c>
      <c r="R545" s="3" t="s">
        <v>4</v>
      </c>
      <c r="S545" s="3" t="s">
        <v>3</v>
      </c>
      <c r="T545" s="3" t="s">
        <v>2</v>
      </c>
      <c r="U545" s="3" t="s">
        <v>1</v>
      </c>
      <c r="V545" s="3" t="s">
        <v>0</v>
      </c>
      <c r="W545" s="2">
        <v>30</v>
      </c>
    </row>
    <row r="546" spans="1:23" hidden="1" x14ac:dyDescent="0.25">
      <c r="A546" s="8">
        <v>8688</v>
      </c>
      <c r="B546" s="8" t="s">
        <v>3028</v>
      </c>
      <c r="C546" s="7" t="s">
        <v>3027</v>
      </c>
      <c r="D546" s="6" t="s">
        <v>15</v>
      </c>
      <c r="E546" s="5" t="s">
        <v>1338</v>
      </c>
      <c r="F546" s="4">
        <v>39888</v>
      </c>
      <c r="G546" s="4" t="s">
        <v>1</v>
      </c>
      <c r="H546" s="4" t="s">
        <v>1</v>
      </c>
      <c r="I546" s="3" t="s">
        <v>13</v>
      </c>
      <c r="J546" s="3" t="s">
        <v>12</v>
      </c>
      <c r="K546" s="3" t="s">
        <v>283</v>
      </c>
      <c r="L546" s="3" t="s">
        <v>282</v>
      </c>
      <c r="M546" s="3" t="s">
        <v>698</v>
      </c>
      <c r="N546" s="3" t="s">
        <v>1078</v>
      </c>
      <c r="O546" s="3" t="s">
        <v>29</v>
      </c>
      <c r="P546" s="3" t="s">
        <v>6</v>
      </c>
      <c r="Q546" s="3" t="s">
        <v>20</v>
      </c>
      <c r="R546" s="3" t="s">
        <v>4</v>
      </c>
      <c r="S546" s="3" t="s">
        <v>3</v>
      </c>
      <c r="T546" s="3" t="s">
        <v>1077</v>
      </c>
      <c r="U546" s="3" t="s">
        <v>1</v>
      </c>
      <c r="V546" s="3" t="s">
        <v>0</v>
      </c>
      <c r="W546" s="2">
        <v>34</v>
      </c>
    </row>
    <row r="547" spans="1:23" hidden="1" x14ac:dyDescent="0.25">
      <c r="A547" s="8">
        <v>22119</v>
      </c>
      <c r="B547" s="8" t="s">
        <v>3026</v>
      </c>
      <c r="C547" s="19" t="s">
        <v>3025</v>
      </c>
      <c r="D547" s="6" t="s">
        <v>15</v>
      </c>
      <c r="E547" s="18" t="s">
        <v>521</v>
      </c>
      <c r="F547" s="4">
        <v>43153</v>
      </c>
      <c r="G547" s="4" t="s">
        <v>1</v>
      </c>
      <c r="H547" s="4" t="s">
        <v>1</v>
      </c>
      <c r="I547" s="3" t="s">
        <v>13</v>
      </c>
      <c r="J547" s="3" t="s">
        <v>12</v>
      </c>
      <c r="K547" s="3" t="s">
        <v>758</v>
      </c>
      <c r="L547" s="3" t="s">
        <v>757</v>
      </c>
      <c r="M547" s="3" t="s">
        <v>756</v>
      </c>
      <c r="N547" s="3" t="s">
        <v>22</v>
      </c>
      <c r="O547" s="3" t="s">
        <v>21</v>
      </c>
      <c r="P547" s="3" t="s">
        <v>72</v>
      </c>
      <c r="Q547" s="3" t="s">
        <v>20</v>
      </c>
      <c r="R547" s="3" t="s">
        <v>4</v>
      </c>
      <c r="S547" s="3" t="s">
        <v>3</v>
      </c>
      <c r="T547" s="3" t="s">
        <v>19</v>
      </c>
      <c r="U547" s="3" t="s">
        <v>1</v>
      </c>
      <c r="V547" s="3" t="s">
        <v>0</v>
      </c>
      <c r="W547" s="2">
        <v>27</v>
      </c>
    </row>
    <row r="548" spans="1:23" hidden="1" x14ac:dyDescent="0.25">
      <c r="A548" s="8">
        <v>8697</v>
      </c>
      <c r="B548" s="8" t="s">
        <v>3024</v>
      </c>
      <c r="C548" s="19" t="s">
        <v>3023</v>
      </c>
      <c r="D548" s="6" t="s">
        <v>15</v>
      </c>
      <c r="E548" s="3" t="s">
        <v>1338</v>
      </c>
      <c r="F548" s="4">
        <v>39888</v>
      </c>
      <c r="G548" s="4" t="s">
        <v>1</v>
      </c>
      <c r="H548" s="4" t="s">
        <v>1</v>
      </c>
      <c r="I548" s="3" t="s">
        <v>145</v>
      </c>
      <c r="J548" s="3" t="s">
        <v>12</v>
      </c>
      <c r="K548" s="3" t="s">
        <v>283</v>
      </c>
      <c r="L548" s="3" t="s">
        <v>282</v>
      </c>
      <c r="M548" s="3" t="s">
        <v>281</v>
      </c>
      <c r="N548" s="3" t="s">
        <v>1355</v>
      </c>
      <c r="O548" s="3" t="s">
        <v>100</v>
      </c>
      <c r="P548" s="3" t="s">
        <v>72</v>
      </c>
      <c r="Q548" s="3" t="s">
        <v>20</v>
      </c>
      <c r="R548" s="3" t="s">
        <v>4</v>
      </c>
      <c r="S548" s="3" t="s">
        <v>3</v>
      </c>
      <c r="T548" s="3" t="s">
        <v>2</v>
      </c>
      <c r="U548" s="3" t="s">
        <v>1</v>
      </c>
      <c r="V548" s="3" t="s">
        <v>0</v>
      </c>
      <c r="W548" s="2">
        <v>34</v>
      </c>
    </row>
    <row r="549" spans="1:23" hidden="1" x14ac:dyDescent="0.25">
      <c r="A549" s="8">
        <v>22266</v>
      </c>
      <c r="B549" s="8" t="s">
        <v>3022</v>
      </c>
      <c r="C549" s="19" t="s">
        <v>3021</v>
      </c>
      <c r="D549" s="6" t="s">
        <v>15</v>
      </c>
      <c r="E549" s="18" t="s">
        <v>3020</v>
      </c>
      <c r="F549" s="4">
        <v>43181</v>
      </c>
      <c r="G549" s="4" t="s">
        <v>1</v>
      </c>
      <c r="H549" s="4" t="s">
        <v>1</v>
      </c>
      <c r="I549" s="3" t="s">
        <v>13</v>
      </c>
      <c r="J549" s="3" t="s">
        <v>12</v>
      </c>
      <c r="K549" s="3" t="s">
        <v>758</v>
      </c>
      <c r="L549" s="3" t="s">
        <v>757</v>
      </c>
      <c r="M549" s="3" t="s">
        <v>756</v>
      </c>
      <c r="N549" s="3" t="s">
        <v>2944</v>
      </c>
      <c r="O549" s="3" t="s">
        <v>258</v>
      </c>
      <c r="P549" s="3" t="s">
        <v>72</v>
      </c>
      <c r="Q549" s="3" t="s">
        <v>5</v>
      </c>
      <c r="R549" s="3" t="s">
        <v>4</v>
      </c>
      <c r="S549" s="3" t="s">
        <v>3</v>
      </c>
      <c r="T549" s="3" t="s">
        <v>2</v>
      </c>
      <c r="U549" s="3" t="s">
        <v>1</v>
      </c>
      <c r="V549" s="3" t="s">
        <v>0</v>
      </c>
      <c r="W549" s="2">
        <v>25</v>
      </c>
    </row>
    <row r="550" spans="1:23" hidden="1" x14ac:dyDescent="0.25">
      <c r="A550" s="8">
        <v>8703</v>
      </c>
      <c r="B550" s="8" t="s">
        <v>3019</v>
      </c>
      <c r="C550" s="7" t="s">
        <v>3018</v>
      </c>
      <c r="D550" s="6" t="s">
        <v>15</v>
      </c>
      <c r="E550" s="5" t="s">
        <v>1338</v>
      </c>
      <c r="F550" s="4">
        <v>39888</v>
      </c>
      <c r="G550" s="4" t="s">
        <v>1</v>
      </c>
      <c r="H550" s="4" t="s">
        <v>1</v>
      </c>
      <c r="I550" s="3" t="s">
        <v>13</v>
      </c>
      <c r="J550" s="3" t="s">
        <v>133</v>
      </c>
      <c r="K550" s="3" t="s">
        <v>63</v>
      </c>
      <c r="L550" s="3" t="s">
        <v>1634</v>
      </c>
      <c r="M550" s="3" t="s">
        <v>1633</v>
      </c>
      <c r="N550" s="3" t="s">
        <v>3017</v>
      </c>
      <c r="O550" s="3" t="s">
        <v>128</v>
      </c>
      <c r="P550" s="3" t="s">
        <v>6</v>
      </c>
      <c r="Q550" s="3" t="s">
        <v>5</v>
      </c>
      <c r="R550" s="3" t="s">
        <v>4</v>
      </c>
      <c r="S550" s="3" t="s">
        <v>3</v>
      </c>
      <c r="T550" s="3" t="s">
        <v>2</v>
      </c>
      <c r="U550" s="3" t="s">
        <v>1</v>
      </c>
      <c r="V550" s="3" t="s">
        <v>0</v>
      </c>
      <c r="W550" s="2">
        <v>34</v>
      </c>
    </row>
    <row r="551" spans="1:23" hidden="1" x14ac:dyDescent="0.25">
      <c r="A551" s="8" t="s">
        <v>3016</v>
      </c>
      <c r="B551" s="8" t="s">
        <v>3016</v>
      </c>
      <c r="C551" s="7" t="s">
        <v>3015</v>
      </c>
      <c r="D551" s="6" t="s">
        <v>15</v>
      </c>
      <c r="E551" s="5" t="s">
        <v>263</v>
      </c>
      <c r="F551" s="4">
        <v>40868</v>
      </c>
      <c r="G551" s="4" t="s">
        <v>1</v>
      </c>
      <c r="H551" s="4" t="s">
        <v>1</v>
      </c>
      <c r="I551" s="3" t="s">
        <v>13</v>
      </c>
      <c r="J551" s="3" t="s">
        <v>12</v>
      </c>
      <c r="K551" s="3" t="s">
        <v>758</v>
      </c>
      <c r="L551" s="3" t="s">
        <v>757</v>
      </c>
      <c r="M551" s="3" t="s">
        <v>756</v>
      </c>
      <c r="N551" s="3" t="s">
        <v>3014</v>
      </c>
      <c r="O551" s="3" t="s">
        <v>258</v>
      </c>
      <c r="P551" s="3" t="s">
        <v>72</v>
      </c>
      <c r="Q551" s="3" t="s">
        <v>5</v>
      </c>
      <c r="R551" s="3" t="s">
        <v>4</v>
      </c>
      <c r="S551" s="3" t="s">
        <v>3</v>
      </c>
      <c r="T551" s="3" t="s">
        <v>2</v>
      </c>
      <c r="U551" s="3" t="s">
        <v>1</v>
      </c>
      <c r="V551" s="3" t="s">
        <v>18</v>
      </c>
      <c r="W551" s="2">
        <v>32</v>
      </c>
    </row>
    <row r="552" spans="1:23" hidden="1" x14ac:dyDescent="0.25">
      <c r="A552" s="8">
        <v>8727</v>
      </c>
      <c r="B552" s="8" t="s">
        <v>3013</v>
      </c>
      <c r="C552" s="7" t="s">
        <v>3012</v>
      </c>
      <c r="D552" s="6" t="s">
        <v>15</v>
      </c>
      <c r="E552" s="5" t="s">
        <v>1910</v>
      </c>
      <c r="F552" s="4">
        <v>39904</v>
      </c>
      <c r="G552" s="4" t="s">
        <v>1</v>
      </c>
      <c r="H552" s="4" t="s">
        <v>1</v>
      </c>
      <c r="I552" s="3" t="s">
        <v>13</v>
      </c>
      <c r="J552" s="3" t="s">
        <v>133</v>
      </c>
      <c r="K552" s="3" t="s">
        <v>212</v>
      </c>
      <c r="L552" s="3" t="s">
        <v>211</v>
      </c>
      <c r="M552" s="3" t="s">
        <v>210</v>
      </c>
      <c r="N552" s="3" t="s">
        <v>3011</v>
      </c>
      <c r="O552" s="3" t="s">
        <v>128</v>
      </c>
      <c r="P552" s="3" t="s">
        <v>6</v>
      </c>
      <c r="Q552" s="3" t="s">
        <v>5</v>
      </c>
      <c r="R552" s="3" t="s">
        <v>4</v>
      </c>
      <c r="S552" s="3" t="s">
        <v>3</v>
      </c>
      <c r="T552" s="3" t="s">
        <v>2</v>
      </c>
      <c r="U552" s="3" t="s">
        <v>1</v>
      </c>
      <c r="V552" s="3" t="s">
        <v>0</v>
      </c>
      <c r="W552" s="2">
        <v>35</v>
      </c>
    </row>
    <row r="553" spans="1:23" hidden="1" x14ac:dyDescent="0.25">
      <c r="A553" s="8" t="s">
        <v>3010</v>
      </c>
      <c r="B553" s="8" t="s">
        <v>3010</v>
      </c>
      <c r="C553" s="7" t="s">
        <v>3009</v>
      </c>
      <c r="D553" s="6" t="s">
        <v>15</v>
      </c>
      <c r="E553" s="5" t="s">
        <v>1598</v>
      </c>
      <c r="F553" s="4">
        <v>40955</v>
      </c>
      <c r="G553" s="4" t="s">
        <v>1</v>
      </c>
      <c r="H553" s="4" t="s">
        <v>1</v>
      </c>
      <c r="I553" s="3" t="s">
        <v>13</v>
      </c>
      <c r="J553" s="3" t="s">
        <v>12</v>
      </c>
      <c r="K553" s="3" t="s">
        <v>758</v>
      </c>
      <c r="L553" s="3" t="s">
        <v>757</v>
      </c>
      <c r="M553" s="3" t="s">
        <v>756</v>
      </c>
      <c r="N553" s="3" t="s">
        <v>1372</v>
      </c>
      <c r="O553" s="3" t="s">
        <v>59</v>
      </c>
      <c r="P553" s="3" t="s">
        <v>72</v>
      </c>
      <c r="Q553" s="3" t="s">
        <v>5</v>
      </c>
      <c r="R553" s="3" t="s">
        <v>4</v>
      </c>
      <c r="S553" s="3" t="s">
        <v>3</v>
      </c>
      <c r="T553" s="3" t="s">
        <v>2</v>
      </c>
      <c r="U553" s="3" t="s">
        <v>1</v>
      </c>
      <c r="V553" s="3" t="s">
        <v>0</v>
      </c>
      <c r="W553" s="2">
        <v>32</v>
      </c>
    </row>
    <row r="554" spans="1:23" hidden="1" x14ac:dyDescent="0.25">
      <c r="A554" s="8" t="s">
        <v>3008</v>
      </c>
      <c r="B554" s="8" t="s">
        <v>3008</v>
      </c>
      <c r="C554" s="19" t="s">
        <v>3007</v>
      </c>
      <c r="D554" s="6" t="s">
        <v>15</v>
      </c>
      <c r="E554" s="18" t="s">
        <v>162</v>
      </c>
      <c r="F554" s="4">
        <v>41015</v>
      </c>
      <c r="G554" s="4" t="s">
        <v>1</v>
      </c>
      <c r="H554" s="4" t="s">
        <v>1</v>
      </c>
      <c r="I554" s="3" t="s">
        <v>13</v>
      </c>
      <c r="J554" s="3" t="s">
        <v>12</v>
      </c>
      <c r="K554" s="3" t="s">
        <v>758</v>
      </c>
      <c r="L554" s="3" t="s">
        <v>757</v>
      </c>
      <c r="M554" s="3" t="s">
        <v>756</v>
      </c>
      <c r="N554" s="3" t="s">
        <v>1192</v>
      </c>
      <c r="O554" s="3" t="s">
        <v>59</v>
      </c>
      <c r="P554" s="3" t="s">
        <v>72</v>
      </c>
      <c r="Q554" s="3" t="s">
        <v>5</v>
      </c>
      <c r="R554" s="3" t="s">
        <v>4</v>
      </c>
      <c r="S554" s="3" t="s">
        <v>3</v>
      </c>
      <c r="T554" s="3" t="s">
        <v>2</v>
      </c>
      <c r="U554" s="3" t="s">
        <v>1</v>
      </c>
      <c r="V554" s="3" t="s">
        <v>0</v>
      </c>
      <c r="W554" s="2">
        <v>31</v>
      </c>
    </row>
    <row r="555" spans="1:23" s="78" customFormat="1" hidden="1" x14ac:dyDescent="0.25">
      <c r="A555" s="73">
        <v>370</v>
      </c>
      <c r="B555" s="73" t="s">
        <v>3006</v>
      </c>
      <c r="C555" s="87" t="s">
        <v>3005</v>
      </c>
      <c r="D555" s="88" t="s">
        <v>15</v>
      </c>
      <c r="E555" s="89" t="s">
        <v>298</v>
      </c>
      <c r="F555" s="90">
        <v>37732</v>
      </c>
      <c r="G555" s="90" t="s">
        <v>1</v>
      </c>
      <c r="H555" s="90" t="s">
        <v>1</v>
      </c>
      <c r="I555" s="92" t="s">
        <v>13</v>
      </c>
      <c r="J555" s="92" t="s">
        <v>12</v>
      </c>
      <c r="K555" s="92" t="s">
        <v>2960</v>
      </c>
      <c r="L555" s="92" t="s">
        <v>2959</v>
      </c>
      <c r="M555" s="92" t="s">
        <v>2958</v>
      </c>
      <c r="N555" s="92" t="s">
        <v>1362</v>
      </c>
      <c r="O555" s="92" t="s">
        <v>39</v>
      </c>
      <c r="P555" s="92" t="s">
        <v>72</v>
      </c>
      <c r="Q555" s="92" t="s">
        <v>20</v>
      </c>
      <c r="R555" s="92" t="s">
        <v>4</v>
      </c>
      <c r="S555" s="92" t="s">
        <v>3</v>
      </c>
      <c r="T555" s="92" t="s">
        <v>1361</v>
      </c>
      <c r="U555" s="92" t="s">
        <v>1</v>
      </c>
      <c r="V555" s="92" t="s">
        <v>0</v>
      </c>
      <c r="W555" s="93">
        <v>40</v>
      </c>
    </row>
    <row r="556" spans="1:23" hidden="1" x14ac:dyDescent="0.25">
      <c r="A556" s="8">
        <v>8777</v>
      </c>
      <c r="B556" s="8" t="s">
        <v>3004</v>
      </c>
      <c r="C556" s="7" t="s">
        <v>3003</v>
      </c>
      <c r="D556" s="6" t="s">
        <v>15</v>
      </c>
      <c r="E556" s="5" t="s">
        <v>222</v>
      </c>
      <c r="F556" s="4">
        <v>39931</v>
      </c>
      <c r="G556" s="4" t="s">
        <v>1</v>
      </c>
      <c r="H556" s="4" t="s">
        <v>1</v>
      </c>
      <c r="I556" s="3" t="s">
        <v>145</v>
      </c>
      <c r="J556" s="3" t="s">
        <v>34</v>
      </c>
      <c r="K556" s="3" t="s">
        <v>33</v>
      </c>
      <c r="L556" s="3" t="s">
        <v>33</v>
      </c>
      <c r="M556" s="3" t="s">
        <v>1094</v>
      </c>
      <c r="N556" s="3" t="s">
        <v>1503</v>
      </c>
      <c r="O556" s="3" t="s">
        <v>1094</v>
      </c>
      <c r="P556" s="3" t="s">
        <v>6</v>
      </c>
      <c r="Q556" s="3" t="s">
        <v>47</v>
      </c>
      <c r="R556" s="3" t="s">
        <v>4</v>
      </c>
      <c r="S556" s="3" t="s">
        <v>3</v>
      </c>
      <c r="T556" s="3" t="s">
        <v>2</v>
      </c>
      <c r="U556" s="3" t="s">
        <v>1</v>
      </c>
      <c r="V556" s="3" t="s">
        <v>0</v>
      </c>
      <c r="W556" s="2">
        <v>34</v>
      </c>
    </row>
    <row r="557" spans="1:23" s="78" customFormat="1" hidden="1" x14ac:dyDescent="0.25">
      <c r="A557" s="73">
        <v>5263</v>
      </c>
      <c r="B557" s="73" t="s">
        <v>3002</v>
      </c>
      <c r="C557" s="87" t="s">
        <v>3001</v>
      </c>
      <c r="D557" s="88" t="s">
        <v>15</v>
      </c>
      <c r="E557" s="89" t="s">
        <v>1177</v>
      </c>
      <c r="F557" s="90">
        <v>38961</v>
      </c>
      <c r="G557" s="90" t="s">
        <v>1</v>
      </c>
      <c r="H557" s="90" t="s">
        <v>1</v>
      </c>
      <c r="I557" s="92" t="s">
        <v>13</v>
      </c>
      <c r="J557" s="92" t="s">
        <v>12</v>
      </c>
      <c r="K557" s="92" t="s">
        <v>2960</v>
      </c>
      <c r="L557" s="92" t="s">
        <v>2959</v>
      </c>
      <c r="M557" s="92" t="s">
        <v>2958</v>
      </c>
      <c r="N557" s="92" t="s">
        <v>1078</v>
      </c>
      <c r="O557" s="92" t="s">
        <v>29</v>
      </c>
      <c r="P557" s="92" t="s">
        <v>72</v>
      </c>
      <c r="Q557" s="92" t="s">
        <v>20</v>
      </c>
      <c r="R557" s="92" t="s">
        <v>4</v>
      </c>
      <c r="S557" s="92" t="s">
        <v>3</v>
      </c>
      <c r="T557" s="92" t="s">
        <v>1077</v>
      </c>
      <c r="U557" s="92" t="s">
        <v>1</v>
      </c>
      <c r="V557" s="92" t="s">
        <v>0</v>
      </c>
      <c r="W557" s="93">
        <v>40</v>
      </c>
    </row>
    <row r="558" spans="1:23" hidden="1" x14ac:dyDescent="0.25">
      <c r="A558" s="6">
        <v>6086</v>
      </c>
      <c r="B558" s="8" t="s">
        <v>3000</v>
      </c>
      <c r="C558" s="19" t="s">
        <v>2999</v>
      </c>
      <c r="D558" s="6" t="s">
        <v>15</v>
      </c>
      <c r="E558" s="18" t="s">
        <v>237</v>
      </c>
      <c r="F558" s="4">
        <v>39142</v>
      </c>
      <c r="G558" s="4" t="s">
        <v>1</v>
      </c>
      <c r="H558" s="4" t="s">
        <v>1</v>
      </c>
      <c r="I558" s="3" t="s">
        <v>13</v>
      </c>
      <c r="J558" s="3" t="s">
        <v>12</v>
      </c>
      <c r="K558" s="3" t="s">
        <v>2960</v>
      </c>
      <c r="L558" s="3" t="s">
        <v>2959</v>
      </c>
      <c r="M558" s="3" t="s">
        <v>2958</v>
      </c>
      <c r="N558" s="3" t="s">
        <v>8</v>
      </c>
      <c r="O558" s="3" t="s">
        <v>7</v>
      </c>
      <c r="P558" s="3" t="s">
        <v>72</v>
      </c>
      <c r="Q558" s="3" t="s">
        <v>5</v>
      </c>
      <c r="R558" s="3" t="s">
        <v>4</v>
      </c>
      <c r="S558" s="3" t="s">
        <v>3</v>
      </c>
      <c r="T558" s="3" t="s">
        <v>2</v>
      </c>
      <c r="U558" s="3" t="s">
        <v>1</v>
      </c>
      <c r="V558" s="3" t="s">
        <v>0</v>
      </c>
      <c r="W558" s="2">
        <v>39</v>
      </c>
    </row>
    <row r="559" spans="1:23" hidden="1" x14ac:dyDescent="0.25">
      <c r="A559" s="8">
        <v>8790</v>
      </c>
      <c r="B559" s="8" t="s">
        <v>2998</v>
      </c>
      <c r="C559" s="19" t="s">
        <v>2997</v>
      </c>
      <c r="D559" s="6" t="s">
        <v>15</v>
      </c>
      <c r="E559" s="18" t="s">
        <v>222</v>
      </c>
      <c r="F559" s="4">
        <v>39931</v>
      </c>
      <c r="G559" s="4" t="s">
        <v>1</v>
      </c>
      <c r="H559" s="4" t="s">
        <v>1</v>
      </c>
      <c r="I559" s="3" t="s">
        <v>13</v>
      </c>
      <c r="J559" s="3" t="s">
        <v>12</v>
      </c>
      <c r="K559" s="3" t="s">
        <v>187</v>
      </c>
      <c r="L559" s="3" t="s">
        <v>229</v>
      </c>
      <c r="M559" s="3" t="s">
        <v>228</v>
      </c>
      <c r="N559" s="3" t="s">
        <v>2833</v>
      </c>
      <c r="O559" s="3" t="s">
        <v>258</v>
      </c>
      <c r="P559" s="3" t="s">
        <v>6</v>
      </c>
      <c r="Q559" s="3" t="s">
        <v>5</v>
      </c>
      <c r="R559" s="3" t="s">
        <v>4</v>
      </c>
      <c r="S559" s="3" t="s">
        <v>3</v>
      </c>
      <c r="T559" s="3" t="s">
        <v>2</v>
      </c>
      <c r="U559" s="3" t="s">
        <v>1</v>
      </c>
      <c r="V559" s="3" t="s">
        <v>0</v>
      </c>
      <c r="W559" s="2">
        <v>34</v>
      </c>
    </row>
    <row r="560" spans="1:23" hidden="1" x14ac:dyDescent="0.25">
      <c r="A560" s="8">
        <v>8794</v>
      </c>
      <c r="B560" s="8" t="s">
        <v>2996</v>
      </c>
      <c r="C560" s="7" t="s">
        <v>2995</v>
      </c>
      <c r="D560" s="6" t="s">
        <v>15</v>
      </c>
      <c r="E560" s="5" t="s">
        <v>222</v>
      </c>
      <c r="F560" s="4">
        <v>39931</v>
      </c>
      <c r="G560" s="4" t="s">
        <v>1</v>
      </c>
      <c r="H560" s="4" t="s">
        <v>1</v>
      </c>
      <c r="I560" s="18" t="s">
        <v>100</v>
      </c>
      <c r="J560" s="18" t="s">
        <v>124</v>
      </c>
      <c r="K560" s="18" t="s">
        <v>33</v>
      </c>
      <c r="L560" s="18" t="s">
        <v>33</v>
      </c>
      <c r="M560" s="18" t="s">
        <v>124</v>
      </c>
      <c r="N560" s="18" t="s">
        <v>2994</v>
      </c>
      <c r="O560" s="18" t="s">
        <v>122</v>
      </c>
      <c r="P560" s="5" t="s">
        <v>1</v>
      </c>
      <c r="Q560" s="5" t="s">
        <v>121</v>
      </c>
      <c r="R560" s="3" t="s">
        <v>4</v>
      </c>
      <c r="S560" s="3" t="s">
        <v>3</v>
      </c>
      <c r="T560" s="3" t="s">
        <v>38</v>
      </c>
      <c r="U560" s="3" t="s">
        <v>1</v>
      </c>
      <c r="V560" s="3" t="s">
        <v>0</v>
      </c>
      <c r="W560" s="2">
        <v>35</v>
      </c>
    </row>
    <row r="561" spans="1:24" hidden="1" x14ac:dyDescent="0.25">
      <c r="A561" s="8">
        <v>9902</v>
      </c>
      <c r="B561" s="8" t="s">
        <v>2993</v>
      </c>
      <c r="C561" s="7" t="s">
        <v>2992</v>
      </c>
      <c r="D561" s="6" t="s">
        <v>15</v>
      </c>
      <c r="E561" s="5" t="s">
        <v>2494</v>
      </c>
      <c r="F561" s="4">
        <v>40424</v>
      </c>
      <c r="G561" s="4" t="s">
        <v>1</v>
      </c>
      <c r="H561" s="4" t="s">
        <v>1</v>
      </c>
      <c r="I561" s="3" t="s">
        <v>13</v>
      </c>
      <c r="J561" s="3" t="s">
        <v>12</v>
      </c>
      <c r="K561" s="3" t="s">
        <v>2960</v>
      </c>
      <c r="L561" s="3" t="s">
        <v>2959</v>
      </c>
      <c r="M561" s="3" t="s">
        <v>2958</v>
      </c>
      <c r="N561" s="3" t="s">
        <v>870</v>
      </c>
      <c r="O561" s="3" t="s">
        <v>21</v>
      </c>
      <c r="P561" s="3" t="s">
        <v>72</v>
      </c>
      <c r="Q561" s="3" t="s">
        <v>20</v>
      </c>
      <c r="R561" s="3" t="s">
        <v>4</v>
      </c>
      <c r="S561" s="3" t="s">
        <v>3</v>
      </c>
      <c r="T561" s="3" t="s">
        <v>2</v>
      </c>
      <c r="U561" s="3" t="s">
        <v>1</v>
      </c>
      <c r="V561" s="3" t="s">
        <v>0</v>
      </c>
      <c r="W561" s="2">
        <v>33</v>
      </c>
    </row>
    <row r="562" spans="1:24" hidden="1" x14ac:dyDescent="0.25">
      <c r="A562" s="8">
        <v>10563</v>
      </c>
      <c r="B562" s="8" t="s">
        <v>2991</v>
      </c>
      <c r="C562" s="7" t="s">
        <v>2990</v>
      </c>
      <c r="D562" s="6" t="s">
        <v>15</v>
      </c>
      <c r="E562" s="5" t="s">
        <v>1512</v>
      </c>
      <c r="F562" s="4">
        <v>40542</v>
      </c>
      <c r="G562" s="4" t="s">
        <v>1</v>
      </c>
      <c r="H562" s="4" t="s">
        <v>1</v>
      </c>
      <c r="I562" s="3" t="s">
        <v>13</v>
      </c>
      <c r="J562" s="3" t="s">
        <v>12</v>
      </c>
      <c r="K562" s="3" t="s">
        <v>2960</v>
      </c>
      <c r="L562" s="3" t="s">
        <v>2959</v>
      </c>
      <c r="M562" s="3" t="s">
        <v>2958</v>
      </c>
      <c r="N562" s="3" t="s">
        <v>628</v>
      </c>
      <c r="O562" s="3" t="s">
        <v>59</v>
      </c>
      <c r="P562" s="3" t="s">
        <v>72</v>
      </c>
      <c r="Q562" s="3" t="s">
        <v>5</v>
      </c>
      <c r="R562" s="3" t="s">
        <v>4</v>
      </c>
      <c r="S562" s="3" t="s">
        <v>3</v>
      </c>
      <c r="T562" s="3" t="s">
        <v>2</v>
      </c>
      <c r="U562" s="3" t="s">
        <v>1</v>
      </c>
      <c r="V562" s="3" t="s">
        <v>0</v>
      </c>
      <c r="W562" s="2">
        <v>32</v>
      </c>
    </row>
    <row r="563" spans="1:24" s="9" customFormat="1" hidden="1" x14ac:dyDescent="0.25">
      <c r="A563" s="17">
        <v>11531</v>
      </c>
      <c r="B563" s="17" t="s">
        <v>2989</v>
      </c>
      <c r="C563" s="16" t="s">
        <v>2988</v>
      </c>
      <c r="D563" s="15" t="s">
        <v>15</v>
      </c>
      <c r="E563" s="14" t="s">
        <v>1763</v>
      </c>
      <c r="F563" s="13">
        <v>40707</v>
      </c>
      <c r="G563" s="13" t="s">
        <v>1</v>
      </c>
      <c r="H563" s="13" t="s">
        <v>1</v>
      </c>
      <c r="I563" s="12" t="s">
        <v>13</v>
      </c>
      <c r="J563" s="12" t="s">
        <v>12</v>
      </c>
      <c r="K563" s="12" t="s">
        <v>2960</v>
      </c>
      <c r="L563" s="12" t="s">
        <v>2959</v>
      </c>
      <c r="M563" s="12" t="s">
        <v>2958</v>
      </c>
      <c r="N563" s="12" t="s">
        <v>606</v>
      </c>
      <c r="O563" s="12" t="s">
        <v>59</v>
      </c>
      <c r="P563" s="12" t="s">
        <v>72</v>
      </c>
      <c r="Q563" s="12" t="s">
        <v>5</v>
      </c>
      <c r="R563" s="12" t="s">
        <v>4</v>
      </c>
      <c r="S563" s="12" t="s">
        <v>3</v>
      </c>
      <c r="T563" s="12" t="s">
        <v>2</v>
      </c>
      <c r="U563" s="12" t="s">
        <v>1</v>
      </c>
      <c r="V563" s="12" t="s">
        <v>0</v>
      </c>
      <c r="W563" s="11">
        <v>31</v>
      </c>
      <c r="X563" s="10"/>
    </row>
    <row r="564" spans="1:24" hidden="1" x14ac:dyDescent="0.25">
      <c r="A564" s="8">
        <v>8814</v>
      </c>
      <c r="B564" s="8" t="s">
        <v>2987</v>
      </c>
      <c r="C564" s="25" t="s">
        <v>2986</v>
      </c>
      <c r="D564" s="6" t="s">
        <v>15</v>
      </c>
      <c r="E564" s="5" t="s">
        <v>202</v>
      </c>
      <c r="F564" s="4">
        <v>39937</v>
      </c>
      <c r="G564" s="4" t="s">
        <v>1</v>
      </c>
      <c r="H564" s="4" t="s">
        <v>1</v>
      </c>
      <c r="I564" s="3" t="s">
        <v>13</v>
      </c>
      <c r="J564" s="3" t="s">
        <v>133</v>
      </c>
      <c r="K564" s="3" t="s">
        <v>879</v>
      </c>
      <c r="L564" s="3" t="s">
        <v>879</v>
      </c>
      <c r="M564" s="3" t="s">
        <v>878</v>
      </c>
      <c r="N564" s="3" t="s">
        <v>1078</v>
      </c>
      <c r="O564" s="3" t="s">
        <v>29</v>
      </c>
      <c r="P564" s="3" t="s">
        <v>6</v>
      </c>
      <c r="Q564" s="3" t="s">
        <v>20</v>
      </c>
      <c r="R564" s="3" t="s">
        <v>4</v>
      </c>
      <c r="S564" s="3" t="s">
        <v>3</v>
      </c>
      <c r="T564" s="3" t="s">
        <v>1077</v>
      </c>
      <c r="U564" s="3" t="s">
        <v>1</v>
      </c>
      <c r="V564" s="3" t="s">
        <v>0</v>
      </c>
      <c r="W564" s="2">
        <v>34</v>
      </c>
    </row>
    <row r="565" spans="1:24" hidden="1" x14ac:dyDescent="0.25">
      <c r="A565" s="8">
        <v>8815</v>
      </c>
      <c r="B565" s="8" t="s">
        <v>2985</v>
      </c>
      <c r="C565" s="7" t="s">
        <v>2984</v>
      </c>
      <c r="D565" s="6" t="s">
        <v>15</v>
      </c>
      <c r="E565" s="5" t="s">
        <v>202</v>
      </c>
      <c r="F565" s="4">
        <v>39937</v>
      </c>
      <c r="G565" s="4" t="s">
        <v>1</v>
      </c>
      <c r="H565" s="4" t="s">
        <v>1</v>
      </c>
      <c r="I565" s="3" t="s">
        <v>145</v>
      </c>
      <c r="J565" s="3" t="s">
        <v>12</v>
      </c>
      <c r="K565" s="3" t="s">
        <v>283</v>
      </c>
      <c r="L565" s="3" t="s">
        <v>282</v>
      </c>
      <c r="M565" s="3" t="s">
        <v>281</v>
      </c>
      <c r="N565" s="3" t="s">
        <v>1355</v>
      </c>
      <c r="O565" s="3" t="s">
        <v>100</v>
      </c>
      <c r="P565" s="3" t="s">
        <v>72</v>
      </c>
      <c r="Q565" s="3" t="s">
        <v>20</v>
      </c>
      <c r="R565" s="3" t="s">
        <v>4</v>
      </c>
      <c r="S565" s="3" t="s">
        <v>3</v>
      </c>
      <c r="T565" s="3" t="s">
        <v>2</v>
      </c>
      <c r="U565" s="3" t="s">
        <v>1</v>
      </c>
      <c r="V565" s="3" t="s">
        <v>0</v>
      </c>
      <c r="W565" s="2">
        <v>34</v>
      </c>
    </row>
    <row r="566" spans="1:24" hidden="1" x14ac:dyDescent="0.25">
      <c r="A566" s="8">
        <v>8819</v>
      </c>
      <c r="B566" s="8" t="s">
        <v>2983</v>
      </c>
      <c r="C566" s="7" t="s">
        <v>2982</v>
      </c>
      <c r="D566" s="6" t="s">
        <v>15</v>
      </c>
      <c r="E566" s="5" t="s">
        <v>202</v>
      </c>
      <c r="F566" s="4">
        <v>39937</v>
      </c>
      <c r="G566" s="4" t="s">
        <v>1</v>
      </c>
      <c r="H566" s="4" t="s">
        <v>1</v>
      </c>
      <c r="I566" s="3" t="s">
        <v>13</v>
      </c>
      <c r="J566" s="3" t="s">
        <v>133</v>
      </c>
      <c r="K566" s="3" t="s">
        <v>879</v>
      </c>
      <c r="L566" s="3" t="s">
        <v>879</v>
      </c>
      <c r="M566" s="3" t="s">
        <v>878</v>
      </c>
      <c r="N566" s="3" t="s">
        <v>185</v>
      </c>
      <c r="O566" s="3" t="s">
        <v>184</v>
      </c>
      <c r="P566" s="3" t="s">
        <v>6</v>
      </c>
      <c r="Q566" s="3" t="s">
        <v>20</v>
      </c>
      <c r="R566" s="3" t="s">
        <v>4</v>
      </c>
      <c r="S566" s="3" t="s">
        <v>3</v>
      </c>
      <c r="T566" s="3" t="s">
        <v>2</v>
      </c>
      <c r="U566" s="3" t="s">
        <v>1</v>
      </c>
      <c r="V566" s="3" t="s">
        <v>0</v>
      </c>
      <c r="W566" s="2">
        <v>35</v>
      </c>
    </row>
    <row r="567" spans="1:24" hidden="1" x14ac:dyDescent="0.25">
      <c r="A567" s="8">
        <v>12386</v>
      </c>
      <c r="B567" s="8" t="s">
        <v>2981</v>
      </c>
      <c r="C567" s="7" t="s">
        <v>2980</v>
      </c>
      <c r="D567" s="6" t="s">
        <v>15</v>
      </c>
      <c r="E567" s="5" t="s">
        <v>1506</v>
      </c>
      <c r="F567" s="4">
        <v>40809</v>
      </c>
      <c r="G567" s="4" t="s">
        <v>1</v>
      </c>
      <c r="H567" s="4" t="s">
        <v>1</v>
      </c>
      <c r="I567" s="3" t="s">
        <v>13</v>
      </c>
      <c r="J567" s="3" t="s">
        <v>12</v>
      </c>
      <c r="K567" s="3" t="s">
        <v>2960</v>
      </c>
      <c r="L567" s="3" t="s">
        <v>2959</v>
      </c>
      <c r="M567" s="3" t="s">
        <v>2958</v>
      </c>
      <c r="N567" s="3" t="s">
        <v>716</v>
      </c>
      <c r="O567" s="3" t="s">
        <v>59</v>
      </c>
      <c r="P567" s="3" t="s">
        <v>72</v>
      </c>
      <c r="Q567" s="3" t="s">
        <v>5</v>
      </c>
      <c r="R567" s="3" t="s">
        <v>4</v>
      </c>
      <c r="S567" s="3" t="s">
        <v>3</v>
      </c>
      <c r="T567" s="3" t="s">
        <v>2</v>
      </c>
      <c r="U567" s="3" t="s">
        <v>1</v>
      </c>
      <c r="V567" s="3" t="s">
        <v>0</v>
      </c>
      <c r="W567" s="2">
        <v>31</v>
      </c>
    </row>
    <row r="568" spans="1:24" hidden="1" x14ac:dyDescent="0.25">
      <c r="A568" s="8">
        <v>8824</v>
      </c>
      <c r="B568" s="8" t="s">
        <v>2979</v>
      </c>
      <c r="C568" s="7" t="s">
        <v>2978</v>
      </c>
      <c r="D568" s="6" t="s">
        <v>15</v>
      </c>
      <c r="E568" s="5" t="s">
        <v>202</v>
      </c>
      <c r="F568" s="4">
        <v>39937</v>
      </c>
      <c r="G568" s="4" t="s">
        <v>1</v>
      </c>
      <c r="H568" s="4" t="s">
        <v>1</v>
      </c>
      <c r="I568" s="18" t="s">
        <v>100</v>
      </c>
      <c r="J568" s="18" t="s">
        <v>124</v>
      </c>
      <c r="K568" s="18" t="s">
        <v>33</v>
      </c>
      <c r="L568" s="18" t="s">
        <v>33</v>
      </c>
      <c r="M568" s="18" t="s">
        <v>124</v>
      </c>
      <c r="N568" s="18" t="s">
        <v>123</v>
      </c>
      <c r="O568" s="18" t="s">
        <v>122</v>
      </c>
      <c r="P568" s="5" t="s">
        <v>1</v>
      </c>
      <c r="Q568" s="5" t="s">
        <v>121</v>
      </c>
      <c r="R568" s="3" t="s">
        <v>4</v>
      </c>
      <c r="S568" s="3" t="s">
        <v>3</v>
      </c>
      <c r="T568" s="3" t="s">
        <v>2</v>
      </c>
      <c r="U568" s="3" t="s">
        <v>1</v>
      </c>
      <c r="V568" s="3" t="s">
        <v>0</v>
      </c>
      <c r="W568" s="2">
        <v>35</v>
      </c>
    </row>
    <row r="569" spans="1:24" hidden="1" x14ac:dyDescent="0.25">
      <c r="A569" s="8">
        <v>13509</v>
      </c>
      <c r="B569" s="8" t="s">
        <v>2977</v>
      </c>
      <c r="C569" s="7" t="s">
        <v>2976</v>
      </c>
      <c r="D569" s="6" t="s">
        <v>15</v>
      </c>
      <c r="E569" s="5" t="s">
        <v>1242</v>
      </c>
      <c r="F569" s="4">
        <v>40945</v>
      </c>
      <c r="G569" s="4" t="s">
        <v>1</v>
      </c>
      <c r="H569" s="4" t="s">
        <v>1</v>
      </c>
      <c r="I569" s="3" t="s">
        <v>13</v>
      </c>
      <c r="J569" s="3" t="s">
        <v>12</v>
      </c>
      <c r="K569" s="3" t="s">
        <v>2960</v>
      </c>
      <c r="L569" s="3" t="s">
        <v>2959</v>
      </c>
      <c r="M569" s="3" t="s">
        <v>2958</v>
      </c>
      <c r="N569" s="3" t="s">
        <v>646</v>
      </c>
      <c r="O569" s="3" t="s">
        <v>67</v>
      </c>
      <c r="P569" s="3" t="s">
        <v>72</v>
      </c>
      <c r="Q569" s="3" t="s">
        <v>5</v>
      </c>
      <c r="R569" s="3" t="s">
        <v>4</v>
      </c>
      <c r="S569" s="3" t="s">
        <v>3</v>
      </c>
      <c r="T569" s="3" t="s">
        <v>2</v>
      </c>
      <c r="U569" s="3" t="s">
        <v>1</v>
      </c>
      <c r="V569" s="3" t="s">
        <v>0</v>
      </c>
      <c r="W569" s="2">
        <v>31</v>
      </c>
    </row>
    <row r="570" spans="1:24" s="9" customFormat="1" hidden="1" x14ac:dyDescent="0.25">
      <c r="A570" s="17">
        <v>14970</v>
      </c>
      <c r="B570" s="17" t="s">
        <v>2975</v>
      </c>
      <c r="C570" s="24" t="s">
        <v>2974</v>
      </c>
      <c r="D570" s="15" t="s">
        <v>15</v>
      </c>
      <c r="E570" s="22" t="s">
        <v>2973</v>
      </c>
      <c r="F570" s="13">
        <v>41407</v>
      </c>
      <c r="G570" s="13" t="s">
        <v>1</v>
      </c>
      <c r="H570" s="13" t="s">
        <v>1</v>
      </c>
      <c r="I570" s="12" t="s">
        <v>13</v>
      </c>
      <c r="J570" s="12" t="s">
        <v>12</v>
      </c>
      <c r="K570" s="12" t="s">
        <v>2960</v>
      </c>
      <c r="L570" s="12" t="s">
        <v>2959</v>
      </c>
      <c r="M570" s="12" t="s">
        <v>2958</v>
      </c>
      <c r="N570" s="12" t="s">
        <v>1313</v>
      </c>
      <c r="O570" s="12" t="s">
        <v>7</v>
      </c>
      <c r="P570" s="12" t="s">
        <v>72</v>
      </c>
      <c r="Q570" s="12" t="s">
        <v>5</v>
      </c>
      <c r="R570" s="12" t="s">
        <v>4</v>
      </c>
      <c r="S570" s="12" t="s">
        <v>3</v>
      </c>
      <c r="T570" s="12" t="s">
        <v>2</v>
      </c>
      <c r="U570" s="12" t="s">
        <v>1</v>
      </c>
      <c r="V570" s="12" t="s">
        <v>0</v>
      </c>
      <c r="W570" s="11">
        <v>29</v>
      </c>
    </row>
    <row r="571" spans="1:24" s="9" customFormat="1" hidden="1" x14ac:dyDescent="0.25">
      <c r="A571" s="17">
        <v>15672</v>
      </c>
      <c r="B571" s="17" t="s">
        <v>2972</v>
      </c>
      <c r="C571" s="16" t="s">
        <v>2971</v>
      </c>
      <c r="D571" s="15" t="s">
        <v>15</v>
      </c>
      <c r="E571" s="14" t="s">
        <v>2970</v>
      </c>
      <c r="F571" s="13">
        <v>41466</v>
      </c>
      <c r="G571" s="13" t="s">
        <v>1</v>
      </c>
      <c r="H571" s="13" t="s">
        <v>1</v>
      </c>
      <c r="I571" s="12" t="s">
        <v>13</v>
      </c>
      <c r="J571" s="12" t="s">
        <v>12</v>
      </c>
      <c r="K571" s="12" t="s">
        <v>2960</v>
      </c>
      <c r="L571" s="12" t="s">
        <v>2959</v>
      </c>
      <c r="M571" s="12" t="s">
        <v>2958</v>
      </c>
      <c r="N571" s="12" t="s">
        <v>22</v>
      </c>
      <c r="O571" s="12" t="s">
        <v>21</v>
      </c>
      <c r="P571" s="12" t="s">
        <v>72</v>
      </c>
      <c r="Q571" s="12" t="s">
        <v>20</v>
      </c>
      <c r="R571" s="12" t="s">
        <v>4</v>
      </c>
      <c r="S571" s="12" t="s">
        <v>3</v>
      </c>
      <c r="T571" s="12" t="s">
        <v>19</v>
      </c>
      <c r="U571" s="12" t="s">
        <v>1</v>
      </c>
      <c r="V571" s="12" t="s">
        <v>18</v>
      </c>
      <c r="W571" s="11">
        <v>30</v>
      </c>
    </row>
    <row r="572" spans="1:24" s="78" customFormat="1" hidden="1" x14ac:dyDescent="0.25">
      <c r="A572" s="73">
        <v>19696</v>
      </c>
      <c r="B572" s="73" t="s">
        <v>2969</v>
      </c>
      <c r="C572" s="87" t="s">
        <v>2968</v>
      </c>
      <c r="D572" s="88" t="s">
        <v>15</v>
      </c>
      <c r="E572" s="89" t="s">
        <v>2967</v>
      </c>
      <c r="F572" s="90">
        <v>42481</v>
      </c>
      <c r="G572" s="90" t="s">
        <v>1</v>
      </c>
      <c r="H572" s="90" t="s">
        <v>1</v>
      </c>
      <c r="I572" s="92" t="s">
        <v>13</v>
      </c>
      <c r="J572" s="92" t="s">
        <v>12</v>
      </c>
      <c r="K572" s="92" t="s">
        <v>2960</v>
      </c>
      <c r="L572" s="92" t="s">
        <v>2959</v>
      </c>
      <c r="M572" s="92" t="s">
        <v>2958</v>
      </c>
      <c r="N572" s="92" t="s">
        <v>2966</v>
      </c>
      <c r="O572" s="92" t="s">
        <v>258</v>
      </c>
      <c r="P572" s="92" t="s">
        <v>72</v>
      </c>
      <c r="Q572" s="92" t="s">
        <v>5</v>
      </c>
      <c r="R572" s="92" t="s">
        <v>4</v>
      </c>
      <c r="S572" s="92" t="s">
        <v>3</v>
      </c>
      <c r="T572" s="92" t="s">
        <v>2</v>
      </c>
      <c r="U572" s="92" t="s">
        <v>1</v>
      </c>
      <c r="V572" s="92" t="s">
        <v>18</v>
      </c>
      <c r="W572" s="93">
        <v>29</v>
      </c>
    </row>
    <row r="573" spans="1:24" s="78" customFormat="1" hidden="1" x14ac:dyDescent="0.25">
      <c r="A573" s="73">
        <v>21848</v>
      </c>
      <c r="B573" s="73" t="s">
        <v>2965</v>
      </c>
      <c r="C573" s="102" t="s">
        <v>2964</v>
      </c>
      <c r="D573" s="88" t="s">
        <v>15</v>
      </c>
      <c r="E573" s="91" t="s">
        <v>2266</v>
      </c>
      <c r="F573" s="90">
        <v>43098</v>
      </c>
      <c r="G573" s="90" t="s">
        <v>1</v>
      </c>
      <c r="H573" s="90" t="s">
        <v>1</v>
      </c>
      <c r="I573" s="92" t="s">
        <v>13</v>
      </c>
      <c r="J573" s="92" t="s">
        <v>12</v>
      </c>
      <c r="K573" s="92" t="s">
        <v>2960</v>
      </c>
      <c r="L573" s="92" t="s">
        <v>2959</v>
      </c>
      <c r="M573" s="92" t="s">
        <v>2958</v>
      </c>
      <c r="N573" s="92" t="s">
        <v>68</v>
      </c>
      <c r="O573" s="92" t="s">
        <v>67</v>
      </c>
      <c r="P573" s="92" t="s">
        <v>72</v>
      </c>
      <c r="Q573" s="92" t="s">
        <v>5</v>
      </c>
      <c r="R573" s="92" t="s">
        <v>4</v>
      </c>
      <c r="S573" s="92" t="s">
        <v>3</v>
      </c>
      <c r="T573" s="92" t="s">
        <v>2</v>
      </c>
      <c r="U573" s="92" t="s">
        <v>1</v>
      </c>
      <c r="V573" s="92" t="s">
        <v>0</v>
      </c>
      <c r="W573" s="93">
        <v>25</v>
      </c>
    </row>
    <row r="574" spans="1:24" s="78" customFormat="1" hidden="1" x14ac:dyDescent="0.25">
      <c r="A574" s="73">
        <v>22856</v>
      </c>
      <c r="B574" s="73" t="s">
        <v>2963</v>
      </c>
      <c r="C574" s="102" t="s">
        <v>2962</v>
      </c>
      <c r="D574" s="88" t="s">
        <v>15</v>
      </c>
      <c r="E574" s="91" t="s">
        <v>2961</v>
      </c>
      <c r="F574" s="90">
        <v>43333</v>
      </c>
      <c r="G574" s="90" t="s">
        <v>1</v>
      </c>
      <c r="H574" s="90" t="s">
        <v>1</v>
      </c>
      <c r="I574" s="92" t="s">
        <v>13</v>
      </c>
      <c r="J574" s="92" t="s">
        <v>12</v>
      </c>
      <c r="K574" s="92" t="s">
        <v>2960</v>
      </c>
      <c r="L574" s="92" t="s">
        <v>2959</v>
      </c>
      <c r="M574" s="92" t="s">
        <v>2958</v>
      </c>
      <c r="N574" s="92" t="s">
        <v>259</v>
      </c>
      <c r="O574" s="92" t="s">
        <v>258</v>
      </c>
      <c r="P574" s="92" t="s">
        <v>72</v>
      </c>
      <c r="Q574" s="92" t="s">
        <v>5</v>
      </c>
      <c r="R574" s="92" t="s">
        <v>4</v>
      </c>
      <c r="S574" s="92" t="s">
        <v>3</v>
      </c>
      <c r="T574" s="92" t="s">
        <v>2</v>
      </c>
      <c r="U574" s="92" t="s">
        <v>1</v>
      </c>
      <c r="V574" s="92" t="s">
        <v>18</v>
      </c>
      <c r="W574" s="93">
        <v>25</v>
      </c>
    </row>
    <row r="575" spans="1:24" hidden="1" x14ac:dyDescent="0.25">
      <c r="A575" s="8">
        <v>8864</v>
      </c>
      <c r="B575" s="8" t="s">
        <v>2957</v>
      </c>
      <c r="C575" s="7" t="s">
        <v>2956</v>
      </c>
      <c r="D575" s="6" t="s">
        <v>15</v>
      </c>
      <c r="E575" s="5" t="s">
        <v>202</v>
      </c>
      <c r="F575" s="4">
        <v>39937</v>
      </c>
      <c r="G575" s="4" t="s">
        <v>1</v>
      </c>
      <c r="H575" s="4" t="s">
        <v>1</v>
      </c>
      <c r="I575" s="3" t="s">
        <v>13</v>
      </c>
      <c r="J575" s="3" t="s">
        <v>133</v>
      </c>
      <c r="K575" s="3" t="s">
        <v>879</v>
      </c>
      <c r="L575" s="3" t="s">
        <v>879</v>
      </c>
      <c r="M575" s="3" t="s">
        <v>878</v>
      </c>
      <c r="N575" s="3" t="s">
        <v>2955</v>
      </c>
      <c r="O575" s="3" t="s">
        <v>128</v>
      </c>
      <c r="P575" s="3" t="s">
        <v>6</v>
      </c>
      <c r="Q575" s="3" t="s">
        <v>5</v>
      </c>
      <c r="R575" s="3" t="s">
        <v>4</v>
      </c>
      <c r="S575" s="3" t="s">
        <v>3</v>
      </c>
      <c r="T575" s="3" t="s">
        <v>2</v>
      </c>
      <c r="U575" s="3" t="s">
        <v>1</v>
      </c>
      <c r="V575" s="3" t="s">
        <v>0</v>
      </c>
      <c r="W575" s="2">
        <v>37</v>
      </c>
    </row>
    <row r="576" spans="1:24" s="9" customFormat="1" hidden="1" x14ac:dyDescent="0.25">
      <c r="A576" s="17">
        <v>8874</v>
      </c>
      <c r="B576" s="17" t="s">
        <v>2954</v>
      </c>
      <c r="C576" s="24" t="s">
        <v>2953</v>
      </c>
      <c r="D576" s="15" t="s">
        <v>15</v>
      </c>
      <c r="E576" s="14" t="s">
        <v>202</v>
      </c>
      <c r="F576" s="13">
        <v>39937</v>
      </c>
      <c r="G576" s="13" t="s">
        <v>1</v>
      </c>
      <c r="H576" s="13" t="s">
        <v>1</v>
      </c>
      <c r="I576" s="12" t="s">
        <v>384</v>
      </c>
      <c r="J576" s="12" t="s">
        <v>2383</v>
      </c>
      <c r="K576" s="12" t="s">
        <v>33</v>
      </c>
      <c r="L576" s="12" t="s">
        <v>33</v>
      </c>
      <c r="M576" s="12" t="s">
        <v>2383</v>
      </c>
      <c r="N576" s="12" t="s">
        <v>348</v>
      </c>
      <c r="O576" s="12" t="s">
        <v>368</v>
      </c>
      <c r="P576" s="12" t="s">
        <v>30</v>
      </c>
      <c r="Q576" s="12" t="s">
        <v>47</v>
      </c>
      <c r="R576" s="12" t="s">
        <v>4</v>
      </c>
      <c r="S576" s="12" t="s">
        <v>3</v>
      </c>
      <c r="T576" s="12" t="s">
        <v>38</v>
      </c>
      <c r="U576" s="12" t="s">
        <v>1</v>
      </c>
      <c r="V576" s="12" t="s">
        <v>0</v>
      </c>
      <c r="W576" s="11">
        <v>35</v>
      </c>
      <c r="X576" s="10"/>
    </row>
    <row r="577" spans="1:23" hidden="1" x14ac:dyDescent="0.25">
      <c r="A577" s="8">
        <v>360</v>
      </c>
      <c r="B577" s="8" t="s">
        <v>2952</v>
      </c>
      <c r="C577" s="7" t="s">
        <v>2951</v>
      </c>
      <c r="D577" s="6" t="s">
        <v>15</v>
      </c>
      <c r="E577" s="5" t="s">
        <v>298</v>
      </c>
      <c r="F577" s="4">
        <v>37732</v>
      </c>
      <c r="G577" s="4" t="s">
        <v>1</v>
      </c>
      <c r="H577" s="4" t="s">
        <v>1</v>
      </c>
      <c r="I577" s="3" t="s">
        <v>13</v>
      </c>
      <c r="J577" s="3" t="s">
        <v>12</v>
      </c>
      <c r="K577" s="3" t="s">
        <v>187</v>
      </c>
      <c r="L577" s="3" t="s">
        <v>229</v>
      </c>
      <c r="M577" s="3" t="s">
        <v>228</v>
      </c>
      <c r="N577" s="3" t="s">
        <v>1078</v>
      </c>
      <c r="O577" s="3" t="s">
        <v>29</v>
      </c>
      <c r="P577" s="3" t="s">
        <v>72</v>
      </c>
      <c r="Q577" s="3" t="s">
        <v>20</v>
      </c>
      <c r="R577" s="3" t="s">
        <v>4</v>
      </c>
      <c r="S577" s="3" t="s">
        <v>3</v>
      </c>
      <c r="T577" s="3" t="s">
        <v>1077</v>
      </c>
      <c r="U577" s="3" t="s">
        <v>1</v>
      </c>
      <c r="V577" s="3" t="s">
        <v>0</v>
      </c>
      <c r="W577" s="2">
        <v>42</v>
      </c>
    </row>
    <row r="578" spans="1:23" s="78" customFormat="1" hidden="1" x14ac:dyDescent="0.25">
      <c r="A578" s="73">
        <v>1032</v>
      </c>
      <c r="B578" s="73" t="s">
        <v>2950</v>
      </c>
      <c r="C578" s="87" t="s">
        <v>2949</v>
      </c>
      <c r="D578" s="88" t="s">
        <v>15</v>
      </c>
      <c r="E578" s="89" t="s">
        <v>1586</v>
      </c>
      <c r="F578" s="90">
        <v>37879</v>
      </c>
      <c r="G578" s="90" t="s">
        <v>1</v>
      </c>
      <c r="H578" s="90" t="s">
        <v>1</v>
      </c>
      <c r="I578" s="92" t="s">
        <v>13</v>
      </c>
      <c r="J578" s="92" t="s">
        <v>12</v>
      </c>
      <c r="K578" s="92" t="s">
        <v>187</v>
      </c>
      <c r="L578" s="92" t="s">
        <v>229</v>
      </c>
      <c r="M578" s="92" t="s">
        <v>228</v>
      </c>
      <c r="N578" s="92" t="s">
        <v>1417</v>
      </c>
      <c r="O578" s="92" t="s">
        <v>258</v>
      </c>
      <c r="P578" s="92" t="s">
        <v>72</v>
      </c>
      <c r="Q578" s="92" t="s">
        <v>5</v>
      </c>
      <c r="R578" s="92" t="s">
        <v>4</v>
      </c>
      <c r="S578" s="92" t="s">
        <v>3</v>
      </c>
      <c r="T578" s="92" t="s">
        <v>2</v>
      </c>
      <c r="U578" s="92" t="s">
        <v>1</v>
      </c>
      <c r="V578" s="92" t="s">
        <v>0</v>
      </c>
      <c r="W578" s="93">
        <v>40</v>
      </c>
    </row>
    <row r="579" spans="1:23" s="78" customFormat="1" hidden="1" x14ac:dyDescent="0.25">
      <c r="A579" s="73">
        <v>5965</v>
      </c>
      <c r="B579" s="73" t="s">
        <v>2948</v>
      </c>
      <c r="C579" s="119" t="s">
        <v>2947</v>
      </c>
      <c r="D579" s="88" t="s">
        <v>15</v>
      </c>
      <c r="E579" s="73" t="s">
        <v>248</v>
      </c>
      <c r="F579" s="90">
        <v>39129</v>
      </c>
      <c r="G579" s="90" t="s">
        <v>1</v>
      </c>
      <c r="H579" s="90" t="s">
        <v>1</v>
      </c>
      <c r="I579" s="92" t="s">
        <v>13</v>
      </c>
      <c r="J579" s="92" t="s">
        <v>12</v>
      </c>
      <c r="K579" s="92" t="s">
        <v>187</v>
      </c>
      <c r="L579" s="92" t="s">
        <v>229</v>
      </c>
      <c r="M579" s="92" t="s">
        <v>228</v>
      </c>
      <c r="N579" s="92" t="s">
        <v>628</v>
      </c>
      <c r="O579" s="92" t="s">
        <v>59</v>
      </c>
      <c r="P579" s="92" t="s">
        <v>72</v>
      </c>
      <c r="Q579" s="92" t="s">
        <v>5</v>
      </c>
      <c r="R579" s="92" t="s">
        <v>4</v>
      </c>
      <c r="S579" s="92" t="s">
        <v>3</v>
      </c>
      <c r="T579" s="92" t="s">
        <v>2</v>
      </c>
      <c r="U579" s="92" t="s">
        <v>1</v>
      </c>
      <c r="V579" s="92" t="s">
        <v>0</v>
      </c>
      <c r="W579" s="93">
        <v>38</v>
      </c>
    </row>
    <row r="580" spans="1:23" s="78" customFormat="1" hidden="1" x14ac:dyDescent="0.25">
      <c r="A580" s="73">
        <v>6125</v>
      </c>
      <c r="B580" s="73" t="s">
        <v>2946</v>
      </c>
      <c r="C580" s="87" t="s">
        <v>2945</v>
      </c>
      <c r="D580" s="88" t="s">
        <v>15</v>
      </c>
      <c r="E580" s="89" t="s">
        <v>768</v>
      </c>
      <c r="F580" s="90">
        <v>39157</v>
      </c>
      <c r="G580" s="90" t="s">
        <v>1</v>
      </c>
      <c r="H580" s="90" t="s">
        <v>1</v>
      </c>
      <c r="I580" s="92" t="s">
        <v>13</v>
      </c>
      <c r="J580" s="92" t="s">
        <v>12</v>
      </c>
      <c r="K580" s="92" t="s">
        <v>187</v>
      </c>
      <c r="L580" s="92" t="s">
        <v>229</v>
      </c>
      <c r="M580" s="92" t="s">
        <v>228</v>
      </c>
      <c r="N580" s="92" t="s">
        <v>2944</v>
      </c>
      <c r="O580" s="92" t="s">
        <v>258</v>
      </c>
      <c r="P580" s="92" t="s">
        <v>72</v>
      </c>
      <c r="Q580" s="92" t="s">
        <v>5</v>
      </c>
      <c r="R580" s="92" t="s">
        <v>4</v>
      </c>
      <c r="S580" s="92" t="s">
        <v>3</v>
      </c>
      <c r="T580" s="92" t="s">
        <v>2</v>
      </c>
      <c r="U580" s="92" t="s">
        <v>1</v>
      </c>
      <c r="V580" s="92" t="s">
        <v>0</v>
      </c>
      <c r="W580" s="93">
        <v>39</v>
      </c>
    </row>
    <row r="581" spans="1:23" hidden="1" x14ac:dyDescent="0.25">
      <c r="A581" s="8">
        <v>6359</v>
      </c>
      <c r="B581" s="8" t="s">
        <v>2943</v>
      </c>
      <c r="C581" s="7" t="s">
        <v>2942</v>
      </c>
      <c r="D581" s="6" t="s">
        <v>15</v>
      </c>
      <c r="E581" s="5" t="s">
        <v>765</v>
      </c>
      <c r="F581" s="4">
        <v>39279</v>
      </c>
      <c r="G581" s="4" t="s">
        <v>1</v>
      </c>
      <c r="H581" s="4" t="s">
        <v>1</v>
      </c>
      <c r="I581" s="3" t="s">
        <v>13</v>
      </c>
      <c r="J581" s="3" t="s">
        <v>12</v>
      </c>
      <c r="K581" s="3" t="s">
        <v>187</v>
      </c>
      <c r="L581" s="3" t="s">
        <v>229</v>
      </c>
      <c r="M581" s="3" t="s">
        <v>228</v>
      </c>
      <c r="N581" s="3" t="s">
        <v>1362</v>
      </c>
      <c r="O581" s="3" t="s">
        <v>39</v>
      </c>
      <c r="P581" s="3" t="s">
        <v>72</v>
      </c>
      <c r="Q581" s="3" t="s">
        <v>20</v>
      </c>
      <c r="R581" s="3" t="s">
        <v>4</v>
      </c>
      <c r="S581" s="3" t="s">
        <v>3</v>
      </c>
      <c r="T581" s="3" t="s">
        <v>1361</v>
      </c>
      <c r="U581" s="3" t="s">
        <v>1</v>
      </c>
      <c r="V581" s="3" t="s">
        <v>18</v>
      </c>
      <c r="W581" s="2">
        <v>39</v>
      </c>
    </row>
    <row r="582" spans="1:23" hidden="1" x14ac:dyDescent="0.25">
      <c r="A582" s="8">
        <v>8951</v>
      </c>
      <c r="B582" s="8" t="s">
        <v>2941</v>
      </c>
      <c r="C582" s="7" t="s">
        <v>2940</v>
      </c>
      <c r="D582" s="6" t="s">
        <v>15</v>
      </c>
      <c r="E582" s="5" t="s">
        <v>2323</v>
      </c>
      <c r="F582" s="4">
        <v>39968</v>
      </c>
      <c r="G582" s="4" t="s">
        <v>1</v>
      </c>
      <c r="H582" s="4" t="s">
        <v>1</v>
      </c>
      <c r="I582" s="3" t="s">
        <v>13</v>
      </c>
      <c r="J582" s="3" t="s">
        <v>12</v>
      </c>
      <c r="K582" s="3" t="s">
        <v>63</v>
      </c>
      <c r="L582" s="3" t="s">
        <v>62</v>
      </c>
      <c r="M582" s="3" t="s">
        <v>565</v>
      </c>
      <c r="N582" s="3" t="s">
        <v>2177</v>
      </c>
      <c r="O582" s="3" t="s">
        <v>258</v>
      </c>
      <c r="P582" s="3" t="s">
        <v>6</v>
      </c>
      <c r="Q582" s="3" t="s">
        <v>5</v>
      </c>
      <c r="R582" s="3" t="s">
        <v>4</v>
      </c>
      <c r="S582" s="3" t="s">
        <v>3</v>
      </c>
      <c r="T582" s="3" t="s">
        <v>2</v>
      </c>
      <c r="U582" s="3" t="s">
        <v>1</v>
      </c>
      <c r="V582" s="3" t="s">
        <v>0</v>
      </c>
      <c r="W582" s="2">
        <v>37</v>
      </c>
    </row>
    <row r="583" spans="1:23" hidden="1" x14ac:dyDescent="0.25">
      <c r="A583" s="8">
        <v>8698</v>
      </c>
      <c r="B583" s="8" t="s">
        <v>2939</v>
      </c>
      <c r="C583" s="7" t="s">
        <v>2507</v>
      </c>
      <c r="D583" s="6" t="s">
        <v>15</v>
      </c>
      <c r="E583" s="5" t="s">
        <v>1338</v>
      </c>
      <c r="F583" s="4">
        <v>39888</v>
      </c>
      <c r="G583" s="4" t="s">
        <v>1</v>
      </c>
      <c r="H583" s="4" t="s">
        <v>1</v>
      </c>
      <c r="I583" s="3" t="s">
        <v>13</v>
      </c>
      <c r="J583" s="3" t="s">
        <v>12</v>
      </c>
      <c r="K583" s="3" t="s">
        <v>187</v>
      </c>
      <c r="L583" s="3" t="s">
        <v>229</v>
      </c>
      <c r="M583" s="3" t="s">
        <v>228</v>
      </c>
      <c r="N583" s="3" t="s">
        <v>2938</v>
      </c>
      <c r="O583" s="3" t="s">
        <v>258</v>
      </c>
      <c r="P583" s="3" t="s">
        <v>72</v>
      </c>
      <c r="Q583" s="3" t="s">
        <v>5</v>
      </c>
      <c r="R583" s="3" t="s">
        <v>4</v>
      </c>
      <c r="S583" s="3" t="s">
        <v>3</v>
      </c>
      <c r="T583" s="3" t="s">
        <v>2</v>
      </c>
      <c r="U583" s="3" t="s">
        <v>1</v>
      </c>
      <c r="V583" s="3" t="s">
        <v>0</v>
      </c>
      <c r="W583" s="2">
        <v>35</v>
      </c>
    </row>
    <row r="584" spans="1:23" hidden="1" x14ac:dyDescent="0.25">
      <c r="A584" s="8">
        <v>8761</v>
      </c>
      <c r="B584" s="8" t="s">
        <v>2937</v>
      </c>
      <c r="C584" s="19" t="s">
        <v>2936</v>
      </c>
      <c r="D584" s="6" t="s">
        <v>15</v>
      </c>
      <c r="E584" s="18" t="s">
        <v>2935</v>
      </c>
      <c r="F584" s="4">
        <v>39925</v>
      </c>
      <c r="G584" s="4" t="s">
        <v>1</v>
      </c>
      <c r="H584" s="4" t="s">
        <v>1</v>
      </c>
      <c r="I584" s="3" t="s">
        <v>13</v>
      </c>
      <c r="J584" s="3" t="s">
        <v>12</v>
      </c>
      <c r="K584" s="3" t="s">
        <v>187</v>
      </c>
      <c r="L584" s="3" t="s">
        <v>229</v>
      </c>
      <c r="M584" s="3" t="s">
        <v>228</v>
      </c>
      <c r="N584" s="3" t="s">
        <v>1028</v>
      </c>
      <c r="O584" s="3" t="s">
        <v>67</v>
      </c>
      <c r="P584" s="3" t="s">
        <v>72</v>
      </c>
      <c r="Q584" s="3" t="s">
        <v>5</v>
      </c>
      <c r="R584" s="3" t="s">
        <v>4</v>
      </c>
      <c r="S584" s="3" t="s">
        <v>3</v>
      </c>
      <c r="T584" s="3" t="s">
        <v>2</v>
      </c>
      <c r="U584" s="3" t="s">
        <v>1</v>
      </c>
      <c r="V584" s="3" t="s">
        <v>0</v>
      </c>
      <c r="W584" s="2">
        <v>34</v>
      </c>
    </row>
    <row r="585" spans="1:23" hidden="1" x14ac:dyDescent="0.25">
      <c r="A585" s="8">
        <v>8988</v>
      </c>
      <c r="B585" s="8" t="s">
        <v>2934</v>
      </c>
      <c r="C585" s="7" t="s">
        <v>2933</v>
      </c>
      <c r="D585" s="6" t="s">
        <v>15</v>
      </c>
      <c r="E585" s="5" t="s">
        <v>181</v>
      </c>
      <c r="F585" s="4">
        <v>39975</v>
      </c>
      <c r="G585" s="4" t="s">
        <v>1</v>
      </c>
      <c r="H585" s="4" t="s">
        <v>1</v>
      </c>
      <c r="I585" s="3" t="s">
        <v>13</v>
      </c>
      <c r="J585" s="3" t="s">
        <v>133</v>
      </c>
      <c r="K585" s="3" t="s">
        <v>132</v>
      </c>
      <c r="L585" s="3" t="s">
        <v>218</v>
      </c>
      <c r="M585" s="3" t="s">
        <v>217</v>
      </c>
      <c r="N585" s="3" t="s">
        <v>2932</v>
      </c>
      <c r="O585" s="3" t="s">
        <v>128</v>
      </c>
      <c r="P585" s="3" t="s">
        <v>6</v>
      </c>
      <c r="Q585" s="3" t="s">
        <v>5</v>
      </c>
      <c r="R585" s="3" t="s">
        <v>4</v>
      </c>
      <c r="S585" s="3" t="s">
        <v>3</v>
      </c>
      <c r="T585" s="3" t="s">
        <v>2</v>
      </c>
      <c r="U585" s="3" t="s">
        <v>1</v>
      </c>
      <c r="V585" s="3" t="s">
        <v>0</v>
      </c>
      <c r="W585" s="2">
        <v>36</v>
      </c>
    </row>
    <row r="586" spans="1:23" hidden="1" x14ac:dyDescent="0.25">
      <c r="A586" s="8">
        <v>9527</v>
      </c>
      <c r="B586" s="8" t="s">
        <v>2931</v>
      </c>
      <c r="C586" s="7" t="s">
        <v>206</v>
      </c>
      <c r="D586" s="6" t="s">
        <v>15</v>
      </c>
      <c r="E586" s="5" t="s">
        <v>491</v>
      </c>
      <c r="F586" s="4">
        <v>40148</v>
      </c>
      <c r="G586" s="4" t="s">
        <v>1</v>
      </c>
      <c r="H586" s="4" t="s">
        <v>1</v>
      </c>
      <c r="I586" s="3" t="s">
        <v>13</v>
      </c>
      <c r="J586" s="3" t="s">
        <v>12</v>
      </c>
      <c r="K586" s="3" t="s">
        <v>187</v>
      </c>
      <c r="L586" s="3" t="s">
        <v>229</v>
      </c>
      <c r="M586" s="3" t="s">
        <v>228</v>
      </c>
      <c r="N586" s="3" t="s">
        <v>646</v>
      </c>
      <c r="O586" s="3" t="s">
        <v>67</v>
      </c>
      <c r="P586" s="3" t="s">
        <v>72</v>
      </c>
      <c r="Q586" s="3" t="s">
        <v>5</v>
      </c>
      <c r="R586" s="3" t="s">
        <v>4</v>
      </c>
      <c r="S586" s="3" t="s">
        <v>3</v>
      </c>
      <c r="T586" s="3" t="s">
        <v>2</v>
      </c>
      <c r="U586" s="3" t="s">
        <v>1</v>
      </c>
      <c r="V586" s="3" t="s">
        <v>0</v>
      </c>
      <c r="W586" s="2">
        <v>36</v>
      </c>
    </row>
    <row r="587" spans="1:23" hidden="1" x14ac:dyDescent="0.25">
      <c r="A587" s="8">
        <v>9618</v>
      </c>
      <c r="B587" s="8" t="s">
        <v>2930</v>
      </c>
      <c r="C587" s="7" t="s">
        <v>2929</v>
      </c>
      <c r="D587" s="6" t="s">
        <v>15</v>
      </c>
      <c r="E587" s="5" t="s">
        <v>178</v>
      </c>
      <c r="F587" s="4">
        <v>40179</v>
      </c>
      <c r="G587" s="4" t="s">
        <v>1</v>
      </c>
      <c r="H587" s="4" t="s">
        <v>1</v>
      </c>
      <c r="I587" s="3" t="s">
        <v>13</v>
      </c>
      <c r="J587" s="3" t="s">
        <v>12</v>
      </c>
      <c r="K587" s="3" t="s">
        <v>187</v>
      </c>
      <c r="L587" s="3" t="s">
        <v>229</v>
      </c>
      <c r="M587" s="3" t="s">
        <v>228</v>
      </c>
      <c r="N587" s="3" t="s">
        <v>8</v>
      </c>
      <c r="O587" s="3" t="s">
        <v>7</v>
      </c>
      <c r="P587" s="3" t="s">
        <v>72</v>
      </c>
      <c r="Q587" s="3" t="s">
        <v>5</v>
      </c>
      <c r="R587" s="3" t="s">
        <v>4</v>
      </c>
      <c r="S587" s="3" t="s">
        <v>3</v>
      </c>
      <c r="T587" s="3" t="s">
        <v>2</v>
      </c>
      <c r="U587" s="3" t="s">
        <v>1</v>
      </c>
      <c r="V587" s="3" t="s">
        <v>0</v>
      </c>
      <c r="W587" s="2">
        <v>35</v>
      </c>
    </row>
    <row r="588" spans="1:23" hidden="1" x14ac:dyDescent="0.25">
      <c r="A588" s="8">
        <v>10007</v>
      </c>
      <c r="B588" s="8" t="s">
        <v>2928</v>
      </c>
      <c r="C588" s="7" t="s">
        <v>2927</v>
      </c>
      <c r="D588" s="6" t="s">
        <v>15</v>
      </c>
      <c r="E588" s="5" t="s">
        <v>2484</v>
      </c>
      <c r="F588" s="4">
        <v>40438</v>
      </c>
      <c r="G588" s="4" t="s">
        <v>1</v>
      </c>
      <c r="H588" s="4" t="s">
        <v>1</v>
      </c>
      <c r="I588" s="3" t="s">
        <v>13</v>
      </c>
      <c r="J588" s="3" t="s">
        <v>12</v>
      </c>
      <c r="K588" s="3" t="s">
        <v>187</v>
      </c>
      <c r="L588" s="3" t="s">
        <v>229</v>
      </c>
      <c r="M588" s="3" t="s">
        <v>228</v>
      </c>
      <c r="N588" s="3" t="s">
        <v>1078</v>
      </c>
      <c r="O588" s="3" t="s">
        <v>29</v>
      </c>
      <c r="P588" s="3" t="s">
        <v>72</v>
      </c>
      <c r="Q588" s="3" t="s">
        <v>20</v>
      </c>
      <c r="R588" s="3" t="s">
        <v>4</v>
      </c>
      <c r="S588" s="3" t="s">
        <v>3</v>
      </c>
      <c r="T588" s="3" t="s">
        <v>1077</v>
      </c>
      <c r="U588" s="3" t="s">
        <v>1</v>
      </c>
      <c r="V588" s="3" t="s">
        <v>0</v>
      </c>
      <c r="W588" s="2">
        <v>32</v>
      </c>
    </row>
    <row r="589" spans="1:23" hidden="1" x14ac:dyDescent="0.25">
      <c r="A589" s="8">
        <v>9005</v>
      </c>
      <c r="B589" s="8" t="s">
        <v>2926</v>
      </c>
      <c r="C589" s="7" t="s">
        <v>2925</v>
      </c>
      <c r="D589" s="6" t="s">
        <v>15</v>
      </c>
      <c r="E589" s="5" t="s">
        <v>181</v>
      </c>
      <c r="F589" s="4">
        <v>39975</v>
      </c>
      <c r="G589" s="4" t="s">
        <v>1</v>
      </c>
      <c r="H589" s="4" t="s">
        <v>1</v>
      </c>
      <c r="I589" s="3" t="s">
        <v>13</v>
      </c>
      <c r="J589" s="3" t="s">
        <v>12</v>
      </c>
      <c r="K589" s="3" t="s">
        <v>63</v>
      </c>
      <c r="L589" s="3" t="s">
        <v>460</v>
      </c>
      <c r="M589" s="3" t="s">
        <v>459</v>
      </c>
      <c r="N589" s="3" t="s">
        <v>454</v>
      </c>
      <c r="O589" s="3" t="s">
        <v>453</v>
      </c>
      <c r="P589" s="3" t="s">
        <v>6</v>
      </c>
      <c r="Q589" s="3" t="s">
        <v>5</v>
      </c>
      <c r="R589" s="3" t="s">
        <v>4</v>
      </c>
      <c r="S589" s="3" t="s">
        <v>3</v>
      </c>
      <c r="T589" s="3" t="s">
        <v>2</v>
      </c>
      <c r="U589" s="3" t="s">
        <v>1</v>
      </c>
      <c r="V589" s="3" t="s">
        <v>0</v>
      </c>
      <c r="W589" s="2">
        <v>36</v>
      </c>
    </row>
    <row r="590" spans="1:23" hidden="1" x14ac:dyDescent="0.25">
      <c r="A590" s="8">
        <v>10084</v>
      </c>
      <c r="B590" s="8" t="s">
        <v>2924</v>
      </c>
      <c r="C590" s="7" t="s">
        <v>2923</v>
      </c>
      <c r="D590" s="6" t="s">
        <v>15</v>
      </c>
      <c r="E590" s="5" t="s">
        <v>1034</v>
      </c>
      <c r="F590" s="4">
        <v>40444</v>
      </c>
      <c r="G590" s="4" t="s">
        <v>1</v>
      </c>
      <c r="H590" s="4" t="s">
        <v>1</v>
      </c>
      <c r="I590" s="3" t="s">
        <v>13</v>
      </c>
      <c r="J590" s="3" t="s">
        <v>12</v>
      </c>
      <c r="K590" s="3" t="s">
        <v>187</v>
      </c>
      <c r="L590" s="3" t="s">
        <v>229</v>
      </c>
      <c r="M590" s="3" t="s">
        <v>228</v>
      </c>
      <c r="N590" s="3" t="s">
        <v>1891</v>
      </c>
      <c r="O590" s="3" t="s">
        <v>7</v>
      </c>
      <c r="P590" s="3" t="s">
        <v>72</v>
      </c>
      <c r="Q590" s="3" t="s">
        <v>5</v>
      </c>
      <c r="R590" s="3" t="s">
        <v>4</v>
      </c>
      <c r="S590" s="3" t="s">
        <v>3</v>
      </c>
      <c r="T590" s="3" t="s">
        <v>2</v>
      </c>
      <c r="U590" s="3" t="s">
        <v>1</v>
      </c>
      <c r="V590" s="3" t="s">
        <v>0</v>
      </c>
      <c r="W590" s="2">
        <v>32</v>
      </c>
    </row>
    <row r="591" spans="1:23" hidden="1" x14ac:dyDescent="0.25">
      <c r="A591" s="8">
        <v>9014</v>
      </c>
      <c r="B591" s="8" t="s">
        <v>2922</v>
      </c>
      <c r="C591" s="7" t="s">
        <v>2921</v>
      </c>
      <c r="D591" s="6" t="s">
        <v>15</v>
      </c>
      <c r="E591" s="5" t="s">
        <v>181</v>
      </c>
      <c r="F591" s="4">
        <v>39975</v>
      </c>
      <c r="G591" s="4" t="s">
        <v>1</v>
      </c>
      <c r="H591" s="4" t="s">
        <v>1</v>
      </c>
      <c r="I591" s="3" t="s">
        <v>13</v>
      </c>
      <c r="J591" s="3" t="s">
        <v>133</v>
      </c>
      <c r="K591" s="3" t="s">
        <v>879</v>
      </c>
      <c r="L591" s="3" t="s">
        <v>879</v>
      </c>
      <c r="M591" s="3" t="s">
        <v>878</v>
      </c>
      <c r="N591" s="3" t="s">
        <v>2920</v>
      </c>
      <c r="O591" s="3" t="s">
        <v>128</v>
      </c>
      <c r="P591" s="3" t="s">
        <v>6</v>
      </c>
      <c r="Q591" s="3" t="s">
        <v>5</v>
      </c>
      <c r="R591" s="3" t="s">
        <v>4</v>
      </c>
      <c r="S591" s="3" t="s">
        <v>3</v>
      </c>
      <c r="T591" s="3" t="s">
        <v>2</v>
      </c>
      <c r="U591" s="3" t="s">
        <v>1</v>
      </c>
      <c r="V591" s="3" t="s">
        <v>0</v>
      </c>
      <c r="W591" s="2">
        <v>36</v>
      </c>
    </row>
    <row r="592" spans="1:23" hidden="1" x14ac:dyDescent="0.25">
      <c r="A592" s="8">
        <v>9020</v>
      </c>
      <c r="B592" s="8" t="s">
        <v>2919</v>
      </c>
      <c r="C592" s="7" t="s">
        <v>2918</v>
      </c>
      <c r="D592" s="6" t="s">
        <v>15</v>
      </c>
      <c r="E592" s="5" t="s">
        <v>181</v>
      </c>
      <c r="F592" s="4">
        <v>39975</v>
      </c>
      <c r="G592" s="4" t="s">
        <v>1</v>
      </c>
      <c r="H592" s="4" t="s">
        <v>1</v>
      </c>
      <c r="I592" s="3" t="s">
        <v>13</v>
      </c>
      <c r="J592" s="3" t="s">
        <v>12</v>
      </c>
      <c r="K592" s="3" t="s">
        <v>63</v>
      </c>
      <c r="L592" s="3" t="s">
        <v>138</v>
      </c>
      <c r="M592" s="3" t="s">
        <v>137</v>
      </c>
      <c r="N592" s="3" t="s">
        <v>2917</v>
      </c>
      <c r="O592" s="3" t="s">
        <v>453</v>
      </c>
      <c r="P592" s="3" t="s">
        <v>6</v>
      </c>
      <c r="Q592" s="3" t="s">
        <v>5</v>
      </c>
      <c r="R592" s="3" t="s">
        <v>4</v>
      </c>
      <c r="S592" s="3" t="s">
        <v>3</v>
      </c>
      <c r="T592" s="3" t="s">
        <v>2</v>
      </c>
      <c r="U592" s="3" t="s">
        <v>1</v>
      </c>
      <c r="V592" s="3" t="s">
        <v>0</v>
      </c>
      <c r="W592" s="2">
        <v>37</v>
      </c>
    </row>
    <row r="593" spans="1:24" hidden="1" x14ac:dyDescent="0.25">
      <c r="A593" s="8">
        <v>9027</v>
      </c>
      <c r="B593" s="8" t="s">
        <v>2916</v>
      </c>
      <c r="C593" s="7" t="s">
        <v>2915</v>
      </c>
      <c r="D593" s="6" t="s">
        <v>15</v>
      </c>
      <c r="E593" s="5" t="s">
        <v>181</v>
      </c>
      <c r="F593" s="4">
        <v>39975</v>
      </c>
      <c r="G593" s="4" t="s">
        <v>1</v>
      </c>
      <c r="H593" s="4" t="s">
        <v>1</v>
      </c>
      <c r="I593" s="3" t="s">
        <v>13</v>
      </c>
      <c r="J593" s="3" t="s">
        <v>12</v>
      </c>
      <c r="K593" s="3" t="s">
        <v>11</v>
      </c>
      <c r="L593" s="3" t="s">
        <v>10</v>
      </c>
      <c r="M593" s="3" t="s">
        <v>9</v>
      </c>
      <c r="N593" s="3" t="s">
        <v>1078</v>
      </c>
      <c r="O593" s="3" t="s">
        <v>29</v>
      </c>
      <c r="P593" s="3" t="s">
        <v>6</v>
      </c>
      <c r="Q593" s="3" t="s">
        <v>20</v>
      </c>
      <c r="R593" s="3" t="s">
        <v>4</v>
      </c>
      <c r="S593" s="3" t="s">
        <v>3</v>
      </c>
      <c r="T593" s="3" t="s">
        <v>1077</v>
      </c>
      <c r="U593" s="3" t="s">
        <v>1</v>
      </c>
      <c r="V593" s="3" t="s">
        <v>0</v>
      </c>
      <c r="W593" s="2">
        <v>37</v>
      </c>
    </row>
    <row r="594" spans="1:24" hidden="1" x14ac:dyDescent="0.25">
      <c r="A594" s="17">
        <v>10167</v>
      </c>
      <c r="B594" s="17" t="s">
        <v>2914</v>
      </c>
      <c r="C594" s="16" t="s">
        <v>2913</v>
      </c>
      <c r="D594" s="15" t="s">
        <v>15</v>
      </c>
      <c r="E594" s="14" t="s">
        <v>476</v>
      </c>
      <c r="F594" s="13">
        <v>40458</v>
      </c>
      <c r="G594" s="13" t="s">
        <v>1</v>
      </c>
      <c r="H594" s="13" t="s">
        <v>1</v>
      </c>
      <c r="I594" s="12" t="s">
        <v>13</v>
      </c>
      <c r="J594" s="12" t="s">
        <v>12</v>
      </c>
      <c r="K594" s="12" t="s">
        <v>187</v>
      </c>
      <c r="L594" s="12" t="s">
        <v>229</v>
      </c>
      <c r="M594" s="12" t="s">
        <v>228</v>
      </c>
      <c r="N594" s="12" t="s">
        <v>68</v>
      </c>
      <c r="O594" s="12" t="s">
        <v>67</v>
      </c>
      <c r="P594" s="12" t="s">
        <v>72</v>
      </c>
      <c r="Q594" s="12" t="s">
        <v>5</v>
      </c>
      <c r="R594" s="12" t="s">
        <v>4</v>
      </c>
      <c r="S594" s="12" t="s">
        <v>3</v>
      </c>
      <c r="T594" s="12" t="s">
        <v>2</v>
      </c>
      <c r="U594" s="12" t="s">
        <v>1</v>
      </c>
      <c r="V594" s="12" t="s">
        <v>0</v>
      </c>
      <c r="W594" s="11">
        <v>32</v>
      </c>
      <c r="X594" s="9"/>
    </row>
    <row r="595" spans="1:24" hidden="1" x14ac:dyDescent="0.25">
      <c r="A595" s="17">
        <v>10178</v>
      </c>
      <c r="B595" s="17" t="s">
        <v>2912</v>
      </c>
      <c r="C595" s="16" t="s">
        <v>2911</v>
      </c>
      <c r="D595" s="15" t="s">
        <v>15</v>
      </c>
      <c r="E595" s="14" t="s">
        <v>476</v>
      </c>
      <c r="F595" s="13">
        <v>40458</v>
      </c>
      <c r="G595" s="13" t="s">
        <v>1</v>
      </c>
      <c r="H595" s="13" t="s">
        <v>1</v>
      </c>
      <c r="I595" s="12" t="s">
        <v>13</v>
      </c>
      <c r="J595" s="12" t="s">
        <v>12</v>
      </c>
      <c r="K595" s="12" t="s">
        <v>187</v>
      </c>
      <c r="L595" s="12" t="s">
        <v>229</v>
      </c>
      <c r="M595" s="12" t="s">
        <v>228</v>
      </c>
      <c r="N595" s="12" t="s">
        <v>2910</v>
      </c>
      <c r="O595" s="12" t="s">
        <v>7</v>
      </c>
      <c r="P595" s="12" t="s">
        <v>72</v>
      </c>
      <c r="Q595" s="12" t="s">
        <v>5</v>
      </c>
      <c r="R595" s="12" t="s">
        <v>4</v>
      </c>
      <c r="S595" s="12" t="s">
        <v>3</v>
      </c>
      <c r="T595" s="12" t="s">
        <v>2</v>
      </c>
      <c r="U595" s="12" t="s">
        <v>1</v>
      </c>
      <c r="V595" s="12" t="s">
        <v>0</v>
      </c>
      <c r="W595" s="11">
        <v>33</v>
      </c>
      <c r="X595" s="9"/>
    </row>
    <row r="596" spans="1:24" hidden="1" x14ac:dyDescent="0.25">
      <c r="A596" s="8">
        <v>9034</v>
      </c>
      <c r="B596" s="8" t="s">
        <v>2909</v>
      </c>
      <c r="C596" s="19" t="s">
        <v>2908</v>
      </c>
      <c r="D596" s="6" t="s">
        <v>15</v>
      </c>
      <c r="E596" s="18" t="s">
        <v>181</v>
      </c>
      <c r="F596" s="4">
        <v>39975</v>
      </c>
      <c r="G596" s="4" t="s">
        <v>1</v>
      </c>
      <c r="H596" s="4" t="s">
        <v>1</v>
      </c>
      <c r="I596" s="3" t="s">
        <v>13</v>
      </c>
      <c r="J596" s="3" t="s">
        <v>12</v>
      </c>
      <c r="K596" s="3" t="s">
        <v>283</v>
      </c>
      <c r="L596" s="3" t="s">
        <v>282</v>
      </c>
      <c r="M596" s="3" t="s">
        <v>281</v>
      </c>
      <c r="N596" s="3" t="s">
        <v>1451</v>
      </c>
      <c r="O596" s="3" t="s">
        <v>100</v>
      </c>
      <c r="P596" s="3" t="s">
        <v>6</v>
      </c>
      <c r="Q596" s="3" t="s">
        <v>20</v>
      </c>
      <c r="R596" s="3" t="s">
        <v>4</v>
      </c>
      <c r="S596" s="3" t="s">
        <v>3</v>
      </c>
      <c r="T596" s="3" t="s">
        <v>2</v>
      </c>
      <c r="U596" s="3" t="s">
        <v>1</v>
      </c>
      <c r="V596" s="3" t="s">
        <v>0</v>
      </c>
      <c r="W596" s="2">
        <v>37</v>
      </c>
    </row>
    <row r="597" spans="1:24" hidden="1" x14ac:dyDescent="0.25">
      <c r="A597" s="8">
        <v>9038</v>
      </c>
      <c r="B597" s="8" t="s">
        <v>2907</v>
      </c>
      <c r="C597" s="7" t="s">
        <v>2906</v>
      </c>
      <c r="D597" s="6" t="s">
        <v>15</v>
      </c>
      <c r="E597" s="5" t="s">
        <v>2900</v>
      </c>
      <c r="F597" s="4">
        <v>39979</v>
      </c>
      <c r="G597" s="4" t="s">
        <v>1</v>
      </c>
      <c r="H597" s="4" t="s">
        <v>1</v>
      </c>
      <c r="I597" s="3" t="s">
        <v>145</v>
      </c>
      <c r="J597" s="3" t="s">
        <v>12</v>
      </c>
      <c r="K597" s="3" t="s">
        <v>187</v>
      </c>
      <c r="L597" s="3" t="s">
        <v>229</v>
      </c>
      <c r="M597" s="3" t="s">
        <v>228</v>
      </c>
      <c r="N597" s="3" t="s">
        <v>1196</v>
      </c>
      <c r="O597" s="3" t="s">
        <v>21</v>
      </c>
      <c r="P597" s="3" t="s">
        <v>72</v>
      </c>
      <c r="Q597" s="3" t="s">
        <v>20</v>
      </c>
      <c r="R597" s="3" t="s">
        <v>4</v>
      </c>
      <c r="S597" s="3" t="s">
        <v>3</v>
      </c>
      <c r="T597" s="3" t="s">
        <v>19</v>
      </c>
      <c r="U597" s="3" t="s">
        <v>1</v>
      </c>
      <c r="V597" s="3" t="s">
        <v>0</v>
      </c>
      <c r="W597" s="2">
        <v>37</v>
      </c>
    </row>
    <row r="598" spans="1:24" hidden="1" x14ac:dyDescent="0.25">
      <c r="A598" s="8">
        <v>9049</v>
      </c>
      <c r="B598" s="8" t="s">
        <v>2905</v>
      </c>
      <c r="C598" s="7" t="s">
        <v>2904</v>
      </c>
      <c r="D598" s="6" t="s">
        <v>15</v>
      </c>
      <c r="E598" s="5" t="s">
        <v>2900</v>
      </c>
      <c r="F598" s="4">
        <v>39979</v>
      </c>
      <c r="G598" s="4" t="s">
        <v>1</v>
      </c>
      <c r="H598" s="4" t="s">
        <v>1</v>
      </c>
      <c r="I598" s="3" t="s">
        <v>13</v>
      </c>
      <c r="J598" s="3" t="s">
        <v>12</v>
      </c>
      <c r="K598" s="3" t="s">
        <v>63</v>
      </c>
      <c r="L598" s="3" t="s">
        <v>1469</v>
      </c>
      <c r="M598" s="3" t="s">
        <v>1468</v>
      </c>
      <c r="N598" s="3" t="s">
        <v>2903</v>
      </c>
      <c r="O598" s="3" t="s">
        <v>258</v>
      </c>
      <c r="P598" s="3" t="s">
        <v>6</v>
      </c>
      <c r="Q598" s="3" t="s">
        <v>5</v>
      </c>
      <c r="R598" s="3" t="s">
        <v>4</v>
      </c>
      <c r="S598" s="3" t="s">
        <v>3</v>
      </c>
      <c r="T598" s="3" t="s">
        <v>2</v>
      </c>
      <c r="U598" s="3" t="s">
        <v>1</v>
      </c>
      <c r="V598" s="3" t="s">
        <v>0</v>
      </c>
      <c r="W598" s="2">
        <v>37</v>
      </c>
    </row>
    <row r="599" spans="1:24" hidden="1" x14ac:dyDescent="0.25">
      <c r="A599" s="8">
        <v>9050</v>
      </c>
      <c r="B599" s="8" t="s">
        <v>2902</v>
      </c>
      <c r="C599" s="7" t="s">
        <v>2901</v>
      </c>
      <c r="D599" s="6" t="s">
        <v>15</v>
      </c>
      <c r="E599" s="5" t="s">
        <v>2900</v>
      </c>
      <c r="F599" s="4">
        <v>39979</v>
      </c>
      <c r="G599" s="4" t="s">
        <v>1</v>
      </c>
      <c r="H599" s="4" t="s">
        <v>1</v>
      </c>
      <c r="I599" s="3" t="s">
        <v>13</v>
      </c>
      <c r="J599" s="3" t="s">
        <v>133</v>
      </c>
      <c r="K599" s="3" t="s">
        <v>2899</v>
      </c>
      <c r="L599" s="3" t="s">
        <v>2899</v>
      </c>
      <c r="M599" s="3" t="s">
        <v>2899</v>
      </c>
      <c r="N599" s="3" t="s">
        <v>1078</v>
      </c>
      <c r="O599" s="3" t="s">
        <v>29</v>
      </c>
      <c r="P599" s="3" t="s">
        <v>6</v>
      </c>
      <c r="Q599" s="3" t="s">
        <v>20</v>
      </c>
      <c r="R599" s="3" t="s">
        <v>4</v>
      </c>
      <c r="S599" s="3" t="s">
        <v>3</v>
      </c>
      <c r="T599" s="3" t="s">
        <v>1077</v>
      </c>
      <c r="U599" s="3" t="s">
        <v>1</v>
      </c>
      <c r="V599" s="3" t="s">
        <v>0</v>
      </c>
      <c r="W599" s="2">
        <v>36</v>
      </c>
    </row>
    <row r="600" spans="1:24" s="78" customFormat="1" hidden="1" x14ac:dyDescent="0.25">
      <c r="A600" s="73">
        <v>10244</v>
      </c>
      <c r="B600" s="73" t="s">
        <v>2898</v>
      </c>
      <c r="C600" s="102" t="s">
        <v>2897</v>
      </c>
      <c r="D600" s="88" t="s">
        <v>15</v>
      </c>
      <c r="E600" s="91" t="s">
        <v>2467</v>
      </c>
      <c r="F600" s="90">
        <v>40497</v>
      </c>
      <c r="G600" s="90" t="s">
        <v>1</v>
      </c>
      <c r="H600" s="90" t="s">
        <v>1</v>
      </c>
      <c r="I600" s="92" t="s">
        <v>13</v>
      </c>
      <c r="J600" s="92" t="s">
        <v>12</v>
      </c>
      <c r="K600" s="92" t="s">
        <v>187</v>
      </c>
      <c r="L600" s="92" t="s">
        <v>229</v>
      </c>
      <c r="M600" s="92" t="s">
        <v>228</v>
      </c>
      <c r="N600" s="92" t="s">
        <v>1100</v>
      </c>
      <c r="O600" s="92" t="s">
        <v>59</v>
      </c>
      <c r="P600" s="92" t="s">
        <v>72</v>
      </c>
      <c r="Q600" s="92" t="s">
        <v>5</v>
      </c>
      <c r="R600" s="92" t="s">
        <v>4</v>
      </c>
      <c r="S600" s="92" t="s">
        <v>3</v>
      </c>
      <c r="T600" s="92" t="s">
        <v>2</v>
      </c>
      <c r="U600" s="92" t="s">
        <v>1</v>
      </c>
      <c r="V600" s="92" t="s">
        <v>0</v>
      </c>
      <c r="W600" s="93">
        <v>36</v>
      </c>
    </row>
    <row r="601" spans="1:24" s="78" customFormat="1" hidden="1" x14ac:dyDescent="0.25">
      <c r="A601" s="73">
        <v>10517</v>
      </c>
      <c r="B601" s="73" t="s">
        <v>2896</v>
      </c>
      <c r="C601" s="102" t="s">
        <v>2895</v>
      </c>
      <c r="D601" s="88" t="s">
        <v>15</v>
      </c>
      <c r="E601" s="91" t="s">
        <v>157</v>
      </c>
      <c r="F601" s="90">
        <v>40535</v>
      </c>
      <c r="G601" s="90" t="s">
        <v>1</v>
      </c>
      <c r="H601" s="90" t="s">
        <v>1</v>
      </c>
      <c r="I601" s="92" t="s">
        <v>13</v>
      </c>
      <c r="J601" s="92" t="s">
        <v>12</v>
      </c>
      <c r="K601" s="92" t="s">
        <v>187</v>
      </c>
      <c r="L601" s="92" t="s">
        <v>229</v>
      </c>
      <c r="M601" s="92" t="s">
        <v>228</v>
      </c>
      <c r="N601" s="92" t="s">
        <v>1192</v>
      </c>
      <c r="O601" s="92" t="s">
        <v>59</v>
      </c>
      <c r="P601" s="92" t="s">
        <v>72</v>
      </c>
      <c r="Q601" s="92" t="s">
        <v>5</v>
      </c>
      <c r="R601" s="92" t="s">
        <v>4</v>
      </c>
      <c r="S601" s="92" t="s">
        <v>3</v>
      </c>
      <c r="T601" s="92" t="s">
        <v>2</v>
      </c>
      <c r="U601" s="92" t="s">
        <v>1</v>
      </c>
      <c r="V601" s="92" t="s">
        <v>0</v>
      </c>
      <c r="W601" s="93">
        <v>33</v>
      </c>
    </row>
    <row r="602" spans="1:24" s="78" customFormat="1" hidden="1" x14ac:dyDescent="0.25">
      <c r="A602" s="73">
        <v>10558</v>
      </c>
      <c r="B602" s="73" t="s">
        <v>2894</v>
      </c>
      <c r="C602" s="87" t="s">
        <v>2893</v>
      </c>
      <c r="D602" s="88" t="s">
        <v>15</v>
      </c>
      <c r="E602" s="89" t="s">
        <v>1512</v>
      </c>
      <c r="F602" s="90">
        <v>40542</v>
      </c>
      <c r="G602" s="90" t="s">
        <v>1</v>
      </c>
      <c r="H602" s="90" t="s">
        <v>1</v>
      </c>
      <c r="I602" s="92" t="s">
        <v>13</v>
      </c>
      <c r="J602" s="92" t="s">
        <v>12</v>
      </c>
      <c r="K602" s="92" t="s">
        <v>187</v>
      </c>
      <c r="L602" s="92" t="s">
        <v>229</v>
      </c>
      <c r="M602" s="92" t="s">
        <v>228</v>
      </c>
      <c r="N602" s="92" t="s">
        <v>2892</v>
      </c>
      <c r="O602" s="92" t="s">
        <v>7</v>
      </c>
      <c r="P602" s="92" t="s">
        <v>72</v>
      </c>
      <c r="Q602" s="92" t="s">
        <v>5</v>
      </c>
      <c r="R602" s="92" t="s">
        <v>4</v>
      </c>
      <c r="S602" s="92" t="s">
        <v>3</v>
      </c>
      <c r="T602" s="92" t="s">
        <v>2</v>
      </c>
      <c r="U602" s="92" t="s">
        <v>1</v>
      </c>
      <c r="V602" s="92" t="s">
        <v>0</v>
      </c>
      <c r="W602" s="93">
        <v>32</v>
      </c>
    </row>
    <row r="603" spans="1:24" s="78" customFormat="1" hidden="1" x14ac:dyDescent="0.25">
      <c r="A603" s="73">
        <v>10617</v>
      </c>
      <c r="B603" s="73" t="s">
        <v>2891</v>
      </c>
      <c r="C603" s="87" t="s">
        <v>2890</v>
      </c>
      <c r="D603" s="88" t="s">
        <v>15</v>
      </c>
      <c r="E603" s="89" t="s">
        <v>445</v>
      </c>
      <c r="F603" s="90">
        <v>40544</v>
      </c>
      <c r="G603" s="90" t="s">
        <v>1</v>
      </c>
      <c r="H603" s="90" t="s">
        <v>1</v>
      </c>
      <c r="I603" s="92" t="s">
        <v>13</v>
      </c>
      <c r="J603" s="92" t="s">
        <v>12</v>
      </c>
      <c r="K603" s="92" t="s">
        <v>187</v>
      </c>
      <c r="L603" s="92" t="s">
        <v>229</v>
      </c>
      <c r="M603" s="92" t="s">
        <v>228</v>
      </c>
      <c r="N603" s="92" t="s">
        <v>870</v>
      </c>
      <c r="O603" s="92" t="s">
        <v>21</v>
      </c>
      <c r="P603" s="92" t="s">
        <v>72</v>
      </c>
      <c r="Q603" s="92" t="s">
        <v>20</v>
      </c>
      <c r="R603" s="92" t="s">
        <v>4</v>
      </c>
      <c r="S603" s="92" t="s">
        <v>3</v>
      </c>
      <c r="T603" s="92" t="s">
        <v>2</v>
      </c>
      <c r="U603" s="92" t="s">
        <v>1</v>
      </c>
      <c r="V603" s="92" t="s">
        <v>0</v>
      </c>
      <c r="W603" s="93">
        <v>34</v>
      </c>
    </row>
    <row r="604" spans="1:24" hidden="1" x14ac:dyDescent="0.25">
      <c r="A604" s="8">
        <v>9095</v>
      </c>
      <c r="B604" s="8" t="s">
        <v>2889</v>
      </c>
      <c r="C604" s="7" t="s">
        <v>2888</v>
      </c>
      <c r="D604" s="6" t="s">
        <v>15</v>
      </c>
      <c r="E604" s="5" t="s">
        <v>2639</v>
      </c>
      <c r="F604" s="4">
        <v>39995</v>
      </c>
      <c r="G604" s="4" t="s">
        <v>1</v>
      </c>
      <c r="H604" s="4" t="s">
        <v>1</v>
      </c>
      <c r="I604" s="18" t="s">
        <v>50</v>
      </c>
      <c r="J604" s="5" t="s">
        <v>75</v>
      </c>
      <c r="K604" s="5" t="s">
        <v>33</v>
      </c>
      <c r="L604" s="5" t="s">
        <v>33</v>
      </c>
      <c r="M604" s="18" t="s">
        <v>75</v>
      </c>
      <c r="N604" s="21" t="s">
        <v>74</v>
      </c>
      <c r="O604" s="5" t="s">
        <v>73</v>
      </c>
      <c r="P604" s="5" t="s">
        <v>6</v>
      </c>
      <c r="Q604" s="5" t="s">
        <v>47</v>
      </c>
      <c r="R604" s="3" t="s">
        <v>4</v>
      </c>
      <c r="S604" s="3" t="s">
        <v>3</v>
      </c>
      <c r="T604" s="3" t="s">
        <v>2</v>
      </c>
      <c r="U604" s="3" t="s">
        <v>1</v>
      </c>
      <c r="V604" s="3" t="s">
        <v>0</v>
      </c>
      <c r="W604" s="2">
        <v>39</v>
      </c>
    </row>
    <row r="605" spans="1:24" s="78" customFormat="1" hidden="1" x14ac:dyDescent="0.25">
      <c r="A605" s="73">
        <v>10969</v>
      </c>
      <c r="B605" s="73" t="s">
        <v>2887</v>
      </c>
      <c r="C605" s="87" t="s">
        <v>2886</v>
      </c>
      <c r="D605" s="88" t="s">
        <v>15</v>
      </c>
      <c r="E605" s="89" t="s">
        <v>1639</v>
      </c>
      <c r="F605" s="90">
        <v>40578</v>
      </c>
      <c r="G605" s="90" t="s">
        <v>1</v>
      </c>
      <c r="H605" s="90" t="s">
        <v>1</v>
      </c>
      <c r="I605" s="92" t="s">
        <v>13</v>
      </c>
      <c r="J605" s="92" t="s">
        <v>12</v>
      </c>
      <c r="K605" s="92" t="s">
        <v>187</v>
      </c>
      <c r="L605" s="92" t="s">
        <v>229</v>
      </c>
      <c r="M605" s="92" t="s">
        <v>228</v>
      </c>
      <c r="N605" s="92" t="s">
        <v>1629</v>
      </c>
      <c r="O605" s="92" t="s">
        <v>7</v>
      </c>
      <c r="P605" s="92" t="s">
        <v>72</v>
      </c>
      <c r="Q605" s="92" t="s">
        <v>5</v>
      </c>
      <c r="R605" s="92" t="s">
        <v>4</v>
      </c>
      <c r="S605" s="92" t="s">
        <v>3</v>
      </c>
      <c r="T605" s="92" t="s">
        <v>2</v>
      </c>
      <c r="U605" s="92" t="s">
        <v>1</v>
      </c>
      <c r="V605" s="92" t="s">
        <v>0</v>
      </c>
      <c r="W605" s="93">
        <v>32</v>
      </c>
    </row>
    <row r="606" spans="1:24" hidden="1" x14ac:dyDescent="0.25">
      <c r="A606" s="8">
        <v>9132</v>
      </c>
      <c r="B606" s="8" t="s">
        <v>2885</v>
      </c>
      <c r="C606" s="7" t="s">
        <v>2884</v>
      </c>
      <c r="D606" s="6" t="s">
        <v>15</v>
      </c>
      <c r="E606" s="5" t="s">
        <v>1007</v>
      </c>
      <c r="F606" s="4">
        <v>40000</v>
      </c>
      <c r="G606" s="4" t="s">
        <v>1</v>
      </c>
      <c r="H606" s="4" t="s">
        <v>1</v>
      </c>
      <c r="I606" s="18" t="s">
        <v>100</v>
      </c>
      <c r="J606" s="18" t="s">
        <v>124</v>
      </c>
      <c r="K606" s="18" t="s">
        <v>33</v>
      </c>
      <c r="L606" s="18" t="s">
        <v>33</v>
      </c>
      <c r="M606" s="18" t="s">
        <v>124</v>
      </c>
      <c r="N606" s="18" t="s">
        <v>123</v>
      </c>
      <c r="O606" s="18" t="s">
        <v>122</v>
      </c>
      <c r="P606" s="5" t="s">
        <v>1</v>
      </c>
      <c r="Q606" s="5" t="s">
        <v>121</v>
      </c>
      <c r="R606" s="3" t="s">
        <v>4</v>
      </c>
      <c r="S606" s="3" t="s">
        <v>3</v>
      </c>
      <c r="T606" s="3" t="s">
        <v>2</v>
      </c>
      <c r="U606" s="3" t="s">
        <v>1</v>
      </c>
      <c r="V606" s="3" t="s">
        <v>0</v>
      </c>
      <c r="W606" s="2">
        <v>36</v>
      </c>
    </row>
    <row r="607" spans="1:24" s="78" customFormat="1" hidden="1" x14ac:dyDescent="0.25">
      <c r="A607" s="73">
        <v>11167</v>
      </c>
      <c r="B607" s="73" t="s">
        <v>2883</v>
      </c>
      <c r="C607" s="87" t="s">
        <v>2882</v>
      </c>
      <c r="D607" s="88" t="s">
        <v>15</v>
      </c>
      <c r="E607" s="89" t="s">
        <v>2082</v>
      </c>
      <c r="F607" s="90">
        <v>40610</v>
      </c>
      <c r="G607" s="90" t="s">
        <v>1</v>
      </c>
      <c r="H607" s="90" t="s">
        <v>1</v>
      </c>
      <c r="I607" s="92" t="s">
        <v>13</v>
      </c>
      <c r="J607" s="92" t="s">
        <v>12</v>
      </c>
      <c r="K607" s="92" t="s">
        <v>187</v>
      </c>
      <c r="L607" s="92" t="s">
        <v>229</v>
      </c>
      <c r="M607" s="92" t="s">
        <v>228</v>
      </c>
      <c r="N607" s="92" t="s">
        <v>606</v>
      </c>
      <c r="O607" s="92" t="s">
        <v>59</v>
      </c>
      <c r="P607" s="92" t="s">
        <v>72</v>
      </c>
      <c r="Q607" s="92" t="s">
        <v>5</v>
      </c>
      <c r="R607" s="92" t="s">
        <v>4</v>
      </c>
      <c r="S607" s="92" t="s">
        <v>3</v>
      </c>
      <c r="T607" s="92" t="s">
        <v>2</v>
      </c>
      <c r="U607" s="92" t="s">
        <v>1</v>
      </c>
      <c r="V607" s="92" t="s">
        <v>0</v>
      </c>
      <c r="W607" s="93">
        <v>35</v>
      </c>
    </row>
    <row r="608" spans="1:24" hidden="1" x14ac:dyDescent="0.25">
      <c r="A608" s="8">
        <v>11369</v>
      </c>
      <c r="B608" s="8" t="s">
        <v>2881</v>
      </c>
      <c r="C608" s="7" t="s">
        <v>2880</v>
      </c>
      <c r="D608" s="6" t="s">
        <v>15</v>
      </c>
      <c r="E608" s="5" t="s">
        <v>2168</v>
      </c>
      <c r="F608" s="4">
        <v>40696</v>
      </c>
      <c r="G608" s="4" t="s">
        <v>1</v>
      </c>
      <c r="H608" s="4" t="s">
        <v>1</v>
      </c>
      <c r="I608" s="3" t="s">
        <v>13</v>
      </c>
      <c r="J608" s="3" t="s">
        <v>12</v>
      </c>
      <c r="K608" s="3" t="s">
        <v>187</v>
      </c>
      <c r="L608" s="3" t="s">
        <v>229</v>
      </c>
      <c r="M608" s="3" t="s">
        <v>228</v>
      </c>
      <c r="N608" s="3" t="s">
        <v>2879</v>
      </c>
      <c r="O608" s="3" t="s">
        <v>7</v>
      </c>
      <c r="P608" s="3" t="s">
        <v>72</v>
      </c>
      <c r="Q608" s="3" t="s">
        <v>5</v>
      </c>
      <c r="R608" s="3" t="s">
        <v>4</v>
      </c>
      <c r="S608" s="3" t="s">
        <v>3</v>
      </c>
      <c r="T608" s="3" t="s">
        <v>2</v>
      </c>
      <c r="U608" s="3" t="s">
        <v>1</v>
      </c>
      <c r="V608" s="3" t="s">
        <v>0</v>
      </c>
      <c r="W608" s="2">
        <v>34</v>
      </c>
    </row>
    <row r="609" spans="1:24" hidden="1" x14ac:dyDescent="0.25">
      <c r="A609" s="8">
        <v>9159</v>
      </c>
      <c r="B609" s="8" t="s">
        <v>2878</v>
      </c>
      <c r="C609" s="7" t="s">
        <v>16</v>
      </c>
      <c r="D609" s="6" t="s">
        <v>15</v>
      </c>
      <c r="E609" s="5" t="s">
        <v>1007</v>
      </c>
      <c r="F609" s="4">
        <v>40000</v>
      </c>
      <c r="G609" s="4" t="s">
        <v>1</v>
      </c>
      <c r="H609" s="4" t="s">
        <v>1</v>
      </c>
      <c r="I609" s="18" t="s">
        <v>100</v>
      </c>
      <c r="J609" s="18" t="s">
        <v>124</v>
      </c>
      <c r="K609" s="18" t="s">
        <v>33</v>
      </c>
      <c r="L609" s="18" t="s">
        <v>33</v>
      </c>
      <c r="M609" s="18" t="s">
        <v>124</v>
      </c>
      <c r="N609" s="18" t="s">
        <v>194</v>
      </c>
      <c r="O609" s="18" t="s">
        <v>122</v>
      </c>
      <c r="P609" s="5" t="s">
        <v>1</v>
      </c>
      <c r="Q609" s="5" t="s">
        <v>121</v>
      </c>
      <c r="R609" s="3" t="s">
        <v>4</v>
      </c>
      <c r="S609" s="3" t="s">
        <v>3</v>
      </c>
      <c r="T609" s="3" t="s">
        <v>29</v>
      </c>
      <c r="U609" s="3" t="s">
        <v>1</v>
      </c>
      <c r="V609" s="3" t="s">
        <v>0</v>
      </c>
      <c r="W609" s="2">
        <v>37</v>
      </c>
    </row>
    <row r="610" spans="1:24" hidden="1" x14ac:dyDescent="0.25">
      <c r="A610" s="8">
        <v>9160</v>
      </c>
      <c r="B610" s="8" t="s">
        <v>2877</v>
      </c>
      <c r="C610" s="35" t="s">
        <v>2876</v>
      </c>
      <c r="D610" s="6" t="s">
        <v>15</v>
      </c>
      <c r="E610" s="8" t="s">
        <v>1007</v>
      </c>
      <c r="F610" s="4">
        <v>40000</v>
      </c>
      <c r="G610" s="4" t="s">
        <v>1</v>
      </c>
      <c r="H610" s="4" t="s">
        <v>1</v>
      </c>
      <c r="I610" s="3" t="s">
        <v>145</v>
      </c>
      <c r="J610" s="3" t="s">
        <v>12</v>
      </c>
      <c r="K610" s="3" t="s">
        <v>63</v>
      </c>
      <c r="L610" s="3" t="s">
        <v>174</v>
      </c>
      <c r="M610" s="3" t="s">
        <v>173</v>
      </c>
      <c r="N610" s="3" t="s">
        <v>2218</v>
      </c>
      <c r="O610" s="3" t="s">
        <v>2217</v>
      </c>
      <c r="P610" s="3" t="s">
        <v>72</v>
      </c>
      <c r="Q610" s="3" t="s">
        <v>20</v>
      </c>
      <c r="R610" s="3" t="s">
        <v>4</v>
      </c>
      <c r="S610" s="3" t="s">
        <v>3</v>
      </c>
      <c r="T610" s="3" t="s">
        <v>29</v>
      </c>
      <c r="U610" s="3" t="s">
        <v>1</v>
      </c>
      <c r="V610" s="3" t="s">
        <v>0</v>
      </c>
      <c r="W610" s="2">
        <v>34</v>
      </c>
    </row>
    <row r="611" spans="1:24" hidden="1" x14ac:dyDescent="0.25">
      <c r="A611" s="8">
        <v>11521</v>
      </c>
      <c r="B611" s="8" t="s">
        <v>2875</v>
      </c>
      <c r="C611" s="7" t="s">
        <v>2874</v>
      </c>
      <c r="D611" s="6" t="s">
        <v>15</v>
      </c>
      <c r="E611" s="5" t="s">
        <v>1763</v>
      </c>
      <c r="F611" s="4">
        <v>40707</v>
      </c>
      <c r="G611" s="4" t="s">
        <v>1</v>
      </c>
      <c r="H611" s="4" t="s">
        <v>1</v>
      </c>
      <c r="I611" s="3" t="s">
        <v>13</v>
      </c>
      <c r="J611" s="3" t="s">
        <v>12</v>
      </c>
      <c r="K611" s="3" t="s">
        <v>187</v>
      </c>
      <c r="L611" s="3" t="s">
        <v>229</v>
      </c>
      <c r="M611" s="3" t="s">
        <v>228</v>
      </c>
      <c r="N611" s="3" t="s">
        <v>2873</v>
      </c>
      <c r="O611" s="3" t="s">
        <v>258</v>
      </c>
      <c r="P611" s="3" t="s">
        <v>72</v>
      </c>
      <c r="Q611" s="3" t="s">
        <v>5</v>
      </c>
      <c r="R611" s="3" t="s">
        <v>4</v>
      </c>
      <c r="S611" s="3" t="s">
        <v>3</v>
      </c>
      <c r="T611" s="3" t="s">
        <v>2</v>
      </c>
      <c r="U611" s="3" t="s">
        <v>1</v>
      </c>
      <c r="V611" s="3" t="s">
        <v>0</v>
      </c>
      <c r="W611" s="2">
        <v>31</v>
      </c>
    </row>
    <row r="612" spans="1:24" hidden="1" x14ac:dyDescent="0.25">
      <c r="A612" s="8">
        <v>9183</v>
      </c>
      <c r="B612" s="8" t="s">
        <v>2872</v>
      </c>
      <c r="C612" s="7" t="s">
        <v>2871</v>
      </c>
      <c r="D612" s="6" t="s">
        <v>15</v>
      </c>
      <c r="E612" s="5" t="s">
        <v>491</v>
      </c>
      <c r="F612" s="4">
        <v>40008</v>
      </c>
      <c r="G612" s="4" t="s">
        <v>1</v>
      </c>
      <c r="H612" s="4" t="s">
        <v>1</v>
      </c>
      <c r="I612" s="3" t="s">
        <v>145</v>
      </c>
      <c r="J612" s="3" t="s">
        <v>34</v>
      </c>
      <c r="K612" s="3" t="s">
        <v>33</v>
      </c>
      <c r="L612" s="3" t="s">
        <v>33</v>
      </c>
      <c r="M612" s="3" t="s">
        <v>144</v>
      </c>
      <c r="N612" s="3" t="s">
        <v>143</v>
      </c>
      <c r="O612" s="3" t="s">
        <v>142</v>
      </c>
      <c r="P612" s="3" t="s">
        <v>6</v>
      </c>
      <c r="Q612" s="3" t="s">
        <v>47</v>
      </c>
      <c r="R612" s="3" t="s">
        <v>4</v>
      </c>
      <c r="S612" s="3" t="s">
        <v>3</v>
      </c>
      <c r="T612" s="3" t="s">
        <v>2</v>
      </c>
      <c r="U612" s="3" t="s">
        <v>1</v>
      </c>
      <c r="V612" s="3" t="s">
        <v>0</v>
      </c>
      <c r="W612" s="2">
        <v>34</v>
      </c>
    </row>
    <row r="613" spans="1:24" hidden="1" x14ac:dyDescent="0.25">
      <c r="A613" s="8">
        <v>9184</v>
      </c>
      <c r="B613" s="8" t="s">
        <v>2870</v>
      </c>
      <c r="C613" s="7" t="s">
        <v>2869</v>
      </c>
      <c r="D613" s="6" t="s">
        <v>15</v>
      </c>
      <c r="E613" s="5" t="s">
        <v>491</v>
      </c>
      <c r="F613" s="4">
        <v>40008</v>
      </c>
      <c r="G613" s="4" t="s">
        <v>1</v>
      </c>
      <c r="H613" s="4" t="s">
        <v>1</v>
      </c>
      <c r="I613" s="3" t="s">
        <v>13</v>
      </c>
      <c r="J613" s="3" t="s">
        <v>12</v>
      </c>
      <c r="K613" s="3" t="s">
        <v>187</v>
      </c>
      <c r="L613" s="3" t="s">
        <v>229</v>
      </c>
      <c r="M613" s="3" t="s">
        <v>228</v>
      </c>
      <c r="N613" s="3" t="s">
        <v>2097</v>
      </c>
      <c r="O613" s="3" t="s">
        <v>67</v>
      </c>
      <c r="P613" s="3" t="s">
        <v>6</v>
      </c>
      <c r="Q613" s="3" t="s">
        <v>5</v>
      </c>
      <c r="R613" s="3" t="s">
        <v>4</v>
      </c>
      <c r="S613" s="3" t="s">
        <v>3</v>
      </c>
      <c r="T613" s="3" t="s">
        <v>2</v>
      </c>
      <c r="U613" s="3" t="s">
        <v>1</v>
      </c>
      <c r="V613" s="3" t="s">
        <v>0</v>
      </c>
      <c r="W613" s="2">
        <v>34</v>
      </c>
    </row>
    <row r="614" spans="1:24" hidden="1" x14ac:dyDescent="0.25">
      <c r="A614" s="8">
        <v>9191</v>
      </c>
      <c r="B614" s="8" t="s">
        <v>2868</v>
      </c>
      <c r="C614" s="7" t="s">
        <v>2867</v>
      </c>
      <c r="D614" s="6" t="s">
        <v>15</v>
      </c>
      <c r="E614" s="5" t="s">
        <v>491</v>
      </c>
      <c r="F614" s="4">
        <v>40008</v>
      </c>
      <c r="G614" s="4" t="s">
        <v>1</v>
      </c>
      <c r="H614" s="4" t="s">
        <v>1</v>
      </c>
      <c r="I614" s="5" t="s">
        <v>50</v>
      </c>
      <c r="J614" s="5" t="s">
        <v>370</v>
      </c>
      <c r="K614" s="5" t="s">
        <v>33</v>
      </c>
      <c r="L614" s="5" t="s">
        <v>33</v>
      </c>
      <c r="M614" s="5" t="s">
        <v>370</v>
      </c>
      <c r="N614" s="18" t="s">
        <v>2866</v>
      </c>
      <c r="O614" s="5" t="s">
        <v>368</v>
      </c>
      <c r="P614" s="5" t="s">
        <v>30</v>
      </c>
      <c r="Q614" s="5" t="s">
        <v>47</v>
      </c>
      <c r="R614" s="3" t="s">
        <v>4</v>
      </c>
      <c r="S614" s="3" t="s">
        <v>3</v>
      </c>
      <c r="T614" s="3" t="s">
        <v>38</v>
      </c>
      <c r="U614" s="3" t="s">
        <v>1</v>
      </c>
      <c r="V614" s="3" t="s">
        <v>0</v>
      </c>
      <c r="W614" s="2">
        <v>36</v>
      </c>
      <c r="X614" s="20"/>
    </row>
    <row r="615" spans="1:24" hidden="1" x14ac:dyDescent="0.25">
      <c r="A615" s="8">
        <v>11567</v>
      </c>
      <c r="B615" s="8" t="s">
        <v>2865</v>
      </c>
      <c r="C615" s="19" t="s">
        <v>2864</v>
      </c>
      <c r="D615" s="6" t="s">
        <v>15</v>
      </c>
      <c r="E615" s="18" t="s">
        <v>1763</v>
      </c>
      <c r="F615" s="4">
        <v>40707</v>
      </c>
      <c r="G615" s="4" t="s">
        <v>1</v>
      </c>
      <c r="H615" s="4" t="s">
        <v>1</v>
      </c>
      <c r="I615" s="3" t="s">
        <v>13</v>
      </c>
      <c r="J615" s="3" t="s">
        <v>12</v>
      </c>
      <c r="K615" s="3" t="s">
        <v>187</v>
      </c>
      <c r="L615" s="3" t="s">
        <v>229</v>
      </c>
      <c r="M615" s="3" t="s">
        <v>228</v>
      </c>
      <c r="N615" s="3" t="s">
        <v>22</v>
      </c>
      <c r="O615" s="3" t="s">
        <v>21</v>
      </c>
      <c r="P615" s="3" t="s">
        <v>72</v>
      </c>
      <c r="Q615" s="3" t="s">
        <v>20</v>
      </c>
      <c r="R615" s="3" t="s">
        <v>4</v>
      </c>
      <c r="S615" s="3" t="s">
        <v>3</v>
      </c>
      <c r="T615" s="3" t="s">
        <v>19</v>
      </c>
      <c r="U615" s="3" t="s">
        <v>1</v>
      </c>
      <c r="V615" s="3" t="s">
        <v>0</v>
      </c>
      <c r="W615" s="2">
        <v>32</v>
      </c>
    </row>
    <row r="616" spans="1:24" hidden="1" x14ac:dyDescent="0.25">
      <c r="A616" s="8">
        <v>11574</v>
      </c>
      <c r="B616" s="8" t="s">
        <v>2863</v>
      </c>
      <c r="C616" s="7" t="s">
        <v>2862</v>
      </c>
      <c r="D616" s="6" t="s">
        <v>15</v>
      </c>
      <c r="E616" s="5" t="s">
        <v>1763</v>
      </c>
      <c r="F616" s="4">
        <v>40707</v>
      </c>
      <c r="G616" s="4" t="s">
        <v>1</v>
      </c>
      <c r="H616" s="4" t="s">
        <v>1</v>
      </c>
      <c r="I616" s="3" t="s">
        <v>13</v>
      </c>
      <c r="J616" s="3" t="s">
        <v>12</v>
      </c>
      <c r="K616" s="3" t="s">
        <v>187</v>
      </c>
      <c r="L616" s="3" t="s">
        <v>229</v>
      </c>
      <c r="M616" s="3" t="s">
        <v>228</v>
      </c>
      <c r="N616" s="3" t="s">
        <v>272</v>
      </c>
      <c r="O616" s="3" t="s">
        <v>59</v>
      </c>
      <c r="P616" s="3" t="s">
        <v>72</v>
      </c>
      <c r="Q616" s="3" t="s">
        <v>5</v>
      </c>
      <c r="R616" s="3" t="s">
        <v>4</v>
      </c>
      <c r="S616" s="3" t="s">
        <v>3</v>
      </c>
      <c r="T616" s="3" t="s">
        <v>2</v>
      </c>
      <c r="U616" s="3" t="s">
        <v>1</v>
      </c>
      <c r="V616" s="3" t="s">
        <v>0</v>
      </c>
      <c r="W616" s="2">
        <v>31</v>
      </c>
    </row>
    <row r="617" spans="1:24" s="9" customFormat="1" hidden="1" x14ac:dyDescent="0.25">
      <c r="A617" s="17">
        <v>9230</v>
      </c>
      <c r="B617" s="17" t="s">
        <v>2861</v>
      </c>
      <c r="C617" s="16" t="s">
        <v>2860</v>
      </c>
      <c r="D617" s="15" t="s">
        <v>15</v>
      </c>
      <c r="E617" s="14" t="s">
        <v>491</v>
      </c>
      <c r="F617" s="13">
        <v>40008</v>
      </c>
      <c r="G617" s="13" t="s">
        <v>1</v>
      </c>
      <c r="H617" s="13" t="s">
        <v>1</v>
      </c>
      <c r="I617" s="12" t="s">
        <v>145</v>
      </c>
      <c r="J617" s="12" t="s">
        <v>12</v>
      </c>
      <c r="K617" s="12" t="s">
        <v>63</v>
      </c>
      <c r="L617" s="12" t="s">
        <v>174</v>
      </c>
      <c r="M617" s="12" t="s">
        <v>80</v>
      </c>
      <c r="N617" s="12" t="s">
        <v>269</v>
      </c>
      <c r="O617" s="12" t="s">
        <v>29</v>
      </c>
      <c r="P617" s="12" t="s">
        <v>72</v>
      </c>
      <c r="Q617" s="12" t="s">
        <v>20</v>
      </c>
      <c r="R617" s="12" t="s">
        <v>4</v>
      </c>
      <c r="S617" s="12" t="s">
        <v>3</v>
      </c>
      <c r="T617" s="12" t="s">
        <v>29</v>
      </c>
      <c r="U617" s="12" t="s">
        <v>1</v>
      </c>
      <c r="V617" s="12" t="s">
        <v>0</v>
      </c>
      <c r="W617" s="11">
        <v>34</v>
      </c>
      <c r="X617" s="10"/>
    </row>
    <row r="618" spans="1:24" hidden="1" x14ac:dyDescent="0.25">
      <c r="A618" s="8">
        <v>9237</v>
      </c>
      <c r="B618" s="8" t="s">
        <v>2859</v>
      </c>
      <c r="C618" s="7" t="s">
        <v>2858</v>
      </c>
      <c r="D618" s="6" t="s">
        <v>15</v>
      </c>
      <c r="E618" s="8" t="s">
        <v>491</v>
      </c>
      <c r="F618" s="4">
        <v>40008</v>
      </c>
      <c r="G618" s="4" t="s">
        <v>1</v>
      </c>
      <c r="H618" s="4" t="s">
        <v>1</v>
      </c>
      <c r="I618" s="3" t="s">
        <v>13</v>
      </c>
      <c r="J618" s="3" t="s">
        <v>12</v>
      </c>
      <c r="K618" s="3" t="s">
        <v>187</v>
      </c>
      <c r="L618" s="3" t="s">
        <v>229</v>
      </c>
      <c r="M618" s="3" t="s">
        <v>228</v>
      </c>
      <c r="N618" s="3" t="s">
        <v>2857</v>
      </c>
      <c r="O618" s="3" t="s">
        <v>7</v>
      </c>
      <c r="P618" s="3" t="s">
        <v>6</v>
      </c>
      <c r="Q618" s="3" t="s">
        <v>5</v>
      </c>
      <c r="R618" s="3" t="s">
        <v>4</v>
      </c>
      <c r="S618" s="3" t="s">
        <v>3</v>
      </c>
      <c r="T618" s="3" t="s">
        <v>2</v>
      </c>
      <c r="U618" s="3" t="s">
        <v>1</v>
      </c>
      <c r="V618" s="3" t="s">
        <v>0</v>
      </c>
      <c r="W618" s="2">
        <v>35</v>
      </c>
    </row>
    <row r="619" spans="1:24" hidden="1" x14ac:dyDescent="0.25">
      <c r="A619" s="8">
        <v>11657</v>
      </c>
      <c r="B619" s="8" t="s">
        <v>2856</v>
      </c>
      <c r="C619" s="7" t="s">
        <v>2855</v>
      </c>
      <c r="D619" s="6" t="s">
        <v>15</v>
      </c>
      <c r="E619" s="5" t="s">
        <v>424</v>
      </c>
      <c r="F619" s="4">
        <v>40714</v>
      </c>
      <c r="G619" s="4" t="s">
        <v>1</v>
      </c>
      <c r="H619" s="4" t="s">
        <v>1</v>
      </c>
      <c r="I619" s="3" t="s">
        <v>13</v>
      </c>
      <c r="J619" s="3" t="s">
        <v>12</v>
      </c>
      <c r="K619" s="3" t="s">
        <v>187</v>
      </c>
      <c r="L619" s="3" t="s">
        <v>229</v>
      </c>
      <c r="M619" s="3" t="s">
        <v>228</v>
      </c>
      <c r="N619" s="3" t="s">
        <v>320</v>
      </c>
      <c r="O619" s="3" t="s">
        <v>59</v>
      </c>
      <c r="P619" s="3" t="s">
        <v>72</v>
      </c>
      <c r="Q619" s="3" t="s">
        <v>5</v>
      </c>
      <c r="R619" s="3" t="s">
        <v>4</v>
      </c>
      <c r="S619" s="3" t="s">
        <v>3</v>
      </c>
      <c r="T619" s="3" t="s">
        <v>2</v>
      </c>
      <c r="U619" s="3" t="s">
        <v>1</v>
      </c>
      <c r="V619" s="3" t="s">
        <v>0</v>
      </c>
      <c r="W619" s="2">
        <v>32</v>
      </c>
    </row>
    <row r="620" spans="1:24" hidden="1" x14ac:dyDescent="0.25">
      <c r="A620" s="8">
        <v>11661</v>
      </c>
      <c r="B620" s="8" t="s">
        <v>2854</v>
      </c>
      <c r="C620" s="7" t="s">
        <v>2853</v>
      </c>
      <c r="D620" s="6" t="s">
        <v>15</v>
      </c>
      <c r="E620" s="5" t="s">
        <v>424</v>
      </c>
      <c r="F620" s="4">
        <v>40714</v>
      </c>
      <c r="G620" s="4" t="s">
        <v>1</v>
      </c>
      <c r="H620" s="4" t="s">
        <v>1</v>
      </c>
      <c r="I620" s="3" t="s">
        <v>13</v>
      </c>
      <c r="J620" s="3" t="s">
        <v>12</v>
      </c>
      <c r="K620" s="3" t="s">
        <v>187</v>
      </c>
      <c r="L620" s="3" t="s">
        <v>229</v>
      </c>
      <c r="M620" s="3" t="s">
        <v>228</v>
      </c>
      <c r="N620" s="3" t="s">
        <v>2097</v>
      </c>
      <c r="O620" s="3" t="s">
        <v>67</v>
      </c>
      <c r="P620" s="3" t="s">
        <v>72</v>
      </c>
      <c r="Q620" s="3" t="s">
        <v>5</v>
      </c>
      <c r="R620" s="3" t="s">
        <v>4</v>
      </c>
      <c r="S620" s="3" t="s">
        <v>3</v>
      </c>
      <c r="T620" s="3" t="s">
        <v>2</v>
      </c>
      <c r="U620" s="3" t="s">
        <v>1</v>
      </c>
      <c r="V620" s="3" t="s">
        <v>0</v>
      </c>
      <c r="W620" s="2">
        <v>32</v>
      </c>
    </row>
    <row r="621" spans="1:24" hidden="1" x14ac:dyDescent="0.25">
      <c r="A621" s="8">
        <v>9263</v>
      </c>
      <c r="B621" s="8" t="s">
        <v>2852</v>
      </c>
      <c r="C621" s="25" t="s">
        <v>2851</v>
      </c>
      <c r="D621" s="6" t="s">
        <v>15</v>
      </c>
      <c r="E621" s="5" t="s">
        <v>491</v>
      </c>
      <c r="F621" s="4">
        <v>40148</v>
      </c>
      <c r="G621" s="4" t="s">
        <v>1</v>
      </c>
      <c r="H621" s="4" t="s">
        <v>1</v>
      </c>
      <c r="I621" s="3" t="s">
        <v>13</v>
      </c>
      <c r="J621" s="3" t="s">
        <v>12</v>
      </c>
      <c r="K621" s="3" t="s">
        <v>283</v>
      </c>
      <c r="L621" s="3" t="s">
        <v>282</v>
      </c>
      <c r="M621" s="3" t="s">
        <v>281</v>
      </c>
      <c r="N621" s="3" t="s">
        <v>2386</v>
      </c>
      <c r="O621" s="3" t="s">
        <v>100</v>
      </c>
      <c r="P621" s="3" t="s">
        <v>6</v>
      </c>
      <c r="Q621" s="3" t="s">
        <v>20</v>
      </c>
      <c r="R621" s="3" t="s">
        <v>4</v>
      </c>
      <c r="S621" s="3" t="s">
        <v>3</v>
      </c>
      <c r="T621" s="3" t="s">
        <v>2</v>
      </c>
      <c r="U621" s="3" t="s">
        <v>1</v>
      </c>
      <c r="V621" s="3" t="s">
        <v>0</v>
      </c>
      <c r="W621" s="2">
        <v>35</v>
      </c>
    </row>
    <row r="622" spans="1:24" hidden="1" x14ac:dyDescent="0.25">
      <c r="A622" s="8">
        <v>9267</v>
      </c>
      <c r="B622" s="8" t="s">
        <v>2850</v>
      </c>
      <c r="C622" s="7" t="s">
        <v>2849</v>
      </c>
      <c r="D622" s="6" t="s">
        <v>15</v>
      </c>
      <c r="E622" s="5" t="s">
        <v>491</v>
      </c>
      <c r="F622" s="4">
        <v>40148</v>
      </c>
      <c r="G622" s="4" t="s">
        <v>1</v>
      </c>
      <c r="H622" s="4" t="s">
        <v>1</v>
      </c>
      <c r="I622" s="3" t="s">
        <v>13</v>
      </c>
      <c r="J622" s="3" t="s">
        <v>12</v>
      </c>
      <c r="K622" s="3" t="s">
        <v>283</v>
      </c>
      <c r="L622" s="3" t="s">
        <v>282</v>
      </c>
      <c r="M622" s="3" t="s">
        <v>281</v>
      </c>
      <c r="N622" s="3" t="s">
        <v>1401</v>
      </c>
      <c r="O622" s="3" t="s">
        <v>100</v>
      </c>
      <c r="P622" s="3" t="s">
        <v>6</v>
      </c>
      <c r="Q622" s="3" t="s">
        <v>20</v>
      </c>
      <c r="R622" s="3" t="s">
        <v>4</v>
      </c>
      <c r="S622" s="3" t="s">
        <v>3</v>
      </c>
      <c r="T622" s="3" t="s">
        <v>2</v>
      </c>
      <c r="U622" s="3" t="s">
        <v>1</v>
      </c>
      <c r="V622" s="3" t="s">
        <v>0</v>
      </c>
      <c r="W622" s="2">
        <v>36</v>
      </c>
    </row>
    <row r="623" spans="1:24" hidden="1" x14ac:dyDescent="0.25">
      <c r="A623" s="8">
        <v>9275</v>
      </c>
      <c r="B623" s="8" t="s">
        <v>2848</v>
      </c>
      <c r="C623" s="7" t="s">
        <v>2847</v>
      </c>
      <c r="D623" s="6" t="s">
        <v>15</v>
      </c>
      <c r="E623" s="5" t="s">
        <v>491</v>
      </c>
      <c r="F623" s="4">
        <v>40148</v>
      </c>
      <c r="G623" s="4" t="s">
        <v>1</v>
      </c>
      <c r="H623" s="4" t="s">
        <v>1</v>
      </c>
      <c r="I623" s="3" t="s">
        <v>384</v>
      </c>
      <c r="J623" s="3" t="s">
        <v>2360</v>
      </c>
      <c r="K623" s="3" t="s">
        <v>33</v>
      </c>
      <c r="L623" s="3" t="s">
        <v>33</v>
      </c>
      <c r="M623" s="3" t="s">
        <v>2360</v>
      </c>
      <c r="N623" s="3" t="s">
        <v>348</v>
      </c>
      <c r="O623" s="3" t="s">
        <v>368</v>
      </c>
      <c r="P623" s="3" t="s">
        <v>30</v>
      </c>
      <c r="Q623" s="3" t="s">
        <v>47</v>
      </c>
      <c r="R623" s="3" t="s">
        <v>4</v>
      </c>
      <c r="S623" s="3" t="s">
        <v>3</v>
      </c>
      <c r="T623" s="3" t="s">
        <v>38</v>
      </c>
      <c r="U623" s="3" t="s">
        <v>1</v>
      </c>
      <c r="V623" s="3" t="s">
        <v>0</v>
      </c>
      <c r="W623" s="2">
        <v>37</v>
      </c>
    </row>
    <row r="624" spans="1:24" hidden="1" x14ac:dyDescent="0.25">
      <c r="A624" s="8">
        <v>9305</v>
      </c>
      <c r="B624" s="8" t="s">
        <v>2846</v>
      </c>
      <c r="C624" s="7" t="s">
        <v>2845</v>
      </c>
      <c r="D624" s="6" t="s">
        <v>15</v>
      </c>
      <c r="E624" s="5" t="s">
        <v>491</v>
      </c>
      <c r="F624" s="4">
        <v>40148</v>
      </c>
      <c r="G624" s="4" t="s">
        <v>1</v>
      </c>
      <c r="H624" s="4" t="s">
        <v>1</v>
      </c>
      <c r="I624" s="3" t="s">
        <v>13</v>
      </c>
      <c r="J624" s="3" t="s">
        <v>133</v>
      </c>
      <c r="K624" s="3" t="s">
        <v>879</v>
      </c>
      <c r="L624" s="3" t="s">
        <v>879</v>
      </c>
      <c r="M624" s="3" t="s">
        <v>878</v>
      </c>
      <c r="N624" s="3" t="s">
        <v>2844</v>
      </c>
      <c r="O624" s="3" t="s">
        <v>128</v>
      </c>
      <c r="P624" s="3" t="s">
        <v>6</v>
      </c>
      <c r="Q624" s="3" t="s">
        <v>5</v>
      </c>
      <c r="R624" s="3" t="s">
        <v>4</v>
      </c>
      <c r="S624" s="3" t="s">
        <v>3</v>
      </c>
      <c r="T624" s="3" t="s">
        <v>2</v>
      </c>
      <c r="U624" s="3" t="s">
        <v>1</v>
      </c>
      <c r="V624" s="3" t="s">
        <v>0</v>
      </c>
      <c r="W624" s="2">
        <v>34</v>
      </c>
    </row>
    <row r="625" spans="1:23" hidden="1" x14ac:dyDescent="0.25">
      <c r="A625" s="8">
        <v>9310</v>
      </c>
      <c r="B625" s="8" t="s">
        <v>2843</v>
      </c>
      <c r="C625" s="7" t="s">
        <v>2842</v>
      </c>
      <c r="D625" s="6" t="s">
        <v>15</v>
      </c>
      <c r="E625" s="5" t="s">
        <v>491</v>
      </c>
      <c r="F625" s="4">
        <v>40148</v>
      </c>
      <c r="G625" s="4" t="s">
        <v>1</v>
      </c>
      <c r="H625" s="4" t="s">
        <v>1</v>
      </c>
      <c r="I625" s="3" t="s">
        <v>384</v>
      </c>
      <c r="J625" s="3" t="s">
        <v>1709</v>
      </c>
      <c r="K625" s="3" t="s">
        <v>33</v>
      </c>
      <c r="L625" s="3" t="s">
        <v>33</v>
      </c>
      <c r="M625" s="3" t="s">
        <v>1709</v>
      </c>
      <c r="N625" s="3" t="s">
        <v>2417</v>
      </c>
      <c r="O625" s="3" t="s">
        <v>387</v>
      </c>
      <c r="P625" s="3" t="s">
        <v>30</v>
      </c>
      <c r="Q625" s="3" t="s">
        <v>47</v>
      </c>
      <c r="R625" s="3" t="s">
        <v>4</v>
      </c>
      <c r="S625" s="3" t="s">
        <v>3</v>
      </c>
      <c r="T625" s="3" t="s">
        <v>29</v>
      </c>
      <c r="U625" s="3" t="s">
        <v>1</v>
      </c>
      <c r="V625" s="3" t="s">
        <v>0</v>
      </c>
      <c r="W625" s="2">
        <v>34</v>
      </c>
    </row>
    <row r="626" spans="1:23" hidden="1" x14ac:dyDescent="0.25">
      <c r="A626" s="8">
        <v>9312</v>
      </c>
      <c r="B626" s="8" t="s">
        <v>2841</v>
      </c>
      <c r="C626" s="7" t="s">
        <v>2840</v>
      </c>
      <c r="D626" s="6" t="s">
        <v>15</v>
      </c>
      <c r="E626" s="5" t="s">
        <v>491</v>
      </c>
      <c r="F626" s="4">
        <v>40148</v>
      </c>
      <c r="G626" s="4" t="s">
        <v>1</v>
      </c>
      <c r="H626" s="4" t="s">
        <v>1</v>
      </c>
      <c r="I626" s="5" t="s">
        <v>93</v>
      </c>
      <c r="J626" s="5" t="s">
        <v>89</v>
      </c>
      <c r="K626" s="5" t="s">
        <v>33</v>
      </c>
      <c r="L626" s="5" t="s">
        <v>33</v>
      </c>
      <c r="M626" s="5" t="s">
        <v>1212</v>
      </c>
      <c r="N626" s="5" t="s">
        <v>2839</v>
      </c>
      <c r="O626" s="5" t="s">
        <v>464</v>
      </c>
      <c r="P626" s="5" t="s">
        <v>30</v>
      </c>
      <c r="Q626" s="5" t="s">
        <v>47</v>
      </c>
      <c r="R626" s="3" t="s">
        <v>4</v>
      </c>
      <c r="S626" s="3" t="s">
        <v>3</v>
      </c>
      <c r="T626" s="3" t="s">
        <v>121</v>
      </c>
      <c r="U626" s="3" t="s">
        <v>1</v>
      </c>
      <c r="V626" s="3" t="s">
        <v>0</v>
      </c>
      <c r="W626" s="2">
        <v>33</v>
      </c>
    </row>
    <row r="627" spans="1:23" hidden="1" x14ac:dyDescent="0.25">
      <c r="A627" s="8">
        <v>12404</v>
      </c>
      <c r="B627" s="8" t="s">
        <v>2838</v>
      </c>
      <c r="C627" s="7" t="s">
        <v>2837</v>
      </c>
      <c r="D627" s="6" t="s">
        <v>15</v>
      </c>
      <c r="E627" s="5" t="s">
        <v>1506</v>
      </c>
      <c r="F627" s="4">
        <v>40809</v>
      </c>
      <c r="G627" s="4" t="s">
        <v>1</v>
      </c>
      <c r="H627" s="4" t="s">
        <v>1</v>
      </c>
      <c r="I627" s="3" t="s">
        <v>13</v>
      </c>
      <c r="J627" s="3" t="s">
        <v>12</v>
      </c>
      <c r="K627" s="3" t="s">
        <v>187</v>
      </c>
      <c r="L627" s="3" t="s">
        <v>229</v>
      </c>
      <c r="M627" s="3" t="s">
        <v>228</v>
      </c>
      <c r="N627" s="3" t="s">
        <v>1791</v>
      </c>
      <c r="O627" s="3" t="s">
        <v>7</v>
      </c>
      <c r="P627" s="3" t="s">
        <v>30</v>
      </c>
      <c r="Q627" s="3" t="s">
        <v>5</v>
      </c>
      <c r="R627" s="3" t="s">
        <v>4</v>
      </c>
      <c r="S627" s="3" t="s">
        <v>3</v>
      </c>
      <c r="T627" s="3" t="s">
        <v>2</v>
      </c>
      <c r="U627" s="3" t="s">
        <v>1</v>
      </c>
      <c r="V627" s="3" t="s">
        <v>0</v>
      </c>
      <c r="W627" s="2">
        <v>34</v>
      </c>
    </row>
    <row r="628" spans="1:23" hidden="1" x14ac:dyDescent="0.25">
      <c r="A628" s="8">
        <v>13158</v>
      </c>
      <c r="B628" s="8" t="s">
        <v>2836</v>
      </c>
      <c r="C628" s="7" t="s">
        <v>2835</v>
      </c>
      <c r="D628" s="6" t="s">
        <v>15</v>
      </c>
      <c r="E628" s="5" t="s">
        <v>2834</v>
      </c>
      <c r="F628" s="4">
        <v>40896</v>
      </c>
      <c r="G628" s="4" t="s">
        <v>1</v>
      </c>
      <c r="H628" s="4" t="s">
        <v>1</v>
      </c>
      <c r="I628" s="3" t="s">
        <v>13</v>
      </c>
      <c r="J628" s="3" t="s">
        <v>12</v>
      </c>
      <c r="K628" s="3" t="s">
        <v>187</v>
      </c>
      <c r="L628" s="3" t="s">
        <v>229</v>
      </c>
      <c r="M628" s="3" t="s">
        <v>228</v>
      </c>
      <c r="N628" s="3" t="s">
        <v>2833</v>
      </c>
      <c r="O628" s="3" t="s">
        <v>258</v>
      </c>
      <c r="P628" s="3" t="s">
        <v>72</v>
      </c>
      <c r="Q628" s="3" t="s">
        <v>5</v>
      </c>
      <c r="R628" s="3" t="s">
        <v>4</v>
      </c>
      <c r="S628" s="3" t="s">
        <v>3</v>
      </c>
      <c r="T628" s="3" t="s">
        <v>2</v>
      </c>
      <c r="U628" s="3" t="s">
        <v>1</v>
      </c>
      <c r="V628" s="3" t="s">
        <v>0</v>
      </c>
      <c r="W628" s="2">
        <v>33</v>
      </c>
    </row>
    <row r="629" spans="1:23" hidden="1" x14ac:dyDescent="0.25">
      <c r="A629" s="8">
        <v>19158</v>
      </c>
      <c r="B629" s="8" t="s">
        <v>2832</v>
      </c>
      <c r="C629" s="7" t="s">
        <v>2831</v>
      </c>
      <c r="D629" s="6" t="s">
        <v>15</v>
      </c>
      <c r="E629" s="5" t="s">
        <v>871</v>
      </c>
      <c r="F629" s="4">
        <v>42254</v>
      </c>
      <c r="G629" s="4" t="s">
        <v>1</v>
      </c>
      <c r="H629" s="4" t="s">
        <v>1</v>
      </c>
      <c r="I629" s="3" t="s">
        <v>13</v>
      </c>
      <c r="J629" s="3" t="s">
        <v>12</v>
      </c>
      <c r="K629" s="3" t="s">
        <v>187</v>
      </c>
      <c r="L629" s="3" t="s">
        <v>229</v>
      </c>
      <c r="M629" s="3" t="s">
        <v>228</v>
      </c>
      <c r="N629" s="3" t="s">
        <v>2830</v>
      </c>
      <c r="O629" s="3" t="s">
        <v>258</v>
      </c>
      <c r="P629" s="3" t="s">
        <v>72</v>
      </c>
      <c r="Q629" s="3" t="s">
        <v>5</v>
      </c>
      <c r="R629" s="3" t="s">
        <v>4</v>
      </c>
      <c r="S629" s="3" t="s">
        <v>3</v>
      </c>
      <c r="T629" s="3" t="s">
        <v>2</v>
      </c>
      <c r="U629" s="3" t="s">
        <v>1</v>
      </c>
      <c r="V629" s="3" t="s">
        <v>0</v>
      </c>
      <c r="W629" s="2">
        <v>28</v>
      </c>
    </row>
    <row r="630" spans="1:23" hidden="1" x14ac:dyDescent="0.25">
      <c r="A630" s="8">
        <v>9363</v>
      </c>
      <c r="B630" s="8" t="s">
        <v>2829</v>
      </c>
      <c r="C630" s="7" t="s">
        <v>2828</v>
      </c>
      <c r="D630" s="6" t="s">
        <v>15</v>
      </c>
      <c r="E630" s="5" t="s">
        <v>491</v>
      </c>
      <c r="F630" s="4">
        <v>40148</v>
      </c>
      <c r="G630" s="4" t="s">
        <v>1</v>
      </c>
      <c r="H630" s="4" t="s">
        <v>1</v>
      </c>
      <c r="I630" s="5" t="s">
        <v>384</v>
      </c>
      <c r="J630" s="5" t="s">
        <v>2827</v>
      </c>
      <c r="K630" s="18" t="s">
        <v>33</v>
      </c>
      <c r="L630" s="18" t="s">
        <v>33</v>
      </c>
      <c r="M630" s="5" t="s">
        <v>2827</v>
      </c>
      <c r="N630" s="5" t="s">
        <v>2826</v>
      </c>
      <c r="O630" s="5" t="s">
        <v>2825</v>
      </c>
      <c r="P630" s="5" t="s">
        <v>30</v>
      </c>
      <c r="Q630" s="5" t="s">
        <v>47</v>
      </c>
      <c r="R630" s="3" t="s">
        <v>4</v>
      </c>
      <c r="S630" s="3" t="s">
        <v>3</v>
      </c>
      <c r="T630" s="3" t="s">
        <v>2</v>
      </c>
      <c r="U630" s="3" t="s">
        <v>1</v>
      </c>
      <c r="V630" s="3" t="s">
        <v>0</v>
      </c>
      <c r="W630" s="2">
        <v>33</v>
      </c>
    </row>
    <row r="631" spans="1:23" s="9" customFormat="1" hidden="1" x14ac:dyDescent="0.25">
      <c r="A631" s="17">
        <v>19796</v>
      </c>
      <c r="B631" s="17" t="s">
        <v>2824</v>
      </c>
      <c r="C631" s="16" t="s">
        <v>2823</v>
      </c>
      <c r="D631" s="15" t="s">
        <v>15</v>
      </c>
      <c r="E631" s="14" t="s">
        <v>774</v>
      </c>
      <c r="F631" s="13">
        <v>42499</v>
      </c>
      <c r="G631" s="13" t="s">
        <v>1</v>
      </c>
      <c r="H631" s="13" t="s">
        <v>1</v>
      </c>
      <c r="I631" s="12" t="s">
        <v>13</v>
      </c>
      <c r="J631" s="12" t="s">
        <v>12</v>
      </c>
      <c r="K631" s="12" t="s">
        <v>187</v>
      </c>
      <c r="L631" s="12" t="s">
        <v>229</v>
      </c>
      <c r="M631" s="12" t="s">
        <v>228</v>
      </c>
      <c r="N631" s="12" t="s">
        <v>22</v>
      </c>
      <c r="O631" s="12" t="s">
        <v>21</v>
      </c>
      <c r="P631" s="12" t="s">
        <v>72</v>
      </c>
      <c r="Q631" s="12" t="s">
        <v>20</v>
      </c>
      <c r="R631" s="12" t="s">
        <v>4</v>
      </c>
      <c r="S631" s="12" t="s">
        <v>3</v>
      </c>
      <c r="T631" s="12" t="s">
        <v>19</v>
      </c>
      <c r="U631" s="12" t="s">
        <v>1</v>
      </c>
      <c r="V631" s="12" t="s">
        <v>18</v>
      </c>
      <c r="W631" s="11">
        <v>27</v>
      </c>
    </row>
    <row r="632" spans="1:23" hidden="1" x14ac:dyDescent="0.25">
      <c r="A632" s="8">
        <v>9427</v>
      </c>
      <c r="B632" s="8" t="s">
        <v>2822</v>
      </c>
      <c r="C632" s="7" t="s">
        <v>2821</v>
      </c>
      <c r="D632" s="6" t="s">
        <v>15</v>
      </c>
      <c r="E632" s="5" t="s">
        <v>491</v>
      </c>
      <c r="F632" s="4">
        <v>40148</v>
      </c>
      <c r="G632" s="4" t="s">
        <v>1</v>
      </c>
      <c r="H632" s="4" t="s">
        <v>1</v>
      </c>
      <c r="I632" s="3" t="s">
        <v>145</v>
      </c>
      <c r="J632" s="3" t="s">
        <v>12</v>
      </c>
      <c r="K632" s="3" t="s">
        <v>25</v>
      </c>
      <c r="L632" s="3" t="s">
        <v>24</v>
      </c>
      <c r="M632" s="3" t="s">
        <v>23</v>
      </c>
      <c r="N632" s="3" t="s">
        <v>1196</v>
      </c>
      <c r="O632" s="3" t="s">
        <v>21</v>
      </c>
      <c r="P632" s="3" t="s">
        <v>6</v>
      </c>
      <c r="Q632" s="3" t="s">
        <v>20</v>
      </c>
      <c r="R632" s="3" t="s">
        <v>4</v>
      </c>
      <c r="S632" s="3" t="s">
        <v>3</v>
      </c>
      <c r="T632" s="3" t="s">
        <v>19</v>
      </c>
      <c r="U632" s="3" t="s">
        <v>1</v>
      </c>
      <c r="V632" s="3" t="s">
        <v>0</v>
      </c>
      <c r="W632" s="2">
        <v>37</v>
      </c>
    </row>
    <row r="633" spans="1:23" s="9" customFormat="1" hidden="1" x14ac:dyDescent="0.25">
      <c r="A633" s="17">
        <v>20456</v>
      </c>
      <c r="B633" s="17" t="s">
        <v>2820</v>
      </c>
      <c r="C633" s="16" t="s">
        <v>2819</v>
      </c>
      <c r="D633" s="15" t="s">
        <v>15</v>
      </c>
      <c r="E633" s="14" t="s">
        <v>717</v>
      </c>
      <c r="F633" s="13">
        <v>42634</v>
      </c>
      <c r="G633" s="13" t="s">
        <v>1</v>
      </c>
      <c r="H633" s="13" t="s">
        <v>1</v>
      </c>
      <c r="I633" s="12" t="s">
        <v>13</v>
      </c>
      <c r="J633" s="12" t="s">
        <v>12</v>
      </c>
      <c r="K633" s="12" t="s">
        <v>187</v>
      </c>
      <c r="L633" s="12" t="s">
        <v>229</v>
      </c>
      <c r="M633" s="12" t="s">
        <v>228</v>
      </c>
      <c r="N633" s="12" t="s">
        <v>755</v>
      </c>
      <c r="O633" s="12" t="s">
        <v>258</v>
      </c>
      <c r="P633" s="12" t="s">
        <v>72</v>
      </c>
      <c r="Q633" s="12" t="s">
        <v>5</v>
      </c>
      <c r="R633" s="12" t="s">
        <v>4</v>
      </c>
      <c r="S633" s="12" t="s">
        <v>3</v>
      </c>
      <c r="T633" s="12" t="s">
        <v>2</v>
      </c>
      <c r="U633" s="12" t="s">
        <v>1</v>
      </c>
      <c r="V633" s="12" t="s">
        <v>0</v>
      </c>
      <c r="W633" s="11">
        <v>26</v>
      </c>
    </row>
    <row r="634" spans="1:23" hidden="1" x14ac:dyDescent="0.25">
      <c r="A634" s="8">
        <v>9434</v>
      </c>
      <c r="B634" s="8" t="s">
        <v>2818</v>
      </c>
      <c r="C634" s="7" t="s">
        <v>2817</v>
      </c>
      <c r="D634" s="6" t="s">
        <v>15</v>
      </c>
      <c r="E634" s="5" t="s">
        <v>491</v>
      </c>
      <c r="F634" s="4">
        <v>40148</v>
      </c>
      <c r="G634" s="4" t="s">
        <v>1</v>
      </c>
      <c r="H634" s="4" t="s">
        <v>1</v>
      </c>
      <c r="I634" s="3" t="s">
        <v>13</v>
      </c>
      <c r="J634" s="3" t="s">
        <v>133</v>
      </c>
      <c r="K634" s="3" t="s">
        <v>283</v>
      </c>
      <c r="L634" s="3" t="s">
        <v>999</v>
      </c>
      <c r="M634" s="3" t="s">
        <v>998</v>
      </c>
      <c r="N634" s="3" t="s">
        <v>2816</v>
      </c>
      <c r="O634" s="3" t="s">
        <v>100</v>
      </c>
      <c r="P634" s="3" t="s">
        <v>6</v>
      </c>
      <c r="Q634" s="3" t="s">
        <v>20</v>
      </c>
      <c r="R634" s="3" t="s">
        <v>4</v>
      </c>
      <c r="S634" s="3" t="s">
        <v>3</v>
      </c>
      <c r="T634" s="3" t="s">
        <v>2</v>
      </c>
      <c r="U634" s="3" t="s">
        <v>1</v>
      </c>
      <c r="V634" s="3" t="s">
        <v>0</v>
      </c>
      <c r="W634" s="2">
        <v>34</v>
      </c>
    </row>
    <row r="635" spans="1:23" s="78" customFormat="1" hidden="1" x14ac:dyDescent="0.25">
      <c r="A635" s="73">
        <v>22966</v>
      </c>
      <c r="B635" s="73" t="s">
        <v>2815</v>
      </c>
      <c r="C635" s="102" t="s">
        <v>203</v>
      </c>
      <c r="D635" s="88" t="s">
        <v>15</v>
      </c>
      <c r="E635" s="91" t="s">
        <v>473</v>
      </c>
      <c r="F635" s="90">
        <v>43343</v>
      </c>
      <c r="G635" s="90" t="s">
        <v>1</v>
      </c>
      <c r="H635" s="90" t="s">
        <v>1</v>
      </c>
      <c r="I635" s="92" t="s">
        <v>13</v>
      </c>
      <c r="J635" s="92" t="s">
        <v>12</v>
      </c>
      <c r="K635" s="92" t="s">
        <v>187</v>
      </c>
      <c r="L635" s="92" t="s">
        <v>229</v>
      </c>
      <c r="M635" s="92" t="s">
        <v>228</v>
      </c>
      <c r="N635" s="92" t="s">
        <v>2814</v>
      </c>
      <c r="O635" s="92" t="s">
        <v>258</v>
      </c>
      <c r="P635" s="92" t="s">
        <v>72</v>
      </c>
      <c r="Q635" s="92" t="s">
        <v>5</v>
      </c>
      <c r="R635" s="92" t="s">
        <v>4</v>
      </c>
      <c r="S635" s="92" t="s">
        <v>3</v>
      </c>
      <c r="T635" s="92" t="s">
        <v>2</v>
      </c>
      <c r="U635" s="92" t="s">
        <v>1</v>
      </c>
      <c r="V635" s="92" t="s">
        <v>0</v>
      </c>
      <c r="W635" s="93">
        <v>25</v>
      </c>
    </row>
    <row r="636" spans="1:23" hidden="1" x14ac:dyDescent="0.25">
      <c r="A636" s="8">
        <v>9443</v>
      </c>
      <c r="B636" s="8" t="s">
        <v>2813</v>
      </c>
      <c r="C636" s="7" t="s">
        <v>2812</v>
      </c>
      <c r="D636" s="6" t="s">
        <v>15</v>
      </c>
      <c r="E636" s="5" t="s">
        <v>491</v>
      </c>
      <c r="F636" s="4">
        <v>40148</v>
      </c>
      <c r="G636" s="4" t="s">
        <v>1</v>
      </c>
      <c r="H636" s="4" t="s">
        <v>1</v>
      </c>
      <c r="I636" s="3" t="s">
        <v>13</v>
      </c>
      <c r="J636" s="3" t="s">
        <v>12</v>
      </c>
      <c r="K636" s="3" t="s">
        <v>187</v>
      </c>
      <c r="L636" s="3" t="s">
        <v>229</v>
      </c>
      <c r="M636" s="3" t="s">
        <v>228</v>
      </c>
      <c r="N636" s="3" t="s">
        <v>2803</v>
      </c>
      <c r="O636" s="3" t="s">
        <v>258</v>
      </c>
      <c r="P636" s="3" t="s">
        <v>6</v>
      </c>
      <c r="Q636" s="3" t="s">
        <v>5</v>
      </c>
      <c r="R636" s="3" t="s">
        <v>4</v>
      </c>
      <c r="S636" s="3" t="s">
        <v>3</v>
      </c>
      <c r="T636" s="3" t="s">
        <v>2</v>
      </c>
      <c r="U636" s="3" t="s">
        <v>1</v>
      </c>
      <c r="V636" s="3" t="s">
        <v>0</v>
      </c>
      <c r="W636" s="2">
        <v>34</v>
      </c>
    </row>
    <row r="637" spans="1:23" s="78" customFormat="1" hidden="1" x14ac:dyDescent="0.25">
      <c r="A637" s="73" t="s">
        <v>2811</v>
      </c>
      <c r="B637" s="73" t="s">
        <v>2811</v>
      </c>
      <c r="C637" s="102" t="s">
        <v>2810</v>
      </c>
      <c r="D637" s="88" t="s">
        <v>15</v>
      </c>
      <c r="E637" s="91" t="s">
        <v>109</v>
      </c>
      <c r="F637" s="90">
        <v>40826</v>
      </c>
      <c r="G637" s="90" t="s">
        <v>1</v>
      </c>
      <c r="H637" s="90" t="s">
        <v>1</v>
      </c>
      <c r="I637" s="92" t="s">
        <v>13</v>
      </c>
      <c r="J637" s="92" t="s">
        <v>12</v>
      </c>
      <c r="K637" s="92" t="s">
        <v>187</v>
      </c>
      <c r="L637" s="92" t="s">
        <v>229</v>
      </c>
      <c r="M637" s="92" t="s">
        <v>228</v>
      </c>
      <c r="N637" s="92" t="s">
        <v>2809</v>
      </c>
      <c r="O637" s="92" t="s">
        <v>100</v>
      </c>
      <c r="P637" s="92" t="s">
        <v>30</v>
      </c>
      <c r="Q637" s="92" t="s">
        <v>20</v>
      </c>
      <c r="R637" s="92" t="s">
        <v>4</v>
      </c>
      <c r="S637" s="92" t="s">
        <v>3</v>
      </c>
      <c r="T637" s="92" t="s">
        <v>2</v>
      </c>
      <c r="U637" s="92" t="s">
        <v>1</v>
      </c>
      <c r="V637" s="92" t="s">
        <v>0</v>
      </c>
      <c r="W637" s="93">
        <v>33</v>
      </c>
    </row>
    <row r="638" spans="1:23" s="78" customFormat="1" hidden="1" x14ac:dyDescent="0.25">
      <c r="A638" s="73" t="s">
        <v>2808</v>
      </c>
      <c r="B638" s="73" t="s">
        <v>2808</v>
      </c>
      <c r="C638" s="87" t="s">
        <v>2807</v>
      </c>
      <c r="D638" s="88" t="s">
        <v>15</v>
      </c>
      <c r="E638" s="89" t="s">
        <v>263</v>
      </c>
      <c r="F638" s="90">
        <v>40868</v>
      </c>
      <c r="G638" s="90" t="s">
        <v>1</v>
      </c>
      <c r="H638" s="90" t="s">
        <v>1</v>
      </c>
      <c r="I638" s="92" t="s">
        <v>13</v>
      </c>
      <c r="J638" s="92" t="s">
        <v>12</v>
      </c>
      <c r="K638" s="92" t="s">
        <v>187</v>
      </c>
      <c r="L638" s="92" t="s">
        <v>229</v>
      </c>
      <c r="M638" s="92" t="s">
        <v>228</v>
      </c>
      <c r="N638" s="92" t="s">
        <v>2806</v>
      </c>
      <c r="O638" s="92" t="s">
        <v>59</v>
      </c>
      <c r="P638" s="92" t="s">
        <v>72</v>
      </c>
      <c r="Q638" s="92" t="s">
        <v>5</v>
      </c>
      <c r="R638" s="92" t="s">
        <v>4</v>
      </c>
      <c r="S638" s="92" t="s">
        <v>3</v>
      </c>
      <c r="T638" s="92" t="s">
        <v>2</v>
      </c>
      <c r="U638" s="92" t="s">
        <v>1</v>
      </c>
      <c r="V638" s="92" t="s">
        <v>18</v>
      </c>
      <c r="W638" s="93">
        <v>33</v>
      </c>
    </row>
    <row r="639" spans="1:23" hidden="1" x14ac:dyDescent="0.25">
      <c r="A639" s="8" t="s">
        <v>2805</v>
      </c>
      <c r="B639" s="8" t="s">
        <v>2805</v>
      </c>
      <c r="C639" s="7" t="s">
        <v>2804</v>
      </c>
      <c r="D639" s="6" t="s">
        <v>15</v>
      </c>
      <c r="E639" s="5" t="s">
        <v>162</v>
      </c>
      <c r="F639" s="4">
        <v>41015</v>
      </c>
      <c r="G639" s="4" t="s">
        <v>1</v>
      </c>
      <c r="H639" s="4" t="s">
        <v>1</v>
      </c>
      <c r="I639" s="3" t="s">
        <v>13</v>
      </c>
      <c r="J639" s="3" t="s">
        <v>12</v>
      </c>
      <c r="K639" s="3" t="s">
        <v>187</v>
      </c>
      <c r="L639" s="3" t="s">
        <v>229</v>
      </c>
      <c r="M639" s="3" t="s">
        <v>228</v>
      </c>
      <c r="N639" s="3" t="s">
        <v>2803</v>
      </c>
      <c r="O639" s="3" t="s">
        <v>258</v>
      </c>
      <c r="P639" s="3" t="s">
        <v>72</v>
      </c>
      <c r="Q639" s="3" t="s">
        <v>5</v>
      </c>
      <c r="R639" s="3" t="s">
        <v>4</v>
      </c>
      <c r="S639" s="3" t="s">
        <v>3</v>
      </c>
      <c r="T639" s="3" t="s">
        <v>2</v>
      </c>
      <c r="U639" s="3" t="s">
        <v>1</v>
      </c>
      <c r="V639" s="3" t="s">
        <v>0</v>
      </c>
      <c r="W639" s="2">
        <v>33</v>
      </c>
    </row>
    <row r="640" spans="1:23" hidden="1" x14ac:dyDescent="0.25">
      <c r="A640" s="8">
        <v>9458</v>
      </c>
      <c r="B640" s="8" t="s">
        <v>2802</v>
      </c>
      <c r="C640" s="19" t="s">
        <v>2801</v>
      </c>
      <c r="D640" s="6" t="s">
        <v>15</v>
      </c>
      <c r="E640" s="18" t="s">
        <v>491</v>
      </c>
      <c r="F640" s="4">
        <v>40148</v>
      </c>
      <c r="G640" s="4" t="s">
        <v>1</v>
      </c>
      <c r="H640" s="4" t="s">
        <v>1</v>
      </c>
      <c r="I640" s="3" t="s">
        <v>13</v>
      </c>
      <c r="J640" s="3" t="s">
        <v>12</v>
      </c>
      <c r="K640" s="3" t="s">
        <v>758</v>
      </c>
      <c r="L640" s="3" t="s">
        <v>757</v>
      </c>
      <c r="M640" s="3" t="s">
        <v>756</v>
      </c>
      <c r="N640" s="3" t="s">
        <v>1362</v>
      </c>
      <c r="O640" s="3" t="s">
        <v>39</v>
      </c>
      <c r="P640" s="3" t="s">
        <v>6</v>
      </c>
      <c r="Q640" s="3" t="s">
        <v>20</v>
      </c>
      <c r="R640" s="3" t="s">
        <v>4</v>
      </c>
      <c r="S640" s="3" t="s">
        <v>3</v>
      </c>
      <c r="T640" s="3" t="s">
        <v>1361</v>
      </c>
      <c r="U640" s="3" t="s">
        <v>1</v>
      </c>
      <c r="V640" s="5" t="s">
        <v>0</v>
      </c>
      <c r="W640" s="2">
        <v>34</v>
      </c>
    </row>
    <row r="641" spans="1:23" hidden="1" x14ac:dyDescent="0.25">
      <c r="A641" s="8">
        <v>9462</v>
      </c>
      <c r="B641" s="8" t="s">
        <v>2800</v>
      </c>
      <c r="C641" s="7" t="s">
        <v>2799</v>
      </c>
      <c r="D641" s="6" t="s">
        <v>15</v>
      </c>
      <c r="E641" s="5" t="s">
        <v>491</v>
      </c>
      <c r="F641" s="4">
        <v>40148</v>
      </c>
      <c r="G641" s="4" t="s">
        <v>1</v>
      </c>
      <c r="H641" s="4" t="s">
        <v>1</v>
      </c>
      <c r="I641" s="3" t="s">
        <v>13</v>
      </c>
      <c r="J641" s="3" t="s">
        <v>133</v>
      </c>
      <c r="K641" s="3" t="s">
        <v>262</v>
      </c>
      <c r="L641" s="3" t="s">
        <v>262</v>
      </c>
      <c r="M641" s="3" t="s">
        <v>277</v>
      </c>
      <c r="N641" s="3" t="s">
        <v>2798</v>
      </c>
      <c r="O641" s="3" t="s">
        <v>128</v>
      </c>
      <c r="P641" s="3" t="s">
        <v>6</v>
      </c>
      <c r="Q641" s="3" t="s">
        <v>5</v>
      </c>
      <c r="R641" s="3" t="s">
        <v>4</v>
      </c>
      <c r="S641" s="3" t="s">
        <v>3</v>
      </c>
      <c r="T641" s="3" t="s">
        <v>2</v>
      </c>
      <c r="U641" s="3" t="s">
        <v>1</v>
      </c>
      <c r="V641" s="3" t="s">
        <v>0</v>
      </c>
      <c r="W641" s="2">
        <v>33</v>
      </c>
    </row>
    <row r="642" spans="1:23" hidden="1" x14ac:dyDescent="0.25">
      <c r="A642" s="8" t="s">
        <v>2797</v>
      </c>
      <c r="B642" s="8" t="s">
        <v>2797</v>
      </c>
      <c r="C642" s="7" t="s">
        <v>2796</v>
      </c>
      <c r="D642" s="6" t="s">
        <v>15</v>
      </c>
      <c r="E642" s="5" t="s">
        <v>314</v>
      </c>
      <c r="F642" s="4">
        <v>41165</v>
      </c>
      <c r="G642" s="4" t="s">
        <v>1</v>
      </c>
      <c r="H642" s="4" t="s">
        <v>1</v>
      </c>
      <c r="I642" s="3" t="s">
        <v>13</v>
      </c>
      <c r="J642" s="3" t="s">
        <v>12</v>
      </c>
      <c r="K642" s="3" t="s">
        <v>187</v>
      </c>
      <c r="L642" s="3" t="s">
        <v>229</v>
      </c>
      <c r="M642" s="3" t="s">
        <v>228</v>
      </c>
      <c r="N642" s="3" t="s">
        <v>2795</v>
      </c>
      <c r="O642" s="3" t="s">
        <v>258</v>
      </c>
      <c r="P642" s="3" t="s">
        <v>72</v>
      </c>
      <c r="Q642" s="3" t="s">
        <v>5</v>
      </c>
      <c r="R642" s="3" t="s">
        <v>4</v>
      </c>
      <c r="S642" s="3" t="s">
        <v>3</v>
      </c>
      <c r="T642" s="3" t="s">
        <v>2</v>
      </c>
      <c r="U642" s="3" t="s">
        <v>1</v>
      </c>
      <c r="V642" s="3" t="s">
        <v>0</v>
      </c>
      <c r="W642" s="2">
        <v>30</v>
      </c>
    </row>
    <row r="643" spans="1:23" hidden="1" x14ac:dyDescent="0.25">
      <c r="A643" s="8">
        <v>9473</v>
      </c>
      <c r="B643" s="8" t="s">
        <v>2794</v>
      </c>
      <c r="C643" s="7" t="s">
        <v>2793</v>
      </c>
      <c r="D643" s="6" t="s">
        <v>15</v>
      </c>
      <c r="E643" s="5" t="s">
        <v>491</v>
      </c>
      <c r="F643" s="4">
        <v>40148</v>
      </c>
      <c r="G643" s="4" t="s">
        <v>1</v>
      </c>
      <c r="H643" s="4" t="s">
        <v>1</v>
      </c>
      <c r="I643" s="3" t="s">
        <v>145</v>
      </c>
      <c r="J643" s="3" t="s">
        <v>12</v>
      </c>
      <c r="K643" s="3" t="s">
        <v>63</v>
      </c>
      <c r="L643" s="3" t="s">
        <v>174</v>
      </c>
      <c r="M643" s="3" t="s">
        <v>173</v>
      </c>
      <c r="N643" s="3" t="s">
        <v>172</v>
      </c>
      <c r="O643" s="3" t="s">
        <v>171</v>
      </c>
      <c r="P643" s="3" t="s">
        <v>72</v>
      </c>
      <c r="Q643" s="3" t="s">
        <v>20</v>
      </c>
      <c r="R643" s="3" t="s">
        <v>4</v>
      </c>
      <c r="S643" s="3" t="s">
        <v>3</v>
      </c>
      <c r="T643" s="3" t="s">
        <v>2</v>
      </c>
      <c r="U643" s="3" t="s">
        <v>1</v>
      </c>
      <c r="V643" s="3" t="s">
        <v>0</v>
      </c>
      <c r="W643" s="2">
        <v>34</v>
      </c>
    </row>
    <row r="644" spans="1:23" hidden="1" x14ac:dyDescent="0.25">
      <c r="A644" s="8" t="s">
        <v>2792</v>
      </c>
      <c r="B644" s="8" t="s">
        <v>2792</v>
      </c>
      <c r="C644" s="7" t="s">
        <v>2791</v>
      </c>
      <c r="D644" s="6" t="s">
        <v>15</v>
      </c>
      <c r="E644" s="5" t="s">
        <v>2790</v>
      </c>
      <c r="F644" s="4">
        <v>42226</v>
      </c>
      <c r="G644" s="4" t="s">
        <v>1</v>
      </c>
      <c r="H644" s="4" t="s">
        <v>1</v>
      </c>
      <c r="I644" s="3" t="s">
        <v>13</v>
      </c>
      <c r="J644" s="3" t="s">
        <v>12</v>
      </c>
      <c r="K644" s="3" t="s">
        <v>187</v>
      </c>
      <c r="L644" s="3" t="s">
        <v>229</v>
      </c>
      <c r="M644" s="3" t="s">
        <v>228</v>
      </c>
      <c r="N644" s="3" t="s">
        <v>2690</v>
      </c>
      <c r="O644" s="3" t="s">
        <v>258</v>
      </c>
      <c r="P644" s="3" t="s">
        <v>72</v>
      </c>
      <c r="Q644" s="3" t="s">
        <v>5</v>
      </c>
      <c r="R644" s="3" t="s">
        <v>4</v>
      </c>
      <c r="S644" s="3" t="s">
        <v>3</v>
      </c>
      <c r="T644" s="3" t="s">
        <v>2</v>
      </c>
      <c r="U644" s="3" t="s">
        <v>1</v>
      </c>
      <c r="V644" s="3" t="s">
        <v>18</v>
      </c>
      <c r="W644" s="2">
        <v>27</v>
      </c>
    </row>
    <row r="645" spans="1:23" hidden="1" x14ac:dyDescent="0.25">
      <c r="A645" s="8">
        <v>9481</v>
      </c>
      <c r="B645" s="8" t="s">
        <v>2789</v>
      </c>
      <c r="C645" s="7" t="s">
        <v>2788</v>
      </c>
      <c r="D645" s="6" t="s">
        <v>15</v>
      </c>
      <c r="E645" s="5" t="s">
        <v>491</v>
      </c>
      <c r="F645" s="4">
        <v>40148</v>
      </c>
      <c r="G645" s="4" t="s">
        <v>1</v>
      </c>
      <c r="H645" s="4" t="s">
        <v>1</v>
      </c>
      <c r="I645" s="3" t="s">
        <v>13</v>
      </c>
      <c r="J645" s="3" t="s">
        <v>12</v>
      </c>
      <c r="K645" s="3" t="s">
        <v>63</v>
      </c>
      <c r="L645" s="3" t="s">
        <v>62</v>
      </c>
      <c r="M645" s="3" t="s">
        <v>565</v>
      </c>
      <c r="N645" s="3" t="s">
        <v>649</v>
      </c>
      <c r="O645" s="3" t="s">
        <v>100</v>
      </c>
      <c r="P645" s="3" t="s">
        <v>6</v>
      </c>
      <c r="Q645" s="3" t="s">
        <v>20</v>
      </c>
      <c r="R645" s="3" t="s">
        <v>4</v>
      </c>
      <c r="S645" s="3" t="s">
        <v>3</v>
      </c>
      <c r="T645" s="3" t="s">
        <v>2</v>
      </c>
      <c r="U645" s="3" t="s">
        <v>1</v>
      </c>
      <c r="V645" s="3" t="s">
        <v>0</v>
      </c>
      <c r="W645" s="2">
        <v>34</v>
      </c>
    </row>
    <row r="646" spans="1:23" hidden="1" x14ac:dyDescent="0.25">
      <c r="A646" s="8">
        <v>9486</v>
      </c>
      <c r="B646" s="8" t="s">
        <v>2787</v>
      </c>
      <c r="C646" s="7" t="s">
        <v>2786</v>
      </c>
      <c r="D646" s="6" t="s">
        <v>15</v>
      </c>
      <c r="E646" s="5" t="s">
        <v>491</v>
      </c>
      <c r="F646" s="4">
        <v>40148</v>
      </c>
      <c r="G646" s="4" t="s">
        <v>1</v>
      </c>
      <c r="H646" s="4" t="s">
        <v>1</v>
      </c>
      <c r="I646" s="3" t="s">
        <v>145</v>
      </c>
      <c r="J646" s="3" t="s">
        <v>12</v>
      </c>
      <c r="K646" s="3" t="s">
        <v>283</v>
      </c>
      <c r="L646" s="3" t="s">
        <v>282</v>
      </c>
      <c r="M646" s="3" t="s">
        <v>698</v>
      </c>
      <c r="N646" s="3" t="s">
        <v>1355</v>
      </c>
      <c r="O646" s="3" t="s">
        <v>100</v>
      </c>
      <c r="P646" s="3" t="s">
        <v>6</v>
      </c>
      <c r="Q646" s="3" t="s">
        <v>20</v>
      </c>
      <c r="R646" s="3" t="s">
        <v>4</v>
      </c>
      <c r="S646" s="3" t="s">
        <v>3</v>
      </c>
      <c r="T646" s="3" t="s">
        <v>2</v>
      </c>
      <c r="U646" s="3" t="s">
        <v>1</v>
      </c>
      <c r="V646" s="3" t="s">
        <v>0</v>
      </c>
      <c r="W646" s="2">
        <v>34</v>
      </c>
    </row>
    <row r="647" spans="1:23" hidden="1" x14ac:dyDescent="0.25">
      <c r="A647" s="8">
        <v>9487</v>
      </c>
      <c r="B647" s="8" t="s">
        <v>2785</v>
      </c>
      <c r="C647" s="7" t="s">
        <v>2784</v>
      </c>
      <c r="D647" s="6" t="s">
        <v>15</v>
      </c>
      <c r="E647" s="5" t="s">
        <v>491</v>
      </c>
      <c r="F647" s="4">
        <v>40148</v>
      </c>
      <c r="G647" s="4" t="s">
        <v>1</v>
      </c>
      <c r="H647" s="4" t="s">
        <v>1</v>
      </c>
      <c r="I647" s="3" t="s">
        <v>13</v>
      </c>
      <c r="J647" s="3" t="s">
        <v>12</v>
      </c>
      <c r="K647" s="3" t="s">
        <v>283</v>
      </c>
      <c r="L647" s="3" t="s">
        <v>282</v>
      </c>
      <c r="M647" s="3" t="s">
        <v>281</v>
      </c>
      <c r="N647" s="3" t="s">
        <v>1362</v>
      </c>
      <c r="O647" s="3" t="s">
        <v>39</v>
      </c>
      <c r="P647" s="3" t="s">
        <v>6</v>
      </c>
      <c r="Q647" s="3" t="s">
        <v>20</v>
      </c>
      <c r="R647" s="3" t="s">
        <v>4</v>
      </c>
      <c r="S647" s="3" t="s">
        <v>3</v>
      </c>
      <c r="T647" s="3" t="s">
        <v>1361</v>
      </c>
      <c r="U647" s="3" t="s">
        <v>1</v>
      </c>
      <c r="V647" s="3" t="s">
        <v>0</v>
      </c>
      <c r="W647" s="2">
        <v>34</v>
      </c>
    </row>
    <row r="648" spans="1:23" hidden="1" x14ac:dyDescent="0.25">
      <c r="A648" s="8">
        <v>9488</v>
      </c>
      <c r="B648" s="8" t="s">
        <v>2783</v>
      </c>
      <c r="C648" s="7" t="s">
        <v>2782</v>
      </c>
      <c r="D648" s="6" t="s">
        <v>15</v>
      </c>
      <c r="E648" s="5" t="s">
        <v>491</v>
      </c>
      <c r="F648" s="4">
        <v>40148</v>
      </c>
      <c r="G648" s="4" t="s">
        <v>1</v>
      </c>
      <c r="H648" s="4" t="s">
        <v>1</v>
      </c>
      <c r="I648" s="3" t="s">
        <v>145</v>
      </c>
      <c r="J648" s="3" t="s">
        <v>34</v>
      </c>
      <c r="K648" s="3" t="s">
        <v>33</v>
      </c>
      <c r="L648" s="3" t="s">
        <v>33</v>
      </c>
      <c r="M648" s="3" t="s">
        <v>242</v>
      </c>
      <c r="N648" s="3" t="s">
        <v>241</v>
      </c>
      <c r="O648" s="3" t="s">
        <v>240</v>
      </c>
      <c r="P648" s="3" t="s">
        <v>6</v>
      </c>
      <c r="Q648" s="3" t="s">
        <v>47</v>
      </c>
      <c r="R648" s="3" t="s">
        <v>4</v>
      </c>
      <c r="S648" s="3" t="s">
        <v>3</v>
      </c>
      <c r="T648" s="3" t="s">
        <v>2</v>
      </c>
      <c r="U648" s="3" t="s">
        <v>1</v>
      </c>
      <c r="V648" s="3" t="s">
        <v>18</v>
      </c>
      <c r="W648" s="2">
        <v>34</v>
      </c>
    </row>
    <row r="649" spans="1:23" hidden="1" x14ac:dyDescent="0.25">
      <c r="A649" s="8">
        <v>9512</v>
      </c>
      <c r="B649" s="8" t="s">
        <v>2781</v>
      </c>
      <c r="C649" s="7" t="s">
        <v>2780</v>
      </c>
      <c r="D649" s="6" t="s">
        <v>15</v>
      </c>
      <c r="E649" s="5" t="s">
        <v>491</v>
      </c>
      <c r="F649" s="4">
        <v>40148</v>
      </c>
      <c r="G649" s="4" t="s">
        <v>1</v>
      </c>
      <c r="H649" s="4" t="s">
        <v>1</v>
      </c>
      <c r="I649" s="18" t="s">
        <v>100</v>
      </c>
      <c r="J649" s="18" t="s">
        <v>124</v>
      </c>
      <c r="K649" s="18" t="s">
        <v>33</v>
      </c>
      <c r="L649" s="18" t="s">
        <v>33</v>
      </c>
      <c r="M649" s="18" t="s">
        <v>124</v>
      </c>
      <c r="N649" s="18" t="s">
        <v>123</v>
      </c>
      <c r="O649" s="18" t="s">
        <v>122</v>
      </c>
      <c r="P649" s="5" t="s">
        <v>1</v>
      </c>
      <c r="Q649" s="5" t="s">
        <v>121</v>
      </c>
      <c r="R649" s="3" t="s">
        <v>4</v>
      </c>
      <c r="S649" s="3" t="s">
        <v>3</v>
      </c>
      <c r="T649" s="3" t="s">
        <v>29</v>
      </c>
      <c r="U649" s="3" t="s">
        <v>1</v>
      </c>
      <c r="V649" s="3" t="s">
        <v>0</v>
      </c>
      <c r="W649" s="2">
        <v>33</v>
      </c>
    </row>
    <row r="650" spans="1:23" hidden="1" x14ac:dyDescent="0.25">
      <c r="A650" s="8">
        <v>9519</v>
      </c>
      <c r="B650" s="8" t="s">
        <v>2779</v>
      </c>
      <c r="C650" s="7" t="s">
        <v>2778</v>
      </c>
      <c r="D650" s="6" t="s">
        <v>15</v>
      </c>
      <c r="E650" s="5" t="s">
        <v>491</v>
      </c>
      <c r="F650" s="4">
        <v>40148</v>
      </c>
      <c r="G650" s="4" t="s">
        <v>1</v>
      </c>
      <c r="H650" s="4" t="s">
        <v>1</v>
      </c>
      <c r="I650" s="3" t="s">
        <v>13</v>
      </c>
      <c r="J650" s="3" t="s">
        <v>12</v>
      </c>
      <c r="K650" s="3" t="s">
        <v>63</v>
      </c>
      <c r="L650" s="3" t="s">
        <v>62</v>
      </c>
      <c r="M650" s="3" t="s">
        <v>61</v>
      </c>
      <c r="N650" s="3" t="s">
        <v>1362</v>
      </c>
      <c r="O650" s="3" t="s">
        <v>39</v>
      </c>
      <c r="P650" s="3" t="s">
        <v>6</v>
      </c>
      <c r="Q650" s="3" t="s">
        <v>20</v>
      </c>
      <c r="R650" s="3" t="s">
        <v>4</v>
      </c>
      <c r="S650" s="3" t="s">
        <v>3</v>
      </c>
      <c r="T650" s="3" t="s">
        <v>1361</v>
      </c>
      <c r="U650" s="3" t="s">
        <v>1</v>
      </c>
      <c r="V650" s="3" t="s">
        <v>0</v>
      </c>
      <c r="W650" s="2">
        <v>33</v>
      </c>
    </row>
    <row r="651" spans="1:23" hidden="1" x14ac:dyDescent="0.25">
      <c r="A651" s="8">
        <v>9521</v>
      </c>
      <c r="B651" s="8" t="s">
        <v>2777</v>
      </c>
      <c r="C651" s="7" t="s">
        <v>2776</v>
      </c>
      <c r="D651" s="6" t="s">
        <v>15</v>
      </c>
      <c r="E651" s="5" t="s">
        <v>491</v>
      </c>
      <c r="F651" s="4">
        <v>40148</v>
      </c>
      <c r="G651" s="4" t="s">
        <v>1</v>
      </c>
      <c r="H651" s="4" t="s">
        <v>1</v>
      </c>
      <c r="I651" s="3" t="s">
        <v>13</v>
      </c>
      <c r="J651" s="3" t="s">
        <v>133</v>
      </c>
      <c r="K651" s="3" t="s">
        <v>187</v>
      </c>
      <c r="L651" s="3" t="s">
        <v>187</v>
      </c>
      <c r="M651" s="3" t="s">
        <v>186</v>
      </c>
      <c r="N651" s="3" t="s">
        <v>198</v>
      </c>
      <c r="O651" s="3" t="s">
        <v>184</v>
      </c>
      <c r="P651" s="3" t="s">
        <v>6</v>
      </c>
      <c r="Q651" s="3" t="s">
        <v>20</v>
      </c>
      <c r="R651" s="3" t="s">
        <v>4</v>
      </c>
      <c r="S651" s="3" t="s">
        <v>3</v>
      </c>
      <c r="T651" s="3" t="s">
        <v>2</v>
      </c>
      <c r="U651" s="3" t="s">
        <v>1</v>
      </c>
      <c r="V651" s="3" t="s">
        <v>0</v>
      </c>
      <c r="W651" s="2">
        <v>33</v>
      </c>
    </row>
    <row r="652" spans="1:23" hidden="1" x14ac:dyDescent="0.25">
      <c r="A652" s="8">
        <v>9523</v>
      </c>
      <c r="B652" s="8" t="s">
        <v>2775</v>
      </c>
      <c r="C652" s="7" t="s">
        <v>2774</v>
      </c>
      <c r="D652" s="6" t="s">
        <v>15</v>
      </c>
      <c r="E652" s="5" t="s">
        <v>491</v>
      </c>
      <c r="F652" s="4">
        <v>40148</v>
      </c>
      <c r="G652" s="4" t="s">
        <v>1</v>
      </c>
      <c r="H652" s="4" t="s">
        <v>1</v>
      </c>
      <c r="I652" s="3" t="s">
        <v>13</v>
      </c>
      <c r="J652" s="3" t="s">
        <v>12</v>
      </c>
      <c r="K652" s="3" t="s">
        <v>11</v>
      </c>
      <c r="L652" s="3" t="s">
        <v>10</v>
      </c>
      <c r="M652" s="3" t="s">
        <v>9</v>
      </c>
      <c r="N652" s="3" t="s">
        <v>272</v>
      </c>
      <c r="O652" s="3" t="s">
        <v>59</v>
      </c>
      <c r="P652" s="3" t="s">
        <v>6</v>
      </c>
      <c r="Q652" s="3" t="s">
        <v>5</v>
      </c>
      <c r="R652" s="3" t="s">
        <v>4</v>
      </c>
      <c r="S652" s="3" t="s">
        <v>3</v>
      </c>
      <c r="T652" s="3" t="s">
        <v>2</v>
      </c>
      <c r="U652" s="3" t="s">
        <v>1</v>
      </c>
      <c r="V652" s="3" t="s">
        <v>0</v>
      </c>
      <c r="W652" s="2">
        <v>35</v>
      </c>
    </row>
    <row r="653" spans="1:23" hidden="1" x14ac:dyDescent="0.25">
      <c r="A653" s="8">
        <v>884</v>
      </c>
      <c r="B653" s="8" t="s">
        <v>2773</v>
      </c>
      <c r="C653" s="7" t="s">
        <v>2772</v>
      </c>
      <c r="D653" s="6" t="s">
        <v>15</v>
      </c>
      <c r="E653" s="5" t="s">
        <v>559</v>
      </c>
      <c r="F653" s="4">
        <v>37858</v>
      </c>
      <c r="G653" s="4" t="s">
        <v>1</v>
      </c>
      <c r="H653" s="4" t="s">
        <v>1</v>
      </c>
      <c r="I653" s="3" t="s">
        <v>13</v>
      </c>
      <c r="J653" s="3" t="s">
        <v>12</v>
      </c>
      <c r="K653" s="3" t="s">
        <v>262</v>
      </c>
      <c r="L653" s="3" t="s">
        <v>261</v>
      </c>
      <c r="M653" s="3" t="s">
        <v>329</v>
      </c>
      <c r="N653" s="3" t="s">
        <v>22</v>
      </c>
      <c r="O653" s="3" t="s">
        <v>21</v>
      </c>
      <c r="P653" s="3" t="s">
        <v>72</v>
      </c>
      <c r="Q653" s="3" t="s">
        <v>20</v>
      </c>
      <c r="R653" s="3" t="s">
        <v>4</v>
      </c>
      <c r="S653" s="3" t="s">
        <v>3</v>
      </c>
      <c r="T653" s="3" t="s">
        <v>19</v>
      </c>
      <c r="U653" s="3" t="s">
        <v>1</v>
      </c>
      <c r="V653" s="3" t="s">
        <v>0</v>
      </c>
      <c r="W653" s="2">
        <v>39</v>
      </c>
    </row>
    <row r="654" spans="1:23" hidden="1" x14ac:dyDescent="0.25">
      <c r="A654" s="8">
        <v>1138</v>
      </c>
      <c r="B654" s="8" t="s">
        <v>2771</v>
      </c>
      <c r="C654" s="7" t="s">
        <v>2770</v>
      </c>
      <c r="D654" s="6" t="s">
        <v>15</v>
      </c>
      <c r="E654" s="5" t="s">
        <v>556</v>
      </c>
      <c r="F654" s="4">
        <v>37900</v>
      </c>
      <c r="G654" s="4" t="s">
        <v>1</v>
      </c>
      <c r="H654" s="4" t="s">
        <v>1</v>
      </c>
      <c r="I654" s="3" t="s">
        <v>13</v>
      </c>
      <c r="J654" s="3" t="s">
        <v>12</v>
      </c>
      <c r="K654" s="3" t="s">
        <v>262</v>
      </c>
      <c r="L654" s="3" t="s">
        <v>261</v>
      </c>
      <c r="M654" s="3" t="s">
        <v>329</v>
      </c>
      <c r="N654" s="3" t="s">
        <v>2769</v>
      </c>
      <c r="O654" s="3" t="s">
        <v>258</v>
      </c>
      <c r="P654" s="3" t="s">
        <v>72</v>
      </c>
      <c r="Q654" s="3" t="s">
        <v>5</v>
      </c>
      <c r="R654" s="3" t="s">
        <v>4</v>
      </c>
      <c r="S654" s="3" t="s">
        <v>3</v>
      </c>
      <c r="T654" s="3" t="s">
        <v>2</v>
      </c>
      <c r="U654" s="3" t="s">
        <v>1</v>
      </c>
      <c r="V654" s="3" t="s">
        <v>0</v>
      </c>
      <c r="W654" s="2">
        <v>39</v>
      </c>
    </row>
    <row r="655" spans="1:23" hidden="1" x14ac:dyDescent="0.25">
      <c r="A655" s="8">
        <v>9560</v>
      </c>
      <c r="B655" s="8" t="s">
        <v>2768</v>
      </c>
      <c r="C655" s="7" t="s">
        <v>2767</v>
      </c>
      <c r="D655" s="6" t="s">
        <v>15</v>
      </c>
      <c r="E655" s="5" t="s">
        <v>1971</v>
      </c>
      <c r="F655" s="4">
        <v>40179</v>
      </c>
      <c r="G655" s="4" t="s">
        <v>1</v>
      </c>
      <c r="H655" s="4" t="s">
        <v>1</v>
      </c>
      <c r="I655" s="3" t="s">
        <v>13</v>
      </c>
      <c r="J655" s="3" t="s">
        <v>133</v>
      </c>
      <c r="K655" s="3" t="s">
        <v>63</v>
      </c>
      <c r="L655" s="3" t="s">
        <v>1634</v>
      </c>
      <c r="M655" s="3" t="s">
        <v>1633</v>
      </c>
      <c r="N655" s="3" t="s">
        <v>2766</v>
      </c>
      <c r="O655" s="3" t="s">
        <v>128</v>
      </c>
      <c r="P655" s="3" t="s">
        <v>6</v>
      </c>
      <c r="Q655" s="3" t="s">
        <v>5</v>
      </c>
      <c r="R655" s="3" t="s">
        <v>4</v>
      </c>
      <c r="S655" s="3" t="s">
        <v>3</v>
      </c>
      <c r="T655" s="3" t="s">
        <v>2</v>
      </c>
      <c r="U655" s="3" t="s">
        <v>1</v>
      </c>
      <c r="V655" s="3" t="s">
        <v>0</v>
      </c>
      <c r="W655" s="2">
        <v>38</v>
      </c>
    </row>
    <row r="656" spans="1:23" hidden="1" x14ac:dyDescent="0.25">
      <c r="A656" s="8">
        <v>9563</v>
      </c>
      <c r="B656" s="8" t="s">
        <v>2765</v>
      </c>
      <c r="C656" s="7" t="s">
        <v>2764</v>
      </c>
      <c r="D656" s="6" t="s">
        <v>15</v>
      </c>
      <c r="E656" s="5" t="s">
        <v>1971</v>
      </c>
      <c r="F656" s="4">
        <v>40179</v>
      </c>
      <c r="G656" s="4" t="s">
        <v>1</v>
      </c>
      <c r="H656" s="4" t="s">
        <v>1</v>
      </c>
      <c r="I656" s="3" t="s">
        <v>13</v>
      </c>
      <c r="J656" s="3" t="s">
        <v>12</v>
      </c>
      <c r="K656" s="3" t="s">
        <v>63</v>
      </c>
      <c r="L656" s="3" t="s">
        <v>460</v>
      </c>
      <c r="M656" s="3" t="s">
        <v>459</v>
      </c>
      <c r="N656" s="3" t="s">
        <v>1362</v>
      </c>
      <c r="O656" s="3" t="s">
        <v>39</v>
      </c>
      <c r="P656" s="3" t="s">
        <v>6</v>
      </c>
      <c r="Q656" s="3" t="s">
        <v>20</v>
      </c>
      <c r="R656" s="3" t="s">
        <v>4</v>
      </c>
      <c r="S656" s="3" t="s">
        <v>3</v>
      </c>
      <c r="T656" s="3" t="s">
        <v>1361</v>
      </c>
      <c r="U656" s="3" t="s">
        <v>1</v>
      </c>
      <c r="V656" s="3" t="s">
        <v>0</v>
      </c>
      <c r="W656" s="2">
        <v>34</v>
      </c>
    </row>
    <row r="657" spans="1:24" hidden="1" x14ac:dyDescent="0.25">
      <c r="A657" s="8">
        <v>1268</v>
      </c>
      <c r="B657" s="8" t="s">
        <v>2763</v>
      </c>
      <c r="C657" s="7" t="s">
        <v>2762</v>
      </c>
      <c r="D657" s="6" t="s">
        <v>15</v>
      </c>
      <c r="E657" s="5" t="s">
        <v>1581</v>
      </c>
      <c r="F657" s="4">
        <v>37921</v>
      </c>
      <c r="G657" s="4" t="s">
        <v>1</v>
      </c>
      <c r="H657" s="4" t="s">
        <v>1</v>
      </c>
      <c r="I657" s="3" t="s">
        <v>13</v>
      </c>
      <c r="J657" s="3" t="s">
        <v>12</v>
      </c>
      <c r="K657" s="3" t="s">
        <v>262</v>
      </c>
      <c r="L657" s="3" t="s">
        <v>261</v>
      </c>
      <c r="M657" s="3" t="s">
        <v>329</v>
      </c>
      <c r="N657" s="3" t="s">
        <v>1078</v>
      </c>
      <c r="O657" s="3" t="s">
        <v>29</v>
      </c>
      <c r="P657" s="3" t="s">
        <v>72</v>
      </c>
      <c r="Q657" s="3" t="s">
        <v>20</v>
      </c>
      <c r="R657" s="3" t="s">
        <v>4</v>
      </c>
      <c r="S657" s="3" t="s">
        <v>3</v>
      </c>
      <c r="T657" s="3" t="s">
        <v>1077</v>
      </c>
      <c r="U657" s="3" t="s">
        <v>1</v>
      </c>
      <c r="V657" s="3" t="s">
        <v>0</v>
      </c>
      <c r="W657" s="2">
        <v>39</v>
      </c>
    </row>
    <row r="658" spans="1:24" hidden="1" x14ac:dyDescent="0.25">
      <c r="A658" s="8">
        <v>5495</v>
      </c>
      <c r="B658" s="8" t="s">
        <v>2761</v>
      </c>
      <c r="C658" s="7" t="s">
        <v>2760</v>
      </c>
      <c r="D658" s="6" t="s">
        <v>15</v>
      </c>
      <c r="E658" s="5" t="s">
        <v>2759</v>
      </c>
      <c r="F658" s="4">
        <v>39022</v>
      </c>
      <c r="G658" s="4" t="s">
        <v>1</v>
      </c>
      <c r="H658" s="4" t="s">
        <v>1</v>
      </c>
      <c r="I658" s="3" t="s">
        <v>13</v>
      </c>
      <c r="J658" s="3" t="s">
        <v>12</v>
      </c>
      <c r="K658" s="3" t="s">
        <v>262</v>
      </c>
      <c r="L658" s="3" t="s">
        <v>261</v>
      </c>
      <c r="M658" s="3" t="s">
        <v>329</v>
      </c>
      <c r="N658" s="3" t="s">
        <v>2758</v>
      </c>
      <c r="O658" s="3" t="s">
        <v>258</v>
      </c>
      <c r="P658" s="3" t="s">
        <v>72</v>
      </c>
      <c r="Q658" s="3" t="s">
        <v>5</v>
      </c>
      <c r="R658" s="3" t="s">
        <v>4</v>
      </c>
      <c r="S658" s="3" t="s">
        <v>3</v>
      </c>
      <c r="T658" s="3" t="s">
        <v>2</v>
      </c>
      <c r="U658" s="3" t="s">
        <v>1</v>
      </c>
      <c r="V658" s="3" t="s">
        <v>0</v>
      </c>
      <c r="W658" s="2">
        <v>40</v>
      </c>
    </row>
    <row r="659" spans="1:24" hidden="1" x14ac:dyDescent="0.25">
      <c r="A659" s="8">
        <v>5932</v>
      </c>
      <c r="B659" s="8" t="s">
        <v>2757</v>
      </c>
      <c r="C659" s="7" t="s">
        <v>2756</v>
      </c>
      <c r="D659" s="6" t="s">
        <v>15</v>
      </c>
      <c r="E659" s="5" t="s">
        <v>248</v>
      </c>
      <c r="F659" s="4">
        <v>39129</v>
      </c>
      <c r="G659" s="4" t="s">
        <v>1</v>
      </c>
      <c r="H659" s="4" t="s">
        <v>1</v>
      </c>
      <c r="I659" s="3" t="s">
        <v>13</v>
      </c>
      <c r="J659" s="3" t="s">
        <v>12</v>
      </c>
      <c r="K659" s="3" t="s">
        <v>262</v>
      </c>
      <c r="L659" s="3" t="s">
        <v>261</v>
      </c>
      <c r="M659" s="3" t="s">
        <v>329</v>
      </c>
      <c r="N659" s="3" t="s">
        <v>2424</v>
      </c>
      <c r="O659" s="3" t="s">
        <v>100</v>
      </c>
      <c r="P659" s="3" t="s">
        <v>30</v>
      </c>
      <c r="Q659" s="3" t="s">
        <v>20</v>
      </c>
      <c r="R659" s="3" t="s">
        <v>4</v>
      </c>
      <c r="S659" s="3" t="s">
        <v>3</v>
      </c>
      <c r="T659" s="3" t="s">
        <v>2</v>
      </c>
      <c r="U659" s="3" t="s">
        <v>1</v>
      </c>
      <c r="V659" s="3" t="s">
        <v>0</v>
      </c>
      <c r="W659" s="2">
        <v>38</v>
      </c>
    </row>
    <row r="660" spans="1:24" s="9" customFormat="1" hidden="1" x14ac:dyDescent="0.25">
      <c r="A660" s="17">
        <v>8635</v>
      </c>
      <c r="B660" s="17" t="s">
        <v>2755</v>
      </c>
      <c r="C660" s="16" t="s">
        <v>1521</v>
      </c>
      <c r="D660" s="15" t="s">
        <v>15</v>
      </c>
      <c r="E660" s="14" t="s">
        <v>225</v>
      </c>
      <c r="F660" s="13">
        <v>39878</v>
      </c>
      <c r="G660" s="13" t="s">
        <v>1</v>
      </c>
      <c r="H660" s="13" t="s">
        <v>1</v>
      </c>
      <c r="I660" s="12" t="s">
        <v>13</v>
      </c>
      <c r="J660" s="12" t="s">
        <v>12</v>
      </c>
      <c r="K660" s="12" t="s">
        <v>262</v>
      </c>
      <c r="L660" s="12" t="s">
        <v>261</v>
      </c>
      <c r="M660" s="12" t="s">
        <v>329</v>
      </c>
      <c r="N660" s="12" t="s">
        <v>784</v>
      </c>
      <c r="O660" s="12" t="s">
        <v>258</v>
      </c>
      <c r="P660" s="12" t="s">
        <v>72</v>
      </c>
      <c r="Q660" s="12" t="s">
        <v>5</v>
      </c>
      <c r="R660" s="12" t="s">
        <v>4</v>
      </c>
      <c r="S660" s="12" t="s">
        <v>3</v>
      </c>
      <c r="T660" s="12" t="s">
        <v>2</v>
      </c>
      <c r="U660" s="12" t="s">
        <v>1</v>
      </c>
      <c r="V660" s="12" t="s">
        <v>0</v>
      </c>
      <c r="W660" s="11">
        <v>37</v>
      </c>
      <c r="X660" s="10"/>
    </row>
    <row r="661" spans="1:24" s="78" customFormat="1" hidden="1" x14ac:dyDescent="0.25">
      <c r="A661" s="73">
        <v>8808</v>
      </c>
      <c r="B661" s="73" t="s">
        <v>2754</v>
      </c>
      <c r="C661" s="87" t="s">
        <v>2753</v>
      </c>
      <c r="D661" s="88" t="s">
        <v>15</v>
      </c>
      <c r="E661" s="89" t="s">
        <v>222</v>
      </c>
      <c r="F661" s="90">
        <v>39931</v>
      </c>
      <c r="G661" s="90" t="s">
        <v>1</v>
      </c>
      <c r="H661" s="90" t="s">
        <v>1</v>
      </c>
      <c r="I661" s="92" t="s">
        <v>13</v>
      </c>
      <c r="J661" s="92" t="s">
        <v>12</v>
      </c>
      <c r="K661" s="92" t="s">
        <v>262</v>
      </c>
      <c r="L661" s="92" t="s">
        <v>261</v>
      </c>
      <c r="M661" s="92" t="s">
        <v>329</v>
      </c>
      <c r="N661" s="92" t="s">
        <v>1100</v>
      </c>
      <c r="O661" s="92" t="s">
        <v>59</v>
      </c>
      <c r="P661" s="92" t="s">
        <v>72</v>
      </c>
      <c r="Q661" s="92" t="s">
        <v>5</v>
      </c>
      <c r="R661" s="92" t="s">
        <v>4</v>
      </c>
      <c r="S661" s="92" t="s">
        <v>3</v>
      </c>
      <c r="T661" s="92" t="s">
        <v>2</v>
      </c>
      <c r="U661" s="92" t="s">
        <v>1</v>
      </c>
      <c r="V661" s="92" t="s">
        <v>0</v>
      </c>
      <c r="W661" s="93">
        <v>34</v>
      </c>
    </row>
    <row r="662" spans="1:24" hidden="1" x14ac:dyDescent="0.25">
      <c r="A662" s="8">
        <v>9596</v>
      </c>
      <c r="B662" s="8" t="s">
        <v>2752</v>
      </c>
      <c r="C662" s="7" t="s">
        <v>2751</v>
      </c>
      <c r="D662" s="6" t="s">
        <v>15</v>
      </c>
      <c r="E662" s="5" t="s">
        <v>178</v>
      </c>
      <c r="F662" s="4">
        <v>40179</v>
      </c>
      <c r="G662" s="4" t="s">
        <v>1</v>
      </c>
      <c r="H662" s="4" t="s">
        <v>1</v>
      </c>
      <c r="I662" s="18" t="s">
        <v>100</v>
      </c>
      <c r="J662" s="18" t="s">
        <v>124</v>
      </c>
      <c r="K662" s="18" t="s">
        <v>33</v>
      </c>
      <c r="L662" s="18" t="s">
        <v>33</v>
      </c>
      <c r="M662" s="18" t="s">
        <v>124</v>
      </c>
      <c r="N662" s="18" t="s">
        <v>123</v>
      </c>
      <c r="O662" s="18" t="s">
        <v>122</v>
      </c>
      <c r="P662" s="5" t="s">
        <v>1</v>
      </c>
      <c r="Q662" s="5" t="s">
        <v>121</v>
      </c>
      <c r="R662" s="3" t="s">
        <v>4</v>
      </c>
      <c r="S662" s="3" t="s">
        <v>3</v>
      </c>
      <c r="T662" s="3" t="s">
        <v>2</v>
      </c>
      <c r="U662" s="3" t="s">
        <v>1</v>
      </c>
      <c r="V662" s="3" t="s">
        <v>0</v>
      </c>
      <c r="W662" s="2">
        <v>33</v>
      </c>
    </row>
    <row r="663" spans="1:24" s="78" customFormat="1" hidden="1" x14ac:dyDescent="0.25">
      <c r="A663" s="73">
        <v>9030</v>
      </c>
      <c r="B663" s="73" t="s">
        <v>2750</v>
      </c>
      <c r="C663" s="87" t="s">
        <v>2749</v>
      </c>
      <c r="D663" s="88" t="s">
        <v>15</v>
      </c>
      <c r="E663" s="89" t="s">
        <v>181</v>
      </c>
      <c r="F663" s="90">
        <v>39975</v>
      </c>
      <c r="G663" s="90" t="s">
        <v>1</v>
      </c>
      <c r="H663" s="90" t="s">
        <v>1</v>
      </c>
      <c r="I663" s="92" t="s">
        <v>13</v>
      </c>
      <c r="J663" s="92" t="s">
        <v>12</v>
      </c>
      <c r="K663" s="92" t="s">
        <v>262</v>
      </c>
      <c r="L663" s="92" t="s">
        <v>261</v>
      </c>
      <c r="M663" s="92" t="s">
        <v>329</v>
      </c>
      <c r="N663" s="92" t="s">
        <v>1362</v>
      </c>
      <c r="O663" s="92" t="s">
        <v>39</v>
      </c>
      <c r="P663" s="92" t="s">
        <v>72</v>
      </c>
      <c r="Q663" s="92" t="s">
        <v>20</v>
      </c>
      <c r="R663" s="92" t="s">
        <v>4</v>
      </c>
      <c r="S663" s="92" t="s">
        <v>3</v>
      </c>
      <c r="T663" s="92" t="s">
        <v>1361</v>
      </c>
      <c r="U663" s="92" t="s">
        <v>1</v>
      </c>
      <c r="V663" s="92" t="s">
        <v>0</v>
      </c>
      <c r="W663" s="93">
        <v>36</v>
      </c>
    </row>
    <row r="664" spans="1:24" hidden="1" x14ac:dyDescent="0.25">
      <c r="A664" s="8">
        <v>9084</v>
      </c>
      <c r="B664" s="8" t="s">
        <v>2748</v>
      </c>
      <c r="C664" s="7" t="s">
        <v>2747</v>
      </c>
      <c r="D664" s="6" t="s">
        <v>15</v>
      </c>
      <c r="E664" s="5" t="s">
        <v>2013</v>
      </c>
      <c r="F664" s="4">
        <v>39993</v>
      </c>
      <c r="G664" s="4" t="s">
        <v>1</v>
      </c>
      <c r="H664" s="4" t="s">
        <v>1</v>
      </c>
      <c r="I664" s="3" t="s">
        <v>13</v>
      </c>
      <c r="J664" s="3" t="s">
        <v>12</v>
      </c>
      <c r="K664" s="3" t="s">
        <v>262</v>
      </c>
      <c r="L664" s="3" t="s">
        <v>261</v>
      </c>
      <c r="M664" s="3" t="s">
        <v>329</v>
      </c>
      <c r="N664" s="3" t="s">
        <v>1810</v>
      </c>
      <c r="O664" s="3" t="s">
        <v>258</v>
      </c>
      <c r="P664" s="3" t="s">
        <v>72</v>
      </c>
      <c r="Q664" s="3" t="s">
        <v>5</v>
      </c>
      <c r="R664" s="3" t="s">
        <v>4</v>
      </c>
      <c r="S664" s="3" t="s">
        <v>3</v>
      </c>
      <c r="T664" s="3" t="s">
        <v>2</v>
      </c>
      <c r="U664" s="3" t="s">
        <v>1</v>
      </c>
      <c r="V664" s="3" t="s">
        <v>0</v>
      </c>
      <c r="W664" s="2">
        <v>33</v>
      </c>
    </row>
    <row r="665" spans="1:24" hidden="1" x14ac:dyDescent="0.25">
      <c r="A665" s="8">
        <v>9970</v>
      </c>
      <c r="B665" s="8" t="s">
        <v>2746</v>
      </c>
      <c r="C665" s="7" t="s">
        <v>2745</v>
      </c>
      <c r="D665" s="6" t="s">
        <v>15</v>
      </c>
      <c r="E665" s="5" t="s">
        <v>1041</v>
      </c>
      <c r="F665" s="4">
        <v>40431</v>
      </c>
      <c r="G665" s="4" t="s">
        <v>1</v>
      </c>
      <c r="H665" s="4" t="s">
        <v>1</v>
      </c>
      <c r="I665" s="3" t="s">
        <v>13</v>
      </c>
      <c r="J665" s="3" t="s">
        <v>12</v>
      </c>
      <c r="K665" s="3" t="s">
        <v>262</v>
      </c>
      <c r="L665" s="3" t="s">
        <v>261</v>
      </c>
      <c r="M665" s="3" t="s">
        <v>329</v>
      </c>
      <c r="N665" s="3" t="s">
        <v>1078</v>
      </c>
      <c r="O665" s="3" t="s">
        <v>29</v>
      </c>
      <c r="P665" s="3" t="s">
        <v>72</v>
      </c>
      <c r="Q665" s="3" t="s">
        <v>20</v>
      </c>
      <c r="R665" s="3" t="s">
        <v>4</v>
      </c>
      <c r="S665" s="3" t="s">
        <v>3</v>
      </c>
      <c r="T665" s="3" t="s">
        <v>1077</v>
      </c>
      <c r="U665" s="3" t="s">
        <v>1</v>
      </c>
      <c r="V665" s="3" t="s">
        <v>0</v>
      </c>
      <c r="W665" s="2">
        <v>32</v>
      </c>
    </row>
    <row r="666" spans="1:24" hidden="1" x14ac:dyDescent="0.25">
      <c r="A666" s="8">
        <v>9624</v>
      </c>
      <c r="B666" s="8" t="s">
        <v>2744</v>
      </c>
      <c r="C666" s="7" t="s">
        <v>2743</v>
      </c>
      <c r="D666" s="6" t="s">
        <v>15</v>
      </c>
      <c r="E666" s="5" t="s">
        <v>178</v>
      </c>
      <c r="F666" s="4">
        <v>40179</v>
      </c>
      <c r="G666" s="4" t="s">
        <v>1</v>
      </c>
      <c r="H666" s="4" t="s">
        <v>1</v>
      </c>
      <c r="I666" s="18" t="s">
        <v>100</v>
      </c>
      <c r="J666" s="18" t="s">
        <v>2741</v>
      </c>
      <c r="K666" s="18" t="s">
        <v>33</v>
      </c>
      <c r="L666" s="18" t="s">
        <v>33</v>
      </c>
      <c r="M666" s="18" t="s">
        <v>2742</v>
      </c>
      <c r="N666" s="18" t="s">
        <v>2741</v>
      </c>
      <c r="O666" s="18" t="s">
        <v>122</v>
      </c>
      <c r="P666" s="5" t="s">
        <v>30</v>
      </c>
      <c r="Q666" s="5" t="s">
        <v>121</v>
      </c>
      <c r="R666" s="3" t="s">
        <v>4</v>
      </c>
      <c r="S666" s="3" t="s">
        <v>3</v>
      </c>
      <c r="T666" s="3" t="s">
        <v>29</v>
      </c>
      <c r="U666" s="3" t="s">
        <v>1</v>
      </c>
      <c r="V666" s="3" t="s">
        <v>18</v>
      </c>
      <c r="W666" s="2">
        <v>33</v>
      </c>
    </row>
    <row r="667" spans="1:24" hidden="1" x14ac:dyDescent="0.25">
      <c r="A667" s="8">
        <v>9995</v>
      </c>
      <c r="B667" s="8" t="s">
        <v>2740</v>
      </c>
      <c r="C667" s="7" t="s">
        <v>2739</v>
      </c>
      <c r="D667" s="6" t="s">
        <v>15</v>
      </c>
      <c r="E667" s="5" t="s">
        <v>2484</v>
      </c>
      <c r="F667" s="4">
        <v>40438</v>
      </c>
      <c r="G667" s="4" t="s">
        <v>1</v>
      </c>
      <c r="H667" s="4" t="s">
        <v>1</v>
      </c>
      <c r="I667" s="3" t="s">
        <v>13</v>
      </c>
      <c r="J667" s="3" t="s">
        <v>12</v>
      </c>
      <c r="K667" s="3" t="s">
        <v>262</v>
      </c>
      <c r="L667" s="3" t="s">
        <v>261</v>
      </c>
      <c r="M667" s="3" t="s">
        <v>329</v>
      </c>
      <c r="N667" s="3" t="s">
        <v>2738</v>
      </c>
      <c r="O667" s="3" t="s">
        <v>258</v>
      </c>
      <c r="P667" s="3" t="s">
        <v>72</v>
      </c>
      <c r="Q667" s="3" t="s">
        <v>5</v>
      </c>
      <c r="R667" s="3" t="s">
        <v>4</v>
      </c>
      <c r="S667" s="3" t="s">
        <v>3</v>
      </c>
      <c r="T667" s="3" t="s">
        <v>2</v>
      </c>
      <c r="U667" s="3" t="s">
        <v>1</v>
      </c>
      <c r="V667" s="3" t="s">
        <v>0</v>
      </c>
      <c r="W667" s="2">
        <v>32</v>
      </c>
    </row>
    <row r="668" spans="1:24" hidden="1" x14ac:dyDescent="0.25">
      <c r="A668" s="8">
        <v>9633</v>
      </c>
      <c r="B668" s="8" t="s">
        <v>2737</v>
      </c>
      <c r="C668" s="7" t="s">
        <v>2736</v>
      </c>
      <c r="D668" s="6" t="s">
        <v>15</v>
      </c>
      <c r="E668" s="5" t="s">
        <v>178</v>
      </c>
      <c r="F668" s="4">
        <v>40179</v>
      </c>
      <c r="G668" s="4" t="s">
        <v>1</v>
      </c>
      <c r="H668" s="4" t="s">
        <v>1</v>
      </c>
      <c r="I668" s="3" t="s">
        <v>145</v>
      </c>
      <c r="J668" s="3" t="s">
        <v>12</v>
      </c>
      <c r="K668" s="3" t="s">
        <v>758</v>
      </c>
      <c r="L668" s="3" t="s">
        <v>757</v>
      </c>
      <c r="M668" s="3" t="s">
        <v>756</v>
      </c>
      <c r="N668" s="3" t="s">
        <v>269</v>
      </c>
      <c r="O668" s="3" t="s">
        <v>29</v>
      </c>
      <c r="P668" s="3" t="s">
        <v>72</v>
      </c>
      <c r="Q668" s="3" t="s">
        <v>20</v>
      </c>
      <c r="R668" s="3" t="s">
        <v>4</v>
      </c>
      <c r="S668" s="3" t="s">
        <v>3</v>
      </c>
      <c r="T668" s="3" t="s">
        <v>29</v>
      </c>
      <c r="U668" s="3" t="s">
        <v>1</v>
      </c>
      <c r="V668" s="3" t="s">
        <v>0</v>
      </c>
      <c r="W668" s="2">
        <v>34</v>
      </c>
    </row>
    <row r="669" spans="1:24" hidden="1" x14ac:dyDescent="0.25">
      <c r="A669" s="8">
        <v>9644</v>
      </c>
      <c r="B669" s="8" t="s">
        <v>2735</v>
      </c>
      <c r="C669" s="7" t="s">
        <v>2734</v>
      </c>
      <c r="D669" s="6" t="s">
        <v>15</v>
      </c>
      <c r="E669" s="8" t="s">
        <v>178</v>
      </c>
      <c r="F669" s="4">
        <v>40179</v>
      </c>
      <c r="G669" s="4" t="s">
        <v>1</v>
      </c>
      <c r="H669" s="4" t="s">
        <v>1</v>
      </c>
      <c r="I669" s="3" t="s">
        <v>145</v>
      </c>
      <c r="J669" s="3" t="s">
        <v>12</v>
      </c>
      <c r="K669" s="3" t="s">
        <v>283</v>
      </c>
      <c r="L669" s="3" t="s">
        <v>282</v>
      </c>
      <c r="M669" s="3" t="s">
        <v>281</v>
      </c>
      <c r="N669" s="3" t="s">
        <v>2218</v>
      </c>
      <c r="O669" s="3" t="s">
        <v>2217</v>
      </c>
      <c r="P669" s="3" t="s">
        <v>72</v>
      </c>
      <c r="Q669" s="3" t="s">
        <v>20</v>
      </c>
      <c r="R669" s="3" t="s">
        <v>4</v>
      </c>
      <c r="S669" s="3" t="s">
        <v>3</v>
      </c>
      <c r="T669" s="3" t="s">
        <v>29</v>
      </c>
      <c r="U669" s="3" t="s">
        <v>1</v>
      </c>
      <c r="V669" s="3" t="s">
        <v>0</v>
      </c>
      <c r="W669" s="2">
        <v>33</v>
      </c>
    </row>
    <row r="670" spans="1:24" hidden="1" x14ac:dyDescent="0.25">
      <c r="A670" s="8">
        <v>10751</v>
      </c>
      <c r="B670" s="8" t="s">
        <v>2733</v>
      </c>
      <c r="C670" s="7" t="s">
        <v>2732</v>
      </c>
      <c r="D670" s="6" t="s">
        <v>15</v>
      </c>
      <c r="E670" s="5" t="s">
        <v>2231</v>
      </c>
      <c r="F670" s="4">
        <v>40566</v>
      </c>
      <c r="G670" s="4" t="s">
        <v>1</v>
      </c>
      <c r="H670" s="4" t="s">
        <v>1</v>
      </c>
      <c r="I670" s="3" t="s">
        <v>13</v>
      </c>
      <c r="J670" s="3" t="s">
        <v>12</v>
      </c>
      <c r="K670" s="3" t="s">
        <v>262</v>
      </c>
      <c r="L670" s="3" t="s">
        <v>261</v>
      </c>
      <c r="M670" s="3" t="s">
        <v>329</v>
      </c>
      <c r="N670" s="3" t="s">
        <v>679</v>
      </c>
      <c r="O670" s="3" t="s">
        <v>7</v>
      </c>
      <c r="P670" s="3" t="s">
        <v>72</v>
      </c>
      <c r="Q670" s="3" t="s">
        <v>5</v>
      </c>
      <c r="R670" s="3" t="s">
        <v>4</v>
      </c>
      <c r="S670" s="3" t="s">
        <v>3</v>
      </c>
      <c r="T670" s="3" t="s">
        <v>2</v>
      </c>
      <c r="U670" s="3" t="s">
        <v>1</v>
      </c>
      <c r="V670" s="3" t="s">
        <v>0</v>
      </c>
      <c r="W670" s="2">
        <v>35</v>
      </c>
    </row>
    <row r="671" spans="1:24" s="9" customFormat="1" hidden="1" x14ac:dyDescent="0.25">
      <c r="A671" s="17">
        <v>10762</v>
      </c>
      <c r="B671" s="17" t="s">
        <v>2731</v>
      </c>
      <c r="C671" s="16" t="s">
        <v>2730</v>
      </c>
      <c r="D671" s="15" t="s">
        <v>15</v>
      </c>
      <c r="E671" s="14" t="s">
        <v>2231</v>
      </c>
      <c r="F671" s="13">
        <v>40566</v>
      </c>
      <c r="G671" s="13" t="s">
        <v>1</v>
      </c>
      <c r="H671" s="13" t="s">
        <v>1</v>
      </c>
      <c r="I671" s="12" t="s">
        <v>13</v>
      </c>
      <c r="J671" s="12" t="s">
        <v>12</v>
      </c>
      <c r="K671" s="12" t="s">
        <v>262</v>
      </c>
      <c r="L671" s="12" t="s">
        <v>261</v>
      </c>
      <c r="M671" s="12" t="s">
        <v>329</v>
      </c>
      <c r="N671" s="12" t="s">
        <v>2729</v>
      </c>
      <c r="O671" s="12" t="s">
        <v>258</v>
      </c>
      <c r="P671" s="12" t="s">
        <v>72</v>
      </c>
      <c r="Q671" s="12" t="s">
        <v>5</v>
      </c>
      <c r="R671" s="12" t="s">
        <v>4</v>
      </c>
      <c r="S671" s="12" t="s">
        <v>3</v>
      </c>
      <c r="T671" s="12" t="s">
        <v>2</v>
      </c>
      <c r="U671" s="12" t="s">
        <v>1</v>
      </c>
      <c r="V671" s="12" t="s">
        <v>0</v>
      </c>
      <c r="W671" s="11">
        <v>34</v>
      </c>
    </row>
    <row r="672" spans="1:24" hidden="1" x14ac:dyDescent="0.25">
      <c r="A672" s="8">
        <v>9681</v>
      </c>
      <c r="B672" s="8" t="s">
        <v>2728</v>
      </c>
      <c r="C672" s="7" t="s">
        <v>2727</v>
      </c>
      <c r="D672" s="6" t="s">
        <v>15</v>
      </c>
      <c r="E672" s="5" t="s">
        <v>1237</v>
      </c>
      <c r="F672" s="4">
        <v>40297</v>
      </c>
      <c r="G672" s="4" t="s">
        <v>1</v>
      </c>
      <c r="H672" s="4" t="s">
        <v>1</v>
      </c>
      <c r="I672" s="18" t="s">
        <v>100</v>
      </c>
      <c r="J672" s="18" t="s">
        <v>124</v>
      </c>
      <c r="K672" s="18" t="s">
        <v>33</v>
      </c>
      <c r="L672" s="18" t="s">
        <v>33</v>
      </c>
      <c r="M672" s="18" t="s">
        <v>124</v>
      </c>
      <c r="N672" s="18" t="s">
        <v>123</v>
      </c>
      <c r="O672" s="18" t="s">
        <v>122</v>
      </c>
      <c r="P672" s="5" t="s">
        <v>1</v>
      </c>
      <c r="Q672" s="5" t="s">
        <v>121</v>
      </c>
      <c r="R672" s="3" t="s">
        <v>4</v>
      </c>
      <c r="S672" s="3" t="s">
        <v>3</v>
      </c>
      <c r="T672" s="3" t="s">
        <v>29</v>
      </c>
      <c r="U672" s="3" t="s">
        <v>1</v>
      </c>
      <c r="V672" s="3" t="s">
        <v>0</v>
      </c>
      <c r="W672" s="2">
        <v>33</v>
      </c>
    </row>
    <row r="673" spans="1:24" s="9" customFormat="1" hidden="1" x14ac:dyDescent="0.25">
      <c r="A673" s="17">
        <v>11301</v>
      </c>
      <c r="B673" s="17" t="s">
        <v>2726</v>
      </c>
      <c r="C673" s="16" t="s">
        <v>2725</v>
      </c>
      <c r="D673" s="15" t="s">
        <v>15</v>
      </c>
      <c r="E673" s="14" t="s">
        <v>2036</v>
      </c>
      <c r="F673" s="13">
        <v>40646</v>
      </c>
      <c r="G673" s="13" t="s">
        <v>1</v>
      </c>
      <c r="H673" s="13" t="s">
        <v>1</v>
      </c>
      <c r="I673" s="12" t="s">
        <v>13</v>
      </c>
      <c r="J673" s="12" t="s">
        <v>12</v>
      </c>
      <c r="K673" s="12" t="s">
        <v>262</v>
      </c>
      <c r="L673" s="12" t="s">
        <v>261</v>
      </c>
      <c r="M673" s="12" t="s">
        <v>329</v>
      </c>
      <c r="N673" s="12" t="s">
        <v>1192</v>
      </c>
      <c r="O673" s="12" t="s">
        <v>59</v>
      </c>
      <c r="P673" s="12" t="s">
        <v>72</v>
      </c>
      <c r="Q673" s="12" t="s">
        <v>5</v>
      </c>
      <c r="R673" s="12" t="s">
        <v>4</v>
      </c>
      <c r="S673" s="12" t="s">
        <v>3</v>
      </c>
      <c r="T673" s="12" t="s">
        <v>2</v>
      </c>
      <c r="U673" s="12" t="s">
        <v>1</v>
      </c>
      <c r="V673" s="12" t="s">
        <v>0</v>
      </c>
      <c r="W673" s="11">
        <v>35</v>
      </c>
    </row>
    <row r="674" spans="1:24" s="78" customFormat="1" hidden="1" x14ac:dyDescent="0.25">
      <c r="A674" s="73">
        <v>11324</v>
      </c>
      <c r="B674" s="73" t="s">
        <v>2724</v>
      </c>
      <c r="C674" s="87" t="s">
        <v>2723</v>
      </c>
      <c r="D674" s="88" t="s">
        <v>15</v>
      </c>
      <c r="E674" s="89" t="s">
        <v>713</v>
      </c>
      <c r="F674" s="90">
        <v>40666</v>
      </c>
      <c r="G674" s="90" t="s">
        <v>1</v>
      </c>
      <c r="H674" s="90" t="s">
        <v>1</v>
      </c>
      <c r="I674" s="92" t="s">
        <v>13</v>
      </c>
      <c r="J674" s="92" t="s">
        <v>12</v>
      </c>
      <c r="K674" s="92" t="s">
        <v>262</v>
      </c>
      <c r="L674" s="92" t="s">
        <v>261</v>
      </c>
      <c r="M674" s="92" t="s">
        <v>329</v>
      </c>
      <c r="N674" s="92" t="s">
        <v>606</v>
      </c>
      <c r="O674" s="92" t="s">
        <v>59</v>
      </c>
      <c r="P674" s="92" t="s">
        <v>72</v>
      </c>
      <c r="Q674" s="92" t="s">
        <v>5</v>
      </c>
      <c r="R674" s="92" t="s">
        <v>4</v>
      </c>
      <c r="S674" s="92" t="s">
        <v>3</v>
      </c>
      <c r="T674" s="92" t="s">
        <v>2</v>
      </c>
      <c r="U674" s="92" t="s">
        <v>1</v>
      </c>
      <c r="V674" s="92" t="s">
        <v>0</v>
      </c>
      <c r="W674" s="93">
        <v>33</v>
      </c>
    </row>
    <row r="675" spans="1:24" s="78" customFormat="1" hidden="1" x14ac:dyDescent="0.25">
      <c r="A675" s="73">
        <v>11442</v>
      </c>
      <c r="B675" s="73" t="s">
        <v>2722</v>
      </c>
      <c r="C675" s="87" t="s">
        <v>2721</v>
      </c>
      <c r="D675" s="88" t="s">
        <v>15</v>
      </c>
      <c r="E675" s="89" t="s">
        <v>1869</v>
      </c>
      <c r="F675" s="90">
        <v>40701</v>
      </c>
      <c r="G675" s="90" t="s">
        <v>1</v>
      </c>
      <c r="H675" s="90" t="s">
        <v>1</v>
      </c>
      <c r="I675" s="92" t="s">
        <v>13</v>
      </c>
      <c r="J675" s="92" t="s">
        <v>12</v>
      </c>
      <c r="K675" s="92" t="s">
        <v>262</v>
      </c>
      <c r="L675" s="92" t="s">
        <v>261</v>
      </c>
      <c r="M675" s="92" t="s">
        <v>329</v>
      </c>
      <c r="N675" s="92" t="s">
        <v>1372</v>
      </c>
      <c r="O675" s="92" t="s">
        <v>59</v>
      </c>
      <c r="P675" s="92" t="s">
        <v>72</v>
      </c>
      <c r="Q675" s="92" t="s">
        <v>5</v>
      </c>
      <c r="R675" s="92" t="s">
        <v>4</v>
      </c>
      <c r="S675" s="92" t="s">
        <v>3</v>
      </c>
      <c r="T675" s="92" t="s">
        <v>2</v>
      </c>
      <c r="U675" s="92" t="s">
        <v>1</v>
      </c>
      <c r="V675" s="92" t="s">
        <v>0</v>
      </c>
      <c r="W675" s="93">
        <v>32</v>
      </c>
    </row>
    <row r="676" spans="1:24" s="9" customFormat="1" hidden="1" x14ac:dyDescent="0.25">
      <c r="A676" s="17">
        <v>9690</v>
      </c>
      <c r="B676" s="17" t="s">
        <v>2720</v>
      </c>
      <c r="C676" s="23" t="s">
        <v>2719</v>
      </c>
      <c r="D676" s="15" t="s">
        <v>15</v>
      </c>
      <c r="E676" s="14" t="s">
        <v>1237</v>
      </c>
      <c r="F676" s="13">
        <v>40297</v>
      </c>
      <c r="G676" s="13" t="s">
        <v>1</v>
      </c>
      <c r="H676" s="13" t="s">
        <v>1</v>
      </c>
      <c r="I676" s="12" t="s">
        <v>384</v>
      </c>
      <c r="J676" s="12" t="s">
        <v>807</v>
      </c>
      <c r="K676" s="12" t="s">
        <v>33</v>
      </c>
      <c r="L676" s="12" t="s">
        <v>33</v>
      </c>
      <c r="M676" s="12" t="s">
        <v>807</v>
      </c>
      <c r="N676" s="12" t="s">
        <v>2417</v>
      </c>
      <c r="O676" s="12" t="s">
        <v>387</v>
      </c>
      <c r="P676" s="12" t="s">
        <v>30</v>
      </c>
      <c r="Q676" s="12" t="s">
        <v>47</v>
      </c>
      <c r="R676" s="12" t="s">
        <v>4</v>
      </c>
      <c r="S676" s="12" t="s">
        <v>3</v>
      </c>
      <c r="T676" s="12" t="s">
        <v>29</v>
      </c>
      <c r="U676" s="12" t="s">
        <v>1</v>
      </c>
      <c r="V676" s="12" t="s">
        <v>0</v>
      </c>
      <c r="W676" s="11">
        <v>33</v>
      </c>
      <c r="X676" s="10"/>
    </row>
    <row r="677" spans="1:24" hidden="1" x14ac:dyDescent="0.25">
      <c r="A677" s="59">
        <v>11841</v>
      </c>
      <c r="B677" s="8" t="s">
        <v>2718</v>
      </c>
      <c r="C677" s="19" t="s">
        <v>2269</v>
      </c>
      <c r="D677" s="6" t="s">
        <v>15</v>
      </c>
      <c r="E677" s="18" t="s">
        <v>1089</v>
      </c>
      <c r="F677" s="4">
        <v>40721</v>
      </c>
      <c r="G677" s="4" t="s">
        <v>1</v>
      </c>
      <c r="H677" s="4" t="s">
        <v>1</v>
      </c>
      <c r="I677" s="3" t="s">
        <v>13</v>
      </c>
      <c r="J677" s="3" t="s">
        <v>12</v>
      </c>
      <c r="K677" s="3" t="s">
        <v>262</v>
      </c>
      <c r="L677" s="3" t="s">
        <v>261</v>
      </c>
      <c r="M677" s="3" t="s">
        <v>329</v>
      </c>
      <c r="N677" s="3" t="s">
        <v>320</v>
      </c>
      <c r="O677" s="3" t="s">
        <v>59</v>
      </c>
      <c r="P677" s="3" t="s">
        <v>72</v>
      </c>
      <c r="Q677" s="3" t="s">
        <v>5</v>
      </c>
      <c r="R677" s="3" t="s">
        <v>4</v>
      </c>
      <c r="S677" s="3" t="s">
        <v>3</v>
      </c>
      <c r="T677" s="3" t="s">
        <v>2</v>
      </c>
      <c r="U677" s="3" t="s">
        <v>1</v>
      </c>
      <c r="V677" s="3" t="s">
        <v>0</v>
      </c>
      <c r="W677" s="2">
        <v>33</v>
      </c>
    </row>
    <row r="678" spans="1:24" hidden="1" x14ac:dyDescent="0.25">
      <c r="A678" s="8">
        <v>9707</v>
      </c>
      <c r="B678" s="8" t="s">
        <v>2717</v>
      </c>
      <c r="C678" s="7" t="s">
        <v>2716</v>
      </c>
      <c r="D678" s="6" t="s">
        <v>15</v>
      </c>
      <c r="E678" s="5" t="s">
        <v>2713</v>
      </c>
      <c r="F678" s="4">
        <v>40299</v>
      </c>
      <c r="G678" s="4" t="s">
        <v>1</v>
      </c>
      <c r="H678" s="4" t="s">
        <v>1</v>
      </c>
      <c r="I678" s="3" t="s">
        <v>13</v>
      </c>
      <c r="J678" s="3" t="s">
        <v>12</v>
      </c>
      <c r="K678" s="3" t="s">
        <v>11</v>
      </c>
      <c r="L678" s="3" t="s">
        <v>10</v>
      </c>
      <c r="M678" s="3" t="s">
        <v>9</v>
      </c>
      <c r="N678" s="3" t="s">
        <v>1362</v>
      </c>
      <c r="O678" s="3" t="s">
        <v>39</v>
      </c>
      <c r="P678" s="3" t="s">
        <v>6</v>
      </c>
      <c r="Q678" s="3" t="s">
        <v>20</v>
      </c>
      <c r="R678" s="3" t="s">
        <v>4</v>
      </c>
      <c r="S678" s="3" t="s">
        <v>3</v>
      </c>
      <c r="T678" s="3" t="s">
        <v>1361</v>
      </c>
      <c r="U678" s="3" t="s">
        <v>1</v>
      </c>
      <c r="V678" s="3" t="s">
        <v>0</v>
      </c>
      <c r="W678" s="2">
        <v>35</v>
      </c>
    </row>
    <row r="679" spans="1:24" hidden="1" x14ac:dyDescent="0.25">
      <c r="A679" s="8">
        <v>9716</v>
      </c>
      <c r="B679" s="8" t="s">
        <v>2715</v>
      </c>
      <c r="C679" s="7" t="s">
        <v>2714</v>
      </c>
      <c r="D679" s="6" t="s">
        <v>15</v>
      </c>
      <c r="E679" s="5" t="s">
        <v>2713</v>
      </c>
      <c r="F679" s="4">
        <v>40299</v>
      </c>
      <c r="G679" s="4" t="s">
        <v>1</v>
      </c>
      <c r="H679" s="4" t="s">
        <v>1</v>
      </c>
      <c r="I679" s="3" t="s">
        <v>13</v>
      </c>
      <c r="J679" s="3" t="s">
        <v>133</v>
      </c>
      <c r="K679" s="3" t="s">
        <v>11</v>
      </c>
      <c r="L679" s="3" t="s">
        <v>10</v>
      </c>
      <c r="M679" s="3" t="s">
        <v>290</v>
      </c>
      <c r="N679" s="3" t="s">
        <v>198</v>
      </c>
      <c r="O679" s="3" t="s">
        <v>184</v>
      </c>
      <c r="P679" s="3" t="s">
        <v>6</v>
      </c>
      <c r="Q679" s="3" t="s">
        <v>20</v>
      </c>
      <c r="R679" s="3" t="s">
        <v>4</v>
      </c>
      <c r="S679" s="3" t="s">
        <v>3</v>
      </c>
      <c r="T679" s="3" t="s">
        <v>2</v>
      </c>
      <c r="U679" s="3" t="s">
        <v>1</v>
      </c>
      <c r="V679" s="3" t="s">
        <v>0</v>
      </c>
      <c r="W679" s="2">
        <v>37</v>
      </c>
    </row>
    <row r="680" spans="1:24" hidden="1" x14ac:dyDescent="0.25">
      <c r="A680" s="8">
        <v>11911</v>
      </c>
      <c r="B680" s="8" t="s">
        <v>2712</v>
      </c>
      <c r="C680" s="19" t="s">
        <v>2711</v>
      </c>
      <c r="D680" s="6" t="s">
        <v>15</v>
      </c>
      <c r="E680" s="18" t="s">
        <v>1789</v>
      </c>
      <c r="F680" s="4">
        <v>40735</v>
      </c>
      <c r="G680" s="4" t="s">
        <v>1</v>
      </c>
      <c r="H680" s="4" t="s">
        <v>1</v>
      </c>
      <c r="I680" s="3" t="s">
        <v>13</v>
      </c>
      <c r="J680" s="3" t="s">
        <v>12</v>
      </c>
      <c r="K680" s="3" t="s">
        <v>262</v>
      </c>
      <c r="L680" s="3" t="s">
        <v>261</v>
      </c>
      <c r="M680" s="3" t="s">
        <v>329</v>
      </c>
      <c r="N680" s="3" t="s">
        <v>2097</v>
      </c>
      <c r="O680" s="3" t="s">
        <v>67</v>
      </c>
      <c r="P680" s="3" t="s">
        <v>72</v>
      </c>
      <c r="Q680" s="3" t="s">
        <v>5</v>
      </c>
      <c r="R680" s="3" t="s">
        <v>4</v>
      </c>
      <c r="S680" s="3" t="s">
        <v>3</v>
      </c>
      <c r="T680" s="3" t="s">
        <v>2</v>
      </c>
      <c r="U680" s="3" t="s">
        <v>1</v>
      </c>
      <c r="V680" s="3" t="s">
        <v>0</v>
      </c>
      <c r="W680" s="2">
        <v>31</v>
      </c>
    </row>
    <row r="681" spans="1:24" hidden="1" x14ac:dyDescent="0.25">
      <c r="A681" s="8">
        <v>9786</v>
      </c>
      <c r="B681" s="8" t="s">
        <v>2710</v>
      </c>
      <c r="C681" s="7" t="s">
        <v>2709</v>
      </c>
      <c r="D681" s="6" t="s">
        <v>15</v>
      </c>
      <c r="E681" s="5" t="s">
        <v>2708</v>
      </c>
      <c r="F681" s="4">
        <v>40330</v>
      </c>
      <c r="G681" s="4" t="s">
        <v>1</v>
      </c>
      <c r="H681" s="4" t="s">
        <v>1</v>
      </c>
      <c r="I681" s="5" t="s">
        <v>93</v>
      </c>
      <c r="J681" s="5" t="s">
        <v>92</v>
      </c>
      <c r="K681" s="5" t="s">
        <v>33</v>
      </c>
      <c r="L681" s="5" t="s">
        <v>33</v>
      </c>
      <c r="M681" s="5" t="s">
        <v>394</v>
      </c>
      <c r="N681" s="5" t="s">
        <v>1146</v>
      </c>
      <c r="O681" s="5" t="s">
        <v>394</v>
      </c>
      <c r="P681" s="5" t="s">
        <v>30</v>
      </c>
      <c r="Q681" s="5" t="s">
        <v>47</v>
      </c>
      <c r="R681" s="3" t="s">
        <v>4</v>
      </c>
      <c r="S681" s="3" t="s">
        <v>3</v>
      </c>
      <c r="T681" s="3" t="s">
        <v>88</v>
      </c>
      <c r="U681" s="3" t="s">
        <v>1</v>
      </c>
      <c r="V681" s="3" t="s">
        <v>18</v>
      </c>
      <c r="W681" s="2">
        <v>40</v>
      </c>
    </row>
    <row r="682" spans="1:24" hidden="1" x14ac:dyDescent="0.25">
      <c r="A682" s="8">
        <v>12683</v>
      </c>
      <c r="B682" s="8" t="s">
        <v>2707</v>
      </c>
      <c r="C682" s="7" t="s">
        <v>2706</v>
      </c>
      <c r="D682" s="6" t="s">
        <v>15</v>
      </c>
      <c r="E682" s="5" t="s">
        <v>149</v>
      </c>
      <c r="F682" s="4">
        <v>40819</v>
      </c>
      <c r="G682" s="4" t="s">
        <v>1</v>
      </c>
      <c r="H682" s="4" t="s">
        <v>1</v>
      </c>
      <c r="I682" s="3" t="s">
        <v>13</v>
      </c>
      <c r="J682" s="3" t="s">
        <v>12</v>
      </c>
      <c r="K682" s="3" t="s">
        <v>262</v>
      </c>
      <c r="L682" s="3" t="s">
        <v>261</v>
      </c>
      <c r="M682" s="3" t="s">
        <v>329</v>
      </c>
      <c r="N682" s="3" t="s">
        <v>68</v>
      </c>
      <c r="O682" s="3" t="s">
        <v>67</v>
      </c>
      <c r="P682" s="3" t="s">
        <v>72</v>
      </c>
      <c r="Q682" s="3" t="s">
        <v>5</v>
      </c>
      <c r="R682" s="3" t="s">
        <v>4</v>
      </c>
      <c r="S682" s="3" t="s">
        <v>3</v>
      </c>
      <c r="T682" s="3" t="s">
        <v>2</v>
      </c>
      <c r="U682" s="3" t="s">
        <v>1</v>
      </c>
      <c r="V682" s="3" t="s">
        <v>18</v>
      </c>
      <c r="W682" s="2">
        <v>33</v>
      </c>
    </row>
    <row r="683" spans="1:24" hidden="1" x14ac:dyDescent="0.25">
      <c r="A683" s="8">
        <v>9801</v>
      </c>
      <c r="B683" s="8" t="s">
        <v>2705</v>
      </c>
      <c r="C683" s="7" t="s">
        <v>2704</v>
      </c>
      <c r="D683" s="6" t="s">
        <v>15</v>
      </c>
      <c r="E683" s="5" t="s">
        <v>1899</v>
      </c>
      <c r="F683" s="4">
        <v>40360</v>
      </c>
      <c r="G683" s="4" t="s">
        <v>1</v>
      </c>
      <c r="H683" s="4" t="s">
        <v>1</v>
      </c>
      <c r="I683" s="3" t="s">
        <v>13</v>
      </c>
      <c r="J683" s="3" t="s">
        <v>12</v>
      </c>
      <c r="K683" s="3" t="s">
        <v>11</v>
      </c>
      <c r="L683" s="3" t="s">
        <v>10</v>
      </c>
      <c r="M683" s="3" t="s">
        <v>9</v>
      </c>
      <c r="N683" s="3" t="s">
        <v>1078</v>
      </c>
      <c r="O683" s="3" t="s">
        <v>29</v>
      </c>
      <c r="P683" s="3" t="s">
        <v>6</v>
      </c>
      <c r="Q683" s="3" t="s">
        <v>20</v>
      </c>
      <c r="R683" s="3" t="s">
        <v>4</v>
      </c>
      <c r="S683" s="3" t="s">
        <v>3</v>
      </c>
      <c r="T683" s="3" t="s">
        <v>1077</v>
      </c>
      <c r="U683" s="3" t="s">
        <v>1</v>
      </c>
      <c r="V683" s="3" t="s">
        <v>0</v>
      </c>
      <c r="W683" s="2">
        <v>36</v>
      </c>
    </row>
    <row r="684" spans="1:24" hidden="1" x14ac:dyDescent="0.25">
      <c r="A684" s="8">
        <v>13471</v>
      </c>
      <c r="B684" s="8" t="s">
        <v>2703</v>
      </c>
      <c r="C684" s="7" t="s">
        <v>2702</v>
      </c>
      <c r="D684" s="6" t="s">
        <v>15</v>
      </c>
      <c r="E684" s="5" t="s">
        <v>1242</v>
      </c>
      <c r="F684" s="4">
        <v>40945</v>
      </c>
      <c r="G684" s="4" t="s">
        <v>1</v>
      </c>
      <c r="H684" s="4" t="s">
        <v>1</v>
      </c>
      <c r="I684" s="3" t="s">
        <v>13</v>
      </c>
      <c r="J684" s="3" t="s">
        <v>12</v>
      </c>
      <c r="K684" s="3" t="s">
        <v>262</v>
      </c>
      <c r="L684" s="3" t="s">
        <v>261</v>
      </c>
      <c r="M684" s="3" t="s">
        <v>329</v>
      </c>
      <c r="N684" s="3" t="s">
        <v>1791</v>
      </c>
      <c r="O684" s="3" t="s">
        <v>7</v>
      </c>
      <c r="P684" s="3" t="s">
        <v>30</v>
      </c>
      <c r="Q684" s="3" t="s">
        <v>5</v>
      </c>
      <c r="R684" s="3" t="s">
        <v>4</v>
      </c>
      <c r="S684" s="3" t="s">
        <v>3</v>
      </c>
      <c r="T684" s="3" t="s">
        <v>2</v>
      </c>
      <c r="U684" s="3" t="s">
        <v>1</v>
      </c>
      <c r="V684" s="3" t="s">
        <v>0</v>
      </c>
      <c r="W684" s="2">
        <v>31</v>
      </c>
    </row>
    <row r="685" spans="1:24" hidden="1" x14ac:dyDescent="0.25">
      <c r="A685" s="29">
        <v>9849</v>
      </c>
      <c r="B685" s="8" t="s">
        <v>2701</v>
      </c>
      <c r="C685" s="19" t="s">
        <v>2700</v>
      </c>
      <c r="D685" s="6" t="s">
        <v>15</v>
      </c>
      <c r="E685" s="18" t="s">
        <v>1674</v>
      </c>
      <c r="F685" s="4">
        <v>40411</v>
      </c>
      <c r="G685" s="4" t="s">
        <v>1</v>
      </c>
      <c r="H685" s="4" t="s">
        <v>1</v>
      </c>
      <c r="I685" s="3" t="s">
        <v>13</v>
      </c>
      <c r="J685" s="3" t="s">
        <v>12</v>
      </c>
      <c r="K685" s="3" t="s">
        <v>262</v>
      </c>
      <c r="L685" s="3" t="s">
        <v>261</v>
      </c>
      <c r="M685" s="3" t="s">
        <v>260</v>
      </c>
      <c r="N685" s="3" t="s">
        <v>2097</v>
      </c>
      <c r="O685" s="3" t="s">
        <v>67</v>
      </c>
      <c r="P685" s="3" t="s">
        <v>6</v>
      </c>
      <c r="Q685" s="3" t="s">
        <v>5</v>
      </c>
      <c r="R685" s="3" t="s">
        <v>4</v>
      </c>
      <c r="S685" s="3" t="s">
        <v>3</v>
      </c>
      <c r="T685" s="3" t="s">
        <v>2</v>
      </c>
      <c r="U685" s="3" t="s">
        <v>1</v>
      </c>
      <c r="V685" s="5" t="s">
        <v>0</v>
      </c>
      <c r="W685" s="2">
        <v>33</v>
      </c>
    </row>
    <row r="686" spans="1:24" hidden="1" x14ac:dyDescent="0.25">
      <c r="A686" s="8">
        <v>9853</v>
      </c>
      <c r="B686" s="8" t="s">
        <v>2699</v>
      </c>
      <c r="C686" s="7" t="s">
        <v>2698</v>
      </c>
      <c r="D686" s="6" t="s">
        <v>15</v>
      </c>
      <c r="E686" s="5" t="s">
        <v>1674</v>
      </c>
      <c r="F686" s="4">
        <v>40411</v>
      </c>
      <c r="G686" s="4" t="s">
        <v>1</v>
      </c>
      <c r="H686" s="4" t="s">
        <v>1</v>
      </c>
      <c r="I686" s="3" t="s">
        <v>13</v>
      </c>
      <c r="J686" s="3" t="s">
        <v>12</v>
      </c>
      <c r="K686" s="3" t="s">
        <v>283</v>
      </c>
      <c r="L686" s="3" t="s">
        <v>282</v>
      </c>
      <c r="M686" s="3" t="s">
        <v>281</v>
      </c>
      <c r="N686" s="3" t="s">
        <v>2697</v>
      </c>
      <c r="O686" s="3" t="s">
        <v>100</v>
      </c>
      <c r="P686" s="3" t="s">
        <v>6</v>
      </c>
      <c r="Q686" s="3" t="s">
        <v>20</v>
      </c>
      <c r="R686" s="3" t="s">
        <v>4</v>
      </c>
      <c r="S686" s="3" t="s">
        <v>3</v>
      </c>
      <c r="T686" s="3" t="s">
        <v>2</v>
      </c>
      <c r="U686" s="3" t="s">
        <v>1</v>
      </c>
      <c r="V686" s="3" t="s">
        <v>0</v>
      </c>
      <c r="W686" s="2">
        <v>33</v>
      </c>
    </row>
    <row r="687" spans="1:24" hidden="1" x14ac:dyDescent="0.25">
      <c r="A687" s="8">
        <v>15439</v>
      </c>
      <c r="B687" s="8" t="s">
        <v>2696</v>
      </c>
      <c r="C687" s="19" t="s">
        <v>2695</v>
      </c>
      <c r="D687" s="6" t="s">
        <v>15</v>
      </c>
      <c r="E687" s="18" t="s">
        <v>2694</v>
      </c>
      <c r="F687" s="4">
        <v>41445</v>
      </c>
      <c r="G687" s="4" t="s">
        <v>1</v>
      </c>
      <c r="H687" s="4" t="s">
        <v>1</v>
      </c>
      <c r="I687" s="3" t="s">
        <v>13</v>
      </c>
      <c r="J687" s="3" t="s">
        <v>12</v>
      </c>
      <c r="K687" s="3" t="s">
        <v>262</v>
      </c>
      <c r="L687" s="3" t="s">
        <v>261</v>
      </c>
      <c r="M687" s="3" t="s">
        <v>329</v>
      </c>
      <c r="N687" s="3" t="s">
        <v>628</v>
      </c>
      <c r="O687" s="3" t="s">
        <v>59</v>
      </c>
      <c r="P687" s="3" t="s">
        <v>72</v>
      </c>
      <c r="Q687" s="3" t="s">
        <v>5</v>
      </c>
      <c r="R687" s="3" t="s">
        <v>4</v>
      </c>
      <c r="S687" s="3" t="s">
        <v>3</v>
      </c>
      <c r="T687" s="3" t="s">
        <v>2</v>
      </c>
      <c r="U687" s="3" t="s">
        <v>1</v>
      </c>
      <c r="V687" s="3" t="s">
        <v>0</v>
      </c>
      <c r="W687" s="2">
        <v>29</v>
      </c>
    </row>
    <row r="688" spans="1:24" hidden="1" x14ac:dyDescent="0.25">
      <c r="A688" s="8">
        <v>16833</v>
      </c>
      <c r="B688" s="8" t="s">
        <v>2693</v>
      </c>
      <c r="C688" s="7" t="s">
        <v>2692</v>
      </c>
      <c r="D688" s="6" t="s">
        <v>15</v>
      </c>
      <c r="E688" s="5" t="s">
        <v>2691</v>
      </c>
      <c r="F688" s="4">
        <v>41694</v>
      </c>
      <c r="G688" s="4" t="s">
        <v>1</v>
      </c>
      <c r="H688" s="4" t="s">
        <v>1</v>
      </c>
      <c r="I688" s="3" t="s">
        <v>13</v>
      </c>
      <c r="J688" s="3" t="s">
        <v>12</v>
      </c>
      <c r="K688" s="3" t="s">
        <v>262</v>
      </c>
      <c r="L688" s="3" t="s">
        <v>261</v>
      </c>
      <c r="M688" s="3" t="s">
        <v>329</v>
      </c>
      <c r="N688" s="3" t="s">
        <v>2690</v>
      </c>
      <c r="O688" s="3" t="s">
        <v>258</v>
      </c>
      <c r="P688" s="3" t="s">
        <v>72</v>
      </c>
      <c r="Q688" s="3" t="s">
        <v>5</v>
      </c>
      <c r="R688" s="3" t="s">
        <v>4</v>
      </c>
      <c r="S688" s="3" t="s">
        <v>3</v>
      </c>
      <c r="T688" s="3" t="s">
        <v>2</v>
      </c>
      <c r="U688" s="3" t="s">
        <v>1</v>
      </c>
      <c r="V688" s="3" t="s">
        <v>18</v>
      </c>
      <c r="W688" s="2">
        <v>29</v>
      </c>
    </row>
    <row r="689" spans="1:23" s="9" customFormat="1" hidden="1" x14ac:dyDescent="0.25">
      <c r="A689" s="17">
        <v>9864</v>
      </c>
      <c r="B689" s="17" t="s">
        <v>2689</v>
      </c>
      <c r="C689" s="24" t="s">
        <v>2688</v>
      </c>
      <c r="D689" s="15" t="s">
        <v>15</v>
      </c>
      <c r="E689" s="22" t="s">
        <v>1674</v>
      </c>
      <c r="F689" s="13">
        <v>40411</v>
      </c>
      <c r="G689" s="13" t="s">
        <v>1</v>
      </c>
      <c r="H689" s="13" t="s">
        <v>1</v>
      </c>
      <c r="I689" s="12" t="s">
        <v>145</v>
      </c>
      <c r="J689" s="12" t="s">
        <v>12</v>
      </c>
      <c r="K689" s="12" t="s">
        <v>1933</v>
      </c>
      <c r="L689" s="12" t="s">
        <v>2356</v>
      </c>
      <c r="M689" s="12" t="s">
        <v>2355</v>
      </c>
      <c r="N689" s="12" t="s">
        <v>1355</v>
      </c>
      <c r="O689" s="12" t="s">
        <v>100</v>
      </c>
      <c r="P689" s="12" t="s">
        <v>30</v>
      </c>
      <c r="Q689" s="12" t="s">
        <v>20</v>
      </c>
      <c r="R689" s="12" t="s">
        <v>4</v>
      </c>
      <c r="S689" s="12" t="s">
        <v>3</v>
      </c>
      <c r="T689" s="12" t="s">
        <v>2</v>
      </c>
      <c r="U689" s="12" t="s">
        <v>1</v>
      </c>
      <c r="V689" s="12" t="s">
        <v>0</v>
      </c>
      <c r="W689" s="11">
        <v>33</v>
      </c>
    </row>
    <row r="690" spans="1:23" s="9" customFormat="1" hidden="1" x14ac:dyDescent="0.25">
      <c r="A690" s="17">
        <v>19480</v>
      </c>
      <c r="B690" s="17" t="s">
        <v>2687</v>
      </c>
      <c r="C690" s="16" t="s">
        <v>2686</v>
      </c>
      <c r="D690" s="15" t="s">
        <v>15</v>
      </c>
      <c r="E690" s="14" t="s">
        <v>2685</v>
      </c>
      <c r="F690" s="13">
        <v>42464</v>
      </c>
      <c r="G690" s="13" t="s">
        <v>1</v>
      </c>
      <c r="H690" s="13" t="s">
        <v>1</v>
      </c>
      <c r="I690" s="12" t="s">
        <v>13</v>
      </c>
      <c r="J690" s="12" t="s">
        <v>12</v>
      </c>
      <c r="K690" s="12" t="s">
        <v>262</v>
      </c>
      <c r="L690" s="12" t="s">
        <v>261</v>
      </c>
      <c r="M690" s="12" t="s">
        <v>329</v>
      </c>
      <c r="N690" s="12" t="s">
        <v>8</v>
      </c>
      <c r="O690" s="12" t="s">
        <v>7</v>
      </c>
      <c r="P690" s="12" t="s">
        <v>72</v>
      </c>
      <c r="Q690" s="12" t="s">
        <v>5</v>
      </c>
      <c r="R690" s="12" t="s">
        <v>4</v>
      </c>
      <c r="S690" s="12" t="s">
        <v>3</v>
      </c>
      <c r="T690" s="12" t="s">
        <v>2</v>
      </c>
      <c r="U690" s="12" t="s">
        <v>1</v>
      </c>
      <c r="V690" s="12" t="s">
        <v>0</v>
      </c>
      <c r="W690" s="11">
        <v>29</v>
      </c>
    </row>
    <row r="691" spans="1:23" hidden="1" x14ac:dyDescent="0.25">
      <c r="A691" s="8">
        <v>20429</v>
      </c>
      <c r="B691" s="8" t="s">
        <v>2684</v>
      </c>
      <c r="C691" s="7" t="s">
        <v>2683</v>
      </c>
      <c r="D691" s="6" t="s">
        <v>15</v>
      </c>
      <c r="E691" s="5" t="s">
        <v>2682</v>
      </c>
      <c r="F691" s="4">
        <v>42627</v>
      </c>
      <c r="G691" s="4" t="s">
        <v>1</v>
      </c>
      <c r="H691" s="4" t="s">
        <v>1</v>
      </c>
      <c r="I691" s="3" t="s">
        <v>13</v>
      </c>
      <c r="J691" s="3" t="s">
        <v>12</v>
      </c>
      <c r="K691" s="3" t="s">
        <v>262</v>
      </c>
      <c r="L691" s="3" t="s">
        <v>261</v>
      </c>
      <c r="M691" s="3" t="s">
        <v>329</v>
      </c>
      <c r="N691" s="3" t="s">
        <v>646</v>
      </c>
      <c r="O691" s="3" t="s">
        <v>67</v>
      </c>
      <c r="P691" s="3" t="s">
        <v>72</v>
      </c>
      <c r="Q691" s="3" t="s">
        <v>5</v>
      </c>
      <c r="R691" s="3" t="s">
        <v>4</v>
      </c>
      <c r="S691" s="3" t="s">
        <v>3</v>
      </c>
      <c r="T691" s="3" t="s">
        <v>2</v>
      </c>
      <c r="U691" s="3" t="s">
        <v>1</v>
      </c>
      <c r="V691" s="3" t="s">
        <v>0</v>
      </c>
      <c r="W691" s="2">
        <v>27</v>
      </c>
    </row>
    <row r="692" spans="1:23" hidden="1" x14ac:dyDescent="0.25">
      <c r="A692" s="8">
        <v>9896</v>
      </c>
      <c r="B692" s="8" t="s">
        <v>2681</v>
      </c>
      <c r="C692" s="7" t="s">
        <v>2680</v>
      </c>
      <c r="D692" s="6" t="s">
        <v>15</v>
      </c>
      <c r="E692" s="5" t="s">
        <v>2494</v>
      </c>
      <c r="F692" s="4">
        <v>40424</v>
      </c>
      <c r="G692" s="4" t="s">
        <v>1</v>
      </c>
      <c r="H692" s="4" t="s">
        <v>1</v>
      </c>
      <c r="I692" s="3" t="s">
        <v>13</v>
      </c>
      <c r="J692" s="3" t="s">
        <v>12</v>
      </c>
      <c r="K692" s="3" t="s">
        <v>63</v>
      </c>
      <c r="L692" s="3" t="s">
        <v>81</v>
      </c>
      <c r="M692" s="3" t="s">
        <v>80</v>
      </c>
      <c r="N692" s="3" t="s">
        <v>1829</v>
      </c>
      <c r="O692" s="3" t="s">
        <v>59</v>
      </c>
      <c r="P692" s="3" t="s">
        <v>6</v>
      </c>
      <c r="Q692" s="3" t="s">
        <v>5</v>
      </c>
      <c r="R692" s="3" t="s">
        <v>4</v>
      </c>
      <c r="S692" s="3" t="s">
        <v>3</v>
      </c>
      <c r="T692" s="3" t="s">
        <v>2</v>
      </c>
      <c r="U692" s="3" t="s">
        <v>1</v>
      </c>
      <c r="V692" s="3" t="s">
        <v>0</v>
      </c>
      <c r="W692" s="2">
        <v>33</v>
      </c>
    </row>
    <row r="693" spans="1:23" hidden="1" x14ac:dyDescent="0.25">
      <c r="A693" s="8">
        <v>21056</v>
      </c>
      <c r="B693" s="8" t="s">
        <v>2679</v>
      </c>
      <c r="C693" s="7" t="s">
        <v>2678</v>
      </c>
      <c r="D693" s="6" t="s">
        <v>15</v>
      </c>
      <c r="E693" s="5" t="s">
        <v>650</v>
      </c>
      <c r="F693" s="4">
        <v>42863</v>
      </c>
      <c r="G693" s="4" t="s">
        <v>1</v>
      </c>
      <c r="H693" s="4" t="s">
        <v>1</v>
      </c>
      <c r="I693" s="3" t="s">
        <v>13</v>
      </c>
      <c r="J693" s="3" t="s">
        <v>12</v>
      </c>
      <c r="K693" s="3" t="s">
        <v>262</v>
      </c>
      <c r="L693" s="3" t="s">
        <v>261</v>
      </c>
      <c r="M693" s="3" t="s">
        <v>329</v>
      </c>
      <c r="N693" s="3" t="s">
        <v>272</v>
      </c>
      <c r="O693" s="3" t="s">
        <v>59</v>
      </c>
      <c r="P693" s="3" t="s">
        <v>72</v>
      </c>
      <c r="Q693" s="3" t="s">
        <v>5</v>
      </c>
      <c r="R693" s="3" t="s">
        <v>4</v>
      </c>
      <c r="S693" s="3" t="s">
        <v>3</v>
      </c>
      <c r="T693" s="3" t="s">
        <v>2</v>
      </c>
      <c r="U693" s="3" t="s">
        <v>1</v>
      </c>
      <c r="V693" s="3" t="s">
        <v>0</v>
      </c>
      <c r="W693" s="2">
        <v>25</v>
      </c>
    </row>
    <row r="694" spans="1:23" hidden="1" x14ac:dyDescent="0.25">
      <c r="A694" s="8">
        <v>9899</v>
      </c>
      <c r="B694" s="8" t="s">
        <v>2677</v>
      </c>
      <c r="C694" s="7" t="s">
        <v>2676</v>
      </c>
      <c r="D694" s="6" t="s">
        <v>15</v>
      </c>
      <c r="E694" s="5" t="s">
        <v>2494</v>
      </c>
      <c r="F694" s="4">
        <v>40424</v>
      </c>
      <c r="G694" s="4" t="s">
        <v>1</v>
      </c>
      <c r="H694" s="4" t="s">
        <v>1</v>
      </c>
      <c r="I694" s="3" t="s">
        <v>13</v>
      </c>
      <c r="J694" s="3" t="s">
        <v>133</v>
      </c>
      <c r="K694" s="3" t="s">
        <v>63</v>
      </c>
      <c r="L694" s="3" t="s">
        <v>1634</v>
      </c>
      <c r="M694" s="3" t="s">
        <v>1633</v>
      </c>
      <c r="N694" s="3" t="s">
        <v>870</v>
      </c>
      <c r="O694" s="3" t="s">
        <v>21</v>
      </c>
      <c r="P694" s="3" t="s">
        <v>6</v>
      </c>
      <c r="Q694" s="3" t="s">
        <v>20</v>
      </c>
      <c r="R694" s="3" t="s">
        <v>4</v>
      </c>
      <c r="S694" s="3" t="s">
        <v>3</v>
      </c>
      <c r="T694" s="3" t="s">
        <v>2</v>
      </c>
      <c r="U694" s="3" t="s">
        <v>1</v>
      </c>
      <c r="V694" s="3" t="s">
        <v>0</v>
      </c>
      <c r="W694" s="2">
        <v>35</v>
      </c>
    </row>
    <row r="695" spans="1:23" hidden="1" x14ac:dyDescent="0.25">
      <c r="A695" s="8">
        <v>21216</v>
      </c>
      <c r="B695" s="8" t="s">
        <v>2675</v>
      </c>
      <c r="C695" s="7" t="s">
        <v>2674</v>
      </c>
      <c r="D695" s="6" t="s">
        <v>15</v>
      </c>
      <c r="E695" s="5" t="s">
        <v>643</v>
      </c>
      <c r="F695" s="4">
        <v>42877</v>
      </c>
      <c r="G695" s="4" t="s">
        <v>1</v>
      </c>
      <c r="H695" s="4" t="s">
        <v>1</v>
      </c>
      <c r="I695" s="3" t="s">
        <v>13</v>
      </c>
      <c r="J695" s="3" t="s">
        <v>12</v>
      </c>
      <c r="K695" s="3" t="s">
        <v>262</v>
      </c>
      <c r="L695" s="3" t="s">
        <v>261</v>
      </c>
      <c r="M695" s="3" t="s">
        <v>329</v>
      </c>
      <c r="N695" s="3" t="s">
        <v>22</v>
      </c>
      <c r="O695" s="3" t="s">
        <v>21</v>
      </c>
      <c r="P695" s="3" t="s">
        <v>72</v>
      </c>
      <c r="Q695" s="3" t="s">
        <v>20</v>
      </c>
      <c r="R695" s="3" t="s">
        <v>4</v>
      </c>
      <c r="S695" s="3" t="s">
        <v>3</v>
      </c>
      <c r="T695" s="3" t="s">
        <v>19</v>
      </c>
      <c r="U695" s="3" t="s">
        <v>1</v>
      </c>
      <c r="V695" s="3" t="s">
        <v>18</v>
      </c>
      <c r="W695" s="2">
        <v>27</v>
      </c>
    </row>
    <row r="696" spans="1:23" hidden="1" x14ac:dyDescent="0.25">
      <c r="A696" s="8">
        <v>9907</v>
      </c>
      <c r="B696" s="8" t="s">
        <v>2673</v>
      </c>
      <c r="C696" s="7" t="s">
        <v>2672</v>
      </c>
      <c r="D696" s="6" t="s">
        <v>15</v>
      </c>
      <c r="E696" s="5" t="s">
        <v>2494</v>
      </c>
      <c r="F696" s="4">
        <v>40424</v>
      </c>
      <c r="G696" s="4" t="s">
        <v>1</v>
      </c>
      <c r="H696" s="4" t="s">
        <v>1</v>
      </c>
      <c r="I696" s="3" t="s">
        <v>13</v>
      </c>
      <c r="J696" s="3" t="s">
        <v>133</v>
      </c>
      <c r="K696" s="3" t="s">
        <v>187</v>
      </c>
      <c r="L696" s="3" t="s">
        <v>187</v>
      </c>
      <c r="M696" s="3" t="s">
        <v>186</v>
      </c>
      <c r="N696" s="3" t="s">
        <v>2671</v>
      </c>
      <c r="O696" s="3" t="s">
        <v>453</v>
      </c>
      <c r="P696" s="3" t="s">
        <v>6</v>
      </c>
      <c r="Q696" s="3" t="s">
        <v>5</v>
      </c>
      <c r="R696" s="3" t="s">
        <v>4</v>
      </c>
      <c r="S696" s="3" t="s">
        <v>3</v>
      </c>
      <c r="T696" s="3" t="s">
        <v>2</v>
      </c>
      <c r="U696" s="3" t="s">
        <v>1</v>
      </c>
      <c r="V696" s="3" t="s">
        <v>0</v>
      </c>
      <c r="W696" s="2">
        <v>33</v>
      </c>
    </row>
    <row r="697" spans="1:23" hidden="1" x14ac:dyDescent="0.25">
      <c r="A697" s="8">
        <v>9912</v>
      </c>
      <c r="B697" s="8" t="s">
        <v>2670</v>
      </c>
      <c r="C697" s="7" t="s">
        <v>2669</v>
      </c>
      <c r="D697" s="6" t="s">
        <v>15</v>
      </c>
      <c r="E697" s="5" t="s">
        <v>1041</v>
      </c>
      <c r="F697" s="4">
        <v>40431</v>
      </c>
      <c r="G697" s="4" t="s">
        <v>1</v>
      </c>
      <c r="H697" s="4" t="s">
        <v>1</v>
      </c>
      <c r="I697" s="3" t="s">
        <v>13</v>
      </c>
      <c r="J697" s="3" t="s">
        <v>133</v>
      </c>
      <c r="K697" s="3" t="s">
        <v>262</v>
      </c>
      <c r="L697" s="3" t="s">
        <v>262</v>
      </c>
      <c r="M697" s="3" t="s">
        <v>277</v>
      </c>
      <c r="N697" s="3" t="s">
        <v>185</v>
      </c>
      <c r="O697" s="3" t="s">
        <v>184</v>
      </c>
      <c r="P697" s="3" t="s">
        <v>6</v>
      </c>
      <c r="Q697" s="3" t="s">
        <v>20</v>
      </c>
      <c r="R697" s="3" t="s">
        <v>4</v>
      </c>
      <c r="S697" s="3" t="s">
        <v>3</v>
      </c>
      <c r="T697" s="3" t="s">
        <v>2</v>
      </c>
      <c r="U697" s="3" t="s">
        <v>1</v>
      </c>
      <c r="V697" s="3" t="s">
        <v>0</v>
      </c>
      <c r="W697" s="2">
        <v>33</v>
      </c>
    </row>
    <row r="698" spans="1:23" hidden="1" x14ac:dyDescent="0.25">
      <c r="A698" s="8">
        <v>9917</v>
      </c>
      <c r="B698" s="8" t="s">
        <v>2668</v>
      </c>
      <c r="C698" s="7" t="s">
        <v>2667</v>
      </c>
      <c r="D698" s="6" t="s">
        <v>15</v>
      </c>
      <c r="E698" s="5" t="s">
        <v>1041</v>
      </c>
      <c r="F698" s="4">
        <v>40431</v>
      </c>
      <c r="G698" s="4" t="s">
        <v>1</v>
      </c>
      <c r="H698" s="4" t="s">
        <v>1</v>
      </c>
      <c r="I698" s="3" t="s">
        <v>13</v>
      </c>
      <c r="J698" s="3" t="s">
        <v>12</v>
      </c>
      <c r="K698" s="3" t="s">
        <v>283</v>
      </c>
      <c r="L698" s="3" t="s">
        <v>282</v>
      </c>
      <c r="M698" s="3" t="s">
        <v>281</v>
      </c>
      <c r="N698" s="3" t="s">
        <v>1476</v>
      </c>
      <c r="O698" s="3" t="s">
        <v>100</v>
      </c>
      <c r="P698" s="3" t="s">
        <v>6</v>
      </c>
      <c r="Q698" s="3" t="s">
        <v>20</v>
      </c>
      <c r="R698" s="3" t="s">
        <v>4</v>
      </c>
      <c r="S698" s="3" t="s">
        <v>3</v>
      </c>
      <c r="T698" s="3" t="s">
        <v>2</v>
      </c>
      <c r="U698" s="3" t="s">
        <v>1</v>
      </c>
      <c r="V698" s="3" t="s">
        <v>0</v>
      </c>
      <c r="W698" s="2">
        <v>36</v>
      </c>
    </row>
    <row r="699" spans="1:23" hidden="1" x14ac:dyDescent="0.25">
      <c r="A699" s="8">
        <v>9925</v>
      </c>
      <c r="B699" s="8" t="s">
        <v>2666</v>
      </c>
      <c r="C699" s="7" t="s">
        <v>2665</v>
      </c>
      <c r="D699" s="6" t="s">
        <v>15</v>
      </c>
      <c r="E699" s="5" t="s">
        <v>1041</v>
      </c>
      <c r="F699" s="4">
        <v>40431</v>
      </c>
      <c r="G699" s="4" t="s">
        <v>1</v>
      </c>
      <c r="H699" s="4" t="s">
        <v>1</v>
      </c>
      <c r="I699" s="3" t="s">
        <v>145</v>
      </c>
      <c r="J699" s="3" t="s">
        <v>34</v>
      </c>
      <c r="K699" s="3" t="s">
        <v>33</v>
      </c>
      <c r="L699" s="3" t="s">
        <v>33</v>
      </c>
      <c r="M699" s="3" t="s">
        <v>144</v>
      </c>
      <c r="N699" s="3" t="s">
        <v>143</v>
      </c>
      <c r="O699" s="3" t="s">
        <v>142</v>
      </c>
      <c r="P699" s="3" t="s">
        <v>6</v>
      </c>
      <c r="Q699" s="3" t="s">
        <v>47</v>
      </c>
      <c r="R699" s="3" t="s">
        <v>4</v>
      </c>
      <c r="S699" s="3" t="s">
        <v>3</v>
      </c>
      <c r="T699" s="3" t="s">
        <v>2</v>
      </c>
      <c r="U699" s="3" t="s">
        <v>1</v>
      </c>
      <c r="V699" s="3" t="s">
        <v>0</v>
      </c>
      <c r="W699" s="2">
        <v>32</v>
      </c>
    </row>
    <row r="700" spans="1:23" hidden="1" x14ac:dyDescent="0.25">
      <c r="A700" s="8">
        <v>21344</v>
      </c>
      <c r="B700" s="8" t="s">
        <v>2664</v>
      </c>
      <c r="C700" s="19" t="s">
        <v>2663</v>
      </c>
      <c r="D700" s="6" t="s">
        <v>15</v>
      </c>
      <c r="E700" s="18" t="s">
        <v>612</v>
      </c>
      <c r="F700" s="4">
        <v>43013</v>
      </c>
      <c r="G700" s="4" t="s">
        <v>1</v>
      </c>
      <c r="H700" s="4" t="s">
        <v>1</v>
      </c>
      <c r="I700" s="3" t="s">
        <v>13</v>
      </c>
      <c r="J700" s="3" t="s">
        <v>12</v>
      </c>
      <c r="K700" s="3" t="s">
        <v>262</v>
      </c>
      <c r="L700" s="3" t="s">
        <v>261</v>
      </c>
      <c r="M700" s="3" t="s">
        <v>329</v>
      </c>
      <c r="N700" s="3" t="s">
        <v>870</v>
      </c>
      <c r="O700" s="3" t="s">
        <v>21</v>
      </c>
      <c r="P700" s="3" t="s">
        <v>72</v>
      </c>
      <c r="Q700" s="3" t="s">
        <v>20</v>
      </c>
      <c r="R700" s="3" t="s">
        <v>4</v>
      </c>
      <c r="S700" s="3" t="s">
        <v>3</v>
      </c>
      <c r="T700" s="3" t="s">
        <v>19</v>
      </c>
      <c r="U700" s="3" t="s">
        <v>1</v>
      </c>
      <c r="V700" s="3" t="s">
        <v>18</v>
      </c>
      <c r="W700" s="2">
        <v>30</v>
      </c>
    </row>
    <row r="701" spans="1:23" hidden="1" x14ac:dyDescent="0.25">
      <c r="A701" s="8">
        <v>22309</v>
      </c>
      <c r="B701" s="8" t="s">
        <v>2662</v>
      </c>
      <c r="C701" s="19" t="s">
        <v>2661</v>
      </c>
      <c r="D701" s="6" t="s">
        <v>15</v>
      </c>
      <c r="E701" s="18" t="s">
        <v>510</v>
      </c>
      <c r="F701" s="4">
        <v>43192</v>
      </c>
      <c r="G701" s="4" t="s">
        <v>1</v>
      </c>
      <c r="H701" s="4" t="s">
        <v>1</v>
      </c>
      <c r="I701" s="3" t="s">
        <v>13</v>
      </c>
      <c r="J701" s="3" t="s">
        <v>12</v>
      </c>
      <c r="K701" s="3" t="s">
        <v>262</v>
      </c>
      <c r="L701" s="3" t="s">
        <v>261</v>
      </c>
      <c r="M701" s="3" t="s">
        <v>329</v>
      </c>
      <c r="N701" s="3" t="s">
        <v>1028</v>
      </c>
      <c r="O701" s="3" t="s">
        <v>67</v>
      </c>
      <c r="P701" s="3" t="s">
        <v>72</v>
      </c>
      <c r="Q701" s="3" t="s">
        <v>5</v>
      </c>
      <c r="R701" s="3" t="s">
        <v>4</v>
      </c>
      <c r="S701" s="3" t="s">
        <v>3</v>
      </c>
      <c r="T701" s="3" t="s">
        <v>2</v>
      </c>
      <c r="U701" s="3" t="s">
        <v>1</v>
      </c>
      <c r="V701" s="3" t="s">
        <v>18</v>
      </c>
      <c r="W701" s="2">
        <v>28</v>
      </c>
    </row>
    <row r="702" spans="1:23" hidden="1" x14ac:dyDescent="0.25">
      <c r="A702" s="8">
        <v>22342</v>
      </c>
      <c r="B702" s="8" t="s">
        <v>2660</v>
      </c>
      <c r="C702" s="19" t="s">
        <v>2659</v>
      </c>
      <c r="D702" s="6" t="s">
        <v>15</v>
      </c>
      <c r="E702" s="18" t="s">
        <v>2658</v>
      </c>
      <c r="F702" s="4">
        <v>43195</v>
      </c>
      <c r="G702" s="4" t="s">
        <v>1</v>
      </c>
      <c r="H702" s="4" t="s">
        <v>1</v>
      </c>
      <c r="I702" s="3" t="s">
        <v>13</v>
      </c>
      <c r="J702" s="3" t="s">
        <v>12</v>
      </c>
      <c r="K702" s="3" t="s">
        <v>262</v>
      </c>
      <c r="L702" s="3" t="s">
        <v>261</v>
      </c>
      <c r="M702" s="3" t="s">
        <v>329</v>
      </c>
      <c r="N702" s="3" t="s">
        <v>1791</v>
      </c>
      <c r="O702" s="3" t="s">
        <v>7</v>
      </c>
      <c r="P702" s="3" t="s">
        <v>30</v>
      </c>
      <c r="Q702" s="3" t="s">
        <v>5</v>
      </c>
      <c r="R702" s="3" t="s">
        <v>4</v>
      </c>
      <c r="S702" s="3" t="s">
        <v>3</v>
      </c>
      <c r="T702" s="3" t="s">
        <v>2</v>
      </c>
      <c r="U702" s="3" t="s">
        <v>1</v>
      </c>
      <c r="V702" s="3" t="s">
        <v>0</v>
      </c>
      <c r="W702" s="2">
        <v>26</v>
      </c>
    </row>
    <row r="703" spans="1:23" hidden="1" x14ac:dyDescent="0.25">
      <c r="A703" s="8">
        <v>9934</v>
      </c>
      <c r="B703" s="8" t="s">
        <v>2657</v>
      </c>
      <c r="C703" s="7" t="s">
        <v>2656</v>
      </c>
      <c r="D703" s="6" t="s">
        <v>15</v>
      </c>
      <c r="E703" s="5" t="s">
        <v>1041</v>
      </c>
      <c r="F703" s="4">
        <v>40431</v>
      </c>
      <c r="G703" s="4" t="s">
        <v>1</v>
      </c>
      <c r="H703" s="4" t="s">
        <v>1</v>
      </c>
      <c r="I703" s="3" t="s">
        <v>13</v>
      </c>
      <c r="J703" s="3" t="s">
        <v>12</v>
      </c>
      <c r="K703" s="3" t="s">
        <v>11</v>
      </c>
      <c r="L703" s="3" t="s">
        <v>10</v>
      </c>
      <c r="M703" s="3" t="s">
        <v>9</v>
      </c>
      <c r="N703" s="3" t="s">
        <v>22</v>
      </c>
      <c r="O703" s="3" t="s">
        <v>21</v>
      </c>
      <c r="P703" s="3" t="s">
        <v>6</v>
      </c>
      <c r="Q703" s="3" t="s">
        <v>20</v>
      </c>
      <c r="R703" s="3" t="s">
        <v>4</v>
      </c>
      <c r="S703" s="3" t="s">
        <v>3</v>
      </c>
      <c r="T703" s="3" t="s">
        <v>19</v>
      </c>
      <c r="U703" s="3" t="s">
        <v>1</v>
      </c>
      <c r="V703" s="3" t="s">
        <v>0</v>
      </c>
      <c r="W703" s="2">
        <v>32</v>
      </c>
    </row>
    <row r="704" spans="1:23" hidden="1" x14ac:dyDescent="0.25">
      <c r="A704" s="8">
        <v>60</v>
      </c>
      <c r="B704" s="8" t="s">
        <v>2655</v>
      </c>
      <c r="C704" s="7" t="s">
        <v>2654</v>
      </c>
      <c r="D704" s="6" t="s">
        <v>15</v>
      </c>
      <c r="E704" s="5" t="s">
        <v>310</v>
      </c>
      <c r="F704" s="4">
        <v>37578</v>
      </c>
      <c r="G704" s="4" t="s">
        <v>1</v>
      </c>
      <c r="H704" s="4" t="s">
        <v>1</v>
      </c>
      <c r="I704" s="3" t="s">
        <v>13</v>
      </c>
      <c r="J704" s="3" t="s">
        <v>12</v>
      </c>
      <c r="K704" s="3" t="s">
        <v>1933</v>
      </c>
      <c r="L704" s="3" t="s">
        <v>1932</v>
      </c>
      <c r="M704" s="3" t="s">
        <v>1931</v>
      </c>
      <c r="N704" s="3" t="s">
        <v>1078</v>
      </c>
      <c r="O704" s="3" t="s">
        <v>29</v>
      </c>
      <c r="P704" s="3" t="s">
        <v>30</v>
      </c>
      <c r="Q704" s="3" t="s">
        <v>20</v>
      </c>
      <c r="R704" s="3" t="s">
        <v>4</v>
      </c>
      <c r="S704" s="3" t="s">
        <v>3</v>
      </c>
      <c r="T704" s="3" t="s">
        <v>1077</v>
      </c>
      <c r="U704" s="3" t="s">
        <v>1</v>
      </c>
      <c r="V704" s="3" t="s">
        <v>0</v>
      </c>
      <c r="W704" s="2">
        <v>41</v>
      </c>
    </row>
    <row r="705" spans="1:24" hidden="1" x14ac:dyDescent="0.25">
      <c r="A705" s="8">
        <v>9937</v>
      </c>
      <c r="B705" s="8" t="s">
        <v>2653</v>
      </c>
      <c r="C705" s="7" t="s">
        <v>1435</v>
      </c>
      <c r="D705" s="6" t="s">
        <v>15</v>
      </c>
      <c r="E705" s="5" t="s">
        <v>1041</v>
      </c>
      <c r="F705" s="4">
        <v>40431</v>
      </c>
      <c r="G705" s="4" t="s">
        <v>1</v>
      </c>
      <c r="H705" s="4" t="s">
        <v>1</v>
      </c>
      <c r="I705" s="3" t="s">
        <v>145</v>
      </c>
      <c r="J705" s="3" t="s">
        <v>12</v>
      </c>
      <c r="K705" s="3" t="s">
        <v>262</v>
      </c>
      <c r="L705" s="3" t="s">
        <v>261</v>
      </c>
      <c r="M705" s="3" t="s">
        <v>329</v>
      </c>
      <c r="N705" s="3" t="s">
        <v>771</v>
      </c>
      <c r="O705" s="3" t="s">
        <v>771</v>
      </c>
      <c r="P705" s="3" t="s">
        <v>72</v>
      </c>
      <c r="Q705" s="3" t="s">
        <v>20</v>
      </c>
      <c r="R705" s="3" t="s">
        <v>4</v>
      </c>
      <c r="S705" s="3" t="s">
        <v>3</v>
      </c>
      <c r="T705" s="3" t="s">
        <v>2</v>
      </c>
      <c r="U705" s="3" t="s">
        <v>1</v>
      </c>
      <c r="V705" s="3" t="s">
        <v>0</v>
      </c>
      <c r="W705" s="2">
        <v>32</v>
      </c>
    </row>
    <row r="706" spans="1:24" hidden="1" x14ac:dyDescent="0.25">
      <c r="A706" s="8">
        <v>280</v>
      </c>
      <c r="B706" s="8" t="s">
        <v>2652</v>
      </c>
      <c r="C706" s="7" t="s">
        <v>2651</v>
      </c>
      <c r="D706" s="6" t="s">
        <v>15</v>
      </c>
      <c r="E706" s="5" t="s">
        <v>1947</v>
      </c>
      <c r="F706" s="4">
        <v>37718</v>
      </c>
      <c r="G706" s="4" t="s">
        <v>1</v>
      </c>
      <c r="H706" s="4" t="s">
        <v>1</v>
      </c>
      <c r="I706" s="3" t="s">
        <v>13</v>
      </c>
      <c r="J706" s="3" t="s">
        <v>12</v>
      </c>
      <c r="K706" s="3" t="s">
        <v>1933</v>
      </c>
      <c r="L706" s="3" t="s">
        <v>1932</v>
      </c>
      <c r="M706" s="3" t="s">
        <v>1931</v>
      </c>
      <c r="N706" s="3" t="s">
        <v>2354</v>
      </c>
      <c r="O706" s="3" t="s">
        <v>29</v>
      </c>
      <c r="P706" s="3" t="s">
        <v>30</v>
      </c>
      <c r="Q706" s="3" t="s">
        <v>20</v>
      </c>
      <c r="R706" s="3" t="s">
        <v>4</v>
      </c>
      <c r="S706" s="3" t="s">
        <v>3</v>
      </c>
      <c r="T706" s="3" t="s">
        <v>29</v>
      </c>
      <c r="U706" s="3" t="s">
        <v>1</v>
      </c>
      <c r="V706" s="3" t="s">
        <v>0</v>
      </c>
      <c r="W706" s="2">
        <v>40</v>
      </c>
    </row>
    <row r="707" spans="1:24" hidden="1" x14ac:dyDescent="0.25">
      <c r="A707" s="8">
        <v>299</v>
      </c>
      <c r="B707" s="8" t="s">
        <v>2650</v>
      </c>
      <c r="C707" s="7" t="s">
        <v>2649</v>
      </c>
      <c r="D707" s="6" t="s">
        <v>15</v>
      </c>
      <c r="E707" s="5" t="s">
        <v>1947</v>
      </c>
      <c r="F707" s="4">
        <v>37718</v>
      </c>
      <c r="G707" s="4" t="s">
        <v>1</v>
      </c>
      <c r="H707" s="4" t="s">
        <v>1</v>
      </c>
      <c r="I707" s="3" t="s">
        <v>13</v>
      </c>
      <c r="J707" s="3" t="s">
        <v>12</v>
      </c>
      <c r="K707" s="3" t="s">
        <v>1933</v>
      </c>
      <c r="L707" s="3" t="s">
        <v>1932</v>
      </c>
      <c r="M707" s="3" t="s">
        <v>1931</v>
      </c>
      <c r="N707" s="3" t="s">
        <v>2354</v>
      </c>
      <c r="O707" s="3" t="s">
        <v>29</v>
      </c>
      <c r="P707" s="3" t="s">
        <v>30</v>
      </c>
      <c r="Q707" s="3" t="s">
        <v>20</v>
      </c>
      <c r="R707" s="3" t="s">
        <v>4</v>
      </c>
      <c r="S707" s="3" t="s">
        <v>3</v>
      </c>
      <c r="T707" s="3" t="s">
        <v>29</v>
      </c>
      <c r="U707" s="3" t="s">
        <v>1</v>
      </c>
      <c r="V707" s="3" t="s">
        <v>0</v>
      </c>
      <c r="W707" s="2">
        <v>41</v>
      </c>
    </row>
    <row r="708" spans="1:24" hidden="1" x14ac:dyDescent="0.25">
      <c r="A708" s="8">
        <v>9951</v>
      </c>
      <c r="B708" s="8" t="s">
        <v>2648</v>
      </c>
      <c r="C708" s="25" t="s">
        <v>2647</v>
      </c>
      <c r="D708" s="6" t="s">
        <v>15</v>
      </c>
      <c r="E708" s="5" t="s">
        <v>1041</v>
      </c>
      <c r="F708" s="4">
        <v>40431</v>
      </c>
      <c r="G708" s="4" t="s">
        <v>1</v>
      </c>
      <c r="H708" s="4" t="s">
        <v>1</v>
      </c>
      <c r="I708" s="3" t="s">
        <v>384</v>
      </c>
      <c r="J708" s="3" t="s">
        <v>1709</v>
      </c>
      <c r="K708" s="3" t="s">
        <v>33</v>
      </c>
      <c r="L708" s="3" t="s">
        <v>33</v>
      </c>
      <c r="M708" s="3" t="s">
        <v>1709</v>
      </c>
      <c r="N708" s="3" t="s">
        <v>1708</v>
      </c>
      <c r="O708" s="3" t="s">
        <v>387</v>
      </c>
      <c r="P708" s="3" t="s">
        <v>30</v>
      </c>
      <c r="Q708" s="3" t="s">
        <v>47</v>
      </c>
      <c r="R708" s="3" t="s">
        <v>4</v>
      </c>
      <c r="S708" s="3" t="s">
        <v>3</v>
      </c>
      <c r="T708" s="3" t="s">
        <v>2</v>
      </c>
      <c r="U708" s="3" t="s">
        <v>1</v>
      </c>
      <c r="V708" s="3" t="s">
        <v>0</v>
      </c>
      <c r="W708" s="2">
        <v>34</v>
      </c>
    </row>
    <row r="709" spans="1:24" hidden="1" x14ac:dyDescent="0.25">
      <c r="A709" s="8">
        <v>9952</v>
      </c>
      <c r="B709" s="8" t="s">
        <v>2646</v>
      </c>
      <c r="C709" s="7" t="s">
        <v>2645</v>
      </c>
      <c r="D709" s="6" t="s">
        <v>15</v>
      </c>
      <c r="E709" s="5" t="s">
        <v>1041</v>
      </c>
      <c r="F709" s="4">
        <v>40431</v>
      </c>
      <c r="G709" s="4" t="s">
        <v>1</v>
      </c>
      <c r="H709" s="4" t="s">
        <v>1</v>
      </c>
      <c r="I709" s="3" t="s">
        <v>13</v>
      </c>
      <c r="J709" s="3" t="s">
        <v>133</v>
      </c>
      <c r="K709" s="3" t="s">
        <v>63</v>
      </c>
      <c r="L709" s="3" t="s">
        <v>1634</v>
      </c>
      <c r="M709" s="3" t="s">
        <v>1633</v>
      </c>
      <c r="N709" s="3" t="s">
        <v>198</v>
      </c>
      <c r="O709" s="3" t="s">
        <v>184</v>
      </c>
      <c r="P709" s="3" t="s">
        <v>6</v>
      </c>
      <c r="Q709" s="3" t="s">
        <v>20</v>
      </c>
      <c r="R709" s="3" t="s">
        <v>4</v>
      </c>
      <c r="S709" s="3" t="s">
        <v>3</v>
      </c>
      <c r="T709" s="3" t="s">
        <v>2</v>
      </c>
      <c r="U709" s="3" t="s">
        <v>1</v>
      </c>
      <c r="V709" s="3" t="s">
        <v>0</v>
      </c>
      <c r="W709" s="2">
        <v>33</v>
      </c>
    </row>
    <row r="710" spans="1:24" hidden="1" x14ac:dyDescent="0.25">
      <c r="A710" s="8">
        <v>9954</v>
      </c>
      <c r="B710" s="8" t="s">
        <v>2644</v>
      </c>
      <c r="C710" s="7" t="s">
        <v>279</v>
      </c>
      <c r="D710" s="6" t="s">
        <v>15</v>
      </c>
      <c r="E710" s="5" t="s">
        <v>1041</v>
      </c>
      <c r="F710" s="4">
        <v>40431</v>
      </c>
      <c r="G710" s="4" t="s">
        <v>1</v>
      </c>
      <c r="H710" s="4" t="s">
        <v>1</v>
      </c>
      <c r="I710" s="3" t="s">
        <v>13</v>
      </c>
      <c r="J710" s="3" t="s">
        <v>12</v>
      </c>
      <c r="K710" s="3" t="s">
        <v>63</v>
      </c>
      <c r="L710" s="3" t="s">
        <v>138</v>
      </c>
      <c r="M710" s="3" t="s">
        <v>137</v>
      </c>
      <c r="N710" s="3" t="s">
        <v>1078</v>
      </c>
      <c r="O710" s="3" t="s">
        <v>29</v>
      </c>
      <c r="P710" s="3" t="s">
        <v>6</v>
      </c>
      <c r="Q710" s="3" t="s">
        <v>20</v>
      </c>
      <c r="R710" s="3" t="s">
        <v>4</v>
      </c>
      <c r="S710" s="3" t="s">
        <v>3</v>
      </c>
      <c r="T710" s="3" t="s">
        <v>1077</v>
      </c>
      <c r="U710" s="3" t="s">
        <v>1</v>
      </c>
      <c r="V710" s="3" t="s">
        <v>0</v>
      </c>
      <c r="W710" s="2">
        <v>32</v>
      </c>
    </row>
    <row r="711" spans="1:24" hidden="1" x14ac:dyDescent="0.25">
      <c r="A711" s="8">
        <v>1188</v>
      </c>
      <c r="B711" s="8" t="s">
        <v>2643</v>
      </c>
      <c r="C711" s="7" t="s">
        <v>2642</v>
      </c>
      <c r="D711" s="6" t="s">
        <v>15</v>
      </c>
      <c r="E711" s="5" t="s">
        <v>1942</v>
      </c>
      <c r="F711" s="4">
        <v>37907</v>
      </c>
      <c r="G711" s="4" t="s">
        <v>1</v>
      </c>
      <c r="H711" s="4" t="s">
        <v>1</v>
      </c>
      <c r="I711" s="3" t="s">
        <v>13</v>
      </c>
      <c r="J711" s="3" t="s">
        <v>12</v>
      </c>
      <c r="K711" s="3" t="s">
        <v>1933</v>
      </c>
      <c r="L711" s="3" t="s">
        <v>1932</v>
      </c>
      <c r="M711" s="3" t="s">
        <v>1931</v>
      </c>
      <c r="N711" s="3" t="s">
        <v>1078</v>
      </c>
      <c r="O711" s="3" t="s">
        <v>29</v>
      </c>
      <c r="P711" s="3" t="s">
        <v>30</v>
      </c>
      <c r="Q711" s="3" t="s">
        <v>20</v>
      </c>
      <c r="R711" s="3" t="s">
        <v>4</v>
      </c>
      <c r="S711" s="3" t="s">
        <v>3</v>
      </c>
      <c r="T711" s="3" t="s">
        <v>1077</v>
      </c>
      <c r="U711" s="3" t="s">
        <v>1</v>
      </c>
      <c r="V711" s="3" t="s">
        <v>0</v>
      </c>
      <c r="W711" s="2">
        <v>40</v>
      </c>
    </row>
    <row r="712" spans="1:24" s="9" customFormat="1" hidden="1" x14ac:dyDescent="0.25">
      <c r="A712" s="17">
        <v>9109</v>
      </c>
      <c r="B712" s="17" t="s">
        <v>2641</v>
      </c>
      <c r="C712" s="16" t="s">
        <v>2640</v>
      </c>
      <c r="D712" s="15" t="s">
        <v>15</v>
      </c>
      <c r="E712" s="14" t="s">
        <v>2639</v>
      </c>
      <c r="F712" s="13">
        <v>39995</v>
      </c>
      <c r="G712" s="13" t="s">
        <v>1</v>
      </c>
      <c r="H712" s="13" t="s">
        <v>1</v>
      </c>
      <c r="I712" s="12" t="s">
        <v>13</v>
      </c>
      <c r="J712" s="12" t="s">
        <v>12</v>
      </c>
      <c r="K712" s="12" t="s">
        <v>1933</v>
      </c>
      <c r="L712" s="12" t="s">
        <v>1932</v>
      </c>
      <c r="M712" s="12" t="s">
        <v>1931</v>
      </c>
      <c r="N712" s="12" t="s">
        <v>1362</v>
      </c>
      <c r="O712" s="12" t="s">
        <v>39</v>
      </c>
      <c r="P712" s="12" t="s">
        <v>30</v>
      </c>
      <c r="Q712" s="12" t="s">
        <v>20</v>
      </c>
      <c r="R712" s="12" t="s">
        <v>4</v>
      </c>
      <c r="S712" s="12" t="s">
        <v>3</v>
      </c>
      <c r="T712" s="12" t="s">
        <v>1361</v>
      </c>
      <c r="U712" s="12" t="s">
        <v>1</v>
      </c>
      <c r="V712" s="12" t="s">
        <v>0</v>
      </c>
      <c r="W712" s="11">
        <v>35</v>
      </c>
      <c r="X712" s="10"/>
    </row>
    <row r="713" spans="1:24" hidden="1" x14ac:dyDescent="0.25">
      <c r="A713" s="8">
        <v>9257</v>
      </c>
      <c r="B713" s="8" t="s">
        <v>2638</v>
      </c>
      <c r="C713" s="19" t="s">
        <v>2637</v>
      </c>
      <c r="D713" s="6" t="s">
        <v>15</v>
      </c>
      <c r="E713" s="18" t="s">
        <v>491</v>
      </c>
      <c r="F713" s="4">
        <v>40148</v>
      </c>
      <c r="G713" s="4" t="s">
        <v>1</v>
      </c>
      <c r="H713" s="4" t="s">
        <v>1</v>
      </c>
      <c r="I713" s="3" t="s">
        <v>13</v>
      </c>
      <c r="J713" s="3" t="s">
        <v>12</v>
      </c>
      <c r="K713" s="3" t="s">
        <v>1933</v>
      </c>
      <c r="L713" s="3" t="s">
        <v>1932</v>
      </c>
      <c r="M713" s="3" t="s">
        <v>1931</v>
      </c>
      <c r="N713" s="3" t="s">
        <v>1451</v>
      </c>
      <c r="O713" s="3" t="s">
        <v>100</v>
      </c>
      <c r="P713" s="3" t="s">
        <v>30</v>
      </c>
      <c r="Q713" s="3" t="s">
        <v>20</v>
      </c>
      <c r="R713" s="3" t="s">
        <v>4</v>
      </c>
      <c r="S713" s="3" t="s">
        <v>3</v>
      </c>
      <c r="T713" s="3" t="s">
        <v>2</v>
      </c>
      <c r="U713" s="3" t="s">
        <v>1</v>
      </c>
      <c r="V713" s="3" t="s">
        <v>0</v>
      </c>
      <c r="W713" s="2">
        <v>34</v>
      </c>
    </row>
    <row r="714" spans="1:24" hidden="1" x14ac:dyDescent="0.25">
      <c r="A714" s="8">
        <v>9466</v>
      </c>
      <c r="B714" s="8" t="s">
        <v>2636</v>
      </c>
      <c r="C714" s="7" t="s">
        <v>2635</v>
      </c>
      <c r="D714" s="6" t="s">
        <v>15</v>
      </c>
      <c r="E714" s="5" t="s">
        <v>491</v>
      </c>
      <c r="F714" s="4">
        <v>40148</v>
      </c>
      <c r="G714" s="4" t="s">
        <v>1</v>
      </c>
      <c r="H714" s="4" t="s">
        <v>1</v>
      </c>
      <c r="I714" s="3" t="s">
        <v>13</v>
      </c>
      <c r="J714" s="3" t="s">
        <v>12</v>
      </c>
      <c r="K714" s="3" t="s">
        <v>1933</v>
      </c>
      <c r="L714" s="3" t="s">
        <v>1932</v>
      </c>
      <c r="M714" s="3" t="s">
        <v>1931</v>
      </c>
      <c r="N714" s="3" t="s">
        <v>1401</v>
      </c>
      <c r="O714" s="3" t="s">
        <v>100</v>
      </c>
      <c r="P714" s="3" t="s">
        <v>30</v>
      </c>
      <c r="Q714" s="3" t="s">
        <v>20</v>
      </c>
      <c r="R714" s="3" t="s">
        <v>4</v>
      </c>
      <c r="S714" s="3" t="s">
        <v>3</v>
      </c>
      <c r="T714" s="3" t="s">
        <v>2</v>
      </c>
      <c r="U714" s="3" t="s">
        <v>1</v>
      </c>
      <c r="V714" s="3" t="s">
        <v>0</v>
      </c>
      <c r="W714" s="2">
        <v>33</v>
      </c>
    </row>
    <row r="715" spans="1:24" hidden="1" x14ac:dyDescent="0.25">
      <c r="A715" s="8">
        <v>9895</v>
      </c>
      <c r="B715" s="8" t="s">
        <v>2634</v>
      </c>
      <c r="C715" s="7" t="s">
        <v>2633</v>
      </c>
      <c r="D715" s="6" t="s">
        <v>15</v>
      </c>
      <c r="E715" s="5" t="s">
        <v>2494</v>
      </c>
      <c r="F715" s="4">
        <v>40424</v>
      </c>
      <c r="G715" s="4" t="s">
        <v>1</v>
      </c>
      <c r="H715" s="4" t="s">
        <v>1</v>
      </c>
      <c r="I715" s="3" t="s">
        <v>13</v>
      </c>
      <c r="J715" s="3" t="s">
        <v>12</v>
      </c>
      <c r="K715" s="3" t="s">
        <v>1933</v>
      </c>
      <c r="L715" s="3" t="s">
        <v>1932</v>
      </c>
      <c r="M715" s="3" t="s">
        <v>1931</v>
      </c>
      <c r="N715" s="3" t="s">
        <v>2552</v>
      </c>
      <c r="O715" s="3" t="s">
        <v>100</v>
      </c>
      <c r="P715" s="3" t="s">
        <v>30</v>
      </c>
      <c r="Q715" s="3" t="s">
        <v>20</v>
      </c>
      <c r="R715" s="3" t="s">
        <v>4</v>
      </c>
      <c r="S715" s="3" t="s">
        <v>3</v>
      </c>
      <c r="T715" s="3" t="s">
        <v>2</v>
      </c>
      <c r="U715" s="3" t="s">
        <v>1</v>
      </c>
      <c r="V715" s="3" t="s">
        <v>0</v>
      </c>
      <c r="W715" s="2">
        <v>34</v>
      </c>
    </row>
    <row r="716" spans="1:24" hidden="1" x14ac:dyDescent="0.25">
      <c r="A716" s="8">
        <v>9994</v>
      </c>
      <c r="B716" s="8" t="s">
        <v>2632</v>
      </c>
      <c r="C716" s="19" t="s">
        <v>2631</v>
      </c>
      <c r="D716" s="6" t="s">
        <v>15</v>
      </c>
      <c r="E716" s="18" t="s">
        <v>2484</v>
      </c>
      <c r="F716" s="4">
        <v>40438</v>
      </c>
      <c r="G716" s="4" t="s">
        <v>1</v>
      </c>
      <c r="H716" s="4" t="s">
        <v>1</v>
      </c>
      <c r="I716" s="3" t="s">
        <v>13</v>
      </c>
      <c r="J716" s="3" t="s">
        <v>12</v>
      </c>
      <c r="K716" s="3" t="s">
        <v>283</v>
      </c>
      <c r="L716" s="3" t="s">
        <v>282</v>
      </c>
      <c r="M716" s="3" t="s">
        <v>698</v>
      </c>
      <c r="N716" s="3" t="s">
        <v>136</v>
      </c>
      <c r="O716" s="3" t="s">
        <v>100</v>
      </c>
      <c r="P716" s="3" t="s">
        <v>6</v>
      </c>
      <c r="Q716" s="3" t="s">
        <v>20</v>
      </c>
      <c r="R716" s="3" t="s">
        <v>4</v>
      </c>
      <c r="S716" s="3" t="s">
        <v>3</v>
      </c>
      <c r="T716" s="3" t="s">
        <v>2</v>
      </c>
      <c r="U716" s="3" t="s">
        <v>1</v>
      </c>
      <c r="V716" s="3" t="s">
        <v>0</v>
      </c>
      <c r="W716" s="2">
        <v>32</v>
      </c>
    </row>
    <row r="717" spans="1:24" hidden="1" x14ac:dyDescent="0.25">
      <c r="A717" s="8">
        <v>10383</v>
      </c>
      <c r="B717" s="8" t="s">
        <v>2630</v>
      </c>
      <c r="C717" s="7" t="s">
        <v>2629</v>
      </c>
      <c r="D717" s="6" t="s">
        <v>15</v>
      </c>
      <c r="E717" s="5" t="s">
        <v>1644</v>
      </c>
      <c r="F717" s="4">
        <v>40513</v>
      </c>
      <c r="G717" s="4" t="s">
        <v>1</v>
      </c>
      <c r="H717" s="4" t="s">
        <v>1</v>
      </c>
      <c r="I717" s="3" t="s">
        <v>13</v>
      </c>
      <c r="J717" s="3" t="s">
        <v>12</v>
      </c>
      <c r="K717" s="3" t="s">
        <v>1933</v>
      </c>
      <c r="L717" s="3" t="s">
        <v>1932</v>
      </c>
      <c r="M717" s="3" t="s">
        <v>1931</v>
      </c>
      <c r="N717" s="3" t="s">
        <v>2354</v>
      </c>
      <c r="O717" s="3" t="s">
        <v>39</v>
      </c>
      <c r="P717" s="3" t="s">
        <v>30</v>
      </c>
      <c r="Q717" s="3" t="s">
        <v>20</v>
      </c>
      <c r="R717" s="3" t="s">
        <v>4</v>
      </c>
      <c r="S717" s="3" t="s">
        <v>3</v>
      </c>
      <c r="T717" s="3" t="s">
        <v>38</v>
      </c>
      <c r="U717" s="3" t="s">
        <v>1</v>
      </c>
      <c r="V717" s="3" t="s">
        <v>0</v>
      </c>
      <c r="W717" s="2">
        <v>34</v>
      </c>
    </row>
    <row r="718" spans="1:24" s="9" customFormat="1" hidden="1" x14ac:dyDescent="0.25">
      <c r="A718" s="17">
        <v>10527</v>
      </c>
      <c r="B718" s="17" t="s">
        <v>2628</v>
      </c>
      <c r="C718" s="16" t="s">
        <v>2627</v>
      </c>
      <c r="D718" s="15" t="s">
        <v>15</v>
      </c>
      <c r="E718" s="14" t="s">
        <v>157</v>
      </c>
      <c r="F718" s="13">
        <v>40535</v>
      </c>
      <c r="G718" s="13" t="s">
        <v>1</v>
      </c>
      <c r="H718" s="13" t="s">
        <v>1</v>
      </c>
      <c r="I718" s="12" t="s">
        <v>13</v>
      </c>
      <c r="J718" s="12" t="s">
        <v>12</v>
      </c>
      <c r="K718" s="12" t="s">
        <v>1933</v>
      </c>
      <c r="L718" s="12" t="s">
        <v>1932</v>
      </c>
      <c r="M718" s="12" t="s">
        <v>1931</v>
      </c>
      <c r="N718" s="12" t="s">
        <v>136</v>
      </c>
      <c r="O718" s="12" t="s">
        <v>100</v>
      </c>
      <c r="P718" s="12" t="s">
        <v>30</v>
      </c>
      <c r="Q718" s="12" t="s">
        <v>20</v>
      </c>
      <c r="R718" s="12" t="s">
        <v>4</v>
      </c>
      <c r="S718" s="12" t="s">
        <v>3</v>
      </c>
      <c r="T718" s="12" t="s">
        <v>2</v>
      </c>
      <c r="U718" s="12" t="s">
        <v>1</v>
      </c>
      <c r="V718" s="12" t="s">
        <v>0</v>
      </c>
      <c r="W718" s="11">
        <v>32</v>
      </c>
    </row>
    <row r="719" spans="1:24" hidden="1" x14ac:dyDescent="0.25">
      <c r="A719" s="8">
        <v>9999</v>
      </c>
      <c r="B719" s="8" t="s">
        <v>2626</v>
      </c>
      <c r="C719" s="7" t="s">
        <v>2625</v>
      </c>
      <c r="D719" s="6" t="s">
        <v>15</v>
      </c>
      <c r="E719" s="5" t="s">
        <v>2484</v>
      </c>
      <c r="F719" s="4">
        <v>40438</v>
      </c>
      <c r="G719" s="4" t="s">
        <v>1</v>
      </c>
      <c r="H719" s="4" t="s">
        <v>1</v>
      </c>
      <c r="I719" s="3" t="s">
        <v>13</v>
      </c>
      <c r="J719" s="3" t="s">
        <v>12</v>
      </c>
      <c r="K719" s="3" t="s">
        <v>11</v>
      </c>
      <c r="L719" s="3" t="s">
        <v>10</v>
      </c>
      <c r="M719" s="3" t="s">
        <v>9</v>
      </c>
      <c r="N719" s="3" t="s">
        <v>646</v>
      </c>
      <c r="O719" s="3" t="s">
        <v>67</v>
      </c>
      <c r="P719" s="3" t="s">
        <v>6</v>
      </c>
      <c r="Q719" s="3" t="s">
        <v>5</v>
      </c>
      <c r="R719" s="3" t="s">
        <v>4</v>
      </c>
      <c r="S719" s="3" t="s">
        <v>3</v>
      </c>
      <c r="T719" s="3" t="s">
        <v>2</v>
      </c>
      <c r="U719" s="3" t="s">
        <v>1</v>
      </c>
      <c r="V719" s="3" t="s">
        <v>0</v>
      </c>
      <c r="W719" s="2">
        <v>32</v>
      </c>
    </row>
    <row r="720" spans="1:24" s="9" customFormat="1" hidden="1" x14ac:dyDescent="0.25">
      <c r="A720" s="17">
        <v>10546</v>
      </c>
      <c r="B720" s="17" t="s">
        <v>2624</v>
      </c>
      <c r="C720" s="16" t="s">
        <v>2623</v>
      </c>
      <c r="D720" s="15" t="s">
        <v>15</v>
      </c>
      <c r="E720" s="14" t="s">
        <v>1512</v>
      </c>
      <c r="F720" s="13">
        <v>40542</v>
      </c>
      <c r="G720" s="13" t="s">
        <v>1</v>
      </c>
      <c r="H720" s="13" t="s">
        <v>1</v>
      </c>
      <c r="I720" s="12" t="s">
        <v>13</v>
      </c>
      <c r="J720" s="12" t="s">
        <v>12</v>
      </c>
      <c r="K720" s="12" t="s">
        <v>1933</v>
      </c>
      <c r="L720" s="12" t="s">
        <v>1932</v>
      </c>
      <c r="M720" s="12" t="s">
        <v>1931</v>
      </c>
      <c r="N720" s="12" t="s">
        <v>2446</v>
      </c>
      <c r="O720" s="12" t="s">
        <v>100</v>
      </c>
      <c r="P720" s="12" t="s">
        <v>30</v>
      </c>
      <c r="Q720" s="12" t="s">
        <v>20</v>
      </c>
      <c r="R720" s="12" t="s">
        <v>4</v>
      </c>
      <c r="S720" s="12" t="s">
        <v>3</v>
      </c>
      <c r="T720" s="12" t="s">
        <v>2</v>
      </c>
      <c r="U720" s="12" t="s">
        <v>1</v>
      </c>
      <c r="V720" s="12" t="s">
        <v>0</v>
      </c>
      <c r="W720" s="11">
        <v>34</v>
      </c>
    </row>
    <row r="721" spans="1:23" s="78" customFormat="1" hidden="1" x14ac:dyDescent="0.25">
      <c r="A721" s="73">
        <v>10899</v>
      </c>
      <c r="B721" s="73" t="s">
        <v>2622</v>
      </c>
      <c r="C721" s="87" t="s">
        <v>2621</v>
      </c>
      <c r="D721" s="88" t="s">
        <v>15</v>
      </c>
      <c r="E721" s="89" t="s">
        <v>2180</v>
      </c>
      <c r="F721" s="90">
        <v>40574</v>
      </c>
      <c r="G721" s="90" t="s">
        <v>1</v>
      </c>
      <c r="H721" s="90" t="s">
        <v>1</v>
      </c>
      <c r="I721" s="92" t="s">
        <v>13</v>
      </c>
      <c r="J721" s="92" t="s">
        <v>12</v>
      </c>
      <c r="K721" s="92" t="s">
        <v>1933</v>
      </c>
      <c r="L721" s="92" t="s">
        <v>1932</v>
      </c>
      <c r="M721" s="92" t="s">
        <v>1931</v>
      </c>
      <c r="N721" s="92" t="s">
        <v>2620</v>
      </c>
      <c r="O721" s="92" t="s">
        <v>100</v>
      </c>
      <c r="P721" s="92" t="s">
        <v>30</v>
      </c>
      <c r="Q721" s="92" t="s">
        <v>20</v>
      </c>
      <c r="R721" s="92" t="s">
        <v>4</v>
      </c>
      <c r="S721" s="92" t="s">
        <v>3</v>
      </c>
      <c r="T721" s="92" t="s">
        <v>2</v>
      </c>
      <c r="U721" s="92" t="s">
        <v>1</v>
      </c>
      <c r="V721" s="92" t="s">
        <v>0</v>
      </c>
      <c r="W721" s="93">
        <v>33</v>
      </c>
    </row>
    <row r="722" spans="1:23" hidden="1" x14ac:dyDescent="0.25">
      <c r="A722" s="8">
        <v>10026</v>
      </c>
      <c r="B722" s="8" t="s">
        <v>2619</v>
      </c>
      <c r="C722" s="7" t="s">
        <v>2618</v>
      </c>
      <c r="D722" s="6" t="s">
        <v>15</v>
      </c>
      <c r="E722" s="5" t="s">
        <v>2484</v>
      </c>
      <c r="F722" s="4">
        <v>40438</v>
      </c>
      <c r="G722" s="4" t="s">
        <v>1</v>
      </c>
      <c r="H722" s="4" t="s">
        <v>1</v>
      </c>
      <c r="I722" s="3" t="s">
        <v>145</v>
      </c>
      <c r="J722" s="3" t="s">
        <v>12</v>
      </c>
      <c r="K722" s="3" t="s">
        <v>187</v>
      </c>
      <c r="L722" s="3" t="s">
        <v>229</v>
      </c>
      <c r="M722" s="3" t="s">
        <v>228</v>
      </c>
      <c r="N722" s="3" t="s">
        <v>771</v>
      </c>
      <c r="O722" s="3" t="s">
        <v>771</v>
      </c>
      <c r="P722" s="3" t="s">
        <v>72</v>
      </c>
      <c r="Q722" s="3" t="s">
        <v>20</v>
      </c>
      <c r="R722" s="3" t="s">
        <v>4</v>
      </c>
      <c r="S722" s="3" t="s">
        <v>3</v>
      </c>
      <c r="T722" s="3" t="s">
        <v>2</v>
      </c>
      <c r="U722" s="3" t="s">
        <v>1</v>
      </c>
      <c r="V722" s="3" t="s">
        <v>0</v>
      </c>
      <c r="W722" s="2">
        <v>33</v>
      </c>
    </row>
    <row r="723" spans="1:23" hidden="1" x14ac:dyDescent="0.25">
      <c r="A723" s="8">
        <v>10036</v>
      </c>
      <c r="B723" s="8" t="s">
        <v>2617</v>
      </c>
      <c r="C723" s="7" t="s">
        <v>2616</v>
      </c>
      <c r="D723" s="6" t="s">
        <v>15</v>
      </c>
      <c r="E723" s="5" t="s">
        <v>2484</v>
      </c>
      <c r="F723" s="4">
        <v>40438</v>
      </c>
      <c r="G723" s="4" t="s">
        <v>1</v>
      </c>
      <c r="H723" s="4" t="s">
        <v>1</v>
      </c>
      <c r="I723" s="3" t="s">
        <v>13</v>
      </c>
      <c r="J723" s="3" t="s">
        <v>12</v>
      </c>
      <c r="K723" s="3" t="s">
        <v>132</v>
      </c>
      <c r="L723" s="3" t="s">
        <v>400</v>
      </c>
      <c r="M723" s="3" t="s">
        <v>399</v>
      </c>
      <c r="N723" s="3" t="s">
        <v>2132</v>
      </c>
      <c r="O723" s="3" t="s">
        <v>59</v>
      </c>
      <c r="P723" s="3" t="s">
        <v>6</v>
      </c>
      <c r="Q723" s="3" t="s">
        <v>5</v>
      </c>
      <c r="R723" s="3" t="s">
        <v>4</v>
      </c>
      <c r="S723" s="3" t="s">
        <v>3</v>
      </c>
      <c r="T723" s="3" t="s">
        <v>2</v>
      </c>
      <c r="U723" s="3" t="s">
        <v>1</v>
      </c>
      <c r="V723" s="3" t="s">
        <v>0</v>
      </c>
      <c r="W723" s="2">
        <v>32</v>
      </c>
    </row>
    <row r="724" spans="1:23" hidden="1" x14ac:dyDescent="0.25">
      <c r="A724" s="8">
        <v>10048</v>
      </c>
      <c r="B724" s="8" t="s">
        <v>2615</v>
      </c>
      <c r="C724" s="7" t="s">
        <v>2614</v>
      </c>
      <c r="D724" s="6" t="s">
        <v>15</v>
      </c>
      <c r="E724" s="5" t="s">
        <v>2484</v>
      </c>
      <c r="F724" s="4">
        <v>40438</v>
      </c>
      <c r="G724" s="4" t="s">
        <v>1</v>
      </c>
      <c r="H724" s="4" t="s">
        <v>1</v>
      </c>
      <c r="I724" s="3" t="s">
        <v>13</v>
      </c>
      <c r="J724" s="3" t="s">
        <v>133</v>
      </c>
      <c r="K724" s="3" t="s">
        <v>187</v>
      </c>
      <c r="L724" s="3" t="s">
        <v>187</v>
      </c>
      <c r="M724" s="3" t="s">
        <v>186</v>
      </c>
      <c r="N724" s="3" t="s">
        <v>1362</v>
      </c>
      <c r="O724" s="3" t="s">
        <v>39</v>
      </c>
      <c r="P724" s="3" t="s">
        <v>6</v>
      </c>
      <c r="Q724" s="3" t="s">
        <v>20</v>
      </c>
      <c r="R724" s="3" t="s">
        <v>4</v>
      </c>
      <c r="S724" s="3" t="s">
        <v>3</v>
      </c>
      <c r="T724" s="3" t="s">
        <v>1361</v>
      </c>
      <c r="U724" s="3" t="s">
        <v>1</v>
      </c>
      <c r="V724" s="3" t="s">
        <v>0</v>
      </c>
      <c r="W724" s="2">
        <v>32</v>
      </c>
    </row>
    <row r="725" spans="1:23" hidden="1" x14ac:dyDescent="0.25">
      <c r="A725" s="8">
        <v>10059</v>
      </c>
      <c r="B725" s="8" t="s">
        <v>2613</v>
      </c>
      <c r="C725" s="7" t="s">
        <v>2612</v>
      </c>
      <c r="D725" s="6" t="s">
        <v>15</v>
      </c>
      <c r="E725" s="5" t="s">
        <v>2484</v>
      </c>
      <c r="F725" s="4">
        <v>40438</v>
      </c>
      <c r="G725" s="4" t="s">
        <v>1</v>
      </c>
      <c r="H725" s="4" t="s">
        <v>1</v>
      </c>
      <c r="I725" s="5" t="s">
        <v>93</v>
      </c>
      <c r="J725" s="5" t="s">
        <v>89</v>
      </c>
      <c r="K725" s="5" t="s">
        <v>33</v>
      </c>
      <c r="L725" s="5" t="s">
        <v>33</v>
      </c>
      <c r="M725" s="5" t="s">
        <v>2611</v>
      </c>
      <c r="N725" s="5" t="s">
        <v>2610</v>
      </c>
      <c r="O725" s="5" t="s">
        <v>934</v>
      </c>
      <c r="P725" s="5" t="s">
        <v>30</v>
      </c>
      <c r="Q725" s="5" t="s">
        <v>47</v>
      </c>
      <c r="R725" s="3" t="s">
        <v>4</v>
      </c>
      <c r="S725" s="3" t="s">
        <v>3</v>
      </c>
      <c r="T725" s="3" t="s">
        <v>2</v>
      </c>
      <c r="U725" s="3" t="s">
        <v>1</v>
      </c>
      <c r="V725" s="3" t="s">
        <v>0</v>
      </c>
      <c r="W725" s="2">
        <v>33</v>
      </c>
    </row>
    <row r="726" spans="1:23" hidden="1" x14ac:dyDescent="0.25">
      <c r="A726" s="8">
        <v>10061</v>
      </c>
      <c r="B726" s="8" t="s">
        <v>2609</v>
      </c>
      <c r="C726" s="7" t="s">
        <v>2608</v>
      </c>
      <c r="D726" s="6" t="s">
        <v>15</v>
      </c>
      <c r="E726" s="5" t="s">
        <v>2484</v>
      </c>
      <c r="F726" s="4">
        <v>40438</v>
      </c>
      <c r="G726" s="4" t="s">
        <v>1</v>
      </c>
      <c r="H726" s="4" t="s">
        <v>1</v>
      </c>
      <c r="I726" s="3" t="s">
        <v>13</v>
      </c>
      <c r="J726" s="3" t="s">
        <v>133</v>
      </c>
      <c r="K726" s="3" t="s">
        <v>187</v>
      </c>
      <c r="L726" s="3" t="s">
        <v>187</v>
      </c>
      <c r="M726" s="3" t="s">
        <v>186</v>
      </c>
      <c r="N726" s="3" t="s">
        <v>2607</v>
      </c>
      <c r="O726" s="3" t="s">
        <v>128</v>
      </c>
      <c r="P726" s="3" t="s">
        <v>6</v>
      </c>
      <c r="Q726" s="3" t="s">
        <v>5</v>
      </c>
      <c r="R726" s="3" t="s">
        <v>4</v>
      </c>
      <c r="S726" s="3" t="s">
        <v>3</v>
      </c>
      <c r="T726" s="3" t="s">
        <v>2</v>
      </c>
      <c r="U726" s="3" t="s">
        <v>1</v>
      </c>
      <c r="V726" s="3" t="s">
        <v>0</v>
      </c>
      <c r="W726" s="2">
        <v>36</v>
      </c>
    </row>
    <row r="727" spans="1:23" hidden="1" x14ac:dyDescent="0.25">
      <c r="A727" s="8">
        <v>10062</v>
      </c>
      <c r="B727" s="8" t="s">
        <v>2606</v>
      </c>
      <c r="C727" s="7" t="s">
        <v>2605</v>
      </c>
      <c r="D727" s="6" t="s">
        <v>15</v>
      </c>
      <c r="E727" s="5" t="s">
        <v>2484</v>
      </c>
      <c r="F727" s="4">
        <v>40438</v>
      </c>
      <c r="G727" s="4" t="s">
        <v>1</v>
      </c>
      <c r="H727" s="4" t="s">
        <v>1</v>
      </c>
      <c r="I727" s="3" t="s">
        <v>145</v>
      </c>
      <c r="J727" s="3" t="s">
        <v>12</v>
      </c>
      <c r="K727" s="3" t="s">
        <v>11</v>
      </c>
      <c r="L727" s="3" t="s">
        <v>10</v>
      </c>
      <c r="M727" s="3" t="s">
        <v>9</v>
      </c>
      <c r="N727" s="3" t="s">
        <v>269</v>
      </c>
      <c r="O727" s="3" t="s">
        <v>29</v>
      </c>
      <c r="P727" s="3" t="s">
        <v>6</v>
      </c>
      <c r="Q727" s="3" t="s">
        <v>20</v>
      </c>
      <c r="R727" s="3" t="s">
        <v>4</v>
      </c>
      <c r="S727" s="3" t="s">
        <v>3</v>
      </c>
      <c r="T727" s="3" t="s">
        <v>29</v>
      </c>
      <c r="U727" s="3" t="s">
        <v>1</v>
      </c>
      <c r="V727" s="3" t="s">
        <v>0</v>
      </c>
      <c r="W727" s="2">
        <v>32</v>
      </c>
    </row>
    <row r="728" spans="1:23" hidden="1" x14ac:dyDescent="0.25">
      <c r="A728" s="8">
        <v>10077</v>
      </c>
      <c r="B728" s="8" t="s">
        <v>2604</v>
      </c>
      <c r="C728" s="7" t="s">
        <v>2603</v>
      </c>
      <c r="D728" s="6" t="s">
        <v>15</v>
      </c>
      <c r="E728" s="5" t="s">
        <v>1034</v>
      </c>
      <c r="F728" s="4">
        <v>40444</v>
      </c>
      <c r="G728" s="4" t="s">
        <v>1</v>
      </c>
      <c r="H728" s="4" t="s">
        <v>1</v>
      </c>
      <c r="I728" s="3" t="s">
        <v>13</v>
      </c>
      <c r="J728" s="3" t="s">
        <v>133</v>
      </c>
      <c r="K728" s="3" t="s">
        <v>283</v>
      </c>
      <c r="L728" s="3" t="s">
        <v>999</v>
      </c>
      <c r="M728" s="3" t="s">
        <v>998</v>
      </c>
      <c r="N728" s="3" t="s">
        <v>2602</v>
      </c>
      <c r="O728" s="3" t="s">
        <v>100</v>
      </c>
      <c r="P728" s="3" t="s">
        <v>6</v>
      </c>
      <c r="Q728" s="3" t="s">
        <v>20</v>
      </c>
      <c r="R728" s="3" t="s">
        <v>4</v>
      </c>
      <c r="S728" s="3" t="s">
        <v>3</v>
      </c>
      <c r="T728" s="3" t="s">
        <v>2</v>
      </c>
      <c r="U728" s="3" t="s">
        <v>1</v>
      </c>
      <c r="V728" s="3" t="s">
        <v>0</v>
      </c>
      <c r="W728" s="2">
        <v>32</v>
      </c>
    </row>
    <row r="729" spans="1:23" s="78" customFormat="1" hidden="1" x14ac:dyDescent="0.25">
      <c r="A729" s="73">
        <v>10986</v>
      </c>
      <c r="B729" s="73" t="s">
        <v>2601</v>
      </c>
      <c r="C729" s="87" t="s">
        <v>2600</v>
      </c>
      <c r="D729" s="88" t="s">
        <v>15</v>
      </c>
      <c r="E729" s="89" t="s">
        <v>2599</v>
      </c>
      <c r="F729" s="90">
        <v>40582</v>
      </c>
      <c r="G729" s="90" t="s">
        <v>1</v>
      </c>
      <c r="H729" s="90" t="s">
        <v>1</v>
      </c>
      <c r="I729" s="92" t="s">
        <v>13</v>
      </c>
      <c r="J729" s="92" t="s">
        <v>12</v>
      </c>
      <c r="K729" s="92" t="s">
        <v>1933</v>
      </c>
      <c r="L729" s="92" t="s">
        <v>1932</v>
      </c>
      <c r="M729" s="92" t="s">
        <v>1931</v>
      </c>
      <c r="N729" s="92" t="s">
        <v>1412</v>
      </c>
      <c r="O729" s="92" t="s">
        <v>100</v>
      </c>
      <c r="P729" s="92" t="s">
        <v>30</v>
      </c>
      <c r="Q729" s="92" t="s">
        <v>20</v>
      </c>
      <c r="R729" s="92" t="s">
        <v>4</v>
      </c>
      <c r="S729" s="92" t="s">
        <v>3</v>
      </c>
      <c r="T729" s="92" t="s">
        <v>2</v>
      </c>
      <c r="U729" s="92" t="s">
        <v>1</v>
      </c>
      <c r="V729" s="92" t="s">
        <v>0</v>
      </c>
      <c r="W729" s="93">
        <v>33</v>
      </c>
    </row>
    <row r="730" spans="1:23" hidden="1" x14ac:dyDescent="0.25">
      <c r="A730" s="8">
        <v>11901</v>
      </c>
      <c r="B730" s="8" t="s">
        <v>2598</v>
      </c>
      <c r="C730" s="7" t="s">
        <v>2597</v>
      </c>
      <c r="D730" s="6" t="s">
        <v>15</v>
      </c>
      <c r="E730" s="5" t="s">
        <v>1789</v>
      </c>
      <c r="F730" s="4">
        <v>40735</v>
      </c>
      <c r="G730" s="4" t="s">
        <v>1</v>
      </c>
      <c r="H730" s="4" t="s">
        <v>1</v>
      </c>
      <c r="I730" s="3" t="s">
        <v>13</v>
      </c>
      <c r="J730" s="3" t="s">
        <v>12</v>
      </c>
      <c r="K730" s="3" t="s">
        <v>1933</v>
      </c>
      <c r="L730" s="3" t="s">
        <v>1932</v>
      </c>
      <c r="M730" s="3" t="s">
        <v>1931</v>
      </c>
      <c r="N730" s="3" t="s">
        <v>2354</v>
      </c>
      <c r="O730" s="3" t="s">
        <v>100</v>
      </c>
      <c r="P730" s="3" t="s">
        <v>30</v>
      </c>
      <c r="Q730" s="3" t="s">
        <v>20</v>
      </c>
      <c r="R730" s="3" t="s">
        <v>4</v>
      </c>
      <c r="S730" s="3" t="s">
        <v>3</v>
      </c>
      <c r="T730" s="3" t="s">
        <v>19</v>
      </c>
      <c r="U730" s="3" t="s">
        <v>1</v>
      </c>
      <c r="V730" s="3" t="s">
        <v>0</v>
      </c>
      <c r="W730" s="2">
        <v>31</v>
      </c>
    </row>
    <row r="731" spans="1:23" hidden="1" x14ac:dyDescent="0.25">
      <c r="A731" s="8">
        <v>10087</v>
      </c>
      <c r="B731" s="8" t="s">
        <v>2596</v>
      </c>
      <c r="C731" s="7" t="s">
        <v>2595</v>
      </c>
      <c r="D731" s="6" t="s">
        <v>15</v>
      </c>
      <c r="E731" s="5" t="s">
        <v>1034</v>
      </c>
      <c r="F731" s="4">
        <v>40444</v>
      </c>
      <c r="G731" s="4" t="s">
        <v>1</v>
      </c>
      <c r="H731" s="4" t="s">
        <v>1</v>
      </c>
      <c r="I731" s="3" t="s">
        <v>145</v>
      </c>
      <c r="J731" s="3" t="s">
        <v>12</v>
      </c>
      <c r="K731" s="3" t="s">
        <v>33</v>
      </c>
      <c r="L731" s="3" t="s">
        <v>33</v>
      </c>
      <c r="M731" s="3" t="s">
        <v>691</v>
      </c>
      <c r="N731" s="3" t="s">
        <v>1245</v>
      </c>
      <c r="O731" s="3" t="s">
        <v>171</v>
      </c>
      <c r="P731" s="3" t="s">
        <v>30</v>
      </c>
      <c r="Q731" s="3" t="s">
        <v>20</v>
      </c>
      <c r="R731" s="3" t="s">
        <v>4</v>
      </c>
      <c r="S731" s="3" t="s">
        <v>3</v>
      </c>
      <c r="T731" s="3" t="s">
        <v>2</v>
      </c>
      <c r="U731" s="3" t="s">
        <v>1</v>
      </c>
      <c r="V731" s="3" t="s">
        <v>0</v>
      </c>
      <c r="W731" s="2">
        <v>33</v>
      </c>
    </row>
    <row r="732" spans="1:23" hidden="1" x14ac:dyDescent="0.25">
      <c r="A732" s="8">
        <v>11916</v>
      </c>
      <c r="B732" s="8" t="s">
        <v>2594</v>
      </c>
      <c r="C732" s="7" t="s">
        <v>2593</v>
      </c>
      <c r="D732" s="6" t="s">
        <v>15</v>
      </c>
      <c r="E732" s="5" t="s">
        <v>1233</v>
      </c>
      <c r="F732" s="4">
        <v>40770</v>
      </c>
      <c r="G732" s="4" t="s">
        <v>1</v>
      </c>
      <c r="H732" s="4" t="s">
        <v>1</v>
      </c>
      <c r="I732" s="3" t="s">
        <v>13</v>
      </c>
      <c r="J732" s="3" t="s">
        <v>12</v>
      </c>
      <c r="K732" s="3" t="s">
        <v>1933</v>
      </c>
      <c r="L732" s="3" t="s">
        <v>1932</v>
      </c>
      <c r="M732" s="3" t="s">
        <v>1931</v>
      </c>
      <c r="N732" s="3" t="s">
        <v>22</v>
      </c>
      <c r="O732" s="3" t="s">
        <v>21</v>
      </c>
      <c r="P732" s="3" t="s">
        <v>30</v>
      </c>
      <c r="Q732" s="3" t="s">
        <v>20</v>
      </c>
      <c r="R732" s="3" t="s">
        <v>4</v>
      </c>
      <c r="S732" s="3" t="s">
        <v>3</v>
      </c>
      <c r="T732" s="3" t="s">
        <v>19</v>
      </c>
      <c r="U732" s="3" t="s">
        <v>1</v>
      </c>
      <c r="V732" s="3" t="s">
        <v>0</v>
      </c>
      <c r="W732" s="2">
        <v>33</v>
      </c>
    </row>
    <row r="733" spans="1:23" hidden="1" x14ac:dyDescent="0.25">
      <c r="A733" s="8">
        <v>10094</v>
      </c>
      <c r="B733" s="8" t="s">
        <v>2592</v>
      </c>
      <c r="C733" s="7" t="s">
        <v>2591</v>
      </c>
      <c r="D733" s="6" t="s">
        <v>15</v>
      </c>
      <c r="E733" s="5" t="s">
        <v>1034</v>
      </c>
      <c r="F733" s="4">
        <v>40444</v>
      </c>
      <c r="G733" s="4" t="s">
        <v>1</v>
      </c>
      <c r="H733" s="4" t="s">
        <v>1</v>
      </c>
      <c r="I733" s="18" t="s">
        <v>100</v>
      </c>
      <c r="J733" s="18" t="s">
        <v>124</v>
      </c>
      <c r="K733" s="18" t="s">
        <v>33</v>
      </c>
      <c r="L733" s="18" t="s">
        <v>33</v>
      </c>
      <c r="M733" s="18" t="s">
        <v>124</v>
      </c>
      <c r="N733" s="18" t="s">
        <v>123</v>
      </c>
      <c r="O733" s="18" t="s">
        <v>122</v>
      </c>
      <c r="P733" s="5" t="s">
        <v>1</v>
      </c>
      <c r="Q733" s="5" t="s">
        <v>121</v>
      </c>
      <c r="R733" s="3" t="s">
        <v>4</v>
      </c>
      <c r="S733" s="3" t="s">
        <v>3</v>
      </c>
      <c r="T733" s="3" t="s">
        <v>2</v>
      </c>
      <c r="U733" s="3" t="s">
        <v>1</v>
      </c>
      <c r="V733" s="3" t="s">
        <v>0</v>
      </c>
      <c r="W733" s="2">
        <v>33</v>
      </c>
    </row>
    <row r="734" spans="1:23" hidden="1" x14ac:dyDescent="0.25">
      <c r="A734" s="8">
        <v>12156</v>
      </c>
      <c r="B734" s="8" t="s">
        <v>2590</v>
      </c>
      <c r="C734" s="7" t="s">
        <v>2589</v>
      </c>
      <c r="D734" s="6" t="s">
        <v>15</v>
      </c>
      <c r="E734" s="5" t="s">
        <v>421</v>
      </c>
      <c r="F734" s="4">
        <v>40798</v>
      </c>
      <c r="G734" s="4" t="s">
        <v>1</v>
      </c>
      <c r="H734" s="4" t="s">
        <v>1</v>
      </c>
      <c r="I734" s="3" t="s">
        <v>13</v>
      </c>
      <c r="J734" s="3" t="s">
        <v>12</v>
      </c>
      <c r="K734" s="3" t="s">
        <v>1933</v>
      </c>
      <c r="L734" s="3" t="s">
        <v>1932</v>
      </c>
      <c r="M734" s="3" t="s">
        <v>1931</v>
      </c>
      <c r="N734" s="3" t="s">
        <v>2499</v>
      </c>
      <c r="O734" s="3" t="s">
        <v>100</v>
      </c>
      <c r="P734" s="3" t="s">
        <v>30</v>
      </c>
      <c r="Q734" s="3" t="s">
        <v>20</v>
      </c>
      <c r="R734" s="3" t="s">
        <v>4</v>
      </c>
      <c r="S734" s="3" t="s">
        <v>3</v>
      </c>
      <c r="T734" s="3" t="s">
        <v>2</v>
      </c>
      <c r="U734" s="3" t="s">
        <v>1</v>
      </c>
      <c r="V734" s="3" t="s">
        <v>0</v>
      </c>
      <c r="W734" s="2">
        <v>37</v>
      </c>
    </row>
    <row r="735" spans="1:23" hidden="1" x14ac:dyDescent="0.25">
      <c r="A735" s="8">
        <v>10097</v>
      </c>
      <c r="B735" s="8" t="s">
        <v>2588</v>
      </c>
      <c r="C735" s="7" t="s">
        <v>2587</v>
      </c>
      <c r="D735" s="6" t="s">
        <v>15</v>
      </c>
      <c r="E735" s="5" t="s">
        <v>1034</v>
      </c>
      <c r="F735" s="4">
        <v>40444</v>
      </c>
      <c r="G735" s="4" t="s">
        <v>1</v>
      </c>
      <c r="H735" s="4" t="s">
        <v>1</v>
      </c>
      <c r="I735" s="3" t="s">
        <v>145</v>
      </c>
      <c r="J735" s="3" t="s">
        <v>12</v>
      </c>
      <c r="K735" s="3" t="s">
        <v>262</v>
      </c>
      <c r="L735" s="3" t="s">
        <v>261</v>
      </c>
      <c r="M735" s="3" t="s">
        <v>260</v>
      </c>
      <c r="N735" s="3" t="s">
        <v>771</v>
      </c>
      <c r="O735" s="3" t="s">
        <v>771</v>
      </c>
      <c r="P735" s="3" t="s">
        <v>6</v>
      </c>
      <c r="Q735" s="3" t="s">
        <v>20</v>
      </c>
      <c r="R735" s="3" t="s">
        <v>4</v>
      </c>
      <c r="S735" s="3" t="s">
        <v>3</v>
      </c>
      <c r="T735" s="3" t="s">
        <v>2</v>
      </c>
      <c r="U735" s="3" t="s">
        <v>1</v>
      </c>
      <c r="V735" s="3" t="s">
        <v>0</v>
      </c>
      <c r="W735" s="2">
        <v>32</v>
      </c>
    </row>
    <row r="736" spans="1:23" hidden="1" x14ac:dyDescent="0.25">
      <c r="A736" s="8">
        <v>10100</v>
      </c>
      <c r="B736" s="8" t="s">
        <v>2586</v>
      </c>
      <c r="C736" s="7" t="s">
        <v>2585</v>
      </c>
      <c r="D736" s="6" t="s">
        <v>15</v>
      </c>
      <c r="E736" s="5" t="s">
        <v>1034</v>
      </c>
      <c r="F736" s="4">
        <v>40444</v>
      </c>
      <c r="G736" s="4" t="s">
        <v>1</v>
      </c>
      <c r="H736" s="4" t="s">
        <v>1</v>
      </c>
      <c r="I736" s="3" t="s">
        <v>13</v>
      </c>
      <c r="J736" s="3" t="s">
        <v>133</v>
      </c>
      <c r="K736" s="3" t="s">
        <v>283</v>
      </c>
      <c r="L736" s="3" t="s">
        <v>999</v>
      </c>
      <c r="M736" s="3" t="s">
        <v>998</v>
      </c>
      <c r="N736" s="3" t="s">
        <v>2584</v>
      </c>
      <c r="O736" s="3" t="s">
        <v>100</v>
      </c>
      <c r="P736" s="3" t="s">
        <v>6</v>
      </c>
      <c r="Q736" s="3" t="s">
        <v>20</v>
      </c>
      <c r="R736" s="3" t="s">
        <v>4</v>
      </c>
      <c r="S736" s="3" t="s">
        <v>3</v>
      </c>
      <c r="T736" s="3" t="s">
        <v>2</v>
      </c>
      <c r="U736" s="3" t="s">
        <v>1</v>
      </c>
      <c r="V736" s="3" t="s">
        <v>0</v>
      </c>
      <c r="W736" s="2">
        <v>32</v>
      </c>
    </row>
    <row r="737" spans="1:24" s="9" customFormat="1" hidden="1" x14ac:dyDescent="0.25">
      <c r="A737" s="17">
        <v>12237</v>
      </c>
      <c r="B737" s="17" t="s">
        <v>2583</v>
      </c>
      <c r="C737" s="16" t="s">
        <v>2582</v>
      </c>
      <c r="D737" s="15" t="s">
        <v>15</v>
      </c>
      <c r="E737" s="14" t="s">
        <v>1630</v>
      </c>
      <c r="F737" s="13">
        <v>40805</v>
      </c>
      <c r="G737" s="13" t="s">
        <v>1</v>
      </c>
      <c r="H737" s="13" t="s">
        <v>1</v>
      </c>
      <c r="I737" s="12" t="s">
        <v>13</v>
      </c>
      <c r="J737" s="12" t="s">
        <v>12</v>
      </c>
      <c r="K737" s="12" t="s">
        <v>1933</v>
      </c>
      <c r="L737" s="12" t="s">
        <v>1932</v>
      </c>
      <c r="M737" s="12" t="s">
        <v>1931</v>
      </c>
      <c r="N737" s="12" t="s">
        <v>2354</v>
      </c>
      <c r="O737" s="12" t="s">
        <v>100</v>
      </c>
      <c r="P737" s="12" t="s">
        <v>30</v>
      </c>
      <c r="Q737" s="12" t="s">
        <v>20</v>
      </c>
      <c r="R737" s="12" t="s">
        <v>4</v>
      </c>
      <c r="S737" s="12" t="s">
        <v>3</v>
      </c>
      <c r="T737" s="12" t="s">
        <v>19</v>
      </c>
      <c r="U737" s="12" t="s">
        <v>1</v>
      </c>
      <c r="V737" s="12" t="s">
        <v>18</v>
      </c>
      <c r="W737" s="11">
        <v>31</v>
      </c>
    </row>
    <row r="738" spans="1:24" hidden="1" x14ac:dyDescent="0.25">
      <c r="A738" s="8">
        <v>10104</v>
      </c>
      <c r="B738" s="8" t="s">
        <v>2581</v>
      </c>
      <c r="C738" s="7" t="s">
        <v>2580</v>
      </c>
      <c r="D738" s="6" t="s">
        <v>15</v>
      </c>
      <c r="E738" s="5" t="s">
        <v>1034</v>
      </c>
      <c r="F738" s="4">
        <v>40444</v>
      </c>
      <c r="G738" s="4" t="s">
        <v>1</v>
      </c>
      <c r="H738" s="4" t="s">
        <v>1</v>
      </c>
      <c r="I738" s="5" t="s">
        <v>50</v>
      </c>
      <c r="J738" s="5" t="s">
        <v>49</v>
      </c>
      <c r="K738" s="5" t="s">
        <v>33</v>
      </c>
      <c r="L738" s="5" t="s">
        <v>33</v>
      </c>
      <c r="M738" s="5" t="s">
        <v>49</v>
      </c>
      <c r="N738" s="5" t="s">
        <v>1665</v>
      </c>
      <c r="O738" s="5" t="s">
        <v>48</v>
      </c>
      <c r="P738" s="5" t="s">
        <v>30</v>
      </c>
      <c r="Q738" s="5" t="s">
        <v>47</v>
      </c>
      <c r="R738" s="3" t="s">
        <v>4</v>
      </c>
      <c r="S738" s="3" t="s">
        <v>3</v>
      </c>
      <c r="T738" s="3" t="s">
        <v>2</v>
      </c>
      <c r="U738" s="3" t="s">
        <v>1</v>
      </c>
      <c r="V738" s="3" t="s">
        <v>0</v>
      </c>
      <c r="W738" s="2">
        <v>33</v>
      </c>
      <c r="X738" s="20"/>
    </row>
    <row r="739" spans="1:24" hidden="1" x14ac:dyDescent="0.25">
      <c r="A739" s="8">
        <v>10108</v>
      </c>
      <c r="B739" s="8" t="s">
        <v>2579</v>
      </c>
      <c r="C739" s="19" t="s">
        <v>2578</v>
      </c>
      <c r="D739" s="6" t="s">
        <v>15</v>
      </c>
      <c r="E739" s="18" t="s">
        <v>1034</v>
      </c>
      <c r="F739" s="4">
        <v>40444</v>
      </c>
      <c r="G739" s="4" t="s">
        <v>1</v>
      </c>
      <c r="H739" s="4" t="s">
        <v>1</v>
      </c>
      <c r="I739" s="3" t="s">
        <v>13</v>
      </c>
      <c r="J739" s="3" t="s">
        <v>133</v>
      </c>
      <c r="K739" s="3" t="s">
        <v>262</v>
      </c>
      <c r="L739" s="3" t="s">
        <v>262</v>
      </c>
      <c r="M739" s="3" t="s">
        <v>277</v>
      </c>
      <c r="N739" s="3" t="s">
        <v>2577</v>
      </c>
      <c r="O739" s="3" t="s">
        <v>128</v>
      </c>
      <c r="P739" s="3" t="s">
        <v>6</v>
      </c>
      <c r="Q739" s="3" t="s">
        <v>5</v>
      </c>
      <c r="R739" s="3" t="s">
        <v>4</v>
      </c>
      <c r="S739" s="3" t="s">
        <v>3</v>
      </c>
      <c r="T739" s="3" t="s">
        <v>2</v>
      </c>
      <c r="U739" s="3" t="s">
        <v>1</v>
      </c>
      <c r="V739" s="3" t="s">
        <v>0</v>
      </c>
      <c r="W739" s="2">
        <v>32</v>
      </c>
    </row>
    <row r="740" spans="1:24" hidden="1" x14ac:dyDescent="0.25">
      <c r="A740" s="8">
        <v>10112</v>
      </c>
      <c r="B740" s="8" t="s">
        <v>2576</v>
      </c>
      <c r="C740" s="28" t="s">
        <v>2575</v>
      </c>
      <c r="D740" s="6" t="s">
        <v>15</v>
      </c>
      <c r="E740" s="5" t="s">
        <v>1034</v>
      </c>
      <c r="F740" s="4">
        <v>40444</v>
      </c>
      <c r="G740" s="4" t="s">
        <v>1</v>
      </c>
      <c r="H740" s="4" t="s">
        <v>1</v>
      </c>
      <c r="I740" s="5" t="s">
        <v>365</v>
      </c>
      <c r="J740" s="5" t="s">
        <v>918</v>
      </c>
      <c r="K740" s="5" t="s">
        <v>33</v>
      </c>
      <c r="L740" s="5" t="s">
        <v>33</v>
      </c>
      <c r="M740" s="5" t="s">
        <v>918</v>
      </c>
      <c r="N740" s="3" t="s">
        <v>1023</v>
      </c>
      <c r="O740" s="5" t="s">
        <v>918</v>
      </c>
      <c r="P740" s="5" t="s">
        <v>30</v>
      </c>
      <c r="Q740" s="5" t="s">
        <v>121</v>
      </c>
      <c r="R740" s="3" t="s">
        <v>4</v>
      </c>
      <c r="S740" s="3" t="s">
        <v>3</v>
      </c>
      <c r="T740" s="3" t="s">
        <v>365</v>
      </c>
      <c r="U740" s="3" t="s">
        <v>1</v>
      </c>
      <c r="V740" s="3" t="s">
        <v>0</v>
      </c>
      <c r="W740" s="2">
        <v>32</v>
      </c>
    </row>
    <row r="741" spans="1:24" hidden="1" x14ac:dyDescent="0.25">
      <c r="A741" s="8">
        <v>10117</v>
      </c>
      <c r="B741" s="8" t="s">
        <v>2574</v>
      </c>
      <c r="C741" s="7" t="s">
        <v>2573</v>
      </c>
      <c r="D741" s="6" t="s">
        <v>15</v>
      </c>
      <c r="E741" s="5" t="s">
        <v>1034</v>
      </c>
      <c r="F741" s="4">
        <v>40444</v>
      </c>
      <c r="G741" s="4" t="s">
        <v>1</v>
      </c>
      <c r="H741" s="4" t="s">
        <v>1</v>
      </c>
      <c r="I741" s="3" t="s">
        <v>13</v>
      </c>
      <c r="J741" s="3" t="s">
        <v>133</v>
      </c>
      <c r="K741" s="3" t="s">
        <v>283</v>
      </c>
      <c r="L741" s="3" t="s">
        <v>999</v>
      </c>
      <c r="M741" s="3" t="s">
        <v>998</v>
      </c>
      <c r="N741" s="3" t="s">
        <v>2572</v>
      </c>
      <c r="O741" s="3" t="s">
        <v>100</v>
      </c>
      <c r="P741" s="3" t="s">
        <v>6</v>
      </c>
      <c r="Q741" s="3" t="s">
        <v>20</v>
      </c>
      <c r="R741" s="3" t="s">
        <v>4</v>
      </c>
      <c r="S741" s="3" t="s">
        <v>3</v>
      </c>
      <c r="T741" s="3" t="s">
        <v>2</v>
      </c>
      <c r="U741" s="3" t="s">
        <v>1</v>
      </c>
      <c r="V741" s="3" t="s">
        <v>0</v>
      </c>
      <c r="W741" s="2">
        <v>32</v>
      </c>
    </row>
    <row r="742" spans="1:24" s="9" customFormat="1" hidden="1" x14ac:dyDescent="0.25">
      <c r="A742" s="17">
        <v>12737</v>
      </c>
      <c r="B742" s="17" t="s">
        <v>2571</v>
      </c>
      <c r="C742" s="16" t="s">
        <v>2570</v>
      </c>
      <c r="D742" s="15" t="s">
        <v>15</v>
      </c>
      <c r="E742" s="14" t="s">
        <v>149</v>
      </c>
      <c r="F742" s="13">
        <v>40819</v>
      </c>
      <c r="G742" s="13" t="s">
        <v>1</v>
      </c>
      <c r="H742" s="13" t="s">
        <v>1</v>
      </c>
      <c r="I742" s="12" t="s">
        <v>13</v>
      </c>
      <c r="J742" s="12" t="s">
        <v>12</v>
      </c>
      <c r="K742" s="12" t="s">
        <v>1933</v>
      </c>
      <c r="L742" s="12" t="s">
        <v>1932</v>
      </c>
      <c r="M742" s="12" t="s">
        <v>1931</v>
      </c>
      <c r="N742" s="12" t="s">
        <v>842</v>
      </c>
      <c r="O742" s="12" t="s">
        <v>100</v>
      </c>
      <c r="P742" s="12" t="s">
        <v>30</v>
      </c>
      <c r="Q742" s="12" t="s">
        <v>20</v>
      </c>
      <c r="R742" s="12" t="s">
        <v>4</v>
      </c>
      <c r="S742" s="12" t="s">
        <v>3</v>
      </c>
      <c r="T742" s="12" t="s">
        <v>2</v>
      </c>
      <c r="U742" s="12" t="s">
        <v>1</v>
      </c>
      <c r="V742" s="12" t="s">
        <v>18</v>
      </c>
      <c r="W742" s="11">
        <v>34</v>
      </c>
    </row>
    <row r="743" spans="1:24" hidden="1" x14ac:dyDescent="0.25">
      <c r="A743" s="8">
        <v>10124</v>
      </c>
      <c r="B743" s="8" t="s">
        <v>2569</v>
      </c>
      <c r="C743" s="7" t="s">
        <v>2568</v>
      </c>
      <c r="D743" s="6" t="s">
        <v>15</v>
      </c>
      <c r="E743" s="5" t="s">
        <v>1034</v>
      </c>
      <c r="F743" s="4">
        <v>40444</v>
      </c>
      <c r="G743" s="4" t="s">
        <v>1</v>
      </c>
      <c r="H743" s="4" t="s">
        <v>1</v>
      </c>
      <c r="I743" s="3" t="s">
        <v>13</v>
      </c>
      <c r="J743" s="3" t="s">
        <v>12</v>
      </c>
      <c r="K743" s="3" t="s">
        <v>187</v>
      </c>
      <c r="L743" s="3" t="s">
        <v>229</v>
      </c>
      <c r="M743" s="3" t="s">
        <v>228</v>
      </c>
      <c r="N743" s="3" t="s">
        <v>1078</v>
      </c>
      <c r="O743" s="3" t="s">
        <v>29</v>
      </c>
      <c r="P743" s="3" t="s">
        <v>6</v>
      </c>
      <c r="Q743" s="3" t="s">
        <v>20</v>
      </c>
      <c r="R743" s="3" t="s">
        <v>4</v>
      </c>
      <c r="S743" s="3" t="s">
        <v>3</v>
      </c>
      <c r="T743" s="3" t="s">
        <v>1077</v>
      </c>
      <c r="U743" s="3" t="s">
        <v>1</v>
      </c>
      <c r="V743" s="3" t="s">
        <v>0</v>
      </c>
      <c r="W743" s="2">
        <v>32</v>
      </c>
    </row>
    <row r="744" spans="1:24" hidden="1" x14ac:dyDescent="0.25">
      <c r="A744" s="8">
        <v>10126</v>
      </c>
      <c r="B744" s="8" t="s">
        <v>2567</v>
      </c>
      <c r="C744" s="7" t="s">
        <v>311</v>
      </c>
      <c r="D744" s="6" t="s">
        <v>15</v>
      </c>
      <c r="E744" s="5" t="s">
        <v>1034</v>
      </c>
      <c r="F744" s="4">
        <v>40444</v>
      </c>
      <c r="G744" s="4" t="s">
        <v>1</v>
      </c>
      <c r="H744" s="4" t="s">
        <v>1</v>
      </c>
      <c r="I744" s="3" t="s">
        <v>384</v>
      </c>
      <c r="J744" s="3" t="s">
        <v>1709</v>
      </c>
      <c r="K744" s="3" t="s">
        <v>33</v>
      </c>
      <c r="L744" s="3" t="s">
        <v>33</v>
      </c>
      <c r="M744" s="3" t="s">
        <v>1709</v>
      </c>
      <c r="N744" s="3" t="s">
        <v>1708</v>
      </c>
      <c r="O744" s="3" t="s">
        <v>387</v>
      </c>
      <c r="P744" s="3" t="s">
        <v>30</v>
      </c>
      <c r="Q744" s="3" t="s">
        <v>47</v>
      </c>
      <c r="R744" s="3" t="s">
        <v>4</v>
      </c>
      <c r="S744" s="3" t="s">
        <v>3</v>
      </c>
      <c r="T744" s="3" t="s">
        <v>2</v>
      </c>
      <c r="U744" s="3" t="s">
        <v>1</v>
      </c>
      <c r="V744" s="3" t="s">
        <v>0</v>
      </c>
      <c r="W744" s="2">
        <v>34</v>
      </c>
    </row>
    <row r="745" spans="1:24" hidden="1" x14ac:dyDescent="0.25">
      <c r="A745" s="8">
        <v>10127</v>
      </c>
      <c r="B745" s="8" t="s">
        <v>2566</v>
      </c>
      <c r="C745" s="7" t="s">
        <v>2565</v>
      </c>
      <c r="D745" s="6" t="s">
        <v>15</v>
      </c>
      <c r="E745" s="5" t="s">
        <v>1034</v>
      </c>
      <c r="F745" s="4">
        <v>40444</v>
      </c>
      <c r="G745" s="4" t="s">
        <v>1</v>
      </c>
      <c r="H745" s="4" t="s">
        <v>1</v>
      </c>
      <c r="I745" s="3" t="s">
        <v>145</v>
      </c>
      <c r="J745" s="3" t="s">
        <v>34</v>
      </c>
      <c r="K745" s="3" t="s">
        <v>33</v>
      </c>
      <c r="L745" s="3" t="s">
        <v>33</v>
      </c>
      <c r="M745" s="3" t="s">
        <v>161</v>
      </c>
      <c r="N745" s="3" t="s">
        <v>160</v>
      </c>
      <c r="O745" s="3" t="s">
        <v>100</v>
      </c>
      <c r="P745" s="3" t="s">
        <v>30</v>
      </c>
      <c r="Q745" s="3" t="s">
        <v>20</v>
      </c>
      <c r="R745" s="3" t="s">
        <v>4</v>
      </c>
      <c r="S745" s="3" t="s">
        <v>3</v>
      </c>
      <c r="T745" s="3" t="s">
        <v>19</v>
      </c>
      <c r="U745" s="3" t="s">
        <v>1</v>
      </c>
      <c r="V745" s="3" t="s">
        <v>0</v>
      </c>
      <c r="W745" s="2">
        <v>32</v>
      </c>
    </row>
    <row r="746" spans="1:24" s="9" customFormat="1" hidden="1" x14ac:dyDescent="0.25">
      <c r="A746" s="17">
        <v>12798</v>
      </c>
      <c r="B746" s="17" t="s">
        <v>2564</v>
      </c>
      <c r="C746" s="16" t="s">
        <v>2563</v>
      </c>
      <c r="D746" s="15" t="s">
        <v>15</v>
      </c>
      <c r="E746" s="14" t="s">
        <v>335</v>
      </c>
      <c r="F746" s="13">
        <v>40826</v>
      </c>
      <c r="G746" s="13" t="s">
        <v>1</v>
      </c>
      <c r="H746" s="13" t="s">
        <v>1</v>
      </c>
      <c r="I746" s="12" t="s">
        <v>13</v>
      </c>
      <c r="J746" s="12" t="s">
        <v>12</v>
      </c>
      <c r="K746" s="12" t="s">
        <v>1933</v>
      </c>
      <c r="L746" s="12" t="s">
        <v>1932</v>
      </c>
      <c r="M746" s="12" t="s">
        <v>1931</v>
      </c>
      <c r="N746" s="12" t="s">
        <v>22</v>
      </c>
      <c r="O746" s="12" t="s">
        <v>21</v>
      </c>
      <c r="P746" s="12" t="s">
        <v>30</v>
      </c>
      <c r="Q746" s="12" t="s">
        <v>20</v>
      </c>
      <c r="R746" s="12" t="s">
        <v>4</v>
      </c>
      <c r="S746" s="12" t="s">
        <v>3</v>
      </c>
      <c r="T746" s="12" t="s">
        <v>19</v>
      </c>
      <c r="U746" s="12" t="s">
        <v>1</v>
      </c>
      <c r="V746" s="12" t="s">
        <v>18</v>
      </c>
      <c r="W746" s="11">
        <v>32</v>
      </c>
    </row>
    <row r="747" spans="1:24" s="9" customFormat="1" hidden="1" x14ac:dyDescent="0.25">
      <c r="A747" s="17">
        <v>19303</v>
      </c>
      <c r="B747" s="17" t="s">
        <v>2562</v>
      </c>
      <c r="C747" s="16" t="s">
        <v>2561</v>
      </c>
      <c r="D747" s="15" t="s">
        <v>15</v>
      </c>
      <c r="E747" s="14" t="s">
        <v>853</v>
      </c>
      <c r="F747" s="13">
        <v>42282</v>
      </c>
      <c r="G747" s="13" t="s">
        <v>1</v>
      </c>
      <c r="H747" s="13" t="s">
        <v>1</v>
      </c>
      <c r="I747" s="12" t="s">
        <v>13</v>
      </c>
      <c r="J747" s="12" t="s">
        <v>12</v>
      </c>
      <c r="K747" s="12" t="s">
        <v>1933</v>
      </c>
      <c r="L747" s="12" t="s">
        <v>1932</v>
      </c>
      <c r="M747" s="12" t="s">
        <v>1931</v>
      </c>
      <c r="N747" s="12" t="s">
        <v>1479</v>
      </c>
      <c r="O747" s="12" t="s">
        <v>100</v>
      </c>
      <c r="P747" s="12" t="s">
        <v>30</v>
      </c>
      <c r="Q747" s="12" t="s">
        <v>20</v>
      </c>
      <c r="R747" s="12" t="s">
        <v>4</v>
      </c>
      <c r="S747" s="12" t="s">
        <v>3</v>
      </c>
      <c r="T747" s="12" t="s">
        <v>2</v>
      </c>
      <c r="U747" s="12" t="s">
        <v>1</v>
      </c>
      <c r="V747" s="12" t="s">
        <v>0</v>
      </c>
      <c r="W747" s="11">
        <v>27</v>
      </c>
    </row>
    <row r="748" spans="1:24" hidden="1" x14ac:dyDescent="0.25">
      <c r="A748" s="8">
        <v>10134</v>
      </c>
      <c r="B748" s="8" t="s">
        <v>2560</v>
      </c>
      <c r="C748" s="7" t="s">
        <v>2559</v>
      </c>
      <c r="D748" s="6" t="s">
        <v>15</v>
      </c>
      <c r="E748" s="5" t="s">
        <v>1034</v>
      </c>
      <c r="F748" s="4">
        <v>40444</v>
      </c>
      <c r="G748" s="4" t="s">
        <v>1</v>
      </c>
      <c r="H748" s="4" t="s">
        <v>1</v>
      </c>
      <c r="I748" s="3" t="s">
        <v>13</v>
      </c>
      <c r="J748" s="3" t="s">
        <v>12</v>
      </c>
      <c r="K748" s="3" t="s">
        <v>63</v>
      </c>
      <c r="L748" s="3" t="s">
        <v>1469</v>
      </c>
      <c r="M748" s="3" t="s">
        <v>1468</v>
      </c>
      <c r="N748" s="3" t="s">
        <v>2558</v>
      </c>
      <c r="O748" s="3" t="s">
        <v>728</v>
      </c>
      <c r="P748" s="3" t="s">
        <v>6</v>
      </c>
      <c r="Q748" s="3" t="s">
        <v>20</v>
      </c>
      <c r="R748" s="3" t="s">
        <v>4</v>
      </c>
      <c r="S748" s="3" t="s">
        <v>3</v>
      </c>
      <c r="T748" s="3" t="s">
        <v>2</v>
      </c>
      <c r="U748" s="3" t="s">
        <v>1</v>
      </c>
      <c r="V748" s="3" t="s">
        <v>0</v>
      </c>
      <c r="W748" s="2">
        <v>32</v>
      </c>
    </row>
    <row r="749" spans="1:24" s="9" customFormat="1" hidden="1" x14ac:dyDescent="0.25">
      <c r="A749" s="17" t="s">
        <v>2557</v>
      </c>
      <c r="B749" s="17" t="s">
        <v>2557</v>
      </c>
      <c r="C749" s="24" t="s">
        <v>2556</v>
      </c>
      <c r="D749" s="15" t="s">
        <v>15</v>
      </c>
      <c r="E749" s="22" t="s">
        <v>293</v>
      </c>
      <c r="F749" s="13">
        <v>40847</v>
      </c>
      <c r="G749" s="13" t="s">
        <v>1</v>
      </c>
      <c r="H749" s="13" t="s">
        <v>1</v>
      </c>
      <c r="I749" s="12" t="s">
        <v>13</v>
      </c>
      <c r="J749" s="12" t="s">
        <v>12</v>
      </c>
      <c r="K749" s="12" t="s">
        <v>1933</v>
      </c>
      <c r="L749" s="12" t="s">
        <v>1932</v>
      </c>
      <c r="M749" s="12" t="s">
        <v>1931</v>
      </c>
      <c r="N749" s="12" t="s">
        <v>2424</v>
      </c>
      <c r="O749" s="12" t="s">
        <v>100</v>
      </c>
      <c r="P749" s="12" t="s">
        <v>30</v>
      </c>
      <c r="Q749" s="12" t="s">
        <v>20</v>
      </c>
      <c r="R749" s="12" t="s">
        <v>4</v>
      </c>
      <c r="S749" s="12" t="s">
        <v>3</v>
      </c>
      <c r="T749" s="12" t="s">
        <v>2</v>
      </c>
      <c r="U749" s="12" t="s">
        <v>1</v>
      </c>
      <c r="V749" s="12" t="s">
        <v>0</v>
      </c>
      <c r="W749" s="11">
        <v>35</v>
      </c>
    </row>
    <row r="750" spans="1:24" hidden="1" x14ac:dyDescent="0.25">
      <c r="A750" s="8">
        <v>1313</v>
      </c>
      <c r="B750" s="8" t="s">
        <v>2555</v>
      </c>
      <c r="C750" s="7" t="s">
        <v>2554</v>
      </c>
      <c r="D750" s="6" t="s">
        <v>15</v>
      </c>
      <c r="E750" s="5" t="s">
        <v>2553</v>
      </c>
      <c r="F750" s="4">
        <v>37928</v>
      </c>
      <c r="G750" s="4" t="s">
        <v>1</v>
      </c>
      <c r="H750" s="4" t="s">
        <v>1</v>
      </c>
      <c r="I750" s="3" t="s">
        <v>13</v>
      </c>
      <c r="J750" s="3" t="s">
        <v>12</v>
      </c>
      <c r="K750" s="3" t="s">
        <v>1933</v>
      </c>
      <c r="L750" s="3" t="s">
        <v>2356</v>
      </c>
      <c r="M750" s="3" t="s">
        <v>2355</v>
      </c>
      <c r="N750" s="3" t="s">
        <v>2552</v>
      </c>
      <c r="O750" s="3" t="s">
        <v>100</v>
      </c>
      <c r="P750" s="3" t="s">
        <v>30</v>
      </c>
      <c r="Q750" s="3" t="s">
        <v>20</v>
      </c>
      <c r="R750" s="3" t="s">
        <v>4</v>
      </c>
      <c r="S750" s="3" t="s">
        <v>3</v>
      </c>
      <c r="T750" s="3" t="s">
        <v>2</v>
      </c>
      <c r="U750" s="3" t="s">
        <v>1</v>
      </c>
      <c r="V750" s="3" t="s">
        <v>0</v>
      </c>
      <c r="W750" s="2">
        <v>40</v>
      </c>
    </row>
    <row r="751" spans="1:24" hidden="1" x14ac:dyDescent="0.25">
      <c r="A751" s="8">
        <v>10156</v>
      </c>
      <c r="B751" s="8" t="s">
        <v>2551</v>
      </c>
      <c r="C751" s="7" t="s">
        <v>2550</v>
      </c>
      <c r="D751" s="6" t="s">
        <v>15</v>
      </c>
      <c r="E751" s="5" t="s">
        <v>168</v>
      </c>
      <c r="F751" s="4">
        <v>40452</v>
      </c>
      <c r="G751" s="4" t="s">
        <v>1</v>
      </c>
      <c r="H751" s="4" t="s">
        <v>1</v>
      </c>
      <c r="I751" s="18" t="s">
        <v>100</v>
      </c>
      <c r="J751" s="18" t="s">
        <v>124</v>
      </c>
      <c r="K751" s="18" t="s">
        <v>33</v>
      </c>
      <c r="L751" s="18" t="s">
        <v>33</v>
      </c>
      <c r="M751" s="18" t="s">
        <v>124</v>
      </c>
      <c r="N751" s="18" t="s">
        <v>194</v>
      </c>
      <c r="O751" s="18" t="s">
        <v>122</v>
      </c>
      <c r="P751" s="5" t="s">
        <v>1</v>
      </c>
      <c r="Q751" s="5" t="s">
        <v>121</v>
      </c>
      <c r="R751" s="3" t="s">
        <v>4</v>
      </c>
      <c r="S751" s="3" t="s">
        <v>3</v>
      </c>
      <c r="T751" s="3" t="s">
        <v>2</v>
      </c>
      <c r="U751" s="3" t="s">
        <v>1</v>
      </c>
      <c r="V751" s="3" t="s">
        <v>0</v>
      </c>
      <c r="W751" s="2">
        <v>35</v>
      </c>
    </row>
    <row r="752" spans="1:24" hidden="1" x14ac:dyDescent="0.25">
      <c r="A752" s="8">
        <v>10160</v>
      </c>
      <c r="B752" s="8" t="s">
        <v>2549</v>
      </c>
      <c r="C752" s="7" t="s">
        <v>2548</v>
      </c>
      <c r="D752" s="6" t="s">
        <v>15</v>
      </c>
      <c r="E752" s="5" t="s">
        <v>2545</v>
      </c>
      <c r="F752" s="4">
        <v>40452</v>
      </c>
      <c r="G752" s="4" t="s">
        <v>1</v>
      </c>
      <c r="H752" s="4" t="s">
        <v>1</v>
      </c>
      <c r="I752" s="5" t="s">
        <v>93</v>
      </c>
      <c r="J752" s="3" t="s">
        <v>92</v>
      </c>
      <c r="K752" s="3" t="s">
        <v>33</v>
      </c>
      <c r="L752" s="3" t="s">
        <v>33</v>
      </c>
      <c r="M752" s="3" t="s">
        <v>91</v>
      </c>
      <c r="N752" s="3" t="s">
        <v>90</v>
      </c>
      <c r="O752" s="3" t="s">
        <v>89</v>
      </c>
      <c r="P752" s="3" t="s">
        <v>6</v>
      </c>
      <c r="Q752" s="3" t="s">
        <v>20</v>
      </c>
      <c r="R752" s="3" t="s">
        <v>4</v>
      </c>
      <c r="S752" s="3" t="s">
        <v>3</v>
      </c>
      <c r="T752" s="3" t="s">
        <v>88</v>
      </c>
      <c r="U752" s="3" t="s">
        <v>1</v>
      </c>
      <c r="V752" s="3" t="s">
        <v>18</v>
      </c>
      <c r="W752" s="2">
        <v>40</v>
      </c>
    </row>
    <row r="753" spans="1:24" hidden="1" x14ac:dyDescent="0.25">
      <c r="A753" s="8">
        <v>10161</v>
      </c>
      <c r="B753" s="8" t="s">
        <v>2547</v>
      </c>
      <c r="C753" s="7" t="s">
        <v>2546</v>
      </c>
      <c r="D753" s="6" t="s">
        <v>15</v>
      </c>
      <c r="E753" s="5" t="s">
        <v>2545</v>
      </c>
      <c r="F753" s="4">
        <v>40452</v>
      </c>
      <c r="G753" s="4" t="s">
        <v>1</v>
      </c>
      <c r="H753" s="4" t="s">
        <v>1</v>
      </c>
      <c r="I753" s="5" t="s">
        <v>93</v>
      </c>
      <c r="J753" s="5" t="s">
        <v>89</v>
      </c>
      <c r="K753" s="5" t="s">
        <v>33</v>
      </c>
      <c r="L753" s="5" t="s">
        <v>33</v>
      </c>
      <c r="M753" s="5" t="s">
        <v>1212</v>
      </c>
      <c r="N753" s="5" t="s">
        <v>1211</v>
      </c>
      <c r="O753" s="5" t="s">
        <v>387</v>
      </c>
      <c r="P753" s="5" t="s">
        <v>30</v>
      </c>
      <c r="Q753" s="5" t="s">
        <v>47</v>
      </c>
      <c r="R753" s="3" t="s">
        <v>4</v>
      </c>
      <c r="S753" s="3" t="s">
        <v>3</v>
      </c>
      <c r="T753" s="3" t="s">
        <v>88</v>
      </c>
      <c r="U753" s="3" t="s">
        <v>1</v>
      </c>
      <c r="V753" s="3" t="s">
        <v>18</v>
      </c>
      <c r="W753" s="2">
        <v>39</v>
      </c>
    </row>
    <row r="754" spans="1:24" hidden="1" x14ac:dyDescent="0.25">
      <c r="A754" s="8">
        <v>3959</v>
      </c>
      <c r="B754" s="8" t="s">
        <v>2544</v>
      </c>
      <c r="C754" s="7" t="s">
        <v>2543</v>
      </c>
      <c r="D754" s="6" t="s">
        <v>15</v>
      </c>
      <c r="E754" s="5" t="s">
        <v>2542</v>
      </c>
      <c r="F754" s="4">
        <v>38722</v>
      </c>
      <c r="G754" s="4" t="s">
        <v>1</v>
      </c>
      <c r="H754" s="4" t="s">
        <v>1</v>
      </c>
      <c r="I754" s="3" t="s">
        <v>13</v>
      </c>
      <c r="J754" s="3" t="s">
        <v>12</v>
      </c>
      <c r="K754" s="3" t="s">
        <v>1933</v>
      </c>
      <c r="L754" s="3" t="s">
        <v>2356</v>
      </c>
      <c r="M754" s="3" t="s">
        <v>2355</v>
      </c>
      <c r="N754" s="3" t="s">
        <v>2541</v>
      </c>
      <c r="O754" s="3" t="s">
        <v>100</v>
      </c>
      <c r="P754" s="3" t="s">
        <v>30</v>
      </c>
      <c r="Q754" s="3" t="s">
        <v>20</v>
      </c>
      <c r="R754" s="3" t="s">
        <v>4</v>
      </c>
      <c r="S754" s="3" t="s">
        <v>3</v>
      </c>
      <c r="T754" s="3" t="s">
        <v>2</v>
      </c>
      <c r="U754" s="3" t="s">
        <v>1</v>
      </c>
      <c r="V754" s="3" t="s">
        <v>0</v>
      </c>
      <c r="W754" s="2">
        <v>42</v>
      </c>
    </row>
    <row r="755" spans="1:24" hidden="1" x14ac:dyDescent="0.25">
      <c r="A755" s="8">
        <v>5433</v>
      </c>
      <c r="B755" s="8" t="s">
        <v>2540</v>
      </c>
      <c r="C755" s="7" t="s">
        <v>2539</v>
      </c>
      <c r="D755" s="6" t="s">
        <v>15</v>
      </c>
      <c r="E755" s="5" t="s">
        <v>44</v>
      </c>
      <c r="F755" s="4">
        <v>38991</v>
      </c>
      <c r="G755" s="4" t="s">
        <v>1</v>
      </c>
      <c r="H755" s="4" t="s">
        <v>1</v>
      </c>
      <c r="I755" s="3" t="s">
        <v>13</v>
      </c>
      <c r="J755" s="3" t="s">
        <v>12</v>
      </c>
      <c r="K755" s="3" t="s">
        <v>1933</v>
      </c>
      <c r="L755" s="3" t="s">
        <v>2356</v>
      </c>
      <c r="M755" s="3" t="s">
        <v>2355</v>
      </c>
      <c r="N755" s="3" t="s">
        <v>2538</v>
      </c>
      <c r="O755" s="3" t="s">
        <v>100</v>
      </c>
      <c r="P755" s="3" t="s">
        <v>30</v>
      </c>
      <c r="Q755" s="3" t="s">
        <v>20</v>
      </c>
      <c r="R755" s="3" t="s">
        <v>4</v>
      </c>
      <c r="S755" s="3" t="s">
        <v>3</v>
      </c>
      <c r="T755" s="3" t="s">
        <v>2</v>
      </c>
      <c r="U755" s="3" t="s">
        <v>1</v>
      </c>
      <c r="V755" s="3" t="s">
        <v>0</v>
      </c>
      <c r="W755" s="2">
        <v>40</v>
      </c>
    </row>
    <row r="756" spans="1:24" hidden="1" x14ac:dyDescent="0.25">
      <c r="A756" s="8">
        <v>10176</v>
      </c>
      <c r="B756" s="8" t="s">
        <v>2537</v>
      </c>
      <c r="C756" s="19" t="s">
        <v>2536</v>
      </c>
      <c r="D756" s="6" t="s">
        <v>15</v>
      </c>
      <c r="E756" s="18" t="s">
        <v>476</v>
      </c>
      <c r="F756" s="4">
        <v>40458</v>
      </c>
      <c r="G756" s="4" t="s">
        <v>1</v>
      </c>
      <c r="H756" s="4" t="s">
        <v>1</v>
      </c>
      <c r="I756" s="3" t="s">
        <v>13</v>
      </c>
      <c r="J756" s="3" t="s">
        <v>12</v>
      </c>
      <c r="K756" s="3" t="s">
        <v>132</v>
      </c>
      <c r="L756" s="3" t="s">
        <v>218</v>
      </c>
      <c r="M756" s="3" t="s">
        <v>1968</v>
      </c>
      <c r="N756" s="3" t="s">
        <v>2333</v>
      </c>
      <c r="O756" s="3" t="s">
        <v>59</v>
      </c>
      <c r="P756" s="3" t="s">
        <v>6</v>
      </c>
      <c r="Q756" s="3" t="s">
        <v>5</v>
      </c>
      <c r="R756" s="3" t="s">
        <v>4</v>
      </c>
      <c r="S756" s="3" t="s">
        <v>3</v>
      </c>
      <c r="T756" s="3" t="s">
        <v>2</v>
      </c>
      <c r="U756" s="3" t="s">
        <v>1</v>
      </c>
      <c r="V756" s="3" t="s">
        <v>0</v>
      </c>
      <c r="W756" s="2">
        <v>32</v>
      </c>
    </row>
    <row r="757" spans="1:24" hidden="1" x14ac:dyDescent="0.25">
      <c r="A757" s="8">
        <v>10177</v>
      </c>
      <c r="B757" s="8" t="s">
        <v>2535</v>
      </c>
      <c r="C757" s="7" t="s">
        <v>2534</v>
      </c>
      <c r="D757" s="6" t="s">
        <v>15</v>
      </c>
      <c r="E757" s="5" t="s">
        <v>476</v>
      </c>
      <c r="F757" s="4">
        <v>40458</v>
      </c>
      <c r="G757" s="4" t="s">
        <v>1</v>
      </c>
      <c r="H757" s="4" t="s">
        <v>1</v>
      </c>
      <c r="I757" s="3" t="s">
        <v>13</v>
      </c>
      <c r="J757" s="3" t="s">
        <v>12</v>
      </c>
      <c r="K757" s="3" t="s">
        <v>262</v>
      </c>
      <c r="L757" s="3" t="s">
        <v>261</v>
      </c>
      <c r="M757" s="3" t="s">
        <v>329</v>
      </c>
      <c r="N757" s="3" t="s">
        <v>1028</v>
      </c>
      <c r="O757" s="3" t="s">
        <v>67</v>
      </c>
      <c r="P757" s="3" t="s">
        <v>6</v>
      </c>
      <c r="Q757" s="3" t="s">
        <v>5</v>
      </c>
      <c r="R757" s="3" t="s">
        <v>4</v>
      </c>
      <c r="S757" s="3" t="s">
        <v>3</v>
      </c>
      <c r="T757" s="3" t="s">
        <v>2</v>
      </c>
      <c r="U757" s="3" t="s">
        <v>1</v>
      </c>
      <c r="V757" s="3" t="s">
        <v>0</v>
      </c>
      <c r="W757" s="2">
        <v>32</v>
      </c>
    </row>
    <row r="758" spans="1:24" s="9" customFormat="1" hidden="1" x14ac:dyDescent="0.25">
      <c r="A758" s="17">
        <v>5539</v>
      </c>
      <c r="B758" s="17" t="s">
        <v>2533</v>
      </c>
      <c r="C758" s="16" t="s">
        <v>2532</v>
      </c>
      <c r="D758" s="15" t="s">
        <v>15</v>
      </c>
      <c r="E758" s="14" t="s">
        <v>41</v>
      </c>
      <c r="F758" s="13">
        <v>39052</v>
      </c>
      <c r="G758" s="13" t="s">
        <v>1</v>
      </c>
      <c r="H758" s="13" t="s">
        <v>1</v>
      </c>
      <c r="I758" s="12" t="s">
        <v>13</v>
      </c>
      <c r="J758" s="12" t="s">
        <v>12</v>
      </c>
      <c r="K758" s="12" t="s">
        <v>1933</v>
      </c>
      <c r="L758" s="12" t="s">
        <v>2356</v>
      </c>
      <c r="M758" s="12" t="s">
        <v>2355</v>
      </c>
      <c r="N758" s="12" t="s">
        <v>1362</v>
      </c>
      <c r="O758" s="12" t="s">
        <v>39</v>
      </c>
      <c r="P758" s="12" t="s">
        <v>30</v>
      </c>
      <c r="Q758" s="12" t="s">
        <v>20</v>
      </c>
      <c r="R758" s="12" t="s">
        <v>4</v>
      </c>
      <c r="S758" s="12" t="s">
        <v>3</v>
      </c>
      <c r="T758" s="12" t="s">
        <v>1361</v>
      </c>
      <c r="U758" s="12" t="s">
        <v>1</v>
      </c>
      <c r="V758" s="12" t="s">
        <v>18</v>
      </c>
      <c r="W758" s="11">
        <v>39</v>
      </c>
      <c r="X758" s="10"/>
    </row>
    <row r="759" spans="1:24" hidden="1" x14ac:dyDescent="0.25">
      <c r="A759" s="8">
        <v>5700</v>
      </c>
      <c r="B759" s="8" t="s">
        <v>2531</v>
      </c>
      <c r="C759" s="19" t="s">
        <v>2530</v>
      </c>
      <c r="D759" s="6" t="s">
        <v>15</v>
      </c>
      <c r="E759" s="18" t="s">
        <v>527</v>
      </c>
      <c r="F759" s="4">
        <v>39098</v>
      </c>
      <c r="G759" s="4" t="s">
        <v>1</v>
      </c>
      <c r="H759" s="4" t="s">
        <v>1</v>
      </c>
      <c r="I759" s="3" t="s">
        <v>13</v>
      </c>
      <c r="J759" s="3" t="s">
        <v>12</v>
      </c>
      <c r="K759" s="3" t="s">
        <v>1933</v>
      </c>
      <c r="L759" s="3" t="s">
        <v>2356</v>
      </c>
      <c r="M759" s="3" t="s">
        <v>2355</v>
      </c>
      <c r="N759" s="3" t="s">
        <v>1412</v>
      </c>
      <c r="O759" s="3" t="s">
        <v>100</v>
      </c>
      <c r="P759" s="3" t="s">
        <v>30</v>
      </c>
      <c r="Q759" s="3" t="s">
        <v>20</v>
      </c>
      <c r="R759" s="3" t="s">
        <v>4</v>
      </c>
      <c r="S759" s="3" t="s">
        <v>3</v>
      </c>
      <c r="T759" s="3" t="s">
        <v>2</v>
      </c>
      <c r="U759" s="3" t="s">
        <v>1</v>
      </c>
      <c r="V759" s="3" t="s">
        <v>0</v>
      </c>
      <c r="W759" s="2">
        <v>40</v>
      </c>
    </row>
    <row r="760" spans="1:24" hidden="1" x14ac:dyDescent="0.25">
      <c r="A760" s="8">
        <v>5775</v>
      </c>
      <c r="B760" s="8" t="s">
        <v>2529</v>
      </c>
      <c r="C760" s="7" t="s">
        <v>2528</v>
      </c>
      <c r="D760" s="6" t="s">
        <v>15</v>
      </c>
      <c r="E760" s="5" t="s">
        <v>251</v>
      </c>
      <c r="F760" s="4">
        <v>39114</v>
      </c>
      <c r="G760" s="4" t="s">
        <v>1</v>
      </c>
      <c r="H760" s="4" t="s">
        <v>1</v>
      </c>
      <c r="I760" s="3" t="s">
        <v>13</v>
      </c>
      <c r="J760" s="3" t="s">
        <v>12</v>
      </c>
      <c r="K760" s="3" t="s">
        <v>1933</v>
      </c>
      <c r="L760" s="3" t="s">
        <v>2356</v>
      </c>
      <c r="M760" s="3" t="s">
        <v>2355</v>
      </c>
      <c r="N760" s="3" t="s">
        <v>1401</v>
      </c>
      <c r="O760" s="3" t="s">
        <v>100</v>
      </c>
      <c r="P760" s="3" t="s">
        <v>30</v>
      </c>
      <c r="Q760" s="3" t="s">
        <v>20</v>
      </c>
      <c r="R760" s="3" t="s">
        <v>4</v>
      </c>
      <c r="S760" s="3" t="s">
        <v>3</v>
      </c>
      <c r="T760" s="3" t="s">
        <v>2</v>
      </c>
      <c r="U760" s="3" t="s">
        <v>1</v>
      </c>
      <c r="V760" s="3" t="s">
        <v>0</v>
      </c>
      <c r="W760" s="2">
        <v>40</v>
      </c>
    </row>
    <row r="761" spans="1:24" hidden="1" x14ac:dyDescent="0.25">
      <c r="A761" s="29">
        <v>10184</v>
      </c>
      <c r="B761" s="8" t="s">
        <v>2527</v>
      </c>
      <c r="C761" s="19" t="s">
        <v>2526</v>
      </c>
      <c r="D761" s="6" t="s">
        <v>15</v>
      </c>
      <c r="E761" s="18" t="s">
        <v>476</v>
      </c>
      <c r="F761" s="4">
        <v>40458</v>
      </c>
      <c r="G761" s="4" t="s">
        <v>1</v>
      </c>
      <c r="H761" s="4" t="s">
        <v>1</v>
      </c>
      <c r="I761" s="3" t="s">
        <v>13</v>
      </c>
      <c r="J761" s="3" t="s">
        <v>12</v>
      </c>
      <c r="K761" s="3" t="s">
        <v>283</v>
      </c>
      <c r="L761" s="3" t="s">
        <v>282</v>
      </c>
      <c r="M761" s="3" t="s">
        <v>281</v>
      </c>
      <c r="N761" s="3" t="s">
        <v>1412</v>
      </c>
      <c r="O761" s="3" t="s">
        <v>100</v>
      </c>
      <c r="P761" s="3" t="s">
        <v>6</v>
      </c>
      <c r="Q761" s="3" t="s">
        <v>20</v>
      </c>
      <c r="R761" s="3" t="s">
        <v>4</v>
      </c>
      <c r="S761" s="3" t="s">
        <v>3</v>
      </c>
      <c r="T761" s="3" t="s">
        <v>2</v>
      </c>
      <c r="U761" s="3" t="s">
        <v>1</v>
      </c>
      <c r="V761" s="3" t="s">
        <v>0</v>
      </c>
      <c r="W761" s="2">
        <v>32</v>
      </c>
    </row>
    <row r="762" spans="1:24" s="9" customFormat="1" hidden="1" x14ac:dyDescent="0.25">
      <c r="A762" s="17">
        <v>10185</v>
      </c>
      <c r="B762" s="17" t="s">
        <v>2525</v>
      </c>
      <c r="C762" s="16" t="s">
        <v>2524</v>
      </c>
      <c r="D762" s="15" t="s">
        <v>15</v>
      </c>
      <c r="E762" s="14" t="s">
        <v>476</v>
      </c>
      <c r="F762" s="13">
        <v>40458</v>
      </c>
      <c r="G762" s="13" t="s">
        <v>1</v>
      </c>
      <c r="H762" s="13" t="s">
        <v>1</v>
      </c>
      <c r="I762" s="12" t="s">
        <v>384</v>
      </c>
      <c r="J762" s="12" t="s">
        <v>390</v>
      </c>
      <c r="K762" s="12" t="s">
        <v>33</v>
      </c>
      <c r="L762" s="12" t="s">
        <v>33</v>
      </c>
      <c r="M762" s="12" t="s">
        <v>389</v>
      </c>
      <c r="N762" s="12" t="s">
        <v>2523</v>
      </c>
      <c r="O762" s="12" t="s">
        <v>387</v>
      </c>
      <c r="P762" s="12" t="s">
        <v>30</v>
      </c>
      <c r="Q762" s="12" t="s">
        <v>47</v>
      </c>
      <c r="R762" s="12" t="s">
        <v>4</v>
      </c>
      <c r="S762" s="12" t="s">
        <v>3</v>
      </c>
      <c r="T762" s="12" t="s">
        <v>121</v>
      </c>
      <c r="U762" s="12" t="s">
        <v>1</v>
      </c>
      <c r="V762" s="12" t="s">
        <v>0</v>
      </c>
      <c r="W762" s="11">
        <v>32</v>
      </c>
      <c r="X762" s="10"/>
    </row>
    <row r="763" spans="1:24" hidden="1" x14ac:dyDescent="0.25">
      <c r="A763" s="8">
        <v>10186</v>
      </c>
      <c r="B763" s="8" t="s">
        <v>2522</v>
      </c>
      <c r="C763" s="7" t="s">
        <v>2521</v>
      </c>
      <c r="D763" s="6" t="s">
        <v>15</v>
      </c>
      <c r="E763" s="5" t="s">
        <v>476</v>
      </c>
      <c r="F763" s="4">
        <v>40458</v>
      </c>
      <c r="G763" s="4" t="s">
        <v>1</v>
      </c>
      <c r="H763" s="4" t="s">
        <v>1</v>
      </c>
      <c r="I763" s="3" t="s">
        <v>13</v>
      </c>
      <c r="J763" s="3" t="s">
        <v>12</v>
      </c>
      <c r="K763" s="3" t="s">
        <v>63</v>
      </c>
      <c r="L763" s="3" t="s">
        <v>81</v>
      </c>
      <c r="M763" s="3" t="s">
        <v>80</v>
      </c>
      <c r="N763" s="3" t="s">
        <v>870</v>
      </c>
      <c r="O763" s="3" t="s">
        <v>21</v>
      </c>
      <c r="P763" s="3" t="s">
        <v>6</v>
      </c>
      <c r="Q763" s="3" t="s">
        <v>20</v>
      </c>
      <c r="R763" s="3" t="s">
        <v>4</v>
      </c>
      <c r="S763" s="3" t="s">
        <v>3</v>
      </c>
      <c r="T763" s="3" t="s">
        <v>2</v>
      </c>
      <c r="U763" s="3" t="s">
        <v>1</v>
      </c>
      <c r="V763" s="3" t="s">
        <v>0</v>
      </c>
      <c r="W763" s="2">
        <v>34</v>
      </c>
    </row>
    <row r="764" spans="1:24" s="9" customFormat="1" hidden="1" x14ac:dyDescent="0.25">
      <c r="A764" s="17">
        <v>8644</v>
      </c>
      <c r="B764" s="17" t="s">
        <v>2520</v>
      </c>
      <c r="C764" s="16" t="s">
        <v>2519</v>
      </c>
      <c r="D764" s="15" t="s">
        <v>15</v>
      </c>
      <c r="E764" s="14" t="s">
        <v>225</v>
      </c>
      <c r="F764" s="13">
        <v>39878</v>
      </c>
      <c r="G764" s="13" t="s">
        <v>1</v>
      </c>
      <c r="H764" s="13" t="s">
        <v>1</v>
      </c>
      <c r="I764" s="12" t="s">
        <v>13</v>
      </c>
      <c r="J764" s="12" t="s">
        <v>12</v>
      </c>
      <c r="K764" s="12" t="s">
        <v>1933</v>
      </c>
      <c r="L764" s="12" t="s">
        <v>2356</v>
      </c>
      <c r="M764" s="12" t="s">
        <v>2355</v>
      </c>
      <c r="N764" s="12" t="s">
        <v>2518</v>
      </c>
      <c r="O764" s="12" t="s">
        <v>100</v>
      </c>
      <c r="P764" s="12" t="s">
        <v>30</v>
      </c>
      <c r="Q764" s="12" t="s">
        <v>20</v>
      </c>
      <c r="R764" s="12" t="s">
        <v>4</v>
      </c>
      <c r="S764" s="12" t="s">
        <v>3</v>
      </c>
      <c r="T764" s="12" t="s">
        <v>2</v>
      </c>
      <c r="U764" s="12" t="s">
        <v>1</v>
      </c>
      <c r="V764" s="12" t="s">
        <v>0</v>
      </c>
      <c r="W764" s="11">
        <v>35</v>
      </c>
    </row>
    <row r="765" spans="1:24" hidden="1" x14ac:dyDescent="0.25">
      <c r="A765" s="8">
        <v>10192</v>
      </c>
      <c r="B765" s="8" t="s">
        <v>2517</v>
      </c>
      <c r="C765" s="7" t="s">
        <v>2516</v>
      </c>
      <c r="D765" s="6" t="s">
        <v>15</v>
      </c>
      <c r="E765" s="5" t="s">
        <v>476</v>
      </c>
      <c r="F765" s="4">
        <v>40458</v>
      </c>
      <c r="G765" s="4" t="s">
        <v>1</v>
      </c>
      <c r="H765" s="4" t="s">
        <v>1</v>
      </c>
      <c r="I765" s="3" t="s">
        <v>13</v>
      </c>
      <c r="J765" s="3" t="s">
        <v>133</v>
      </c>
      <c r="K765" s="3" t="s">
        <v>262</v>
      </c>
      <c r="L765" s="3" t="s">
        <v>262</v>
      </c>
      <c r="M765" s="3" t="s">
        <v>277</v>
      </c>
      <c r="N765" s="3" t="s">
        <v>2515</v>
      </c>
      <c r="O765" s="3" t="s">
        <v>1231</v>
      </c>
      <c r="P765" s="3" t="s">
        <v>6</v>
      </c>
      <c r="Q765" s="3" t="s">
        <v>5</v>
      </c>
      <c r="R765" s="3" t="s">
        <v>4</v>
      </c>
      <c r="S765" s="3" t="s">
        <v>3</v>
      </c>
      <c r="T765" s="3" t="s">
        <v>2</v>
      </c>
      <c r="U765" s="3" t="s">
        <v>1</v>
      </c>
      <c r="V765" s="3" t="s">
        <v>0</v>
      </c>
      <c r="W765" s="2">
        <v>32</v>
      </c>
    </row>
    <row r="766" spans="1:24" hidden="1" x14ac:dyDescent="0.25">
      <c r="A766" s="8">
        <v>10194</v>
      </c>
      <c r="B766" s="8" t="s">
        <v>2514</v>
      </c>
      <c r="C766" s="7" t="s">
        <v>2513</v>
      </c>
      <c r="D766" s="6" t="s">
        <v>15</v>
      </c>
      <c r="E766" s="5" t="s">
        <v>476</v>
      </c>
      <c r="F766" s="4">
        <v>40458</v>
      </c>
      <c r="G766" s="4" t="s">
        <v>1</v>
      </c>
      <c r="H766" s="4" t="s">
        <v>1</v>
      </c>
      <c r="I766" s="3" t="s">
        <v>145</v>
      </c>
      <c r="J766" s="3" t="s">
        <v>133</v>
      </c>
      <c r="K766" s="3" t="s">
        <v>879</v>
      </c>
      <c r="L766" s="3" t="s">
        <v>879</v>
      </c>
      <c r="M766" s="3" t="s">
        <v>878</v>
      </c>
      <c r="N766" s="3" t="s">
        <v>289</v>
      </c>
      <c r="O766" s="3" t="s">
        <v>288</v>
      </c>
      <c r="P766" s="3" t="s">
        <v>6</v>
      </c>
      <c r="Q766" s="3" t="s">
        <v>47</v>
      </c>
      <c r="R766" s="3" t="s">
        <v>4</v>
      </c>
      <c r="S766" s="3" t="s">
        <v>3</v>
      </c>
      <c r="T766" s="3" t="s">
        <v>2</v>
      </c>
      <c r="U766" s="3" t="s">
        <v>1</v>
      </c>
      <c r="V766" s="3" t="s">
        <v>0</v>
      </c>
      <c r="W766" s="2">
        <v>32</v>
      </c>
    </row>
    <row r="767" spans="1:24" hidden="1" x14ac:dyDescent="0.25">
      <c r="A767" s="8">
        <v>8687</v>
      </c>
      <c r="B767" s="8" t="s">
        <v>2512</v>
      </c>
      <c r="C767" s="7" t="s">
        <v>2511</v>
      </c>
      <c r="D767" s="6" t="s">
        <v>15</v>
      </c>
      <c r="E767" s="5" t="s">
        <v>1338</v>
      </c>
      <c r="F767" s="4">
        <v>39888</v>
      </c>
      <c r="G767" s="4" t="s">
        <v>1</v>
      </c>
      <c r="H767" s="4" t="s">
        <v>1</v>
      </c>
      <c r="I767" s="3" t="s">
        <v>13</v>
      </c>
      <c r="J767" s="3" t="s">
        <v>12</v>
      </c>
      <c r="K767" s="3" t="s">
        <v>1933</v>
      </c>
      <c r="L767" s="3" t="s">
        <v>2356</v>
      </c>
      <c r="M767" s="3" t="s">
        <v>2355</v>
      </c>
      <c r="N767" s="3" t="s">
        <v>1078</v>
      </c>
      <c r="O767" s="3" t="s">
        <v>29</v>
      </c>
      <c r="P767" s="3" t="s">
        <v>30</v>
      </c>
      <c r="Q767" s="3" t="s">
        <v>20</v>
      </c>
      <c r="R767" s="3" t="s">
        <v>4</v>
      </c>
      <c r="S767" s="3" t="s">
        <v>3</v>
      </c>
      <c r="T767" s="3" t="s">
        <v>1077</v>
      </c>
      <c r="U767" s="3" t="s">
        <v>1</v>
      </c>
      <c r="V767" s="3" t="s">
        <v>0</v>
      </c>
      <c r="W767" s="2">
        <v>34</v>
      </c>
    </row>
    <row r="768" spans="1:24" hidden="1" x14ac:dyDescent="0.25">
      <c r="A768" s="8">
        <v>9145</v>
      </c>
      <c r="B768" s="8" t="s">
        <v>2510</v>
      </c>
      <c r="C768" s="7" t="s">
        <v>2509</v>
      </c>
      <c r="D768" s="6" t="s">
        <v>15</v>
      </c>
      <c r="E768" s="5" t="s">
        <v>1007</v>
      </c>
      <c r="F768" s="4">
        <v>40000</v>
      </c>
      <c r="G768" s="4" t="s">
        <v>1</v>
      </c>
      <c r="H768" s="4" t="s">
        <v>1</v>
      </c>
      <c r="I768" s="3" t="s">
        <v>13</v>
      </c>
      <c r="J768" s="3" t="s">
        <v>12</v>
      </c>
      <c r="K768" s="3" t="s">
        <v>1933</v>
      </c>
      <c r="L768" s="3" t="s">
        <v>2356</v>
      </c>
      <c r="M768" s="3" t="s">
        <v>2355</v>
      </c>
      <c r="N768" s="3" t="s">
        <v>2354</v>
      </c>
      <c r="O768" s="3" t="s">
        <v>29</v>
      </c>
      <c r="P768" s="3" t="s">
        <v>30</v>
      </c>
      <c r="Q768" s="3" t="s">
        <v>20</v>
      </c>
      <c r="R768" s="3" t="s">
        <v>4</v>
      </c>
      <c r="S768" s="3" t="s">
        <v>3</v>
      </c>
      <c r="T768" s="3" t="s">
        <v>29</v>
      </c>
      <c r="U768" s="3" t="s">
        <v>1</v>
      </c>
      <c r="V768" s="3" t="s">
        <v>0</v>
      </c>
      <c r="W768" s="2">
        <v>34</v>
      </c>
    </row>
    <row r="769" spans="1:23" hidden="1" x14ac:dyDescent="0.25">
      <c r="A769" s="8">
        <v>9331</v>
      </c>
      <c r="B769" s="8" t="s">
        <v>2508</v>
      </c>
      <c r="C769" s="7" t="s">
        <v>2507</v>
      </c>
      <c r="D769" s="6" t="s">
        <v>15</v>
      </c>
      <c r="E769" s="5" t="s">
        <v>491</v>
      </c>
      <c r="F769" s="4">
        <v>40148</v>
      </c>
      <c r="G769" s="4" t="s">
        <v>1</v>
      </c>
      <c r="H769" s="4" t="s">
        <v>1</v>
      </c>
      <c r="I769" s="3" t="s">
        <v>13</v>
      </c>
      <c r="J769" s="3" t="s">
        <v>12</v>
      </c>
      <c r="K769" s="3" t="s">
        <v>1933</v>
      </c>
      <c r="L769" s="3" t="s">
        <v>2356</v>
      </c>
      <c r="M769" s="3" t="s">
        <v>2355</v>
      </c>
      <c r="N769" s="3" t="s">
        <v>1511</v>
      </c>
      <c r="O769" s="3" t="s">
        <v>100</v>
      </c>
      <c r="P769" s="3" t="s">
        <v>30</v>
      </c>
      <c r="Q769" s="3" t="s">
        <v>20</v>
      </c>
      <c r="R769" s="3" t="s">
        <v>4</v>
      </c>
      <c r="S769" s="3" t="s">
        <v>3</v>
      </c>
      <c r="T769" s="3" t="s">
        <v>2</v>
      </c>
      <c r="U769" s="3" t="s">
        <v>1</v>
      </c>
      <c r="V769" s="3" t="s">
        <v>0</v>
      </c>
      <c r="W769" s="2">
        <v>34</v>
      </c>
    </row>
    <row r="770" spans="1:23" hidden="1" x14ac:dyDescent="0.25">
      <c r="A770" s="8">
        <v>10228</v>
      </c>
      <c r="B770" s="8" t="s">
        <v>2506</v>
      </c>
      <c r="C770" s="7" t="s">
        <v>2505</v>
      </c>
      <c r="D770" s="6" t="s">
        <v>15</v>
      </c>
      <c r="E770" s="5" t="s">
        <v>1792</v>
      </c>
      <c r="F770" s="4">
        <v>40489</v>
      </c>
      <c r="G770" s="4" t="s">
        <v>1</v>
      </c>
      <c r="H770" s="4" t="s">
        <v>1</v>
      </c>
      <c r="I770" s="3" t="s">
        <v>13</v>
      </c>
      <c r="J770" s="3" t="s">
        <v>133</v>
      </c>
      <c r="K770" s="3" t="s">
        <v>11</v>
      </c>
      <c r="L770" s="3" t="s">
        <v>10</v>
      </c>
      <c r="M770" s="3" t="s">
        <v>290</v>
      </c>
      <c r="N770" s="3" t="s">
        <v>2504</v>
      </c>
      <c r="O770" s="3" t="s">
        <v>1231</v>
      </c>
      <c r="P770" s="3" t="s">
        <v>6</v>
      </c>
      <c r="Q770" s="3" t="s">
        <v>5</v>
      </c>
      <c r="R770" s="3" t="s">
        <v>4</v>
      </c>
      <c r="S770" s="3" t="s">
        <v>3</v>
      </c>
      <c r="T770" s="3" t="s">
        <v>2</v>
      </c>
      <c r="U770" s="3" t="s">
        <v>1</v>
      </c>
      <c r="V770" s="3" t="s">
        <v>0</v>
      </c>
      <c r="W770" s="2">
        <v>32</v>
      </c>
    </row>
    <row r="771" spans="1:23" hidden="1" x14ac:dyDescent="0.25">
      <c r="A771" s="8">
        <v>9478</v>
      </c>
      <c r="B771" s="8" t="s">
        <v>2503</v>
      </c>
      <c r="C771" s="7" t="s">
        <v>2502</v>
      </c>
      <c r="D771" s="6" t="s">
        <v>15</v>
      </c>
      <c r="E771" s="5" t="s">
        <v>491</v>
      </c>
      <c r="F771" s="4">
        <v>40148</v>
      </c>
      <c r="G771" s="4" t="s">
        <v>1</v>
      </c>
      <c r="H771" s="4" t="s">
        <v>1</v>
      </c>
      <c r="I771" s="3" t="s">
        <v>13</v>
      </c>
      <c r="J771" s="3" t="s">
        <v>12</v>
      </c>
      <c r="K771" s="3" t="s">
        <v>1933</v>
      </c>
      <c r="L771" s="3" t="s">
        <v>2356</v>
      </c>
      <c r="M771" s="3" t="s">
        <v>2355</v>
      </c>
      <c r="N771" s="3" t="s">
        <v>1451</v>
      </c>
      <c r="O771" s="3" t="s">
        <v>100</v>
      </c>
      <c r="P771" s="3" t="s">
        <v>30</v>
      </c>
      <c r="Q771" s="3" t="s">
        <v>20</v>
      </c>
      <c r="R771" s="3" t="s">
        <v>4</v>
      </c>
      <c r="S771" s="3" t="s">
        <v>3</v>
      </c>
      <c r="T771" s="3" t="s">
        <v>2</v>
      </c>
      <c r="U771" s="3" t="s">
        <v>1</v>
      </c>
      <c r="V771" s="3" t="s">
        <v>0</v>
      </c>
      <c r="W771" s="2">
        <v>34</v>
      </c>
    </row>
    <row r="772" spans="1:23" hidden="1" x14ac:dyDescent="0.25">
      <c r="A772" s="8">
        <v>9684</v>
      </c>
      <c r="B772" s="8" t="s">
        <v>2501</v>
      </c>
      <c r="C772" s="7" t="s">
        <v>2500</v>
      </c>
      <c r="D772" s="6" t="s">
        <v>15</v>
      </c>
      <c r="E772" s="5" t="s">
        <v>1237</v>
      </c>
      <c r="F772" s="4">
        <v>40297</v>
      </c>
      <c r="G772" s="4" t="s">
        <v>1</v>
      </c>
      <c r="H772" s="4" t="s">
        <v>1</v>
      </c>
      <c r="I772" s="3" t="s">
        <v>13</v>
      </c>
      <c r="J772" s="3" t="s">
        <v>12</v>
      </c>
      <c r="K772" s="3" t="s">
        <v>1933</v>
      </c>
      <c r="L772" s="3" t="s">
        <v>2356</v>
      </c>
      <c r="M772" s="3" t="s">
        <v>2355</v>
      </c>
      <c r="N772" s="3" t="s">
        <v>2499</v>
      </c>
      <c r="O772" s="3" t="s">
        <v>100</v>
      </c>
      <c r="P772" s="3" t="s">
        <v>30</v>
      </c>
      <c r="Q772" s="3" t="s">
        <v>20</v>
      </c>
      <c r="R772" s="3" t="s">
        <v>4</v>
      </c>
      <c r="S772" s="3" t="s">
        <v>3</v>
      </c>
      <c r="T772" s="3" t="s">
        <v>2</v>
      </c>
      <c r="U772" s="3" t="s">
        <v>1</v>
      </c>
      <c r="V772" s="3" t="s">
        <v>0</v>
      </c>
      <c r="W772" s="2">
        <v>33</v>
      </c>
    </row>
    <row r="773" spans="1:23" hidden="1" x14ac:dyDescent="0.25">
      <c r="A773" s="8">
        <v>10232</v>
      </c>
      <c r="B773" s="8" t="s">
        <v>2498</v>
      </c>
      <c r="C773" s="7" t="s">
        <v>2497</v>
      </c>
      <c r="D773" s="6" t="s">
        <v>15</v>
      </c>
      <c r="E773" s="5" t="s">
        <v>1792</v>
      </c>
      <c r="F773" s="4">
        <v>40489</v>
      </c>
      <c r="G773" s="4" t="s">
        <v>1</v>
      </c>
      <c r="H773" s="4" t="s">
        <v>1</v>
      </c>
      <c r="I773" s="3" t="s">
        <v>145</v>
      </c>
      <c r="J773" s="3" t="s">
        <v>133</v>
      </c>
      <c r="K773" s="3" t="s">
        <v>212</v>
      </c>
      <c r="L773" s="3" t="s">
        <v>211</v>
      </c>
      <c r="M773" s="3" t="s">
        <v>210</v>
      </c>
      <c r="N773" s="3" t="s">
        <v>209</v>
      </c>
      <c r="O773" s="3" t="s">
        <v>208</v>
      </c>
      <c r="P773" s="3" t="s">
        <v>6</v>
      </c>
      <c r="Q773" s="3" t="s">
        <v>47</v>
      </c>
      <c r="R773" s="3" t="s">
        <v>4</v>
      </c>
      <c r="S773" s="3" t="s">
        <v>3</v>
      </c>
      <c r="T773" s="3" t="s">
        <v>2</v>
      </c>
      <c r="U773" s="3" t="s">
        <v>1</v>
      </c>
      <c r="V773" s="3" t="s">
        <v>0</v>
      </c>
      <c r="W773" s="2">
        <v>32</v>
      </c>
    </row>
    <row r="774" spans="1:23" hidden="1" x14ac:dyDescent="0.25">
      <c r="A774" s="8">
        <v>9898</v>
      </c>
      <c r="B774" s="8" t="s">
        <v>2496</v>
      </c>
      <c r="C774" s="7" t="s">
        <v>2495</v>
      </c>
      <c r="D774" s="6" t="s">
        <v>15</v>
      </c>
      <c r="E774" s="5" t="s">
        <v>2494</v>
      </c>
      <c r="F774" s="4">
        <v>40424</v>
      </c>
      <c r="G774" s="4" t="s">
        <v>1</v>
      </c>
      <c r="H774" s="4" t="s">
        <v>1</v>
      </c>
      <c r="I774" s="3" t="s">
        <v>13</v>
      </c>
      <c r="J774" s="3" t="s">
        <v>12</v>
      </c>
      <c r="K774" s="3" t="s">
        <v>1933</v>
      </c>
      <c r="L774" s="3" t="s">
        <v>2356</v>
      </c>
      <c r="M774" s="3" t="s">
        <v>2355</v>
      </c>
      <c r="N774" s="3" t="s">
        <v>2493</v>
      </c>
      <c r="O774" s="3" t="s">
        <v>100</v>
      </c>
      <c r="P774" s="3" t="s">
        <v>30</v>
      </c>
      <c r="Q774" s="3" t="s">
        <v>20</v>
      </c>
      <c r="R774" s="3" t="s">
        <v>4</v>
      </c>
      <c r="S774" s="3" t="s">
        <v>3</v>
      </c>
      <c r="T774" s="3" t="s">
        <v>2</v>
      </c>
      <c r="U774" s="3" t="s">
        <v>1</v>
      </c>
      <c r="V774" s="3" t="s">
        <v>0</v>
      </c>
      <c r="W774" s="2">
        <v>33</v>
      </c>
    </row>
    <row r="775" spans="1:23" hidden="1" x14ac:dyDescent="0.25">
      <c r="A775" s="8">
        <v>10235</v>
      </c>
      <c r="B775" s="8" t="s">
        <v>2492</v>
      </c>
      <c r="C775" s="7" t="s">
        <v>2491</v>
      </c>
      <c r="D775" s="6" t="s">
        <v>15</v>
      </c>
      <c r="E775" s="5" t="s">
        <v>1792</v>
      </c>
      <c r="F775" s="4">
        <v>40489</v>
      </c>
      <c r="G775" s="4" t="s">
        <v>1</v>
      </c>
      <c r="H775" s="4" t="s">
        <v>1</v>
      </c>
      <c r="I775" s="3" t="s">
        <v>13</v>
      </c>
      <c r="J775" s="3" t="s">
        <v>12</v>
      </c>
      <c r="K775" s="3" t="s">
        <v>262</v>
      </c>
      <c r="L775" s="3" t="s">
        <v>261</v>
      </c>
      <c r="M775" s="3" t="s">
        <v>260</v>
      </c>
      <c r="N775" s="3" t="s">
        <v>1192</v>
      </c>
      <c r="O775" s="3" t="s">
        <v>59</v>
      </c>
      <c r="P775" s="3" t="s">
        <v>6</v>
      </c>
      <c r="Q775" s="3" t="s">
        <v>5</v>
      </c>
      <c r="R775" s="3" t="s">
        <v>4</v>
      </c>
      <c r="S775" s="3" t="s">
        <v>3</v>
      </c>
      <c r="T775" s="3" t="s">
        <v>2</v>
      </c>
      <c r="U775" s="3" t="s">
        <v>1</v>
      </c>
      <c r="V775" s="3" t="s">
        <v>0</v>
      </c>
      <c r="W775" s="2">
        <v>33</v>
      </c>
    </row>
    <row r="776" spans="1:23" hidden="1" x14ac:dyDescent="0.25">
      <c r="A776" s="8">
        <v>10237</v>
      </c>
      <c r="B776" s="8" t="s">
        <v>2490</v>
      </c>
      <c r="C776" s="7" t="s">
        <v>2489</v>
      </c>
      <c r="D776" s="6" t="s">
        <v>15</v>
      </c>
      <c r="E776" s="5" t="s">
        <v>1792</v>
      </c>
      <c r="F776" s="4">
        <v>40489</v>
      </c>
      <c r="G776" s="4" t="s">
        <v>1</v>
      </c>
      <c r="H776" s="4" t="s">
        <v>1</v>
      </c>
      <c r="I776" s="3" t="s">
        <v>13</v>
      </c>
      <c r="J776" s="3" t="s">
        <v>12</v>
      </c>
      <c r="K776" s="3" t="s">
        <v>25</v>
      </c>
      <c r="L776" s="3" t="s">
        <v>24</v>
      </c>
      <c r="M776" s="3" t="s">
        <v>23</v>
      </c>
      <c r="N776" s="3" t="s">
        <v>1362</v>
      </c>
      <c r="O776" s="3" t="s">
        <v>39</v>
      </c>
      <c r="P776" s="3" t="s">
        <v>6</v>
      </c>
      <c r="Q776" s="3" t="s">
        <v>20</v>
      </c>
      <c r="R776" s="3" t="s">
        <v>4</v>
      </c>
      <c r="S776" s="3" t="s">
        <v>3</v>
      </c>
      <c r="T776" s="3" t="s">
        <v>1361</v>
      </c>
      <c r="U776" s="3" t="s">
        <v>1</v>
      </c>
      <c r="V776" s="3" t="s">
        <v>0</v>
      </c>
      <c r="W776" s="2">
        <v>34</v>
      </c>
    </row>
    <row r="777" spans="1:23" hidden="1" x14ac:dyDescent="0.25">
      <c r="A777" s="8">
        <v>10238</v>
      </c>
      <c r="B777" s="8" t="s">
        <v>2488</v>
      </c>
      <c r="C777" s="7" t="s">
        <v>2487</v>
      </c>
      <c r="D777" s="6" t="s">
        <v>15</v>
      </c>
      <c r="E777" s="5" t="s">
        <v>1792</v>
      </c>
      <c r="F777" s="4">
        <v>40489</v>
      </c>
      <c r="G777" s="4" t="s">
        <v>1</v>
      </c>
      <c r="H777" s="4" t="s">
        <v>1</v>
      </c>
      <c r="I777" s="3" t="s">
        <v>145</v>
      </c>
      <c r="J777" s="3" t="s">
        <v>34</v>
      </c>
      <c r="K777" s="3" t="s">
        <v>33</v>
      </c>
      <c r="L777" s="3" t="s">
        <v>33</v>
      </c>
      <c r="M777" s="3" t="s">
        <v>144</v>
      </c>
      <c r="N777" s="3" t="s">
        <v>143</v>
      </c>
      <c r="O777" s="3" t="s">
        <v>142</v>
      </c>
      <c r="P777" s="3" t="s">
        <v>6</v>
      </c>
      <c r="Q777" s="3" t="s">
        <v>47</v>
      </c>
      <c r="R777" s="3" t="s">
        <v>4</v>
      </c>
      <c r="S777" s="3" t="s">
        <v>3</v>
      </c>
      <c r="T777" s="3" t="s">
        <v>2</v>
      </c>
      <c r="U777" s="3" t="s">
        <v>1</v>
      </c>
      <c r="V777" s="3" t="s">
        <v>0</v>
      </c>
      <c r="W777" s="2">
        <v>34</v>
      </c>
    </row>
    <row r="778" spans="1:23" hidden="1" x14ac:dyDescent="0.25">
      <c r="A778" s="8">
        <v>9998</v>
      </c>
      <c r="B778" s="8" t="s">
        <v>2486</v>
      </c>
      <c r="C778" s="7" t="s">
        <v>2485</v>
      </c>
      <c r="D778" s="6" t="s">
        <v>15</v>
      </c>
      <c r="E778" s="5" t="s">
        <v>2484</v>
      </c>
      <c r="F778" s="4">
        <v>40438</v>
      </c>
      <c r="G778" s="4" t="s">
        <v>1</v>
      </c>
      <c r="H778" s="4" t="s">
        <v>1</v>
      </c>
      <c r="I778" s="3" t="s">
        <v>13</v>
      </c>
      <c r="J778" s="3" t="s">
        <v>12</v>
      </c>
      <c r="K778" s="3" t="s">
        <v>1933</v>
      </c>
      <c r="L778" s="3" t="s">
        <v>2356</v>
      </c>
      <c r="M778" s="3" t="s">
        <v>2355</v>
      </c>
      <c r="N778" s="3" t="s">
        <v>2354</v>
      </c>
      <c r="O778" s="3" t="s">
        <v>39</v>
      </c>
      <c r="P778" s="3" t="s">
        <v>30</v>
      </c>
      <c r="Q778" s="3" t="s">
        <v>20</v>
      </c>
      <c r="R778" s="3" t="s">
        <v>4</v>
      </c>
      <c r="S778" s="3" t="s">
        <v>3</v>
      </c>
      <c r="T778" s="3" t="s">
        <v>1361</v>
      </c>
      <c r="U778" s="3" t="s">
        <v>1</v>
      </c>
      <c r="V778" s="3" t="s">
        <v>0</v>
      </c>
      <c r="W778" s="2">
        <v>32</v>
      </c>
    </row>
    <row r="779" spans="1:23" hidden="1" x14ac:dyDescent="0.25">
      <c r="A779" s="8">
        <v>10230</v>
      </c>
      <c r="B779" s="8" t="s">
        <v>2483</v>
      </c>
      <c r="C779" s="7" t="s">
        <v>2482</v>
      </c>
      <c r="D779" s="6" t="s">
        <v>15</v>
      </c>
      <c r="E779" s="5" t="s">
        <v>1792</v>
      </c>
      <c r="F779" s="4">
        <v>40489</v>
      </c>
      <c r="G779" s="4" t="s">
        <v>1</v>
      </c>
      <c r="H779" s="4" t="s">
        <v>1</v>
      </c>
      <c r="I779" s="3" t="s">
        <v>13</v>
      </c>
      <c r="J779" s="3" t="s">
        <v>12</v>
      </c>
      <c r="K779" s="3" t="s">
        <v>1933</v>
      </c>
      <c r="L779" s="3" t="s">
        <v>2356</v>
      </c>
      <c r="M779" s="3" t="s">
        <v>2355</v>
      </c>
      <c r="N779" s="3" t="s">
        <v>2481</v>
      </c>
      <c r="O779" s="3" t="s">
        <v>100</v>
      </c>
      <c r="P779" s="3" t="s">
        <v>30</v>
      </c>
      <c r="Q779" s="3" t="s">
        <v>20</v>
      </c>
      <c r="R779" s="3" t="s">
        <v>4</v>
      </c>
      <c r="S779" s="3" t="s">
        <v>3</v>
      </c>
      <c r="T779" s="3" t="s">
        <v>2</v>
      </c>
      <c r="U779" s="3" t="s">
        <v>1</v>
      </c>
      <c r="V779" s="3" t="s">
        <v>0</v>
      </c>
      <c r="W779" s="2">
        <v>33</v>
      </c>
    </row>
    <row r="780" spans="1:23" hidden="1" x14ac:dyDescent="0.25">
      <c r="A780" s="8">
        <v>10253</v>
      </c>
      <c r="B780" s="8" t="s">
        <v>2480</v>
      </c>
      <c r="C780" s="19" t="s">
        <v>2479</v>
      </c>
      <c r="D780" s="6" t="s">
        <v>15</v>
      </c>
      <c r="E780" s="18" t="s">
        <v>2467</v>
      </c>
      <c r="F780" s="4">
        <v>40497</v>
      </c>
      <c r="G780" s="4" t="s">
        <v>1</v>
      </c>
      <c r="H780" s="4" t="s">
        <v>1</v>
      </c>
      <c r="I780" s="3" t="s">
        <v>13</v>
      </c>
      <c r="J780" s="3" t="s">
        <v>12</v>
      </c>
      <c r="K780" s="3" t="s">
        <v>11</v>
      </c>
      <c r="L780" s="3" t="s">
        <v>10</v>
      </c>
      <c r="M780" s="3" t="s">
        <v>9</v>
      </c>
      <c r="N780" s="3" t="s">
        <v>320</v>
      </c>
      <c r="O780" s="3" t="s">
        <v>59</v>
      </c>
      <c r="P780" s="3" t="s">
        <v>6</v>
      </c>
      <c r="Q780" s="3" t="s">
        <v>5</v>
      </c>
      <c r="R780" s="3" t="s">
        <v>4</v>
      </c>
      <c r="S780" s="3" t="s">
        <v>3</v>
      </c>
      <c r="T780" s="3" t="s">
        <v>2</v>
      </c>
      <c r="U780" s="3" t="s">
        <v>1</v>
      </c>
      <c r="V780" s="3" t="s">
        <v>0</v>
      </c>
      <c r="W780" s="2">
        <v>36</v>
      </c>
    </row>
    <row r="781" spans="1:23" hidden="1" x14ac:dyDescent="0.25">
      <c r="A781" s="8">
        <v>10254</v>
      </c>
      <c r="B781" s="8" t="s">
        <v>2478</v>
      </c>
      <c r="C781" s="7" t="s">
        <v>2477</v>
      </c>
      <c r="D781" s="6" t="s">
        <v>15</v>
      </c>
      <c r="E781" s="5" t="s">
        <v>2467</v>
      </c>
      <c r="F781" s="4">
        <v>40497</v>
      </c>
      <c r="G781" s="4" t="s">
        <v>1</v>
      </c>
      <c r="H781" s="4" t="s">
        <v>1</v>
      </c>
      <c r="I781" s="3" t="s">
        <v>13</v>
      </c>
      <c r="J781" s="3" t="s">
        <v>12</v>
      </c>
      <c r="K781" s="3" t="s">
        <v>187</v>
      </c>
      <c r="L781" s="3" t="s">
        <v>229</v>
      </c>
      <c r="M781" s="3" t="s">
        <v>228</v>
      </c>
      <c r="N781" s="3" t="s">
        <v>2342</v>
      </c>
      <c r="O781" s="3" t="s">
        <v>258</v>
      </c>
      <c r="P781" s="3" t="s">
        <v>6</v>
      </c>
      <c r="Q781" s="3" t="s">
        <v>5</v>
      </c>
      <c r="R781" s="3" t="s">
        <v>4</v>
      </c>
      <c r="S781" s="3" t="s">
        <v>3</v>
      </c>
      <c r="T781" s="3" t="s">
        <v>2</v>
      </c>
      <c r="U781" s="3" t="s">
        <v>1</v>
      </c>
      <c r="V781" s="3" t="s">
        <v>0</v>
      </c>
      <c r="W781" s="2">
        <v>32</v>
      </c>
    </row>
    <row r="782" spans="1:23" hidden="1" x14ac:dyDescent="0.25">
      <c r="A782" s="8">
        <v>10257</v>
      </c>
      <c r="B782" s="8" t="s">
        <v>2476</v>
      </c>
      <c r="C782" s="7" t="s">
        <v>2475</v>
      </c>
      <c r="D782" s="6" t="s">
        <v>15</v>
      </c>
      <c r="E782" s="5" t="s">
        <v>2467</v>
      </c>
      <c r="F782" s="4">
        <v>40497</v>
      </c>
      <c r="G782" s="4" t="s">
        <v>1</v>
      </c>
      <c r="H782" s="4" t="s">
        <v>1</v>
      </c>
      <c r="I782" s="3" t="s">
        <v>13</v>
      </c>
      <c r="J782" s="3" t="s">
        <v>12</v>
      </c>
      <c r="K782" s="3" t="s">
        <v>262</v>
      </c>
      <c r="L782" s="3" t="s">
        <v>261</v>
      </c>
      <c r="M782" s="3" t="s">
        <v>329</v>
      </c>
      <c r="N782" s="3" t="s">
        <v>1372</v>
      </c>
      <c r="O782" s="3" t="s">
        <v>59</v>
      </c>
      <c r="P782" s="3" t="s">
        <v>6</v>
      </c>
      <c r="Q782" s="3" t="s">
        <v>5</v>
      </c>
      <c r="R782" s="3" t="s">
        <v>4</v>
      </c>
      <c r="S782" s="3" t="s">
        <v>3</v>
      </c>
      <c r="T782" s="3" t="s">
        <v>2</v>
      </c>
      <c r="U782" s="3" t="s">
        <v>1</v>
      </c>
      <c r="V782" s="3" t="s">
        <v>0</v>
      </c>
      <c r="W782" s="2">
        <v>32</v>
      </c>
    </row>
    <row r="783" spans="1:23" hidden="1" x14ac:dyDescent="0.25">
      <c r="A783" s="8">
        <v>10284</v>
      </c>
      <c r="B783" s="8" t="s">
        <v>2474</v>
      </c>
      <c r="C783" s="7" t="s">
        <v>2473</v>
      </c>
      <c r="D783" s="6" t="s">
        <v>15</v>
      </c>
      <c r="E783" s="5" t="s">
        <v>2456</v>
      </c>
      <c r="F783" s="4">
        <v>40504</v>
      </c>
      <c r="G783" s="4" t="s">
        <v>1</v>
      </c>
      <c r="H783" s="4" t="s">
        <v>1</v>
      </c>
      <c r="I783" s="3" t="s">
        <v>13</v>
      </c>
      <c r="J783" s="3" t="s">
        <v>12</v>
      </c>
      <c r="K783" s="3" t="s">
        <v>1933</v>
      </c>
      <c r="L783" s="3" t="s">
        <v>2356</v>
      </c>
      <c r="M783" s="3" t="s">
        <v>2355</v>
      </c>
      <c r="N783" s="3" t="s">
        <v>2354</v>
      </c>
      <c r="O783" s="3" t="s">
        <v>29</v>
      </c>
      <c r="P783" s="3" t="s">
        <v>30</v>
      </c>
      <c r="Q783" s="3" t="s">
        <v>20</v>
      </c>
      <c r="R783" s="3" t="s">
        <v>4</v>
      </c>
      <c r="S783" s="3" t="s">
        <v>3</v>
      </c>
      <c r="T783" s="3" t="s">
        <v>29</v>
      </c>
      <c r="U783" s="3" t="s">
        <v>1</v>
      </c>
      <c r="V783" s="3" t="s">
        <v>0</v>
      </c>
      <c r="W783" s="2">
        <v>33</v>
      </c>
    </row>
    <row r="784" spans="1:23" hidden="1" x14ac:dyDescent="0.25">
      <c r="A784" s="8">
        <v>10863</v>
      </c>
      <c r="B784" s="8" t="s">
        <v>2472</v>
      </c>
      <c r="C784" s="7" t="s">
        <v>2471</v>
      </c>
      <c r="D784" s="6" t="s">
        <v>15</v>
      </c>
      <c r="E784" s="5" t="s">
        <v>1319</v>
      </c>
      <c r="F784" s="4">
        <v>40572</v>
      </c>
      <c r="G784" s="4" t="s">
        <v>1</v>
      </c>
      <c r="H784" s="4" t="s">
        <v>1</v>
      </c>
      <c r="I784" s="3" t="s">
        <v>13</v>
      </c>
      <c r="J784" s="3" t="s">
        <v>12</v>
      </c>
      <c r="K784" s="3" t="s">
        <v>1933</v>
      </c>
      <c r="L784" s="3" t="s">
        <v>2356</v>
      </c>
      <c r="M784" s="3" t="s">
        <v>2355</v>
      </c>
      <c r="N784" s="3" t="s">
        <v>2470</v>
      </c>
      <c r="O784" s="3" t="s">
        <v>100</v>
      </c>
      <c r="P784" s="3" t="s">
        <v>30</v>
      </c>
      <c r="Q784" s="3" t="s">
        <v>20</v>
      </c>
      <c r="R784" s="3" t="s">
        <v>4</v>
      </c>
      <c r="S784" s="3" t="s">
        <v>3</v>
      </c>
      <c r="T784" s="3" t="s">
        <v>2</v>
      </c>
      <c r="U784" s="3" t="s">
        <v>1</v>
      </c>
      <c r="V784" s="3" t="s">
        <v>18</v>
      </c>
      <c r="W784" s="2">
        <v>36</v>
      </c>
    </row>
    <row r="785" spans="1:24" s="9" customFormat="1" hidden="1" x14ac:dyDescent="0.25">
      <c r="A785" s="17">
        <v>10274</v>
      </c>
      <c r="B785" s="17" t="s">
        <v>2469</v>
      </c>
      <c r="C785" s="16" t="s">
        <v>2468</v>
      </c>
      <c r="D785" s="15" t="s">
        <v>15</v>
      </c>
      <c r="E785" s="14" t="s">
        <v>2467</v>
      </c>
      <c r="F785" s="13">
        <v>40497</v>
      </c>
      <c r="G785" s="13" t="s">
        <v>1</v>
      </c>
      <c r="H785" s="13" t="s">
        <v>1</v>
      </c>
      <c r="I785" s="12" t="s">
        <v>145</v>
      </c>
      <c r="J785" s="12" t="s">
        <v>34</v>
      </c>
      <c r="K785" s="12" t="s">
        <v>33</v>
      </c>
      <c r="L785" s="12" t="s">
        <v>33</v>
      </c>
      <c r="M785" s="12" t="s">
        <v>161</v>
      </c>
      <c r="N785" s="12" t="s">
        <v>160</v>
      </c>
      <c r="O785" s="12" t="s">
        <v>100</v>
      </c>
      <c r="P785" s="12" t="s">
        <v>30</v>
      </c>
      <c r="Q785" s="12" t="s">
        <v>20</v>
      </c>
      <c r="R785" s="12" t="s">
        <v>4</v>
      </c>
      <c r="S785" s="12" t="s">
        <v>3</v>
      </c>
      <c r="T785" s="12" t="s">
        <v>2</v>
      </c>
      <c r="U785" s="12" t="s">
        <v>1</v>
      </c>
      <c r="V785" s="12" t="s">
        <v>0</v>
      </c>
      <c r="W785" s="11">
        <v>32</v>
      </c>
      <c r="X785" s="10"/>
    </row>
    <row r="786" spans="1:24" hidden="1" x14ac:dyDescent="0.25">
      <c r="A786" s="8">
        <v>11036</v>
      </c>
      <c r="B786" s="8" t="s">
        <v>2466</v>
      </c>
      <c r="C786" s="7" t="s">
        <v>2465</v>
      </c>
      <c r="D786" s="6" t="s">
        <v>15</v>
      </c>
      <c r="E786" s="5" t="s">
        <v>1434</v>
      </c>
      <c r="F786" s="4">
        <v>40585</v>
      </c>
      <c r="G786" s="4" t="s">
        <v>1</v>
      </c>
      <c r="H786" s="4" t="s">
        <v>1</v>
      </c>
      <c r="I786" s="3" t="s">
        <v>13</v>
      </c>
      <c r="J786" s="3" t="s">
        <v>12</v>
      </c>
      <c r="K786" s="3" t="s">
        <v>1933</v>
      </c>
      <c r="L786" s="3" t="s">
        <v>2356</v>
      </c>
      <c r="M786" s="3" t="s">
        <v>2355</v>
      </c>
      <c r="N786" s="3" t="s">
        <v>2464</v>
      </c>
      <c r="O786" s="3" t="s">
        <v>100</v>
      </c>
      <c r="P786" s="3" t="s">
        <v>30</v>
      </c>
      <c r="Q786" s="3" t="s">
        <v>20</v>
      </c>
      <c r="R786" s="3" t="s">
        <v>4</v>
      </c>
      <c r="S786" s="3" t="s">
        <v>3</v>
      </c>
      <c r="T786" s="3" t="s">
        <v>2</v>
      </c>
      <c r="U786" s="3" t="s">
        <v>1</v>
      </c>
      <c r="V786" s="3" t="s">
        <v>0</v>
      </c>
      <c r="W786" s="2">
        <v>34</v>
      </c>
    </row>
    <row r="787" spans="1:24" hidden="1" x14ac:dyDescent="0.25">
      <c r="A787" s="8">
        <v>10287</v>
      </c>
      <c r="B787" s="8" t="s">
        <v>2463</v>
      </c>
      <c r="C787" s="7" t="s">
        <v>2462</v>
      </c>
      <c r="D787" s="6" t="s">
        <v>15</v>
      </c>
      <c r="E787" s="5" t="s">
        <v>2456</v>
      </c>
      <c r="F787" s="4">
        <v>40504</v>
      </c>
      <c r="G787" s="4" t="s">
        <v>1</v>
      </c>
      <c r="H787" s="4" t="s">
        <v>1</v>
      </c>
      <c r="I787" s="3" t="s">
        <v>145</v>
      </c>
      <c r="J787" s="3" t="s">
        <v>12</v>
      </c>
      <c r="K787" s="3" t="s">
        <v>11</v>
      </c>
      <c r="L787" s="3" t="s">
        <v>10</v>
      </c>
      <c r="M787" s="3" t="s">
        <v>9</v>
      </c>
      <c r="N787" s="3" t="s">
        <v>1196</v>
      </c>
      <c r="O787" s="3" t="s">
        <v>21</v>
      </c>
      <c r="P787" s="3" t="s">
        <v>72</v>
      </c>
      <c r="Q787" s="3" t="s">
        <v>20</v>
      </c>
      <c r="R787" s="3" t="s">
        <v>4</v>
      </c>
      <c r="S787" s="3" t="s">
        <v>3</v>
      </c>
      <c r="T787" s="3" t="s">
        <v>19</v>
      </c>
      <c r="U787" s="3" t="s">
        <v>1</v>
      </c>
      <c r="V787" s="3" t="s">
        <v>0</v>
      </c>
      <c r="W787" s="2">
        <v>32</v>
      </c>
    </row>
    <row r="788" spans="1:24" s="9" customFormat="1" hidden="1" x14ac:dyDescent="0.25">
      <c r="A788" s="17">
        <v>11562</v>
      </c>
      <c r="B788" s="17" t="s">
        <v>2461</v>
      </c>
      <c r="C788" s="16" t="s">
        <v>2460</v>
      </c>
      <c r="D788" s="15" t="s">
        <v>15</v>
      </c>
      <c r="E788" s="14" t="s">
        <v>1763</v>
      </c>
      <c r="F788" s="13">
        <v>40707</v>
      </c>
      <c r="G788" s="13" t="s">
        <v>1</v>
      </c>
      <c r="H788" s="13" t="s">
        <v>1</v>
      </c>
      <c r="I788" s="12" t="s">
        <v>13</v>
      </c>
      <c r="J788" s="12" t="s">
        <v>12</v>
      </c>
      <c r="K788" s="12" t="s">
        <v>1933</v>
      </c>
      <c r="L788" s="12" t="s">
        <v>2356</v>
      </c>
      <c r="M788" s="12" t="s">
        <v>2355</v>
      </c>
      <c r="N788" s="12" t="s">
        <v>2459</v>
      </c>
      <c r="O788" s="12" t="s">
        <v>100</v>
      </c>
      <c r="P788" s="12" t="s">
        <v>30</v>
      </c>
      <c r="Q788" s="12" t="s">
        <v>20</v>
      </c>
      <c r="R788" s="12" t="s">
        <v>4</v>
      </c>
      <c r="S788" s="12" t="s">
        <v>3</v>
      </c>
      <c r="T788" s="12" t="s">
        <v>2</v>
      </c>
      <c r="U788" s="12" t="s">
        <v>1</v>
      </c>
      <c r="V788" s="12" t="s">
        <v>0</v>
      </c>
      <c r="W788" s="11">
        <v>31</v>
      </c>
    </row>
    <row r="789" spans="1:24" hidden="1" x14ac:dyDescent="0.25">
      <c r="A789" s="8">
        <v>10296</v>
      </c>
      <c r="B789" s="8" t="s">
        <v>2458</v>
      </c>
      <c r="C789" s="19" t="s">
        <v>2457</v>
      </c>
      <c r="D789" s="6" t="s">
        <v>15</v>
      </c>
      <c r="E789" s="18" t="s">
        <v>2456</v>
      </c>
      <c r="F789" s="4">
        <v>40504</v>
      </c>
      <c r="G789" s="4" t="s">
        <v>1</v>
      </c>
      <c r="H789" s="4" t="s">
        <v>1</v>
      </c>
      <c r="I789" s="3" t="s">
        <v>145</v>
      </c>
      <c r="J789" s="3" t="s">
        <v>12</v>
      </c>
      <c r="K789" s="3" t="s">
        <v>63</v>
      </c>
      <c r="L789" s="3" t="s">
        <v>174</v>
      </c>
      <c r="M789" s="3" t="s">
        <v>80</v>
      </c>
      <c r="N789" s="3" t="s">
        <v>172</v>
      </c>
      <c r="O789" s="3" t="s">
        <v>171</v>
      </c>
      <c r="P789" s="3" t="s">
        <v>6</v>
      </c>
      <c r="Q789" s="3" t="s">
        <v>20</v>
      </c>
      <c r="R789" s="3" t="s">
        <v>4</v>
      </c>
      <c r="S789" s="3" t="s">
        <v>3</v>
      </c>
      <c r="T789" s="3" t="s">
        <v>2</v>
      </c>
      <c r="U789" s="3" t="s">
        <v>1</v>
      </c>
      <c r="V789" s="3" t="s">
        <v>0</v>
      </c>
      <c r="W789" s="2">
        <v>35</v>
      </c>
    </row>
    <row r="790" spans="1:24" hidden="1" x14ac:dyDescent="0.25">
      <c r="A790" s="8">
        <v>10299</v>
      </c>
      <c r="B790" s="8" t="s">
        <v>2455</v>
      </c>
      <c r="C790" s="7" t="s">
        <v>2454</v>
      </c>
      <c r="D790" s="6" t="s">
        <v>15</v>
      </c>
      <c r="E790" s="5" t="s">
        <v>725</v>
      </c>
      <c r="F790" s="4">
        <v>40511</v>
      </c>
      <c r="G790" s="4" t="s">
        <v>1</v>
      </c>
      <c r="H790" s="4" t="s">
        <v>1</v>
      </c>
      <c r="I790" s="18" t="s">
        <v>100</v>
      </c>
      <c r="J790" s="18" t="s">
        <v>124</v>
      </c>
      <c r="K790" s="18" t="s">
        <v>33</v>
      </c>
      <c r="L790" s="18" t="s">
        <v>33</v>
      </c>
      <c r="M790" s="18" t="s">
        <v>124</v>
      </c>
      <c r="N790" s="18" t="s">
        <v>194</v>
      </c>
      <c r="O790" s="18" t="s">
        <v>122</v>
      </c>
      <c r="P790" s="5" t="s">
        <v>1</v>
      </c>
      <c r="Q790" s="5" t="s">
        <v>121</v>
      </c>
      <c r="R790" s="3" t="s">
        <v>4</v>
      </c>
      <c r="S790" s="3" t="s">
        <v>3</v>
      </c>
      <c r="T790" s="3" t="s">
        <v>2</v>
      </c>
      <c r="U790" s="3" t="s">
        <v>1</v>
      </c>
      <c r="V790" s="3" t="s">
        <v>0</v>
      </c>
      <c r="W790" s="2">
        <v>32</v>
      </c>
    </row>
    <row r="791" spans="1:24" hidden="1" x14ac:dyDescent="0.25">
      <c r="A791" s="8">
        <v>10301</v>
      </c>
      <c r="B791" s="8" t="s">
        <v>2453</v>
      </c>
      <c r="C791" s="7" t="s">
        <v>2452</v>
      </c>
      <c r="D791" s="6" t="s">
        <v>15</v>
      </c>
      <c r="E791" s="5" t="s">
        <v>725</v>
      </c>
      <c r="F791" s="4">
        <v>40511</v>
      </c>
      <c r="G791" s="4" t="s">
        <v>1</v>
      </c>
      <c r="H791" s="4" t="s">
        <v>1</v>
      </c>
      <c r="I791" s="3" t="s">
        <v>13</v>
      </c>
      <c r="J791" s="3" t="s">
        <v>12</v>
      </c>
      <c r="K791" s="3" t="s">
        <v>63</v>
      </c>
      <c r="L791" s="3" t="s">
        <v>1469</v>
      </c>
      <c r="M791" s="3" t="s">
        <v>1468</v>
      </c>
      <c r="N791" s="3" t="s">
        <v>1950</v>
      </c>
      <c r="O791" s="3" t="s">
        <v>453</v>
      </c>
      <c r="P791" s="3" t="s">
        <v>6</v>
      </c>
      <c r="Q791" s="3" t="s">
        <v>5</v>
      </c>
      <c r="R791" s="3" t="s">
        <v>4</v>
      </c>
      <c r="S791" s="3" t="s">
        <v>3</v>
      </c>
      <c r="T791" s="3" t="s">
        <v>2</v>
      </c>
      <c r="U791" s="3" t="s">
        <v>1</v>
      </c>
      <c r="V791" s="3" t="s">
        <v>0</v>
      </c>
      <c r="W791" s="2">
        <v>32</v>
      </c>
    </row>
    <row r="792" spans="1:24" hidden="1" x14ac:dyDescent="0.25">
      <c r="A792" s="8">
        <v>10310</v>
      </c>
      <c r="B792" s="8" t="s">
        <v>2451</v>
      </c>
      <c r="C792" s="7" t="s">
        <v>2450</v>
      </c>
      <c r="D792" s="6" t="s">
        <v>15</v>
      </c>
      <c r="E792" s="5" t="s">
        <v>725</v>
      </c>
      <c r="F792" s="4">
        <v>40511</v>
      </c>
      <c r="G792" s="4" t="s">
        <v>1</v>
      </c>
      <c r="H792" s="4" t="s">
        <v>1</v>
      </c>
      <c r="I792" s="3" t="s">
        <v>13</v>
      </c>
      <c r="J792" s="3" t="s">
        <v>133</v>
      </c>
      <c r="K792" s="3" t="s">
        <v>63</v>
      </c>
      <c r="L792" s="3" t="s">
        <v>1634</v>
      </c>
      <c r="M792" s="3" t="s">
        <v>1633</v>
      </c>
      <c r="N792" s="3" t="s">
        <v>2449</v>
      </c>
      <c r="O792" s="3" t="s">
        <v>128</v>
      </c>
      <c r="P792" s="3" t="s">
        <v>6</v>
      </c>
      <c r="Q792" s="3" t="s">
        <v>5</v>
      </c>
      <c r="R792" s="3" t="s">
        <v>4</v>
      </c>
      <c r="S792" s="3" t="s">
        <v>3</v>
      </c>
      <c r="T792" s="3" t="s">
        <v>2</v>
      </c>
      <c r="U792" s="3" t="s">
        <v>1</v>
      </c>
      <c r="V792" s="3" t="s">
        <v>0</v>
      </c>
      <c r="W792" s="2">
        <v>33</v>
      </c>
    </row>
    <row r="793" spans="1:24" s="9" customFormat="1" hidden="1" x14ac:dyDescent="0.25">
      <c r="A793" s="17">
        <v>11774</v>
      </c>
      <c r="B793" s="17" t="s">
        <v>2448</v>
      </c>
      <c r="C793" s="16" t="s">
        <v>2447</v>
      </c>
      <c r="D793" s="15" t="s">
        <v>15</v>
      </c>
      <c r="E793" s="17" t="s">
        <v>424</v>
      </c>
      <c r="F793" s="13">
        <v>40714</v>
      </c>
      <c r="G793" s="13" t="s">
        <v>1</v>
      </c>
      <c r="H793" s="13" t="s">
        <v>1</v>
      </c>
      <c r="I793" s="12" t="s">
        <v>13</v>
      </c>
      <c r="J793" s="12" t="s">
        <v>12</v>
      </c>
      <c r="K793" s="12" t="s">
        <v>1933</v>
      </c>
      <c r="L793" s="12" t="s">
        <v>2356</v>
      </c>
      <c r="M793" s="12" t="s">
        <v>2355</v>
      </c>
      <c r="N793" s="12" t="s">
        <v>2446</v>
      </c>
      <c r="O793" s="12" t="s">
        <v>100</v>
      </c>
      <c r="P793" s="12" t="s">
        <v>30</v>
      </c>
      <c r="Q793" s="12" t="s">
        <v>20</v>
      </c>
      <c r="R793" s="12" t="s">
        <v>4</v>
      </c>
      <c r="S793" s="12" t="s">
        <v>3</v>
      </c>
      <c r="T793" s="12" t="s">
        <v>2</v>
      </c>
      <c r="U793" s="12" t="s">
        <v>1</v>
      </c>
      <c r="V793" s="12" t="s">
        <v>0</v>
      </c>
      <c r="W793" s="11">
        <v>31</v>
      </c>
    </row>
    <row r="794" spans="1:24" hidden="1" x14ac:dyDescent="0.25">
      <c r="A794" s="8">
        <v>11779</v>
      </c>
      <c r="B794" s="8" t="s">
        <v>2445</v>
      </c>
      <c r="C794" s="7" t="s">
        <v>2444</v>
      </c>
      <c r="D794" s="6" t="s">
        <v>15</v>
      </c>
      <c r="E794" s="5" t="s">
        <v>424</v>
      </c>
      <c r="F794" s="4">
        <v>40714</v>
      </c>
      <c r="G794" s="4" t="s">
        <v>1</v>
      </c>
      <c r="H794" s="4" t="s">
        <v>1</v>
      </c>
      <c r="I794" s="3" t="s">
        <v>13</v>
      </c>
      <c r="J794" s="3" t="s">
        <v>12</v>
      </c>
      <c r="K794" s="3" t="s">
        <v>1933</v>
      </c>
      <c r="L794" s="3" t="s">
        <v>2356</v>
      </c>
      <c r="M794" s="3" t="s">
        <v>2355</v>
      </c>
      <c r="N794" s="3" t="s">
        <v>2443</v>
      </c>
      <c r="O794" s="3" t="s">
        <v>100</v>
      </c>
      <c r="P794" s="3" t="s">
        <v>30</v>
      </c>
      <c r="Q794" s="3" t="s">
        <v>20</v>
      </c>
      <c r="R794" s="3" t="s">
        <v>4</v>
      </c>
      <c r="S794" s="3" t="s">
        <v>3</v>
      </c>
      <c r="T794" s="3" t="s">
        <v>2</v>
      </c>
      <c r="U794" s="3" t="s">
        <v>1</v>
      </c>
      <c r="V794" s="3" t="s">
        <v>0</v>
      </c>
      <c r="W794" s="2">
        <v>34</v>
      </c>
    </row>
    <row r="795" spans="1:24" hidden="1" x14ac:dyDescent="0.25">
      <c r="A795" s="8">
        <v>12201</v>
      </c>
      <c r="B795" s="8" t="s">
        <v>2442</v>
      </c>
      <c r="C795" s="7" t="s">
        <v>2441</v>
      </c>
      <c r="D795" s="6" t="s">
        <v>15</v>
      </c>
      <c r="E795" s="5" t="s">
        <v>1666</v>
      </c>
      <c r="F795" s="4">
        <v>40802</v>
      </c>
      <c r="G795" s="4" t="s">
        <v>1</v>
      </c>
      <c r="H795" s="4" t="s">
        <v>1</v>
      </c>
      <c r="I795" s="3" t="s">
        <v>13</v>
      </c>
      <c r="J795" s="3" t="s">
        <v>12</v>
      </c>
      <c r="K795" s="3" t="s">
        <v>1933</v>
      </c>
      <c r="L795" s="3" t="s">
        <v>2356</v>
      </c>
      <c r="M795" s="3" t="s">
        <v>2355</v>
      </c>
      <c r="N795" s="3" t="s">
        <v>22</v>
      </c>
      <c r="O795" s="3" t="s">
        <v>21</v>
      </c>
      <c r="P795" s="3" t="s">
        <v>30</v>
      </c>
      <c r="Q795" s="3" t="s">
        <v>20</v>
      </c>
      <c r="R795" s="3" t="s">
        <v>4</v>
      </c>
      <c r="S795" s="3" t="s">
        <v>3</v>
      </c>
      <c r="T795" s="3" t="s">
        <v>19</v>
      </c>
      <c r="U795" s="3" t="s">
        <v>1</v>
      </c>
      <c r="V795" s="3" t="s">
        <v>0</v>
      </c>
      <c r="W795" s="2">
        <v>32</v>
      </c>
    </row>
    <row r="796" spans="1:24" hidden="1" x14ac:dyDescent="0.25">
      <c r="A796" s="8">
        <v>10326</v>
      </c>
      <c r="B796" s="8" t="s">
        <v>2440</v>
      </c>
      <c r="C796" s="7" t="s">
        <v>2439</v>
      </c>
      <c r="D796" s="6" t="s">
        <v>15</v>
      </c>
      <c r="E796" s="5" t="s">
        <v>725</v>
      </c>
      <c r="F796" s="4">
        <v>40511</v>
      </c>
      <c r="G796" s="4" t="s">
        <v>1</v>
      </c>
      <c r="H796" s="4" t="s">
        <v>1</v>
      </c>
      <c r="I796" s="3" t="s">
        <v>13</v>
      </c>
      <c r="J796" s="3" t="s">
        <v>12</v>
      </c>
      <c r="K796" s="3" t="s">
        <v>482</v>
      </c>
      <c r="L796" s="3" t="s">
        <v>481</v>
      </c>
      <c r="M796" s="3" t="s">
        <v>480</v>
      </c>
      <c r="N796" s="3" t="s">
        <v>2438</v>
      </c>
      <c r="O796" s="3" t="s">
        <v>453</v>
      </c>
      <c r="P796" s="3" t="s">
        <v>6</v>
      </c>
      <c r="Q796" s="3" t="s">
        <v>5</v>
      </c>
      <c r="R796" s="3" t="s">
        <v>4</v>
      </c>
      <c r="S796" s="3" t="s">
        <v>3</v>
      </c>
      <c r="T796" s="3" t="s">
        <v>2</v>
      </c>
      <c r="U796" s="3" t="s">
        <v>1</v>
      </c>
      <c r="V796" s="3" t="s">
        <v>0</v>
      </c>
      <c r="W796" s="2">
        <v>32</v>
      </c>
    </row>
    <row r="797" spans="1:24" hidden="1" x14ac:dyDescent="0.25">
      <c r="A797" s="8">
        <v>12632</v>
      </c>
      <c r="B797" s="8" t="s">
        <v>2437</v>
      </c>
      <c r="C797" s="7" t="s">
        <v>2436</v>
      </c>
      <c r="D797" s="6" t="s">
        <v>15</v>
      </c>
      <c r="E797" s="5" t="s">
        <v>149</v>
      </c>
      <c r="F797" s="4">
        <v>40819</v>
      </c>
      <c r="G797" s="4" t="s">
        <v>1</v>
      </c>
      <c r="H797" s="4" t="s">
        <v>1</v>
      </c>
      <c r="I797" s="3" t="s">
        <v>13</v>
      </c>
      <c r="J797" s="3" t="s">
        <v>12</v>
      </c>
      <c r="K797" s="3" t="s">
        <v>1933</v>
      </c>
      <c r="L797" s="3" t="s">
        <v>2356</v>
      </c>
      <c r="M797" s="3" t="s">
        <v>2355</v>
      </c>
      <c r="N797" s="3" t="s">
        <v>1472</v>
      </c>
      <c r="O797" s="3" t="s">
        <v>100</v>
      </c>
      <c r="P797" s="3" t="s">
        <v>30</v>
      </c>
      <c r="Q797" s="3" t="s">
        <v>20</v>
      </c>
      <c r="R797" s="3" t="s">
        <v>4</v>
      </c>
      <c r="S797" s="3" t="s">
        <v>3</v>
      </c>
      <c r="T797" s="3" t="s">
        <v>2</v>
      </c>
      <c r="U797" s="3" t="s">
        <v>1</v>
      </c>
      <c r="V797" s="3" t="s">
        <v>0</v>
      </c>
      <c r="W797" s="2">
        <v>34</v>
      </c>
    </row>
    <row r="798" spans="1:24" hidden="1" x14ac:dyDescent="0.25">
      <c r="A798" s="8">
        <v>10331</v>
      </c>
      <c r="B798" s="8" t="s">
        <v>2435</v>
      </c>
      <c r="C798" s="7" t="s">
        <v>2434</v>
      </c>
      <c r="D798" s="6" t="s">
        <v>15</v>
      </c>
      <c r="E798" s="5" t="s">
        <v>725</v>
      </c>
      <c r="F798" s="4">
        <v>40511</v>
      </c>
      <c r="G798" s="4" t="s">
        <v>1</v>
      </c>
      <c r="H798" s="4" t="s">
        <v>1</v>
      </c>
      <c r="I798" s="3" t="s">
        <v>13</v>
      </c>
      <c r="J798" s="3" t="s">
        <v>12</v>
      </c>
      <c r="K798" s="3" t="s">
        <v>262</v>
      </c>
      <c r="L798" s="3" t="s">
        <v>261</v>
      </c>
      <c r="M798" s="3" t="s">
        <v>260</v>
      </c>
      <c r="N798" s="3" t="s">
        <v>1417</v>
      </c>
      <c r="O798" s="3" t="s">
        <v>258</v>
      </c>
      <c r="P798" s="3" t="s">
        <v>6</v>
      </c>
      <c r="Q798" s="3" t="s">
        <v>5</v>
      </c>
      <c r="R798" s="3" t="s">
        <v>4</v>
      </c>
      <c r="S798" s="3" t="s">
        <v>3</v>
      </c>
      <c r="T798" s="3" t="s">
        <v>2</v>
      </c>
      <c r="U798" s="3" t="s">
        <v>1</v>
      </c>
      <c r="V798" s="3" t="s">
        <v>0</v>
      </c>
      <c r="W798" s="2">
        <v>32</v>
      </c>
    </row>
    <row r="799" spans="1:24" hidden="1" x14ac:dyDescent="0.25">
      <c r="A799" s="8">
        <v>10335</v>
      </c>
      <c r="B799" s="8" t="s">
        <v>2433</v>
      </c>
      <c r="C799" s="7" t="s">
        <v>2432</v>
      </c>
      <c r="D799" s="6" t="s">
        <v>15</v>
      </c>
      <c r="E799" s="5" t="s">
        <v>725</v>
      </c>
      <c r="F799" s="4">
        <v>40511</v>
      </c>
      <c r="G799" s="4" t="s">
        <v>1</v>
      </c>
      <c r="H799" s="4" t="s">
        <v>1</v>
      </c>
      <c r="I799" s="3" t="s">
        <v>13</v>
      </c>
      <c r="J799" s="3" t="s">
        <v>12</v>
      </c>
      <c r="K799" s="3" t="s">
        <v>11</v>
      </c>
      <c r="L799" s="3" t="s">
        <v>10</v>
      </c>
      <c r="M799" s="3" t="s">
        <v>9</v>
      </c>
      <c r="N799" s="3" t="s">
        <v>22</v>
      </c>
      <c r="O799" s="3" t="s">
        <v>21</v>
      </c>
      <c r="P799" s="3" t="s">
        <v>6</v>
      </c>
      <c r="Q799" s="3" t="s">
        <v>20</v>
      </c>
      <c r="R799" s="3" t="s">
        <v>4</v>
      </c>
      <c r="S799" s="3" t="s">
        <v>3</v>
      </c>
      <c r="T799" s="3" t="s">
        <v>19</v>
      </c>
      <c r="U799" s="3" t="s">
        <v>1</v>
      </c>
      <c r="V799" s="3" t="s">
        <v>0</v>
      </c>
      <c r="W799" s="2">
        <v>32</v>
      </c>
    </row>
    <row r="800" spans="1:24" hidden="1" x14ac:dyDescent="0.25">
      <c r="A800" s="8">
        <v>12735</v>
      </c>
      <c r="B800" s="8" t="s">
        <v>2431</v>
      </c>
      <c r="C800" s="7" t="s">
        <v>2430</v>
      </c>
      <c r="D800" s="6" t="s">
        <v>15</v>
      </c>
      <c r="E800" s="5" t="s">
        <v>149</v>
      </c>
      <c r="F800" s="4">
        <v>40819</v>
      </c>
      <c r="G800" s="4" t="s">
        <v>1</v>
      </c>
      <c r="H800" s="4" t="s">
        <v>1</v>
      </c>
      <c r="I800" s="3" t="s">
        <v>13</v>
      </c>
      <c r="J800" s="3" t="s">
        <v>12</v>
      </c>
      <c r="K800" s="3" t="s">
        <v>1933</v>
      </c>
      <c r="L800" s="3" t="s">
        <v>2356</v>
      </c>
      <c r="M800" s="3" t="s">
        <v>2355</v>
      </c>
      <c r="N800" s="3" t="s">
        <v>2429</v>
      </c>
      <c r="O800" s="3" t="s">
        <v>100</v>
      </c>
      <c r="P800" s="3" t="s">
        <v>30</v>
      </c>
      <c r="Q800" s="3" t="s">
        <v>20</v>
      </c>
      <c r="R800" s="3" t="s">
        <v>4</v>
      </c>
      <c r="S800" s="3" t="s">
        <v>3</v>
      </c>
      <c r="T800" s="3" t="s">
        <v>2</v>
      </c>
      <c r="U800" s="3" t="s">
        <v>1</v>
      </c>
      <c r="V800" s="3" t="s">
        <v>0</v>
      </c>
      <c r="W800" s="2">
        <v>30</v>
      </c>
    </row>
    <row r="801" spans="1:23" hidden="1" x14ac:dyDescent="0.25">
      <c r="A801" s="8">
        <v>10351</v>
      </c>
      <c r="B801" s="8" t="s">
        <v>2428</v>
      </c>
      <c r="C801" s="7" t="s">
        <v>2427</v>
      </c>
      <c r="D801" s="6" t="s">
        <v>15</v>
      </c>
      <c r="E801" s="5" t="s">
        <v>1644</v>
      </c>
      <c r="F801" s="4">
        <v>40513</v>
      </c>
      <c r="G801" s="4" t="s">
        <v>1</v>
      </c>
      <c r="H801" s="4" t="s">
        <v>1</v>
      </c>
      <c r="I801" s="3" t="s">
        <v>13</v>
      </c>
      <c r="J801" s="3" t="s">
        <v>12</v>
      </c>
      <c r="K801" s="3" t="s">
        <v>262</v>
      </c>
      <c r="L801" s="3" t="s">
        <v>261</v>
      </c>
      <c r="M801" s="3" t="s">
        <v>260</v>
      </c>
      <c r="N801" s="3" t="s">
        <v>1078</v>
      </c>
      <c r="O801" s="3" t="s">
        <v>29</v>
      </c>
      <c r="P801" s="3" t="s">
        <v>6</v>
      </c>
      <c r="Q801" s="3" t="s">
        <v>20</v>
      </c>
      <c r="R801" s="3" t="s">
        <v>4</v>
      </c>
      <c r="S801" s="3" t="s">
        <v>3</v>
      </c>
      <c r="T801" s="3" t="s">
        <v>1077</v>
      </c>
      <c r="U801" s="3" t="s">
        <v>1</v>
      </c>
      <c r="V801" s="3" t="s">
        <v>0</v>
      </c>
      <c r="W801" s="2">
        <v>34</v>
      </c>
    </row>
    <row r="802" spans="1:23" hidden="1" x14ac:dyDescent="0.25">
      <c r="A802" s="8">
        <v>12856</v>
      </c>
      <c r="B802" s="8" t="s">
        <v>2426</v>
      </c>
      <c r="C802" s="19" t="s">
        <v>2425</v>
      </c>
      <c r="D802" s="6" t="s">
        <v>15</v>
      </c>
      <c r="E802" s="18" t="s">
        <v>118</v>
      </c>
      <c r="F802" s="4">
        <v>40833</v>
      </c>
      <c r="G802" s="4" t="s">
        <v>1</v>
      </c>
      <c r="H802" s="4" t="s">
        <v>1</v>
      </c>
      <c r="I802" s="3" t="s">
        <v>13</v>
      </c>
      <c r="J802" s="3" t="s">
        <v>12</v>
      </c>
      <c r="K802" s="3" t="s">
        <v>1933</v>
      </c>
      <c r="L802" s="3" t="s">
        <v>2356</v>
      </c>
      <c r="M802" s="3" t="s">
        <v>2355</v>
      </c>
      <c r="N802" s="3" t="s">
        <v>2424</v>
      </c>
      <c r="O802" s="3" t="s">
        <v>100</v>
      </c>
      <c r="P802" s="3" t="s">
        <v>30</v>
      </c>
      <c r="Q802" s="3" t="s">
        <v>20</v>
      </c>
      <c r="R802" s="3" t="s">
        <v>4</v>
      </c>
      <c r="S802" s="3" t="s">
        <v>3</v>
      </c>
      <c r="T802" s="3" t="s">
        <v>2</v>
      </c>
      <c r="U802" s="3" t="s">
        <v>1</v>
      </c>
      <c r="V802" s="3" t="s">
        <v>0</v>
      </c>
      <c r="W802" s="2">
        <v>33</v>
      </c>
    </row>
    <row r="803" spans="1:23" hidden="1" x14ac:dyDescent="0.25">
      <c r="A803" s="8">
        <v>12870</v>
      </c>
      <c r="B803" s="8" t="s">
        <v>2423</v>
      </c>
      <c r="C803" s="7" t="s">
        <v>2422</v>
      </c>
      <c r="D803" s="6" t="s">
        <v>15</v>
      </c>
      <c r="E803" s="5" t="s">
        <v>118</v>
      </c>
      <c r="F803" s="4">
        <v>40833</v>
      </c>
      <c r="G803" s="4" t="s">
        <v>1</v>
      </c>
      <c r="H803" s="4" t="s">
        <v>1</v>
      </c>
      <c r="I803" s="3" t="s">
        <v>13</v>
      </c>
      <c r="J803" s="3" t="s">
        <v>12</v>
      </c>
      <c r="K803" s="3" t="s">
        <v>1933</v>
      </c>
      <c r="L803" s="3" t="s">
        <v>2356</v>
      </c>
      <c r="M803" s="3" t="s">
        <v>2355</v>
      </c>
      <c r="N803" s="3" t="s">
        <v>136</v>
      </c>
      <c r="O803" s="3" t="s">
        <v>100</v>
      </c>
      <c r="P803" s="3" t="s">
        <v>30</v>
      </c>
      <c r="Q803" s="3" t="s">
        <v>20</v>
      </c>
      <c r="R803" s="3" t="s">
        <v>4</v>
      </c>
      <c r="S803" s="3" t="s">
        <v>3</v>
      </c>
      <c r="T803" s="3" t="s">
        <v>2</v>
      </c>
      <c r="U803" s="3" t="s">
        <v>1</v>
      </c>
      <c r="V803" s="3" t="s">
        <v>0</v>
      </c>
      <c r="W803" s="2">
        <v>31</v>
      </c>
    </row>
    <row r="804" spans="1:23" hidden="1" x14ac:dyDescent="0.25">
      <c r="A804" s="8">
        <v>10372</v>
      </c>
      <c r="B804" s="8" t="s">
        <v>2421</v>
      </c>
      <c r="C804" s="7" t="s">
        <v>2420</v>
      </c>
      <c r="D804" s="6" t="s">
        <v>15</v>
      </c>
      <c r="E804" s="5" t="s">
        <v>1644</v>
      </c>
      <c r="F804" s="4">
        <v>40513</v>
      </c>
      <c r="G804" s="4" t="s">
        <v>1</v>
      </c>
      <c r="H804" s="4" t="s">
        <v>1</v>
      </c>
      <c r="I804" s="18" t="s">
        <v>100</v>
      </c>
      <c r="J804" s="18" t="s">
        <v>124</v>
      </c>
      <c r="K804" s="18" t="s">
        <v>33</v>
      </c>
      <c r="L804" s="18" t="s">
        <v>33</v>
      </c>
      <c r="M804" s="18" t="s">
        <v>124</v>
      </c>
      <c r="N804" s="18" t="s">
        <v>123</v>
      </c>
      <c r="O804" s="18" t="s">
        <v>122</v>
      </c>
      <c r="P804" s="5" t="s">
        <v>1</v>
      </c>
      <c r="Q804" s="5" t="s">
        <v>121</v>
      </c>
      <c r="R804" s="3" t="s">
        <v>4</v>
      </c>
      <c r="S804" s="3" t="s">
        <v>3</v>
      </c>
      <c r="T804" s="3" t="s">
        <v>1077</v>
      </c>
      <c r="U804" s="3" t="s">
        <v>1</v>
      </c>
      <c r="V804" s="3" t="s">
        <v>0</v>
      </c>
      <c r="W804" s="2">
        <v>34</v>
      </c>
    </row>
    <row r="805" spans="1:23" hidden="1" x14ac:dyDescent="0.25">
      <c r="A805" s="8">
        <v>10376</v>
      </c>
      <c r="B805" s="8" t="s">
        <v>2419</v>
      </c>
      <c r="C805" s="19" t="s">
        <v>2418</v>
      </c>
      <c r="D805" s="6" t="s">
        <v>15</v>
      </c>
      <c r="E805" s="18" t="s">
        <v>1644</v>
      </c>
      <c r="F805" s="4">
        <v>40513</v>
      </c>
      <c r="G805" s="4" t="s">
        <v>1</v>
      </c>
      <c r="H805" s="4" t="s">
        <v>1</v>
      </c>
      <c r="I805" s="3" t="s">
        <v>384</v>
      </c>
      <c r="J805" s="3" t="s">
        <v>1227</v>
      </c>
      <c r="K805" s="3" t="s">
        <v>33</v>
      </c>
      <c r="L805" s="3" t="s">
        <v>33</v>
      </c>
      <c r="M805" s="3" t="s">
        <v>1227</v>
      </c>
      <c r="N805" s="3" t="s">
        <v>2417</v>
      </c>
      <c r="O805" s="3" t="s">
        <v>387</v>
      </c>
      <c r="P805" s="3" t="s">
        <v>30</v>
      </c>
      <c r="Q805" s="3" t="s">
        <v>47</v>
      </c>
      <c r="R805" s="3" t="s">
        <v>4</v>
      </c>
      <c r="S805" s="3" t="s">
        <v>3</v>
      </c>
      <c r="T805" s="3" t="s">
        <v>29</v>
      </c>
      <c r="U805" s="3" t="s">
        <v>1</v>
      </c>
      <c r="V805" s="3" t="s">
        <v>0</v>
      </c>
      <c r="W805" s="2">
        <v>34</v>
      </c>
    </row>
    <row r="806" spans="1:23" s="9" customFormat="1" hidden="1" x14ac:dyDescent="0.25">
      <c r="A806" s="17">
        <v>14537</v>
      </c>
      <c r="B806" s="17" t="s">
        <v>2416</v>
      </c>
      <c r="C806" s="16" t="s">
        <v>2415</v>
      </c>
      <c r="D806" s="15" t="s">
        <v>15</v>
      </c>
      <c r="E806" s="14" t="s">
        <v>1105</v>
      </c>
      <c r="F806" s="13">
        <v>41393</v>
      </c>
      <c r="G806" s="13" t="s">
        <v>1</v>
      </c>
      <c r="H806" s="13" t="s">
        <v>1</v>
      </c>
      <c r="I806" s="12" t="s">
        <v>13</v>
      </c>
      <c r="J806" s="12" t="s">
        <v>12</v>
      </c>
      <c r="K806" s="12" t="s">
        <v>1933</v>
      </c>
      <c r="L806" s="12" t="s">
        <v>2356</v>
      </c>
      <c r="M806" s="12" t="s">
        <v>2355</v>
      </c>
      <c r="N806" s="12" t="s">
        <v>1078</v>
      </c>
      <c r="O806" s="12" t="s">
        <v>29</v>
      </c>
      <c r="P806" s="12" t="s">
        <v>30</v>
      </c>
      <c r="Q806" s="12" t="s">
        <v>20</v>
      </c>
      <c r="R806" s="12" t="s">
        <v>4</v>
      </c>
      <c r="S806" s="12" t="s">
        <v>3</v>
      </c>
      <c r="T806" s="12" t="s">
        <v>1077</v>
      </c>
      <c r="U806" s="12" t="s">
        <v>1</v>
      </c>
      <c r="V806" s="12" t="s">
        <v>0</v>
      </c>
      <c r="W806" s="11">
        <v>29</v>
      </c>
    </row>
    <row r="807" spans="1:23" s="9" customFormat="1" hidden="1" x14ac:dyDescent="0.25">
      <c r="A807" s="17">
        <v>16738</v>
      </c>
      <c r="B807" s="17" t="s">
        <v>2414</v>
      </c>
      <c r="C807" s="16" t="s">
        <v>2413</v>
      </c>
      <c r="D807" s="15" t="s">
        <v>15</v>
      </c>
      <c r="E807" s="14" t="s">
        <v>2412</v>
      </c>
      <c r="F807" s="13">
        <v>41676</v>
      </c>
      <c r="G807" s="13" t="s">
        <v>1</v>
      </c>
      <c r="H807" s="13" t="s">
        <v>1</v>
      </c>
      <c r="I807" s="12" t="s">
        <v>13</v>
      </c>
      <c r="J807" s="12" t="s">
        <v>12</v>
      </c>
      <c r="K807" s="12" t="s">
        <v>1933</v>
      </c>
      <c r="L807" s="12" t="s">
        <v>2356</v>
      </c>
      <c r="M807" s="12" t="s">
        <v>2355</v>
      </c>
      <c r="N807" s="12" t="s">
        <v>2411</v>
      </c>
      <c r="O807" s="12" t="s">
        <v>100</v>
      </c>
      <c r="P807" s="12" t="s">
        <v>30</v>
      </c>
      <c r="Q807" s="12" t="s">
        <v>20</v>
      </c>
      <c r="R807" s="12" t="s">
        <v>4</v>
      </c>
      <c r="S807" s="12" t="s">
        <v>3</v>
      </c>
      <c r="T807" s="12" t="s">
        <v>2</v>
      </c>
      <c r="U807" s="12" t="s">
        <v>1</v>
      </c>
      <c r="V807" s="12" t="s">
        <v>0</v>
      </c>
      <c r="W807" s="11">
        <v>31</v>
      </c>
    </row>
    <row r="808" spans="1:23" hidden="1" x14ac:dyDescent="0.25">
      <c r="A808" s="8">
        <v>10397</v>
      </c>
      <c r="B808" s="8" t="s">
        <v>2410</v>
      </c>
      <c r="C808" s="7" t="s">
        <v>2409</v>
      </c>
      <c r="D808" s="6" t="s">
        <v>15</v>
      </c>
      <c r="E808" s="5" t="s">
        <v>1515</v>
      </c>
      <c r="F808" s="4">
        <v>40518</v>
      </c>
      <c r="G808" s="4" t="s">
        <v>1</v>
      </c>
      <c r="H808" s="4" t="s">
        <v>1</v>
      </c>
      <c r="I808" s="3" t="s">
        <v>13</v>
      </c>
      <c r="J808" s="3" t="s">
        <v>12</v>
      </c>
      <c r="K808" s="3" t="s">
        <v>758</v>
      </c>
      <c r="L808" s="3" t="s">
        <v>757</v>
      </c>
      <c r="M808" s="3" t="s">
        <v>756</v>
      </c>
      <c r="N808" s="3" t="s">
        <v>1100</v>
      </c>
      <c r="O808" s="3" t="s">
        <v>59</v>
      </c>
      <c r="P808" s="3" t="s">
        <v>6</v>
      </c>
      <c r="Q808" s="3" t="s">
        <v>5</v>
      </c>
      <c r="R808" s="3" t="s">
        <v>4</v>
      </c>
      <c r="S808" s="3" t="s">
        <v>3</v>
      </c>
      <c r="T808" s="3" t="s">
        <v>2</v>
      </c>
      <c r="U808" s="3" t="s">
        <v>1</v>
      </c>
      <c r="V808" s="3" t="s">
        <v>0</v>
      </c>
      <c r="W808" s="2">
        <v>35</v>
      </c>
    </row>
    <row r="809" spans="1:23" hidden="1" x14ac:dyDescent="0.25">
      <c r="A809" s="8">
        <v>10405</v>
      </c>
      <c r="B809" s="8" t="s">
        <v>2408</v>
      </c>
      <c r="C809" s="7" t="s">
        <v>2407</v>
      </c>
      <c r="D809" s="6" t="s">
        <v>15</v>
      </c>
      <c r="E809" s="5" t="s">
        <v>1515</v>
      </c>
      <c r="F809" s="4">
        <v>40518</v>
      </c>
      <c r="G809" s="4" t="s">
        <v>1</v>
      </c>
      <c r="H809" s="4" t="s">
        <v>1</v>
      </c>
      <c r="I809" s="3" t="s">
        <v>13</v>
      </c>
      <c r="J809" s="3" t="s">
        <v>12</v>
      </c>
      <c r="K809" s="3" t="s">
        <v>283</v>
      </c>
      <c r="L809" s="3" t="s">
        <v>282</v>
      </c>
      <c r="M809" s="3" t="s">
        <v>281</v>
      </c>
      <c r="N809" s="3" t="s">
        <v>2406</v>
      </c>
      <c r="O809" s="3" t="s">
        <v>100</v>
      </c>
      <c r="P809" s="3" t="s">
        <v>6</v>
      </c>
      <c r="Q809" s="3" t="s">
        <v>20</v>
      </c>
      <c r="R809" s="3" t="s">
        <v>4</v>
      </c>
      <c r="S809" s="3" t="s">
        <v>3</v>
      </c>
      <c r="T809" s="3" t="s">
        <v>2</v>
      </c>
      <c r="U809" s="3" t="s">
        <v>1</v>
      </c>
      <c r="V809" s="3" t="s">
        <v>0</v>
      </c>
      <c r="W809" s="2">
        <v>34</v>
      </c>
    </row>
    <row r="810" spans="1:23" s="9" customFormat="1" hidden="1" x14ac:dyDescent="0.25">
      <c r="A810" s="17">
        <v>17017</v>
      </c>
      <c r="B810" s="17" t="s">
        <v>2405</v>
      </c>
      <c r="C810" s="24" t="s">
        <v>2404</v>
      </c>
      <c r="D810" s="15" t="s">
        <v>15</v>
      </c>
      <c r="E810" s="22" t="s">
        <v>2403</v>
      </c>
      <c r="F810" s="13">
        <v>41753</v>
      </c>
      <c r="G810" s="13" t="s">
        <v>1</v>
      </c>
      <c r="H810" s="13" t="s">
        <v>1</v>
      </c>
      <c r="I810" s="12" t="s">
        <v>13</v>
      </c>
      <c r="J810" s="12" t="s">
        <v>12</v>
      </c>
      <c r="K810" s="12" t="s">
        <v>1933</v>
      </c>
      <c r="L810" s="12" t="s">
        <v>2356</v>
      </c>
      <c r="M810" s="12" t="s">
        <v>2355</v>
      </c>
      <c r="N810" s="12" t="s">
        <v>2402</v>
      </c>
      <c r="O810" s="12" t="s">
        <v>100</v>
      </c>
      <c r="P810" s="12" t="s">
        <v>30</v>
      </c>
      <c r="Q810" s="12" t="s">
        <v>20</v>
      </c>
      <c r="R810" s="12" t="s">
        <v>4</v>
      </c>
      <c r="S810" s="12" t="s">
        <v>3</v>
      </c>
      <c r="T810" s="12" t="s">
        <v>2</v>
      </c>
      <c r="U810" s="12" t="s">
        <v>1</v>
      </c>
      <c r="V810" s="12" t="s">
        <v>0</v>
      </c>
      <c r="W810" s="11">
        <v>28</v>
      </c>
    </row>
    <row r="811" spans="1:23" hidden="1" x14ac:dyDescent="0.25">
      <c r="A811" s="8">
        <v>10416</v>
      </c>
      <c r="B811" s="8" t="s">
        <v>2401</v>
      </c>
      <c r="C811" s="7" t="s">
        <v>2400</v>
      </c>
      <c r="D811" s="6" t="s">
        <v>15</v>
      </c>
      <c r="E811" s="5" t="s">
        <v>1515</v>
      </c>
      <c r="F811" s="4">
        <v>40518</v>
      </c>
      <c r="G811" s="4" t="s">
        <v>1</v>
      </c>
      <c r="H811" s="4" t="s">
        <v>1</v>
      </c>
      <c r="I811" s="3" t="s">
        <v>13</v>
      </c>
      <c r="J811" s="3" t="s">
        <v>12</v>
      </c>
      <c r="K811" s="3" t="s">
        <v>187</v>
      </c>
      <c r="L811" s="3" t="s">
        <v>229</v>
      </c>
      <c r="M811" s="3" t="s">
        <v>228</v>
      </c>
      <c r="N811" s="3" t="s">
        <v>628</v>
      </c>
      <c r="O811" s="3" t="s">
        <v>59</v>
      </c>
      <c r="P811" s="3" t="s">
        <v>6</v>
      </c>
      <c r="Q811" s="3" t="s">
        <v>5</v>
      </c>
      <c r="R811" s="3" t="s">
        <v>4</v>
      </c>
      <c r="S811" s="3" t="s">
        <v>3</v>
      </c>
      <c r="T811" s="3" t="s">
        <v>2</v>
      </c>
      <c r="U811" s="3" t="s">
        <v>1</v>
      </c>
      <c r="V811" s="3" t="s">
        <v>0</v>
      </c>
      <c r="W811" s="2">
        <v>32</v>
      </c>
    </row>
    <row r="812" spans="1:23" s="9" customFormat="1" hidden="1" x14ac:dyDescent="0.25">
      <c r="A812" s="17">
        <v>18970</v>
      </c>
      <c r="B812" s="17" t="s">
        <v>2399</v>
      </c>
      <c r="C812" s="16" t="s">
        <v>2398</v>
      </c>
      <c r="D812" s="15" t="s">
        <v>15</v>
      </c>
      <c r="E812" s="14" t="s">
        <v>899</v>
      </c>
      <c r="F812" s="13">
        <v>42214</v>
      </c>
      <c r="G812" s="13" t="s">
        <v>1</v>
      </c>
      <c r="H812" s="13" t="s">
        <v>1</v>
      </c>
      <c r="I812" s="12" t="s">
        <v>13</v>
      </c>
      <c r="J812" s="12" t="s">
        <v>12</v>
      </c>
      <c r="K812" s="12" t="s">
        <v>1933</v>
      </c>
      <c r="L812" s="12" t="s">
        <v>2356</v>
      </c>
      <c r="M812" s="12" t="s">
        <v>2355</v>
      </c>
      <c r="N812" s="12" t="s">
        <v>2081</v>
      </c>
      <c r="O812" s="12" t="s">
        <v>100</v>
      </c>
      <c r="P812" s="12" t="s">
        <v>30</v>
      </c>
      <c r="Q812" s="12" t="s">
        <v>20</v>
      </c>
      <c r="R812" s="12" t="s">
        <v>4</v>
      </c>
      <c r="S812" s="12" t="s">
        <v>3</v>
      </c>
      <c r="T812" s="12" t="s">
        <v>2</v>
      </c>
      <c r="U812" s="12" t="s">
        <v>1</v>
      </c>
      <c r="V812" s="12" t="s">
        <v>0</v>
      </c>
      <c r="W812" s="11">
        <v>27</v>
      </c>
    </row>
    <row r="813" spans="1:23" hidden="1" x14ac:dyDescent="0.25">
      <c r="A813" s="8">
        <v>10439</v>
      </c>
      <c r="B813" s="8" t="s">
        <v>2397</v>
      </c>
      <c r="C813" s="7" t="s">
        <v>2396</v>
      </c>
      <c r="D813" s="6" t="s">
        <v>15</v>
      </c>
      <c r="E813" s="5" t="s">
        <v>2395</v>
      </c>
      <c r="F813" s="4">
        <v>40520</v>
      </c>
      <c r="G813" s="4" t="s">
        <v>1</v>
      </c>
      <c r="H813" s="4" t="s">
        <v>1</v>
      </c>
      <c r="I813" s="5" t="s">
        <v>93</v>
      </c>
      <c r="J813" s="5" t="s">
        <v>89</v>
      </c>
      <c r="K813" s="5" t="s">
        <v>33</v>
      </c>
      <c r="L813" s="5" t="s">
        <v>33</v>
      </c>
      <c r="M813" s="5" t="s">
        <v>377</v>
      </c>
      <c r="N813" s="5" t="s">
        <v>2394</v>
      </c>
      <c r="O813" s="5" t="s">
        <v>368</v>
      </c>
      <c r="P813" s="5" t="s">
        <v>30</v>
      </c>
      <c r="Q813" s="5" t="s">
        <v>47</v>
      </c>
      <c r="R813" s="3" t="s">
        <v>4</v>
      </c>
      <c r="S813" s="3" t="s">
        <v>3</v>
      </c>
      <c r="T813" s="3" t="s">
        <v>1347</v>
      </c>
      <c r="U813" s="3" t="s">
        <v>1</v>
      </c>
      <c r="V813" s="3" t="s">
        <v>18</v>
      </c>
      <c r="W813" s="2">
        <v>38</v>
      </c>
    </row>
    <row r="814" spans="1:23" hidden="1" x14ac:dyDescent="0.25">
      <c r="A814" s="8">
        <v>10446</v>
      </c>
      <c r="B814" s="8" t="s">
        <v>2393</v>
      </c>
      <c r="C814" s="7" t="s">
        <v>2392</v>
      </c>
      <c r="D814" s="6" t="s">
        <v>15</v>
      </c>
      <c r="E814" s="5" t="s">
        <v>165</v>
      </c>
      <c r="F814" s="4">
        <v>40524</v>
      </c>
      <c r="G814" s="4" t="s">
        <v>1</v>
      </c>
      <c r="H814" s="4" t="s">
        <v>1</v>
      </c>
      <c r="I814" s="3" t="s">
        <v>13</v>
      </c>
      <c r="J814" s="3" t="s">
        <v>12</v>
      </c>
      <c r="K814" s="3" t="s">
        <v>539</v>
      </c>
      <c r="L814" s="3" t="s">
        <v>1568</v>
      </c>
      <c r="M814" s="3" t="s">
        <v>1567</v>
      </c>
      <c r="N814" s="3" t="s">
        <v>1078</v>
      </c>
      <c r="O814" s="3" t="s">
        <v>29</v>
      </c>
      <c r="P814" s="3" t="s">
        <v>6</v>
      </c>
      <c r="Q814" s="3" t="s">
        <v>20</v>
      </c>
      <c r="R814" s="3" t="s">
        <v>4</v>
      </c>
      <c r="S814" s="3" t="s">
        <v>3</v>
      </c>
      <c r="T814" s="3" t="s">
        <v>1077</v>
      </c>
      <c r="U814" s="3" t="s">
        <v>1</v>
      </c>
      <c r="V814" s="3" t="s">
        <v>0</v>
      </c>
      <c r="W814" s="2">
        <v>34</v>
      </c>
    </row>
    <row r="815" spans="1:23" hidden="1" x14ac:dyDescent="0.25">
      <c r="A815" s="8">
        <v>10452</v>
      </c>
      <c r="B815" s="8" t="s">
        <v>2391</v>
      </c>
      <c r="C815" s="7" t="s">
        <v>2390</v>
      </c>
      <c r="D815" s="6" t="s">
        <v>15</v>
      </c>
      <c r="E815" s="5" t="s">
        <v>165</v>
      </c>
      <c r="F815" s="4">
        <v>40524</v>
      </c>
      <c r="G815" s="4" t="s">
        <v>1</v>
      </c>
      <c r="H815" s="4" t="s">
        <v>1</v>
      </c>
      <c r="I815" s="3" t="s">
        <v>13</v>
      </c>
      <c r="J815" s="3" t="s">
        <v>12</v>
      </c>
      <c r="K815" s="3" t="s">
        <v>11</v>
      </c>
      <c r="L815" s="3" t="s">
        <v>10</v>
      </c>
      <c r="M815" s="3" t="s">
        <v>9</v>
      </c>
      <c r="N815" s="3" t="s">
        <v>2389</v>
      </c>
      <c r="O815" s="3" t="s">
        <v>7</v>
      </c>
      <c r="P815" s="3" t="s">
        <v>6</v>
      </c>
      <c r="Q815" s="3" t="s">
        <v>5</v>
      </c>
      <c r="R815" s="3" t="s">
        <v>4</v>
      </c>
      <c r="S815" s="3" t="s">
        <v>3</v>
      </c>
      <c r="T815" s="3" t="s">
        <v>2</v>
      </c>
      <c r="U815" s="3" t="s">
        <v>1</v>
      </c>
      <c r="V815" s="3" t="s">
        <v>0</v>
      </c>
      <c r="W815" s="2">
        <v>32</v>
      </c>
    </row>
    <row r="816" spans="1:23" s="78" customFormat="1" hidden="1" x14ac:dyDescent="0.25">
      <c r="A816" s="73">
        <v>20584</v>
      </c>
      <c r="B816" s="73" t="s">
        <v>2388</v>
      </c>
      <c r="C816" s="87" t="s">
        <v>2387</v>
      </c>
      <c r="D816" s="88" t="s">
        <v>15</v>
      </c>
      <c r="E816" s="89" t="s">
        <v>112</v>
      </c>
      <c r="F816" s="90">
        <v>42639</v>
      </c>
      <c r="G816" s="90" t="s">
        <v>1</v>
      </c>
      <c r="H816" s="90" t="s">
        <v>1</v>
      </c>
      <c r="I816" s="92" t="s">
        <v>13</v>
      </c>
      <c r="J816" s="92" t="s">
        <v>12</v>
      </c>
      <c r="K816" s="92" t="s">
        <v>1933</v>
      </c>
      <c r="L816" s="92" t="s">
        <v>2356</v>
      </c>
      <c r="M816" s="92" t="s">
        <v>2355</v>
      </c>
      <c r="N816" s="92" t="s">
        <v>2386</v>
      </c>
      <c r="O816" s="92" t="s">
        <v>100</v>
      </c>
      <c r="P816" s="92" t="s">
        <v>30</v>
      </c>
      <c r="Q816" s="92" t="s">
        <v>20</v>
      </c>
      <c r="R816" s="92" t="s">
        <v>4</v>
      </c>
      <c r="S816" s="92" t="s">
        <v>3</v>
      </c>
      <c r="T816" s="92" t="s">
        <v>2</v>
      </c>
      <c r="U816" s="92" t="s">
        <v>1</v>
      </c>
      <c r="V816" s="92" t="s">
        <v>18</v>
      </c>
      <c r="W816" s="93">
        <v>31</v>
      </c>
    </row>
    <row r="817" spans="1:24" hidden="1" x14ac:dyDescent="0.25">
      <c r="A817" s="8">
        <v>10470</v>
      </c>
      <c r="B817" s="8" t="s">
        <v>2385</v>
      </c>
      <c r="C817" s="7" t="s">
        <v>2384</v>
      </c>
      <c r="D817" s="6" t="s">
        <v>15</v>
      </c>
      <c r="E817" s="5" t="s">
        <v>165</v>
      </c>
      <c r="F817" s="4">
        <v>40524</v>
      </c>
      <c r="G817" s="4" t="s">
        <v>1</v>
      </c>
      <c r="H817" s="4" t="s">
        <v>1</v>
      </c>
      <c r="I817" s="3" t="s">
        <v>384</v>
      </c>
      <c r="J817" s="3" t="s">
        <v>2383</v>
      </c>
      <c r="K817" s="3" t="s">
        <v>33</v>
      </c>
      <c r="L817" s="3" t="s">
        <v>33</v>
      </c>
      <c r="M817" s="3" t="s">
        <v>2383</v>
      </c>
      <c r="N817" s="3" t="s">
        <v>1708</v>
      </c>
      <c r="O817" s="3" t="s">
        <v>387</v>
      </c>
      <c r="P817" s="3" t="s">
        <v>30</v>
      </c>
      <c r="Q817" s="3" t="s">
        <v>47</v>
      </c>
      <c r="R817" s="3" t="s">
        <v>4</v>
      </c>
      <c r="S817" s="3" t="s">
        <v>3</v>
      </c>
      <c r="T817" s="3" t="s">
        <v>2</v>
      </c>
      <c r="U817" s="3" t="s">
        <v>1</v>
      </c>
      <c r="V817" s="3" t="s">
        <v>0</v>
      </c>
      <c r="W817" s="2">
        <v>32</v>
      </c>
    </row>
    <row r="818" spans="1:24" s="78" customFormat="1" hidden="1" x14ac:dyDescent="0.25">
      <c r="A818" s="73">
        <v>20628</v>
      </c>
      <c r="B818" s="73" t="s">
        <v>2382</v>
      </c>
      <c r="C818" s="87" t="s">
        <v>2381</v>
      </c>
      <c r="D818" s="88" t="s">
        <v>15</v>
      </c>
      <c r="E818" s="89" t="s">
        <v>112</v>
      </c>
      <c r="F818" s="90">
        <v>42639</v>
      </c>
      <c r="G818" s="90" t="s">
        <v>1</v>
      </c>
      <c r="H818" s="90" t="s">
        <v>1</v>
      </c>
      <c r="I818" s="92" t="s">
        <v>13</v>
      </c>
      <c r="J818" s="92" t="s">
        <v>12</v>
      </c>
      <c r="K818" s="92" t="s">
        <v>1933</v>
      </c>
      <c r="L818" s="92" t="s">
        <v>2356</v>
      </c>
      <c r="M818" s="92" t="s">
        <v>2355</v>
      </c>
      <c r="N818" s="92" t="s">
        <v>22</v>
      </c>
      <c r="O818" s="92" t="s">
        <v>21</v>
      </c>
      <c r="P818" s="92" t="s">
        <v>30</v>
      </c>
      <c r="Q818" s="92" t="s">
        <v>20</v>
      </c>
      <c r="R818" s="92" t="s">
        <v>4</v>
      </c>
      <c r="S818" s="92" t="s">
        <v>3</v>
      </c>
      <c r="T818" s="92" t="s">
        <v>19</v>
      </c>
      <c r="U818" s="92" t="s">
        <v>1</v>
      </c>
      <c r="V818" s="92" t="s">
        <v>18</v>
      </c>
      <c r="W818" s="93">
        <v>27</v>
      </c>
    </row>
    <row r="819" spans="1:24" hidden="1" x14ac:dyDescent="0.25">
      <c r="A819" s="8">
        <v>20773</v>
      </c>
      <c r="B819" s="8" t="s">
        <v>2380</v>
      </c>
      <c r="C819" s="7" t="s">
        <v>2379</v>
      </c>
      <c r="D819" s="6" t="s">
        <v>15</v>
      </c>
      <c r="E819" s="5" t="s">
        <v>680</v>
      </c>
      <c r="F819" s="4">
        <v>42642</v>
      </c>
      <c r="G819" s="4" t="s">
        <v>1</v>
      </c>
      <c r="H819" s="4" t="s">
        <v>1</v>
      </c>
      <c r="I819" s="3" t="s">
        <v>13</v>
      </c>
      <c r="J819" s="3" t="s">
        <v>12</v>
      </c>
      <c r="K819" s="3" t="s">
        <v>1933</v>
      </c>
      <c r="L819" s="3" t="s">
        <v>2356</v>
      </c>
      <c r="M819" s="3" t="s">
        <v>2355</v>
      </c>
      <c r="N819" s="3" t="s">
        <v>2378</v>
      </c>
      <c r="O819" s="3" t="s">
        <v>100</v>
      </c>
      <c r="P819" s="3" t="s">
        <v>30</v>
      </c>
      <c r="Q819" s="3" t="s">
        <v>20</v>
      </c>
      <c r="R819" s="3" t="s">
        <v>4</v>
      </c>
      <c r="S819" s="3" t="s">
        <v>3</v>
      </c>
      <c r="T819" s="3" t="s">
        <v>2</v>
      </c>
      <c r="U819" s="3" t="s">
        <v>1</v>
      </c>
      <c r="V819" s="3" t="s">
        <v>0</v>
      </c>
      <c r="W819" s="2">
        <v>27</v>
      </c>
    </row>
    <row r="820" spans="1:24" hidden="1" x14ac:dyDescent="0.25">
      <c r="A820" s="8">
        <v>10488</v>
      </c>
      <c r="B820" s="8" t="s">
        <v>2377</v>
      </c>
      <c r="C820" s="7" t="s">
        <v>2376</v>
      </c>
      <c r="D820" s="6" t="s">
        <v>15</v>
      </c>
      <c r="E820" s="5" t="s">
        <v>165</v>
      </c>
      <c r="F820" s="4">
        <v>40524</v>
      </c>
      <c r="G820" s="4" t="s">
        <v>1</v>
      </c>
      <c r="H820" s="4" t="s">
        <v>1</v>
      </c>
      <c r="I820" s="3" t="s">
        <v>13</v>
      </c>
      <c r="J820" s="3" t="s">
        <v>12</v>
      </c>
      <c r="K820" s="3" t="s">
        <v>187</v>
      </c>
      <c r="L820" s="3" t="s">
        <v>229</v>
      </c>
      <c r="M820" s="3" t="s">
        <v>228</v>
      </c>
      <c r="N820" s="3" t="s">
        <v>22</v>
      </c>
      <c r="O820" s="3" t="s">
        <v>21</v>
      </c>
      <c r="P820" s="3" t="s">
        <v>6</v>
      </c>
      <c r="Q820" s="3" t="s">
        <v>20</v>
      </c>
      <c r="R820" s="3" t="s">
        <v>4</v>
      </c>
      <c r="S820" s="3" t="s">
        <v>3</v>
      </c>
      <c r="T820" s="3" t="s">
        <v>19</v>
      </c>
      <c r="U820" s="3" t="s">
        <v>1</v>
      </c>
      <c r="V820" s="3" t="s">
        <v>0</v>
      </c>
      <c r="W820" s="2">
        <v>32</v>
      </c>
    </row>
    <row r="821" spans="1:24" hidden="1" x14ac:dyDescent="0.25">
      <c r="A821" s="8">
        <v>10493</v>
      </c>
      <c r="B821" s="8" t="s">
        <v>2375</v>
      </c>
      <c r="C821" s="7" t="s">
        <v>2374</v>
      </c>
      <c r="D821" s="6" t="s">
        <v>15</v>
      </c>
      <c r="E821" s="5" t="s">
        <v>157</v>
      </c>
      <c r="F821" s="4">
        <v>40535</v>
      </c>
      <c r="G821" s="4" t="s">
        <v>1</v>
      </c>
      <c r="H821" s="4" t="s">
        <v>1</v>
      </c>
      <c r="I821" s="3" t="s">
        <v>145</v>
      </c>
      <c r="J821" s="3" t="s">
        <v>12</v>
      </c>
      <c r="K821" s="3" t="s">
        <v>283</v>
      </c>
      <c r="L821" s="3" t="s">
        <v>282</v>
      </c>
      <c r="M821" s="3" t="s">
        <v>698</v>
      </c>
      <c r="N821" s="3" t="s">
        <v>1355</v>
      </c>
      <c r="O821" s="3" t="s">
        <v>100</v>
      </c>
      <c r="P821" s="3" t="s">
        <v>72</v>
      </c>
      <c r="Q821" s="3" t="s">
        <v>20</v>
      </c>
      <c r="R821" s="3" t="s">
        <v>4</v>
      </c>
      <c r="S821" s="3" t="s">
        <v>3</v>
      </c>
      <c r="T821" s="3" t="s">
        <v>2</v>
      </c>
      <c r="U821" s="3" t="s">
        <v>1</v>
      </c>
      <c r="V821" s="3" t="s">
        <v>0</v>
      </c>
      <c r="W821" s="2">
        <v>32</v>
      </c>
    </row>
    <row r="822" spans="1:24" hidden="1" x14ac:dyDescent="0.25">
      <c r="A822" s="8">
        <v>21439</v>
      </c>
      <c r="B822" s="8" t="s">
        <v>2373</v>
      </c>
      <c r="C822" s="7" t="s">
        <v>2372</v>
      </c>
      <c r="D822" s="6" t="s">
        <v>15</v>
      </c>
      <c r="E822" s="5" t="s">
        <v>2371</v>
      </c>
      <c r="F822" s="4">
        <v>43024</v>
      </c>
      <c r="G822" s="4" t="s">
        <v>1</v>
      </c>
      <c r="H822" s="4" t="s">
        <v>1</v>
      </c>
      <c r="I822" s="3" t="s">
        <v>13</v>
      </c>
      <c r="J822" s="3" t="s">
        <v>12</v>
      </c>
      <c r="K822" s="3" t="s">
        <v>1933</v>
      </c>
      <c r="L822" s="3" t="s">
        <v>2356</v>
      </c>
      <c r="M822" s="3" t="s">
        <v>2355</v>
      </c>
      <c r="N822" s="3" t="s">
        <v>2370</v>
      </c>
      <c r="O822" s="3" t="s">
        <v>100</v>
      </c>
      <c r="P822" s="3" t="s">
        <v>30</v>
      </c>
      <c r="Q822" s="3" t="s">
        <v>20</v>
      </c>
      <c r="R822" s="3" t="s">
        <v>4</v>
      </c>
      <c r="S822" s="3" t="s">
        <v>3</v>
      </c>
      <c r="T822" s="3" t="s">
        <v>2</v>
      </c>
      <c r="U822" s="3" t="s">
        <v>1</v>
      </c>
      <c r="V822" s="3" t="s">
        <v>0</v>
      </c>
      <c r="W822" s="2">
        <v>26</v>
      </c>
    </row>
    <row r="823" spans="1:24" hidden="1" x14ac:dyDescent="0.25">
      <c r="A823" s="8">
        <v>21903</v>
      </c>
      <c r="B823" s="8" t="s">
        <v>2369</v>
      </c>
      <c r="C823" s="19" t="s">
        <v>2368</v>
      </c>
      <c r="D823" s="6" t="s">
        <v>15</v>
      </c>
      <c r="E823" s="18" t="s">
        <v>2367</v>
      </c>
      <c r="F823" s="4">
        <v>43103</v>
      </c>
      <c r="G823" s="4" t="s">
        <v>1</v>
      </c>
      <c r="H823" s="4" t="s">
        <v>1</v>
      </c>
      <c r="I823" s="3" t="s">
        <v>13</v>
      </c>
      <c r="J823" s="3" t="s">
        <v>12</v>
      </c>
      <c r="K823" s="3" t="s">
        <v>1933</v>
      </c>
      <c r="L823" s="3" t="s">
        <v>2356</v>
      </c>
      <c r="M823" s="3" t="s">
        <v>2355</v>
      </c>
      <c r="N823" s="3" t="s">
        <v>2366</v>
      </c>
      <c r="O823" s="3" t="s">
        <v>100</v>
      </c>
      <c r="P823" s="3" t="s">
        <v>30</v>
      </c>
      <c r="Q823" s="3" t="s">
        <v>20</v>
      </c>
      <c r="R823" s="3" t="s">
        <v>4</v>
      </c>
      <c r="S823" s="3" t="s">
        <v>3</v>
      </c>
      <c r="T823" s="3" t="s">
        <v>2</v>
      </c>
      <c r="U823" s="3" t="s">
        <v>1</v>
      </c>
      <c r="V823" s="3" t="s">
        <v>18</v>
      </c>
      <c r="W823" s="2">
        <v>28</v>
      </c>
    </row>
    <row r="824" spans="1:24" hidden="1" x14ac:dyDescent="0.25">
      <c r="A824" s="8" t="s">
        <v>2365</v>
      </c>
      <c r="B824" s="8" t="s">
        <v>2365</v>
      </c>
      <c r="C824" s="7" t="s">
        <v>2364</v>
      </c>
      <c r="D824" s="6" t="s">
        <v>15</v>
      </c>
      <c r="E824" s="5" t="s">
        <v>293</v>
      </c>
      <c r="F824" s="4">
        <v>40847</v>
      </c>
      <c r="G824" s="4" t="s">
        <v>1</v>
      </c>
      <c r="H824" s="4" t="s">
        <v>1</v>
      </c>
      <c r="I824" s="3" t="s">
        <v>13</v>
      </c>
      <c r="J824" s="3" t="s">
        <v>12</v>
      </c>
      <c r="K824" s="3" t="s">
        <v>1933</v>
      </c>
      <c r="L824" s="3" t="s">
        <v>2356</v>
      </c>
      <c r="M824" s="3" t="s">
        <v>2355</v>
      </c>
      <c r="N824" s="3" t="s">
        <v>2363</v>
      </c>
      <c r="O824" s="3" t="s">
        <v>100</v>
      </c>
      <c r="P824" s="3" t="s">
        <v>30</v>
      </c>
      <c r="Q824" s="3" t="s">
        <v>20</v>
      </c>
      <c r="R824" s="3" t="s">
        <v>4</v>
      </c>
      <c r="S824" s="3" t="s">
        <v>3</v>
      </c>
      <c r="T824" s="3" t="s">
        <v>2</v>
      </c>
      <c r="U824" s="3" t="s">
        <v>1</v>
      </c>
      <c r="V824" s="3" t="s">
        <v>0</v>
      </c>
      <c r="W824" s="2">
        <v>37</v>
      </c>
    </row>
    <row r="825" spans="1:24" hidden="1" x14ac:dyDescent="0.25">
      <c r="A825" s="8">
        <v>10510</v>
      </c>
      <c r="B825" s="8" t="s">
        <v>2362</v>
      </c>
      <c r="C825" s="7" t="s">
        <v>2361</v>
      </c>
      <c r="D825" s="6" t="s">
        <v>15</v>
      </c>
      <c r="E825" s="5" t="s">
        <v>157</v>
      </c>
      <c r="F825" s="4">
        <v>40535</v>
      </c>
      <c r="G825" s="4" t="s">
        <v>1</v>
      </c>
      <c r="H825" s="4" t="s">
        <v>1</v>
      </c>
      <c r="I825" s="3" t="s">
        <v>384</v>
      </c>
      <c r="J825" s="3" t="s">
        <v>2360</v>
      </c>
      <c r="K825" s="3" t="s">
        <v>33</v>
      </c>
      <c r="L825" s="3" t="s">
        <v>33</v>
      </c>
      <c r="M825" s="3" t="s">
        <v>2360</v>
      </c>
      <c r="N825" s="3" t="s">
        <v>1708</v>
      </c>
      <c r="O825" s="3" t="s">
        <v>387</v>
      </c>
      <c r="P825" s="3" t="s">
        <v>30</v>
      </c>
      <c r="Q825" s="3" t="s">
        <v>47</v>
      </c>
      <c r="R825" s="3" t="s">
        <v>4</v>
      </c>
      <c r="S825" s="3" t="s">
        <v>3</v>
      </c>
      <c r="T825" s="3" t="s">
        <v>2</v>
      </c>
      <c r="U825" s="3" t="s">
        <v>1</v>
      </c>
      <c r="V825" s="3" t="s">
        <v>0</v>
      </c>
      <c r="W825" s="2">
        <v>32</v>
      </c>
    </row>
    <row r="826" spans="1:24" hidden="1" x14ac:dyDescent="0.25">
      <c r="A826" s="8" t="s">
        <v>2359</v>
      </c>
      <c r="B826" s="8" t="s">
        <v>2359</v>
      </c>
      <c r="C826" s="7" t="s">
        <v>2358</v>
      </c>
      <c r="D826" s="6" t="s">
        <v>15</v>
      </c>
      <c r="E826" s="5" t="s">
        <v>2357</v>
      </c>
      <c r="F826" s="4">
        <v>41724</v>
      </c>
      <c r="G826" s="4" t="s">
        <v>1</v>
      </c>
      <c r="H826" s="4" t="s">
        <v>1</v>
      </c>
      <c r="I826" s="3" t="s">
        <v>13</v>
      </c>
      <c r="J826" s="3" t="s">
        <v>12</v>
      </c>
      <c r="K826" s="3" t="s">
        <v>1933</v>
      </c>
      <c r="L826" s="3" t="s">
        <v>2356</v>
      </c>
      <c r="M826" s="3" t="s">
        <v>2355</v>
      </c>
      <c r="N826" s="3" t="s">
        <v>2354</v>
      </c>
      <c r="O826" s="3" t="s">
        <v>100</v>
      </c>
      <c r="P826" s="3" t="s">
        <v>30</v>
      </c>
      <c r="Q826" s="3" t="s">
        <v>20</v>
      </c>
      <c r="R826" s="3" t="s">
        <v>4</v>
      </c>
      <c r="S826" s="3" t="s">
        <v>3</v>
      </c>
      <c r="T826" s="3" t="s">
        <v>19</v>
      </c>
      <c r="U826" s="3" t="s">
        <v>1</v>
      </c>
      <c r="V826" s="3" t="s">
        <v>18</v>
      </c>
      <c r="W826" s="2">
        <v>31</v>
      </c>
    </row>
    <row r="827" spans="1:24" s="9" customFormat="1" hidden="1" x14ac:dyDescent="0.25">
      <c r="A827" s="17">
        <v>404</v>
      </c>
      <c r="B827" s="17" t="s">
        <v>2353</v>
      </c>
      <c r="C827" s="16" t="s">
        <v>2352</v>
      </c>
      <c r="D827" s="15" t="s">
        <v>15</v>
      </c>
      <c r="E827" s="14" t="s">
        <v>1379</v>
      </c>
      <c r="F827" s="13">
        <v>37739</v>
      </c>
      <c r="G827" s="13" t="s">
        <v>1</v>
      </c>
      <c r="H827" s="13" t="s">
        <v>1</v>
      </c>
      <c r="I827" s="12" t="s">
        <v>13</v>
      </c>
      <c r="J827" s="12" t="s">
        <v>12</v>
      </c>
      <c r="K827" s="12" t="s">
        <v>132</v>
      </c>
      <c r="L827" s="12" t="s">
        <v>218</v>
      </c>
      <c r="M827" s="12" t="s">
        <v>1968</v>
      </c>
      <c r="N827" s="12" t="s">
        <v>1078</v>
      </c>
      <c r="O827" s="12" t="s">
        <v>29</v>
      </c>
      <c r="P827" s="12" t="s">
        <v>72</v>
      </c>
      <c r="Q827" s="12" t="s">
        <v>20</v>
      </c>
      <c r="R827" s="12" t="s">
        <v>4</v>
      </c>
      <c r="S827" s="12" t="s">
        <v>3</v>
      </c>
      <c r="T827" s="12" t="s">
        <v>1077</v>
      </c>
      <c r="U827" s="12" t="s">
        <v>1</v>
      </c>
      <c r="V827" s="12" t="s">
        <v>0</v>
      </c>
      <c r="W827" s="11">
        <v>42</v>
      </c>
      <c r="X827" s="10"/>
    </row>
    <row r="828" spans="1:24" hidden="1" x14ac:dyDescent="0.25">
      <c r="A828" s="8">
        <v>10514</v>
      </c>
      <c r="B828" s="8" t="s">
        <v>2351</v>
      </c>
      <c r="C828" s="28" t="s">
        <v>2350</v>
      </c>
      <c r="D828" s="6" t="s">
        <v>15</v>
      </c>
      <c r="E828" s="5" t="s">
        <v>157</v>
      </c>
      <c r="F828" s="4">
        <v>40535</v>
      </c>
      <c r="G828" s="4" t="s">
        <v>1</v>
      </c>
      <c r="H828" s="4" t="s">
        <v>1</v>
      </c>
      <c r="I828" s="5" t="s">
        <v>365</v>
      </c>
      <c r="J828" s="5" t="s">
        <v>918</v>
      </c>
      <c r="K828" s="3" t="s">
        <v>33</v>
      </c>
      <c r="L828" s="3" t="s">
        <v>33</v>
      </c>
      <c r="M828" s="3" t="s">
        <v>918</v>
      </c>
      <c r="N828" s="3" t="s">
        <v>1023</v>
      </c>
      <c r="O828" s="3" t="s">
        <v>918</v>
      </c>
      <c r="P828" s="3" t="s">
        <v>30</v>
      </c>
      <c r="Q828" s="3" t="s">
        <v>121</v>
      </c>
      <c r="R828" s="3" t="s">
        <v>4</v>
      </c>
      <c r="S828" s="3" t="s">
        <v>3</v>
      </c>
      <c r="T828" s="3" t="s">
        <v>2</v>
      </c>
      <c r="U828" s="3" t="s">
        <v>1</v>
      </c>
      <c r="V828" s="3" t="s">
        <v>0</v>
      </c>
      <c r="W828" s="2">
        <v>32</v>
      </c>
    </row>
    <row r="829" spans="1:24" s="78" customFormat="1" hidden="1" x14ac:dyDescent="0.25">
      <c r="A829" s="73">
        <v>11061</v>
      </c>
      <c r="B829" s="73" t="s">
        <v>2349</v>
      </c>
      <c r="C829" s="87" t="s">
        <v>2348</v>
      </c>
      <c r="D829" s="88" t="s">
        <v>15</v>
      </c>
      <c r="E829" s="89" t="s">
        <v>2111</v>
      </c>
      <c r="F829" s="90">
        <v>40595</v>
      </c>
      <c r="G829" s="90" t="s">
        <v>1</v>
      </c>
      <c r="H829" s="90" t="s">
        <v>1</v>
      </c>
      <c r="I829" s="92" t="s">
        <v>13</v>
      </c>
      <c r="J829" s="92" t="s">
        <v>12</v>
      </c>
      <c r="K829" s="92" t="s">
        <v>132</v>
      </c>
      <c r="L829" s="92" t="s">
        <v>218</v>
      </c>
      <c r="M829" s="92" t="s">
        <v>1968</v>
      </c>
      <c r="N829" s="92" t="s">
        <v>2345</v>
      </c>
      <c r="O829" s="92" t="s">
        <v>59</v>
      </c>
      <c r="P829" s="92" t="s">
        <v>72</v>
      </c>
      <c r="Q829" s="92" t="s">
        <v>5</v>
      </c>
      <c r="R829" s="92" t="s">
        <v>4</v>
      </c>
      <c r="S829" s="92" t="s">
        <v>3</v>
      </c>
      <c r="T829" s="92" t="s">
        <v>2</v>
      </c>
      <c r="U829" s="92" t="s">
        <v>1</v>
      </c>
      <c r="V829" s="92" t="s">
        <v>0</v>
      </c>
      <c r="W829" s="93">
        <v>32</v>
      </c>
    </row>
    <row r="830" spans="1:24" s="78" customFormat="1" hidden="1" x14ac:dyDescent="0.25">
      <c r="A830" s="73">
        <v>12709</v>
      </c>
      <c r="B830" s="73" t="s">
        <v>2347</v>
      </c>
      <c r="C830" s="87" t="s">
        <v>2346</v>
      </c>
      <c r="D830" s="88" t="s">
        <v>15</v>
      </c>
      <c r="E830" s="89" t="s">
        <v>149</v>
      </c>
      <c r="F830" s="90">
        <v>40819</v>
      </c>
      <c r="G830" s="90" t="s">
        <v>1</v>
      </c>
      <c r="H830" s="90" t="s">
        <v>1</v>
      </c>
      <c r="I830" s="92" t="s">
        <v>13</v>
      </c>
      <c r="J830" s="92" t="s">
        <v>12</v>
      </c>
      <c r="K830" s="92" t="s">
        <v>132</v>
      </c>
      <c r="L830" s="92" t="s">
        <v>218</v>
      </c>
      <c r="M830" s="92" t="s">
        <v>1968</v>
      </c>
      <c r="N830" s="92" t="s">
        <v>2345</v>
      </c>
      <c r="O830" s="92" t="s">
        <v>59</v>
      </c>
      <c r="P830" s="92" t="s">
        <v>72</v>
      </c>
      <c r="Q830" s="92" t="s">
        <v>5</v>
      </c>
      <c r="R830" s="92" t="s">
        <v>4</v>
      </c>
      <c r="S830" s="92" t="s">
        <v>3</v>
      </c>
      <c r="T830" s="92" t="s">
        <v>2</v>
      </c>
      <c r="U830" s="92" t="s">
        <v>1</v>
      </c>
      <c r="V830" s="92" t="s">
        <v>0</v>
      </c>
      <c r="W830" s="93">
        <v>33</v>
      </c>
    </row>
    <row r="831" spans="1:24" hidden="1" x14ac:dyDescent="0.25">
      <c r="A831" s="8">
        <v>10523</v>
      </c>
      <c r="B831" s="8" t="s">
        <v>2344</v>
      </c>
      <c r="C831" s="7" t="s">
        <v>2343</v>
      </c>
      <c r="D831" s="6" t="s">
        <v>15</v>
      </c>
      <c r="E831" s="5" t="s">
        <v>157</v>
      </c>
      <c r="F831" s="4">
        <v>40535</v>
      </c>
      <c r="G831" s="4" t="s">
        <v>1</v>
      </c>
      <c r="H831" s="4" t="s">
        <v>1</v>
      </c>
      <c r="I831" s="3" t="s">
        <v>13</v>
      </c>
      <c r="J831" s="3" t="s">
        <v>12</v>
      </c>
      <c r="K831" s="3" t="s">
        <v>262</v>
      </c>
      <c r="L831" s="3" t="s">
        <v>261</v>
      </c>
      <c r="M831" s="3" t="s">
        <v>260</v>
      </c>
      <c r="N831" s="3" t="s">
        <v>2342</v>
      </c>
      <c r="O831" s="3" t="s">
        <v>258</v>
      </c>
      <c r="P831" s="3" t="s">
        <v>6</v>
      </c>
      <c r="Q831" s="3" t="s">
        <v>5</v>
      </c>
      <c r="R831" s="3" t="s">
        <v>4</v>
      </c>
      <c r="S831" s="3" t="s">
        <v>3</v>
      </c>
      <c r="T831" s="3" t="s">
        <v>2</v>
      </c>
      <c r="U831" s="3" t="s">
        <v>1</v>
      </c>
      <c r="V831" s="3" t="s">
        <v>0</v>
      </c>
      <c r="W831" s="2">
        <v>32</v>
      </c>
    </row>
    <row r="832" spans="1:24" s="78" customFormat="1" hidden="1" x14ac:dyDescent="0.25">
      <c r="A832" s="73">
        <v>12891</v>
      </c>
      <c r="B832" s="73" t="s">
        <v>2341</v>
      </c>
      <c r="C832" s="87" t="s">
        <v>2340</v>
      </c>
      <c r="D832" s="88" t="s">
        <v>15</v>
      </c>
      <c r="E832" s="89" t="s">
        <v>118</v>
      </c>
      <c r="F832" s="90">
        <v>40833</v>
      </c>
      <c r="G832" s="90" t="s">
        <v>1</v>
      </c>
      <c r="H832" s="90" t="s">
        <v>1</v>
      </c>
      <c r="I832" s="92" t="s">
        <v>13</v>
      </c>
      <c r="J832" s="92" t="s">
        <v>12</v>
      </c>
      <c r="K832" s="92" t="s">
        <v>132</v>
      </c>
      <c r="L832" s="92" t="s">
        <v>218</v>
      </c>
      <c r="M832" s="92" t="s">
        <v>1968</v>
      </c>
      <c r="N832" s="92" t="s">
        <v>2339</v>
      </c>
      <c r="O832" s="92" t="s">
        <v>7</v>
      </c>
      <c r="P832" s="92" t="s">
        <v>72</v>
      </c>
      <c r="Q832" s="92" t="s">
        <v>5</v>
      </c>
      <c r="R832" s="92" t="s">
        <v>4</v>
      </c>
      <c r="S832" s="92" t="s">
        <v>3</v>
      </c>
      <c r="T832" s="92" t="s">
        <v>2</v>
      </c>
      <c r="U832" s="92" t="s">
        <v>1</v>
      </c>
      <c r="V832" s="92" t="s">
        <v>0</v>
      </c>
      <c r="W832" s="93">
        <v>33</v>
      </c>
    </row>
    <row r="833" spans="1:24" hidden="1" x14ac:dyDescent="0.25">
      <c r="A833" s="8">
        <v>13049</v>
      </c>
      <c r="B833" s="8" t="s">
        <v>2338</v>
      </c>
      <c r="C833" s="7" t="s">
        <v>2337</v>
      </c>
      <c r="D833" s="6" t="s">
        <v>15</v>
      </c>
      <c r="E833" s="5" t="s">
        <v>1356</v>
      </c>
      <c r="F833" s="4">
        <v>40844</v>
      </c>
      <c r="G833" s="4" t="s">
        <v>1</v>
      </c>
      <c r="H833" s="4" t="s">
        <v>1</v>
      </c>
      <c r="I833" s="3" t="s">
        <v>13</v>
      </c>
      <c r="J833" s="3" t="s">
        <v>12</v>
      </c>
      <c r="K833" s="3" t="s">
        <v>132</v>
      </c>
      <c r="L833" s="3" t="s">
        <v>218</v>
      </c>
      <c r="M833" s="3" t="s">
        <v>1968</v>
      </c>
      <c r="N833" s="3" t="s">
        <v>22</v>
      </c>
      <c r="O833" s="3" t="s">
        <v>21</v>
      </c>
      <c r="P833" s="3" t="s">
        <v>72</v>
      </c>
      <c r="Q833" s="3" t="s">
        <v>20</v>
      </c>
      <c r="R833" s="3" t="s">
        <v>4</v>
      </c>
      <c r="S833" s="3" t="s">
        <v>3</v>
      </c>
      <c r="T833" s="3" t="s">
        <v>19</v>
      </c>
      <c r="U833" s="3" t="s">
        <v>1</v>
      </c>
      <c r="V833" s="3" t="s">
        <v>0</v>
      </c>
      <c r="W833" s="2">
        <v>31</v>
      </c>
    </row>
    <row r="834" spans="1:24" hidden="1" x14ac:dyDescent="0.25">
      <c r="A834" s="8">
        <v>19378</v>
      </c>
      <c r="B834" s="8" t="s">
        <v>2336</v>
      </c>
      <c r="C834" s="7" t="s">
        <v>2335</v>
      </c>
      <c r="D834" s="6" t="s">
        <v>15</v>
      </c>
      <c r="E834" s="5" t="s">
        <v>2334</v>
      </c>
      <c r="F834" s="4">
        <v>42289</v>
      </c>
      <c r="G834" s="4" t="s">
        <v>1</v>
      </c>
      <c r="H834" s="4" t="s">
        <v>1</v>
      </c>
      <c r="I834" s="3" t="s">
        <v>13</v>
      </c>
      <c r="J834" s="3" t="s">
        <v>12</v>
      </c>
      <c r="K834" s="3" t="s">
        <v>132</v>
      </c>
      <c r="L834" s="3" t="s">
        <v>218</v>
      </c>
      <c r="M834" s="3" t="s">
        <v>1968</v>
      </c>
      <c r="N834" s="3" t="s">
        <v>2333</v>
      </c>
      <c r="O834" s="3" t="s">
        <v>59</v>
      </c>
      <c r="P834" s="3" t="s">
        <v>72</v>
      </c>
      <c r="Q834" s="3" t="s">
        <v>5</v>
      </c>
      <c r="R834" s="3" t="s">
        <v>4</v>
      </c>
      <c r="S834" s="3" t="s">
        <v>3</v>
      </c>
      <c r="T834" s="3" t="s">
        <v>2</v>
      </c>
      <c r="U834" s="3" t="s">
        <v>1</v>
      </c>
      <c r="V834" s="3" t="s">
        <v>0</v>
      </c>
      <c r="W834" s="2">
        <v>28</v>
      </c>
    </row>
    <row r="835" spans="1:24" hidden="1" x14ac:dyDescent="0.25">
      <c r="A835" s="8">
        <v>10530</v>
      </c>
      <c r="B835" s="8" t="s">
        <v>2332</v>
      </c>
      <c r="C835" s="7" t="s">
        <v>2331</v>
      </c>
      <c r="D835" s="6" t="s">
        <v>15</v>
      </c>
      <c r="E835" s="5" t="s">
        <v>157</v>
      </c>
      <c r="F835" s="4">
        <v>40535</v>
      </c>
      <c r="G835" s="4" t="s">
        <v>1</v>
      </c>
      <c r="H835" s="4" t="s">
        <v>1</v>
      </c>
      <c r="I835" s="3" t="s">
        <v>13</v>
      </c>
      <c r="J835" s="3" t="s">
        <v>133</v>
      </c>
      <c r="K835" s="3" t="s">
        <v>283</v>
      </c>
      <c r="L835" s="3" t="s">
        <v>999</v>
      </c>
      <c r="M835" s="3" t="s">
        <v>998</v>
      </c>
      <c r="N835" s="3" t="s">
        <v>2330</v>
      </c>
      <c r="O835" s="3" t="s">
        <v>100</v>
      </c>
      <c r="P835" s="3" t="s">
        <v>6</v>
      </c>
      <c r="Q835" s="3" t="s">
        <v>20</v>
      </c>
      <c r="R835" s="3" t="s">
        <v>4</v>
      </c>
      <c r="S835" s="3" t="s">
        <v>3</v>
      </c>
      <c r="T835" s="3" t="s">
        <v>2</v>
      </c>
      <c r="U835" s="3" t="s">
        <v>1</v>
      </c>
      <c r="V835" s="3" t="s">
        <v>0</v>
      </c>
      <c r="W835" s="2">
        <v>33</v>
      </c>
    </row>
    <row r="836" spans="1:24" hidden="1" x14ac:dyDescent="0.25">
      <c r="A836" s="8">
        <v>10532</v>
      </c>
      <c r="B836" s="8" t="s">
        <v>2329</v>
      </c>
      <c r="C836" s="7" t="s">
        <v>2328</v>
      </c>
      <c r="D836" s="6" t="s">
        <v>15</v>
      </c>
      <c r="E836" s="5" t="s">
        <v>157</v>
      </c>
      <c r="F836" s="4">
        <v>40535</v>
      </c>
      <c r="G836" s="4" t="s">
        <v>1</v>
      </c>
      <c r="H836" s="4" t="s">
        <v>1</v>
      </c>
      <c r="I836" s="3" t="s">
        <v>13</v>
      </c>
      <c r="J836" s="3" t="s">
        <v>133</v>
      </c>
      <c r="K836" s="3" t="s">
        <v>212</v>
      </c>
      <c r="L836" s="3" t="s">
        <v>211</v>
      </c>
      <c r="M836" s="3" t="s">
        <v>210</v>
      </c>
      <c r="N836" s="3" t="s">
        <v>185</v>
      </c>
      <c r="O836" s="3" t="s">
        <v>184</v>
      </c>
      <c r="P836" s="3" t="s">
        <v>6</v>
      </c>
      <c r="Q836" s="3" t="s">
        <v>20</v>
      </c>
      <c r="R836" s="3" t="s">
        <v>4</v>
      </c>
      <c r="S836" s="3" t="s">
        <v>3</v>
      </c>
      <c r="T836" s="3" t="s">
        <v>2</v>
      </c>
      <c r="U836" s="3" t="s">
        <v>1</v>
      </c>
      <c r="V836" s="3" t="s">
        <v>0</v>
      </c>
      <c r="W836" s="2">
        <v>33</v>
      </c>
    </row>
    <row r="837" spans="1:24" hidden="1" x14ac:dyDescent="0.25">
      <c r="A837" s="8">
        <v>217</v>
      </c>
      <c r="B837" s="8" t="s">
        <v>2327</v>
      </c>
      <c r="C837" s="7" t="s">
        <v>2326</v>
      </c>
      <c r="D837" s="6" t="s">
        <v>15</v>
      </c>
      <c r="E837" s="5" t="s">
        <v>307</v>
      </c>
      <c r="F837" s="4">
        <v>37697</v>
      </c>
      <c r="G837" s="4" t="s">
        <v>1</v>
      </c>
      <c r="H837" s="4" t="s">
        <v>1</v>
      </c>
      <c r="I837" s="3" t="s">
        <v>13</v>
      </c>
      <c r="J837" s="3" t="s">
        <v>12</v>
      </c>
      <c r="K837" s="3" t="s">
        <v>132</v>
      </c>
      <c r="L837" s="3" t="s">
        <v>218</v>
      </c>
      <c r="M837" s="3" t="s">
        <v>575</v>
      </c>
      <c r="N837" s="3" t="s">
        <v>1362</v>
      </c>
      <c r="O837" s="3" t="s">
        <v>39</v>
      </c>
      <c r="P837" s="3" t="s">
        <v>72</v>
      </c>
      <c r="Q837" s="3" t="s">
        <v>20</v>
      </c>
      <c r="R837" s="3" t="s">
        <v>4</v>
      </c>
      <c r="S837" s="3" t="s">
        <v>3</v>
      </c>
      <c r="T837" s="3" t="s">
        <v>1361</v>
      </c>
      <c r="U837" s="3" t="s">
        <v>1</v>
      </c>
      <c r="V837" s="3" t="s">
        <v>0</v>
      </c>
      <c r="W837" s="2">
        <v>40</v>
      </c>
    </row>
    <row r="838" spans="1:24" s="78" customFormat="1" hidden="1" x14ac:dyDescent="0.25">
      <c r="A838" s="73">
        <v>8952</v>
      </c>
      <c r="B838" s="73" t="s">
        <v>2325</v>
      </c>
      <c r="C838" s="102" t="s">
        <v>2324</v>
      </c>
      <c r="D838" s="88" t="s">
        <v>15</v>
      </c>
      <c r="E838" s="91" t="s">
        <v>2323</v>
      </c>
      <c r="F838" s="90">
        <v>39968</v>
      </c>
      <c r="G838" s="90" t="s">
        <v>1</v>
      </c>
      <c r="H838" s="90" t="s">
        <v>1</v>
      </c>
      <c r="I838" s="92" t="s">
        <v>13</v>
      </c>
      <c r="J838" s="92" t="s">
        <v>12</v>
      </c>
      <c r="K838" s="92" t="s">
        <v>132</v>
      </c>
      <c r="L838" s="92" t="s">
        <v>218</v>
      </c>
      <c r="M838" s="92" t="s">
        <v>575</v>
      </c>
      <c r="N838" s="92" t="s">
        <v>2318</v>
      </c>
      <c r="O838" s="92" t="s">
        <v>59</v>
      </c>
      <c r="P838" s="92" t="s">
        <v>72</v>
      </c>
      <c r="Q838" s="92" t="s">
        <v>5</v>
      </c>
      <c r="R838" s="92" t="s">
        <v>4</v>
      </c>
      <c r="S838" s="92" t="s">
        <v>3</v>
      </c>
      <c r="T838" s="92" t="s">
        <v>2</v>
      </c>
      <c r="U838" s="92" t="s">
        <v>1</v>
      </c>
      <c r="V838" s="92" t="s">
        <v>0</v>
      </c>
      <c r="W838" s="93">
        <v>37</v>
      </c>
    </row>
    <row r="839" spans="1:24" s="78" customFormat="1" hidden="1" x14ac:dyDescent="0.25">
      <c r="A839" s="73">
        <v>10366</v>
      </c>
      <c r="B839" s="73" t="s">
        <v>2322</v>
      </c>
      <c r="C839" s="87" t="s">
        <v>2321</v>
      </c>
      <c r="D839" s="88" t="s">
        <v>15</v>
      </c>
      <c r="E839" s="89" t="s">
        <v>1644</v>
      </c>
      <c r="F839" s="90">
        <v>40513</v>
      </c>
      <c r="G839" s="90" t="s">
        <v>1</v>
      </c>
      <c r="H839" s="90" t="s">
        <v>1</v>
      </c>
      <c r="I839" s="92" t="s">
        <v>13</v>
      </c>
      <c r="J839" s="92" t="s">
        <v>12</v>
      </c>
      <c r="K839" s="92" t="s">
        <v>132</v>
      </c>
      <c r="L839" s="92" t="s">
        <v>218</v>
      </c>
      <c r="M839" s="92" t="s">
        <v>575</v>
      </c>
      <c r="N839" s="92" t="s">
        <v>22</v>
      </c>
      <c r="O839" s="92" t="s">
        <v>21</v>
      </c>
      <c r="P839" s="92" t="s">
        <v>72</v>
      </c>
      <c r="Q839" s="92" t="s">
        <v>20</v>
      </c>
      <c r="R839" s="92" t="s">
        <v>4</v>
      </c>
      <c r="S839" s="92" t="s">
        <v>3</v>
      </c>
      <c r="T839" s="92" t="s">
        <v>19</v>
      </c>
      <c r="U839" s="92" t="s">
        <v>1</v>
      </c>
      <c r="V839" s="92" t="s">
        <v>0</v>
      </c>
      <c r="W839" s="93">
        <v>34</v>
      </c>
    </row>
    <row r="840" spans="1:24" s="78" customFormat="1" hidden="1" x14ac:dyDescent="0.25">
      <c r="A840" s="73">
        <v>10526</v>
      </c>
      <c r="B840" s="73" t="s">
        <v>2320</v>
      </c>
      <c r="C840" s="87" t="s">
        <v>2319</v>
      </c>
      <c r="D840" s="88" t="s">
        <v>15</v>
      </c>
      <c r="E840" s="89" t="s">
        <v>157</v>
      </c>
      <c r="F840" s="90">
        <v>40535</v>
      </c>
      <c r="G840" s="90" t="s">
        <v>1</v>
      </c>
      <c r="H840" s="90" t="s">
        <v>1</v>
      </c>
      <c r="I840" s="92" t="s">
        <v>13</v>
      </c>
      <c r="J840" s="92" t="s">
        <v>12</v>
      </c>
      <c r="K840" s="92" t="s">
        <v>132</v>
      </c>
      <c r="L840" s="92" t="s">
        <v>218</v>
      </c>
      <c r="M840" s="92" t="s">
        <v>575</v>
      </c>
      <c r="N840" s="92" t="s">
        <v>2318</v>
      </c>
      <c r="O840" s="92" t="s">
        <v>59</v>
      </c>
      <c r="P840" s="92" t="s">
        <v>72</v>
      </c>
      <c r="Q840" s="92" t="s">
        <v>5</v>
      </c>
      <c r="R840" s="92" t="s">
        <v>4</v>
      </c>
      <c r="S840" s="92" t="s">
        <v>3</v>
      </c>
      <c r="T840" s="92" t="s">
        <v>2</v>
      </c>
      <c r="U840" s="92" t="s">
        <v>1</v>
      </c>
      <c r="V840" s="92" t="s">
        <v>0</v>
      </c>
      <c r="W840" s="93">
        <v>33</v>
      </c>
    </row>
    <row r="841" spans="1:24" s="9" customFormat="1" hidden="1" x14ac:dyDescent="0.25">
      <c r="A841" s="17">
        <v>10818</v>
      </c>
      <c r="B841" s="17" t="s">
        <v>2317</v>
      </c>
      <c r="C841" s="16" t="s">
        <v>2316</v>
      </c>
      <c r="D841" s="15" t="s">
        <v>15</v>
      </c>
      <c r="E841" s="14" t="s">
        <v>1319</v>
      </c>
      <c r="F841" s="13">
        <v>40572</v>
      </c>
      <c r="G841" s="13" t="s">
        <v>1</v>
      </c>
      <c r="H841" s="13" t="s">
        <v>1</v>
      </c>
      <c r="I841" s="12" t="s">
        <v>13</v>
      </c>
      <c r="J841" s="12" t="s">
        <v>12</v>
      </c>
      <c r="K841" s="12" t="s">
        <v>132</v>
      </c>
      <c r="L841" s="12" t="s">
        <v>218</v>
      </c>
      <c r="M841" s="12" t="s">
        <v>575</v>
      </c>
      <c r="N841" s="12" t="s">
        <v>2313</v>
      </c>
      <c r="O841" s="12" t="s">
        <v>7</v>
      </c>
      <c r="P841" s="12" t="s">
        <v>72</v>
      </c>
      <c r="Q841" s="12" t="s">
        <v>5</v>
      </c>
      <c r="R841" s="12" t="s">
        <v>4</v>
      </c>
      <c r="S841" s="12" t="s">
        <v>3</v>
      </c>
      <c r="T841" s="12" t="s">
        <v>2</v>
      </c>
      <c r="U841" s="12" t="s">
        <v>1</v>
      </c>
      <c r="V841" s="12" t="s">
        <v>0</v>
      </c>
      <c r="W841" s="11">
        <v>32</v>
      </c>
      <c r="X841" s="10"/>
    </row>
    <row r="842" spans="1:24" hidden="1" x14ac:dyDescent="0.25">
      <c r="A842" s="8">
        <v>11690</v>
      </c>
      <c r="B842" s="8" t="s">
        <v>2315</v>
      </c>
      <c r="C842" s="7" t="s">
        <v>2314</v>
      </c>
      <c r="D842" s="6" t="s">
        <v>15</v>
      </c>
      <c r="E842" s="5" t="s">
        <v>424</v>
      </c>
      <c r="F842" s="4">
        <v>40714</v>
      </c>
      <c r="G842" s="4" t="s">
        <v>1</v>
      </c>
      <c r="H842" s="4" t="s">
        <v>1</v>
      </c>
      <c r="I842" s="3" t="s">
        <v>13</v>
      </c>
      <c r="J842" s="3" t="s">
        <v>12</v>
      </c>
      <c r="K842" s="3" t="s">
        <v>132</v>
      </c>
      <c r="L842" s="3" t="s">
        <v>218</v>
      </c>
      <c r="M842" s="3" t="s">
        <v>575</v>
      </c>
      <c r="N842" s="3" t="s">
        <v>2313</v>
      </c>
      <c r="O842" s="3" t="s">
        <v>7</v>
      </c>
      <c r="P842" s="3" t="s">
        <v>72</v>
      </c>
      <c r="Q842" s="3" t="s">
        <v>5</v>
      </c>
      <c r="R842" s="3" t="s">
        <v>4</v>
      </c>
      <c r="S842" s="3" t="s">
        <v>3</v>
      </c>
      <c r="T842" s="3" t="s">
        <v>2</v>
      </c>
      <c r="U842" s="3" t="s">
        <v>1</v>
      </c>
      <c r="V842" s="3" t="s">
        <v>0</v>
      </c>
      <c r="W842" s="2">
        <v>31</v>
      </c>
    </row>
    <row r="843" spans="1:24" hidden="1" x14ac:dyDescent="0.25">
      <c r="A843" s="8">
        <v>1266</v>
      </c>
      <c r="B843" s="8" t="s">
        <v>2312</v>
      </c>
      <c r="C843" s="7" t="s">
        <v>2311</v>
      </c>
      <c r="D843" s="6" t="s">
        <v>15</v>
      </c>
      <c r="E843" s="5" t="s">
        <v>1581</v>
      </c>
      <c r="F843" s="4">
        <v>37921</v>
      </c>
      <c r="G843" s="4" t="s">
        <v>1</v>
      </c>
      <c r="H843" s="4" t="s">
        <v>1</v>
      </c>
      <c r="I843" s="3" t="s">
        <v>13</v>
      </c>
      <c r="J843" s="3" t="s">
        <v>12</v>
      </c>
      <c r="K843" s="3" t="s">
        <v>482</v>
      </c>
      <c r="L843" s="3" t="s">
        <v>481</v>
      </c>
      <c r="M843" s="3" t="s">
        <v>2291</v>
      </c>
      <c r="N843" s="3" t="s">
        <v>716</v>
      </c>
      <c r="O843" s="3" t="s">
        <v>59</v>
      </c>
      <c r="P843" s="3" t="s">
        <v>72</v>
      </c>
      <c r="Q843" s="3" t="s">
        <v>5</v>
      </c>
      <c r="R843" s="3" t="s">
        <v>4</v>
      </c>
      <c r="S843" s="3" t="s">
        <v>3</v>
      </c>
      <c r="T843" s="3" t="s">
        <v>2</v>
      </c>
      <c r="U843" s="3" t="s">
        <v>1</v>
      </c>
      <c r="V843" s="3" t="s">
        <v>0</v>
      </c>
      <c r="W843" s="2">
        <v>42</v>
      </c>
    </row>
    <row r="844" spans="1:24" hidden="1" x14ac:dyDescent="0.25">
      <c r="A844" s="8">
        <v>10562</v>
      </c>
      <c r="B844" s="8" t="s">
        <v>2310</v>
      </c>
      <c r="C844" s="7" t="s">
        <v>2309</v>
      </c>
      <c r="D844" s="6" t="s">
        <v>15</v>
      </c>
      <c r="E844" s="5" t="s">
        <v>1512</v>
      </c>
      <c r="F844" s="4">
        <v>40542</v>
      </c>
      <c r="G844" s="4" t="s">
        <v>1</v>
      </c>
      <c r="H844" s="4" t="s">
        <v>1</v>
      </c>
      <c r="I844" s="3" t="s">
        <v>13</v>
      </c>
      <c r="J844" s="3" t="s">
        <v>12</v>
      </c>
      <c r="K844" s="3" t="s">
        <v>11</v>
      </c>
      <c r="L844" s="3" t="s">
        <v>10</v>
      </c>
      <c r="M844" s="3" t="s">
        <v>9</v>
      </c>
      <c r="N844" s="3" t="s">
        <v>2308</v>
      </c>
      <c r="O844" s="3" t="s">
        <v>7</v>
      </c>
      <c r="P844" s="3" t="s">
        <v>6</v>
      </c>
      <c r="Q844" s="3" t="s">
        <v>5</v>
      </c>
      <c r="R844" s="3" t="s">
        <v>4</v>
      </c>
      <c r="S844" s="3" t="s">
        <v>3</v>
      </c>
      <c r="T844" s="3" t="s">
        <v>2</v>
      </c>
      <c r="U844" s="3" t="s">
        <v>1</v>
      </c>
      <c r="V844" s="3" t="s">
        <v>0</v>
      </c>
      <c r="W844" s="2">
        <v>32</v>
      </c>
    </row>
    <row r="845" spans="1:24" hidden="1" x14ac:dyDescent="0.25">
      <c r="A845" s="8">
        <v>1267</v>
      </c>
      <c r="B845" s="8" t="s">
        <v>2307</v>
      </c>
      <c r="C845" s="7" t="s">
        <v>2306</v>
      </c>
      <c r="D845" s="6" t="s">
        <v>15</v>
      </c>
      <c r="E845" s="5" t="s">
        <v>1581</v>
      </c>
      <c r="F845" s="4">
        <v>37921</v>
      </c>
      <c r="G845" s="4" t="s">
        <v>1</v>
      </c>
      <c r="H845" s="4" t="s">
        <v>1</v>
      </c>
      <c r="I845" s="3" t="s">
        <v>13</v>
      </c>
      <c r="J845" s="3" t="s">
        <v>12</v>
      </c>
      <c r="K845" s="3" t="s">
        <v>482</v>
      </c>
      <c r="L845" s="3" t="s">
        <v>481</v>
      </c>
      <c r="M845" s="3" t="s">
        <v>2291</v>
      </c>
      <c r="N845" s="3" t="s">
        <v>2255</v>
      </c>
      <c r="O845" s="3" t="s">
        <v>7</v>
      </c>
      <c r="P845" s="3" t="s">
        <v>72</v>
      </c>
      <c r="Q845" s="3" t="s">
        <v>5</v>
      </c>
      <c r="R845" s="3" t="s">
        <v>4</v>
      </c>
      <c r="S845" s="3" t="s">
        <v>3</v>
      </c>
      <c r="T845" s="3" t="s">
        <v>2</v>
      </c>
      <c r="U845" s="3" t="s">
        <v>1</v>
      </c>
      <c r="V845" s="3" t="s">
        <v>0</v>
      </c>
      <c r="W845" s="2">
        <v>41</v>
      </c>
    </row>
    <row r="846" spans="1:24" hidden="1" x14ac:dyDescent="0.25">
      <c r="A846" s="8">
        <v>10564</v>
      </c>
      <c r="B846" s="8" t="s">
        <v>2305</v>
      </c>
      <c r="C846" s="7" t="s">
        <v>2304</v>
      </c>
      <c r="D846" s="6" t="s">
        <v>15</v>
      </c>
      <c r="E846" s="5" t="s">
        <v>1512</v>
      </c>
      <c r="F846" s="4">
        <v>40542</v>
      </c>
      <c r="G846" s="4" t="s">
        <v>1</v>
      </c>
      <c r="H846" s="4" t="s">
        <v>1</v>
      </c>
      <c r="I846" s="3" t="s">
        <v>13</v>
      </c>
      <c r="J846" s="3" t="s">
        <v>12</v>
      </c>
      <c r="K846" s="3" t="s">
        <v>539</v>
      </c>
      <c r="L846" s="3" t="s">
        <v>1568</v>
      </c>
      <c r="M846" s="3" t="s">
        <v>1567</v>
      </c>
      <c r="N846" s="3" t="s">
        <v>22</v>
      </c>
      <c r="O846" s="3" t="s">
        <v>21</v>
      </c>
      <c r="P846" s="3" t="s">
        <v>6</v>
      </c>
      <c r="Q846" s="3" t="s">
        <v>20</v>
      </c>
      <c r="R846" s="3" t="s">
        <v>4</v>
      </c>
      <c r="S846" s="3" t="s">
        <v>3</v>
      </c>
      <c r="T846" s="3" t="s">
        <v>19</v>
      </c>
      <c r="U846" s="3" t="s">
        <v>1</v>
      </c>
      <c r="V846" s="3" t="s">
        <v>0</v>
      </c>
      <c r="W846" s="2">
        <v>33</v>
      </c>
    </row>
    <row r="847" spans="1:24" hidden="1" x14ac:dyDescent="0.25">
      <c r="A847" s="8">
        <v>9629</v>
      </c>
      <c r="B847" s="8" t="s">
        <v>2303</v>
      </c>
      <c r="C847" s="7" t="s">
        <v>2302</v>
      </c>
      <c r="D847" s="6" t="s">
        <v>15</v>
      </c>
      <c r="E847" s="5" t="s">
        <v>178</v>
      </c>
      <c r="F847" s="4">
        <v>40179</v>
      </c>
      <c r="G847" s="4" t="s">
        <v>1</v>
      </c>
      <c r="H847" s="4" t="s">
        <v>1</v>
      </c>
      <c r="I847" s="3" t="s">
        <v>13</v>
      </c>
      <c r="J847" s="3" t="s">
        <v>12</v>
      </c>
      <c r="K847" s="3" t="s">
        <v>482</v>
      </c>
      <c r="L847" s="3" t="s">
        <v>481</v>
      </c>
      <c r="M847" s="3" t="s">
        <v>2291</v>
      </c>
      <c r="N847" s="3" t="s">
        <v>1078</v>
      </c>
      <c r="O847" s="3" t="s">
        <v>29</v>
      </c>
      <c r="P847" s="3" t="s">
        <v>72</v>
      </c>
      <c r="Q847" s="3" t="s">
        <v>20</v>
      </c>
      <c r="R847" s="3" t="s">
        <v>4</v>
      </c>
      <c r="S847" s="3" t="s">
        <v>3</v>
      </c>
      <c r="T847" s="3" t="s">
        <v>1077</v>
      </c>
      <c r="U847" s="3" t="s">
        <v>1</v>
      </c>
      <c r="V847" s="3" t="s">
        <v>0</v>
      </c>
      <c r="W847" s="2">
        <v>33</v>
      </c>
    </row>
    <row r="848" spans="1:24" s="9" customFormat="1" hidden="1" x14ac:dyDescent="0.25">
      <c r="A848" s="17">
        <v>10481</v>
      </c>
      <c r="B848" s="17" t="s">
        <v>2301</v>
      </c>
      <c r="C848" s="16" t="s">
        <v>2300</v>
      </c>
      <c r="D848" s="15" t="s">
        <v>15</v>
      </c>
      <c r="E848" s="14" t="s">
        <v>165</v>
      </c>
      <c r="F848" s="13">
        <v>40524</v>
      </c>
      <c r="G848" s="13" t="s">
        <v>1</v>
      </c>
      <c r="H848" s="13" t="s">
        <v>1</v>
      </c>
      <c r="I848" s="12" t="s">
        <v>13</v>
      </c>
      <c r="J848" s="12" t="s">
        <v>12</v>
      </c>
      <c r="K848" s="12" t="s">
        <v>482</v>
      </c>
      <c r="L848" s="12" t="s">
        <v>481</v>
      </c>
      <c r="M848" s="12" t="s">
        <v>2291</v>
      </c>
      <c r="N848" s="12" t="s">
        <v>564</v>
      </c>
      <c r="O848" s="12" t="s">
        <v>258</v>
      </c>
      <c r="P848" s="12" t="s">
        <v>72</v>
      </c>
      <c r="Q848" s="12" t="s">
        <v>5</v>
      </c>
      <c r="R848" s="12" t="s">
        <v>4</v>
      </c>
      <c r="S848" s="12" t="s">
        <v>3</v>
      </c>
      <c r="T848" s="12" t="s">
        <v>2</v>
      </c>
      <c r="U848" s="12" t="s">
        <v>1</v>
      </c>
      <c r="V848" s="12" t="s">
        <v>0</v>
      </c>
      <c r="W848" s="11">
        <v>37</v>
      </c>
      <c r="X848" s="10"/>
    </row>
    <row r="849" spans="1:24" hidden="1" x14ac:dyDescent="0.25">
      <c r="A849" s="8">
        <v>10578</v>
      </c>
      <c r="B849" s="8" t="s">
        <v>2299</v>
      </c>
      <c r="C849" s="7" t="s">
        <v>2298</v>
      </c>
      <c r="D849" s="6" t="s">
        <v>15</v>
      </c>
      <c r="E849" s="5" t="s">
        <v>445</v>
      </c>
      <c r="F849" s="4">
        <v>40544</v>
      </c>
      <c r="G849" s="4" t="s">
        <v>1</v>
      </c>
      <c r="H849" s="4" t="s">
        <v>1</v>
      </c>
      <c r="I849" s="3" t="s">
        <v>13</v>
      </c>
      <c r="J849" s="3" t="s">
        <v>12</v>
      </c>
      <c r="K849" s="3" t="s">
        <v>758</v>
      </c>
      <c r="L849" s="3" t="s">
        <v>757</v>
      </c>
      <c r="M849" s="3" t="s">
        <v>756</v>
      </c>
      <c r="N849" s="3" t="s">
        <v>1078</v>
      </c>
      <c r="O849" s="3" t="s">
        <v>29</v>
      </c>
      <c r="P849" s="3" t="s">
        <v>6</v>
      </c>
      <c r="Q849" s="3" t="s">
        <v>20</v>
      </c>
      <c r="R849" s="3" t="s">
        <v>4</v>
      </c>
      <c r="S849" s="3" t="s">
        <v>3</v>
      </c>
      <c r="T849" s="3" t="s">
        <v>1077</v>
      </c>
      <c r="U849" s="3" t="s">
        <v>1</v>
      </c>
      <c r="V849" s="3" t="s">
        <v>0</v>
      </c>
      <c r="W849" s="2">
        <v>36</v>
      </c>
    </row>
    <row r="850" spans="1:24" hidden="1" x14ac:dyDescent="0.25">
      <c r="A850" s="8">
        <v>12795</v>
      </c>
      <c r="B850" s="8" t="s">
        <v>2297</v>
      </c>
      <c r="C850" s="7" t="s">
        <v>2296</v>
      </c>
      <c r="D850" s="6" t="s">
        <v>15</v>
      </c>
      <c r="E850" s="5" t="s">
        <v>149</v>
      </c>
      <c r="F850" s="4">
        <v>40819</v>
      </c>
      <c r="G850" s="4" t="s">
        <v>1</v>
      </c>
      <c r="H850" s="4" t="s">
        <v>1</v>
      </c>
      <c r="I850" s="3" t="s">
        <v>13</v>
      </c>
      <c r="J850" s="3" t="s">
        <v>12</v>
      </c>
      <c r="K850" s="3" t="s">
        <v>482</v>
      </c>
      <c r="L850" s="3" t="s">
        <v>481</v>
      </c>
      <c r="M850" s="3" t="s">
        <v>2291</v>
      </c>
      <c r="N850" s="3" t="s">
        <v>2295</v>
      </c>
      <c r="O850" s="3" t="s">
        <v>59</v>
      </c>
      <c r="P850" s="3" t="s">
        <v>72</v>
      </c>
      <c r="Q850" s="3" t="s">
        <v>5</v>
      </c>
      <c r="R850" s="3" t="s">
        <v>4</v>
      </c>
      <c r="S850" s="3" t="s">
        <v>3</v>
      </c>
      <c r="T850" s="3" t="s">
        <v>2</v>
      </c>
      <c r="U850" s="3" t="s">
        <v>1</v>
      </c>
      <c r="V850" s="3" t="s">
        <v>0</v>
      </c>
      <c r="W850" s="2">
        <v>35</v>
      </c>
    </row>
    <row r="851" spans="1:24" hidden="1" x14ac:dyDescent="0.25">
      <c r="A851" s="8" t="s">
        <v>2294</v>
      </c>
      <c r="B851" s="8" t="s">
        <v>2294</v>
      </c>
      <c r="C851" s="7" t="s">
        <v>2293</v>
      </c>
      <c r="D851" s="6" t="s">
        <v>15</v>
      </c>
      <c r="E851" s="5" t="s">
        <v>2292</v>
      </c>
      <c r="F851" s="4">
        <v>41710</v>
      </c>
      <c r="G851" s="4" t="s">
        <v>1</v>
      </c>
      <c r="H851" s="4" t="s">
        <v>1</v>
      </c>
      <c r="I851" s="3" t="s">
        <v>13</v>
      </c>
      <c r="J851" s="3" t="s">
        <v>12</v>
      </c>
      <c r="K851" s="3" t="s">
        <v>482</v>
      </c>
      <c r="L851" s="3" t="s">
        <v>481</v>
      </c>
      <c r="M851" s="3" t="s">
        <v>2291</v>
      </c>
      <c r="N851" s="3" t="s">
        <v>22</v>
      </c>
      <c r="O851" s="3" t="s">
        <v>21</v>
      </c>
      <c r="P851" s="3" t="s">
        <v>72</v>
      </c>
      <c r="Q851" s="3" t="s">
        <v>20</v>
      </c>
      <c r="R851" s="3" t="s">
        <v>4</v>
      </c>
      <c r="S851" s="3" t="s">
        <v>3</v>
      </c>
      <c r="T851" s="3" t="s">
        <v>19</v>
      </c>
      <c r="U851" s="3" t="s">
        <v>1</v>
      </c>
      <c r="V851" s="3" t="s">
        <v>18</v>
      </c>
      <c r="W851" s="2">
        <v>29</v>
      </c>
    </row>
    <row r="852" spans="1:24" hidden="1" x14ac:dyDescent="0.25">
      <c r="A852" s="8">
        <v>163</v>
      </c>
      <c r="B852" s="8" t="s">
        <v>2290</v>
      </c>
      <c r="C852" s="19" t="s">
        <v>2289</v>
      </c>
      <c r="D852" s="6" t="s">
        <v>15</v>
      </c>
      <c r="E852" s="18" t="s">
        <v>803</v>
      </c>
      <c r="F852" s="4">
        <v>37679</v>
      </c>
      <c r="G852" s="4" t="s">
        <v>1</v>
      </c>
      <c r="H852" s="4" t="s">
        <v>1</v>
      </c>
      <c r="I852" s="3" t="s">
        <v>13</v>
      </c>
      <c r="J852" s="3" t="s">
        <v>12</v>
      </c>
      <c r="K852" s="3" t="s">
        <v>63</v>
      </c>
      <c r="L852" s="3" t="s">
        <v>460</v>
      </c>
      <c r="M852" s="3" t="s">
        <v>459</v>
      </c>
      <c r="N852" s="3" t="s">
        <v>1078</v>
      </c>
      <c r="O852" s="3" t="s">
        <v>29</v>
      </c>
      <c r="P852" s="3" t="s">
        <v>72</v>
      </c>
      <c r="Q852" s="3" t="s">
        <v>20</v>
      </c>
      <c r="R852" s="3" t="s">
        <v>4</v>
      </c>
      <c r="S852" s="3" t="s">
        <v>3</v>
      </c>
      <c r="T852" s="3" t="s">
        <v>1077</v>
      </c>
      <c r="U852" s="3" t="s">
        <v>1</v>
      </c>
      <c r="V852" s="3" t="s">
        <v>0</v>
      </c>
      <c r="W852" s="2">
        <v>40</v>
      </c>
    </row>
    <row r="853" spans="1:24" s="9" customFormat="1" hidden="1" x14ac:dyDescent="0.25">
      <c r="A853" s="17">
        <v>3732</v>
      </c>
      <c r="B853" s="17" t="s">
        <v>2288</v>
      </c>
      <c r="C853" s="16" t="s">
        <v>2287</v>
      </c>
      <c r="D853" s="15" t="s">
        <v>15</v>
      </c>
      <c r="E853" s="14" t="s">
        <v>1044</v>
      </c>
      <c r="F853" s="13">
        <v>38626</v>
      </c>
      <c r="G853" s="13" t="s">
        <v>1</v>
      </c>
      <c r="H853" s="13" t="s">
        <v>1</v>
      </c>
      <c r="I853" s="12" t="s">
        <v>13</v>
      </c>
      <c r="J853" s="12" t="s">
        <v>12</v>
      </c>
      <c r="K853" s="12" t="s">
        <v>63</v>
      </c>
      <c r="L853" s="12" t="s">
        <v>460</v>
      </c>
      <c r="M853" s="12" t="s">
        <v>459</v>
      </c>
      <c r="N853" s="12" t="s">
        <v>1362</v>
      </c>
      <c r="O853" s="12" t="s">
        <v>39</v>
      </c>
      <c r="P853" s="12" t="s">
        <v>72</v>
      </c>
      <c r="Q853" s="12" t="s">
        <v>20</v>
      </c>
      <c r="R853" s="12" t="s">
        <v>4</v>
      </c>
      <c r="S853" s="12" t="s">
        <v>3</v>
      </c>
      <c r="T853" s="12" t="s">
        <v>1361</v>
      </c>
      <c r="U853" s="12" t="s">
        <v>1</v>
      </c>
      <c r="V853" s="12" t="s">
        <v>0</v>
      </c>
      <c r="W853" s="11">
        <v>42</v>
      </c>
      <c r="X853" s="10"/>
    </row>
    <row r="854" spans="1:24" hidden="1" x14ac:dyDescent="0.25">
      <c r="A854" s="8">
        <v>10587</v>
      </c>
      <c r="B854" s="8" t="s">
        <v>2286</v>
      </c>
      <c r="C854" s="35" t="s">
        <v>2285</v>
      </c>
      <c r="D854" s="6" t="s">
        <v>15</v>
      </c>
      <c r="E854" s="8" t="s">
        <v>445</v>
      </c>
      <c r="F854" s="4">
        <v>40544</v>
      </c>
      <c r="G854" s="4" t="s">
        <v>1</v>
      </c>
      <c r="H854" s="4" t="s">
        <v>1</v>
      </c>
      <c r="I854" s="3" t="s">
        <v>13</v>
      </c>
      <c r="J854" s="3" t="s">
        <v>12</v>
      </c>
      <c r="K854" s="3" t="s">
        <v>25</v>
      </c>
      <c r="L854" s="3" t="s">
        <v>24</v>
      </c>
      <c r="M854" s="3" t="s">
        <v>23</v>
      </c>
      <c r="N854" s="3" t="s">
        <v>1078</v>
      </c>
      <c r="O854" s="3" t="s">
        <v>29</v>
      </c>
      <c r="P854" s="3" t="s">
        <v>6</v>
      </c>
      <c r="Q854" s="3" t="s">
        <v>20</v>
      </c>
      <c r="R854" s="3" t="s">
        <v>4</v>
      </c>
      <c r="S854" s="3" t="s">
        <v>3</v>
      </c>
      <c r="T854" s="3" t="s">
        <v>1077</v>
      </c>
      <c r="U854" s="3" t="s">
        <v>1</v>
      </c>
      <c r="V854" s="3" t="s">
        <v>0</v>
      </c>
      <c r="W854" s="2">
        <v>35</v>
      </c>
    </row>
    <row r="855" spans="1:24" hidden="1" x14ac:dyDescent="0.25">
      <c r="A855" s="8">
        <v>10593</v>
      </c>
      <c r="B855" s="8" t="s">
        <v>2284</v>
      </c>
      <c r="C855" s="7" t="s">
        <v>2283</v>
      </c>
      <c r="D855" s="6" t="s">
        <v>15</v>
      </c>
      <c r="E855" s="5" t="s">
        <v>445</v>
      </c>
      <c r="F855" s="4">
        <v>40544</v>
      </c>
      <c r="G855" s="4" t="s">
        <v>1</v>
      </c>
      <c r="H855" s="4" t="s">
        <v>1</v>
      </c>
      <c r="I855" s="3" t="s">
        <v>13</v>
      </c>
      <c r="J855" s="3" t="s">
        <v>133</v>
      </c>
      <c r="K855" s="3" t="s">
        <v>283</v>
      </c>
      <c r="L855" s="3" t="s">
        <v>999</v>
      </c>
      <c r="M855" s="3" t="s">
        <v>998</v>
      </c>
      <c r="N855" s="3" t="s">
        <v>1078</v>
      </c>
      <c r="O855" s="3" t="s">
        <v>29</v>
      </c>
      <c r="P855" s="3" t="s">
        <v>6</v>
      </c>
      <c r="Q855" s="3" t="s">
        <v>20</v>
      </c>
      <c r="R855" s="3" t="s">
        <v>4</v>
      </c>
      <c r="S855" s="3" t="s">
        <v>3</v>
      </c>
      <c r="T855" s="3" t="s">
        <v>1077</v>
      </c>
      <c r="U855" s="3" t="s">
        <v>1</v>
      </c>
      <c r="V855" s="3" t="s">
        <v>0</v>
      </c>
      <c r="W855" s="2">
        <v>34</v>
      </c>
    </row>
    <row r="856" spans="1:24" hidden="1" x14ac:dyDescent="0.25">
      <c r="A856" s="8">
        <v>10600</v>
      </c>
      <c r="B856" s="8" t="s">
        <v>2282</v>
      </c>
      <c r="C856" s="28" t="s">
        <v>2281</v>
      </c>
      <c r="D856" s="6" t="s">
        <v>15</v>
      </c>
      <c r="E856" s="5" t="s">
        <v>445</v>
      </c>
      <c r="F856" s="4">
        <v>40544</v>
      </c>
      <c r="G856" s="4" t="s">
        <v>1</v>
      </c>
      <c r="H856" s="4" t="s">
        <v>1</v>
      </c>
      <c r="I856" s="5" t="s">
        <v>365</v>
      </c>
      <c r="J856" s="5" t="s">
        <v>813</v>
      </c>
      <c r="K856" s="5" t="s">
        <v>33</v>
      </c>
      <c r="L856" s="5" t="s">
        <v>33</v>
      </c>
      <c r="M856" s="5" t="s">
        <v>812</v>
      </c>
      <c r="N856" s="5" t="s">
        <v>811</v>
      </c>
      <c r="O856" s="5" t="s">
        <v>812</v>
      </c>
      <c r="P856" s="5" t="s">
        <v>30</v>
      </c>
      <c r="Q856" s="5" t="s">
        <v>121</v>
      </c>
      <c r="R856" s="3" t="s">
        <v>4</v>
      </c>
      <c r="S856" s="3" t="s">
        <v>3</v>
      </c>
      <c r="T856" s="3" t="s">
        <v>29</v>
      </c>
      <c r="U856" s="3" t="s">
        <v>1</v>
      </c>
      <c r="V856" s="3" t="s">
        <v>0</v>
      </c>
      <c r="W856" s="2">
        <v>34</v>
      </c>
    </row>
    <row r="857" spans="1:24" hidden="1" x14ac:dyDescent="0.25">
      <c r="A857" s="8">
        <v>10601</v>
      </c>
      <c r="B857" s="8" t="s">
        <v>2280</v>
      </c>
      <c r="C857" s="7" t="s">
        <v>2279</v>
      </c>
      <c r="D857" s="6" t="s">
        <v>15</v>
      </c>
      <c r="E857" s="5" t="s">
        <v>445</v>
      </c>
      <c r="F857" s="4">
        <v>40544</v>
      </c>
      <c r="G857" s="4" t="s">
        <v>1</v>
      </c>
      <c r="H857" s="4" t="s">
        <v>1</v>
      </c>
      <c r="I857" s="3" t="s">
        <v>13</v>
      </c>
      <c r="J857" s="3" t="s">
        <v>12</v>
      </c>
      <c r="K857" s="3" t="s">
        <v>758</v>
      </c>
      <c r="L857" s="3" t="s">
        <v>757</v>
      </c>
      <c r="M857" s="3" t="s">
        <v>756</v>
      </c>
      <c r="N857" s="3" t="s">
        <v>22</v>
      </c>
      <c r="O857" s="3" t="s">
        <v>21</v>
      </c>
      <c r="P857" s="3" t="s">
        <v>6</v>
      </c>
      <c r="Q857" s="3" t="s">
        <v>20</v>
      </c>
      <c r="R857" s="3" t="s">
        <v>4</v>
      </c>
      <c r="S857" s="3" t="s">
        <v>3</v>
      </c>
      <c r="T857" s="3" t="s">
        <v>19</v>
      </c>
      <c r="U857" s="3" t="s">
        <v>1</v>
      </c>
      <c r="V857" s="3" t="s">
        <v>0</v>
      </c>
      <c r="W857" s="2">
        <v>34</v>
      </c>
    </row>
    <row r="858" spans="1:24" hidden="1" x14ac:dyDescent="0.25">
      <c r="A858" s="8">
        <v>10602</v>
      </c>
      <c r="B858" s="8" t="s">
        <v>2278</v>
      </c>
      <c r="C858" s="7" t="s">
        <v>2277</v>
      </c>
      <c r="D858" s="6" t="s">
        <v>15</v>
      </c>
      <c r="E858" s="5" t="s">
        <v>445</v>
      </c>
      <c r="F858" s="4">
        <v>40544</v>
      </c>
      <c r="G858" s="4" t="s">
        <v>1</v>
      </c>
      <c r="H858" s="4" t="s">
        <v>1</v>
      </c>
      <c r="I858" s="3" t="s">
        <v>145</v>
      </c>
      <c r="J858" s="3" t="s">
        <v>12</v>
      </c>
      <c r="K858" s="3" t="s">
        <v>11</v>
      </c>
      <c r="L858" s="3" t="s">
        <v>10</v>
      </c>
      <c r="M858" s="3" t="s">
        <v>9</v>
      </c>
      <c r="N858" s="3" t="s">
        <v>269</v>
      </c>
      <c r="O858" s="3" t="s">
        <v>29</v>
      </c>
      <c r="P858" s="3" t="s">
        <v>72</v>
      </c>
      <c r="Q858" s="3" t="s">
        <v>20</v>
      </c>
      <c r="R858" s="3" t="s">
        <v>4</v>
      </c>
      <c r="S858" s="3" t="s">
        <v>3</v>
      </c>
      <c r="T858" s="3" t="s">
        <v>29</v>
      </c>
      <c r="U858" s="3" t="s">
        <v>1</v>
      </c>
      <c r="V858" s="3" t="s">
        <v>0</v>
      </c>
      <c r="W858" s="2">
        <v>34</v>
      </c>
    </row>
    <row r="859" spans="1:24" s="78" customFormat="1" hidden="1" x14ac:dyDescent="0.25">
      <c r="A859" s="73">
        <v>11733</v>
      </c>
      <c r="B859" s="73" t="s">
        <v>2276</v>
      </c>
      <c r="C859" s="87" t="s">
        <v>2275</v>
      </c>
      <c r="D859" s="88" t="s">
        <v>15</v>
      </c>
      <c r="E859" s="89" t="s">
        <v>424</v>
      </c>
      <c r="F859" s="90">
        <v>40714</v>
      </c>
      <c r="G859" s="90" t="s">
        <v>1</v>
      </c>
      <c r="H859" s="90" t="s">
        <v>1</v>
      </c>
      <c r="I859" s="92" t="s">
        <v>13</v>
      </c>
      <c r="J859" s="92" t="s">
        <v>12</v>
      </c>
      <c r="K859" s="92" t="s">
        <v>63</v>
      </c>
      <c r="L859" s="92" t="s">
        <v>460</v>
      </c>
      <c r="M859" s="92" t="s">
        <v>459</v>
      </c>
      <c r="N859" s="92" t="s">
        <v>2274</v>
      </c>
      <c r="O859" s="92" t="s">
        <v>453</v>
      </c>
      <c r="P859" s="92" t="s">
        <v>72</v>
      </c>
      <c r="Q859" s="92" t="s">
        <v>5</v>
      </c>
      <c r="R859" s="92" t="s">
        <v>4</v>
      </c>
      <c r="S859" s="92" t="s">
        <v>3</v>
      </c>
      <c r="T859" s="92" t="s">
        <v>2</v>
      </c>
      <c r="U859" s="92" t="s">
        <v>1</v>
      </c>
      <c r="V859" s="92" t="s">
        <v>0</v>
      </c>
      <c r="W859" s="93">
        <v>31</v>
      </c>
    </row>
    <row r="860" spans="1:24" s="78" customFormat="1" hidden="1" x14ac:dyDescent="0.25">
      <c r="A860" s="73">
        <v>20963</v>
      </c>
      <c r="B860" s="73" t="s">
        <v>2273</v>
      </c>
      <c r="C860" s="87" t="s">
        <v>2272</v>
      </c>
      <c r="D860" s="88" t="s">
        <v>15</v>
      </c>
      <c r="E860" s="89" t="s">
        <v>2271</v>
      </c>
      <c r="F860" s="90">
        <v>42667</v>
      </c>
      <c r="G860" s="90" t="s">
        <v>1</v>
      </c>
      <c r="H860" s="90" t="s">
        <v>1</v>
      </c>
      <c r="I860" s="92" t="s">
        <v>13</v>
      </c>
      <c r="J860" s="92" t="s">
        <v>12</v>
      </c>
      <c r="K860" s="92" t="s">
        <v>63</v>
      </c>
      <c r="L860" s="92" t="s">
        <v>460</v>
      </c>
      <c r="M860" s="92" t="s">
        <v>459</v>
      </c>
      <c r="N860" s="92" t="s">
        <v>22</v>
      </c>
      <c r="O860" s="92" t="s">
        <v>21</v>
      </c>
      <c r="P860" s="92" t="s">
        <v>72</v>
      </c>
      <c r="Q860" s="92" t="s">
        <v>20</v>
      </c>
      <c r="R860" s="92" t="s">
        <v>4</v>
      </c>
      <c r="S860" s="92" t="s">
        <v>3</v>
      </c>
      <c r="T860" s="92" t="s">
        <v>19</v>
      </c>
      <c r="U860" s="92" t="s">
        <v>1</v>
      </c>
      <c r="V860" s="92" t="s">
        <v>18</v>
      </c>
      <c r="W860" s="93">
        <v>25</v>
      </c>
    </row>
    <row r="861" spans="1:24" hidden="1" x14ac:dyDescent="0.25">
      <c r="A861" s="8">
        <v>10608</v>
      </c>
      <c r="B861" s="8" t="s">
        <v>2270</v>
      </c>
      <c r="C861" s="28" t="s">
        <v>2269</v>
      </c>
      <c r="D861" s="6" t="s">
        <v>15</v>
      </c>
      <c r="E861" s="5" t="s">
        <v>445</v>
      </c>
      <c r="F861" s="4">
        <v>40544</v>
      </c>
      <c r="G861" s="4" t="s">
        <v>1</v>
      </c>
      <c r="H861" s="4" t="s">
        <v>1</v>
      </c>
      <c r="I861" s="5" t="s">
        <v>365</v>
      </c>
      <c r="J861" s="5" t="s">
        <v>918</v>
      </c>
      <c r="K861" s="5" t="s">
        <v>33</v>
      </c>
      <c r="L861" s="5" t="s">
        <v>33</v>
      </c>
      <c r="M861" s="5" t="s">
        <v>918</v>
      </c>
      <c r="N861" s="3" t="s">
        <v>348</v>
      </c>
      <c r="O861" s="3" t="s">
        <v>347</v>
      </c>
      <c r="P861" s="5" t="s">
        <v>30</v>
      </c>
      <c r="Q861" s="5" t="s">
        <v>121</v>
      </c>
      <c r="R861" s="3" t="s">
        <v>4</v>
      </c>
      <c r="S861" s="3" t="s">
        <v>3</v>
      </c>
      <c r="T861" s="3" t="s">
        <v>38</v>
      </c>
      <c r="U861" s="3" t="s">
        <v>1</v>
      </c>
      <c r="V861" s="3" t="s">
        <v>0</v>
      </c>
      <c r="W861" s="2">
        <v>35</v>
      </c>
    </row>
    <row r="862" spans="1:24" s="9" customFormat="1" hidden="1" x14ac:dyDescent="0.25">
      <c r="A862" s="17">
        <v>21845</v>
      </c>
      <c r="B862" s="17" t="s">
        <v>2268</v>
      </c>
      <c r="C862" s="24" t="s">
        <v>2267</v>
      </c>
      <c r="D862" s="15" t="s">
        <v>15</v>
      </c>
      <c r="E862" s="22" t="s">
        <v>2266</v>
      </c>
      <c r="F862" s="13">
        <v>43098</v>
      </c>
      <c r="G862" s="13" t="s">
        <v>1</v>
      </c>
      <c r="H862" s="13" t="s">
        <v>1</v>
      </c>
      <c r="I862" s="12" t="s">
        <v>13</v>
      </c>
      <c r="J862" s="12" t="s">
        <v>12</v>
      </c>
      <c r="K862" s="12" t="s">
        <v>63</v>
      </c>
      <c r="L862" s="12" t="s">
        <v>460</v>
      </c>
      <c r="M862" s="12" t="s">
        <v>459</v>
      </c>
      <c r="N862" s="12" t="s">
        <v>606</v>
      </c>
      <c r="O862" s="12" t="s">
        <v>59</v>
      </c>
      <c r="P862" s="12" t="s">
        <v>72</v>
      </c>
      <c r="Q862" s="12" t="s">
        <v>5</v>
      </c>
      <c r="R862" s="12" t="s">
        <v>4</v>
      </c>
      <c r="S862" s="12" t="s">
        <v>3</v>
      </c>
      <c r="T862" s="12" t="s">
        <v>2</v>
      </c>
      <c r="U862" s="12" t="s">
        <v>1</v>
      </c>
      <c r="V862" s="12" t="s">
        <v>0</v>
      </c>
      <c r="W862" s="11">
        <v>25</v>
      </c>
    </row>
    <row r="863" spans="1:24" s="9" customFormat="1" hidden="1" x14ac:dyDescent="0.25">
      <c r="A863" s="58">
        <v>25041</v>
      </c>
      <c r="B863" s="17" t="s">
        <v>2265</v>
      </c>
      <c r="C863" s="24" t="s">
        <v>2264</v>
      </c>
      <c r="D863" s="15" t="s">
        <v>15</v>
      </c>
      <c r="E863" s="22" t="s">
        <v>2263</v>
      </c>
      <c r="F863" s="13">
        <v>43817</v>
      </c>
      <c r="G863" s="13" t="s">
        <v>1</v>
      </c>
      <c r="H863" s="13" t="s">
        <v>1</v>
      </c>
      <c r="I863" s="12" t="s">
        <v>13</v>
      </c>
      <c r="J863" s="12" t="s">
        <v>12</v>
      </c>
      <c r="K863" s="12" t="s">
        <v>63</v>
      </c>
      <c r="L863" s="12" t="s">
        <v>460</v>
      </c>
      <c r="M863" s="12" t="s">
        <v>459</v>
      </c>
      <c r="N863" s="12" t="s">
        <v>2262</v>
      </c>
      <c r="O863" s="12" t="s">
        <v>453</v>
      </c>
      <c r="P863" s="12" t="s">
        <v>72</v>
      </c>
      <c r="Q863" s="12" t="s">
        <v>5</v>
      </c>
      <c r="R863" s="12" t="s">
        <v>4</v>
      </c>
      <c r="S863" s="12" t="s">
        <v>3</v>
      </c>
      <c r="T863" s="12" t="s">
        <v>2</v>
      </c>
      <c r="U863" s="12" t="s">
        <v>1</v>
      </c>
      <c r="V863" s="14" t="s">
        <v>0</v>
      </c>
      <c r="W863" s="11">
        <v>26</v>
      </c>
    </row>
    <row r="864" spans="1:24" hidden="1" x14ac:dyDescent="0.25">
      <c r="A864" s="8">
        <v>10619</v>
      </c>
      <c r="B864" s="8" t="s">
        <v>2261</v>
      </c>
      <c r="C864" s="7" t="s">
        <v>2260</v>
      </c>
      <c r="D864" s="6" t="s">
        <v>15</v>
      </c>
      <c r="E864" s="5" t="s">
        <v>442</v>
      </c>
      <c r="F864" s="4">
        <v>40549</v>
      </c>
      <c r="G864" s="4" t="s">
        <v>1</v>
      </c>
      <c r="H864" s="4" t="s">
        <v>1</v>
      </c>
      <c r="I864" s="3" t="s">
        <v>145</v>
      </c>
      <c r="J864" s="3" t="s">
        <v>12</v>
      </c>
      <c r="K864" s="3" t="s">
        <v>758</v>
      </c>
      <c r="L864" s="3" t="s">
        <v>757</v>
      </c>
      <c r="M864" s="3" t="s">
        <v>756</v>
      </c>
      <c r="N864" s="3" t="s">
        <v>1196</v>
      </c>
      <c r="O864" s="3" t="s">
        <v>21</v>
      </c>
      <c r="P864" s="3" t="s">
        <v>72</v>
      </c>
      <c r="Q864" s="3" t="s">
        <v>20</v>
      </c>
      <c r="R864" s="3" t="s">
        <v>4</v>
      </c>
      <c r="S864" s="3" t="s">
        <v>3</v>
      </c>
      <c r="T864" s="3" t="s">
        <v>19</v>
      </c>
      <c r="U864" s="3" t="s">
        <v>1</v>
      </c>
      <c r="V864" s="3" t="s">
        <v>0</v>
      </c>
      <c r="W864" s="2">
        <v>32</v>
      </c>
    </row>
    <row r="865" spans="1:24" hidden="1" x14ac:dyDescent="0.25">
      <c r="A865" s="8">
        <v>10624</v>
      </c>
      <c r="B865" s="8" t="s">
        <v>2259</v>
      </c>
      <c r="C865" s="19" t="s">
        <v>2258</v>
      </c>
      <c r="D865" s="6" t="s">
        <v>15</v>
      </c>
      <c r="E865" s="18" t="s">
        <v>442</v>
      </c>
      <c r="F865" s="4">
        <v>40549</v>
      </c>
      <c r="G865" s="4" t="s">
        <v>1</v>
      </c>
      <c r="H865" s="4" t="s">
        <v>1</v>
      </c>
      <c r="I865" s="3" t="s">
        <v>145</v>
      </c>
      <c r="J865" s="3" t="s">
        <v>34</v>
      </c>
      <c r="K865" s="3" t="s">
        <v>33</v>
      </c>
      <c r="L865" s="3" t="s">
        <v>33</v>
      </c>
      <c r="M865" s="3" t="s">
        <v>1094</v>
      </c>
      <c r="N865" s="3" t="s">
        <v>1503</v>
      </c>
      <c r="O865" s="3" t="s">
        <v>1094</v>
      </c>
      <c r="P865" s="3" t="s">
        <v>30</v>
      </c>
      <c r="Q865" s="3" t="s">
        <v>47</v>
      </c>
      <c r="R865" s="3" t="s">
        <v>4</v>
      </c>
      <c r="S865" s="3" t="s">
        <v>3</v>
      </c>
      <c r="T865" s="3" t="s">
        <v>2</v>
      </c>
      <c r="U865" s="3" t="s">
        <v>1</v>
      </c>
      <c r="V865" s="3" t="s">
        <v>0</v>
      </c>
      <c r="W865" s="2">
        <v>31</v>
      </c>
    </row>
    <row r="866" spans="1:24" hidden="1" x14ac:dyDescent="0.25">
      <c r="A866" s="8">
        <v>10629</v>
      </c>
      <c r="B866" s="8" t="s">
        <v>2257</v>
      </c>
      <c r="C866" s="7" t="s">
        <v>2256</v>
      </c>
      <c r="D866" s="6" t="s">
        <v>15</v>
      </c>
      <c r="E866" s="5" t="s">
        <v>442</v>
      </c>
      <c r="F866" s="4">
        <v>40549</v>
      </c>
      <c r="G866" s="4" t="s">
        <v>1</v>
      </c>
      <c r="H866" s="4" t="s">
        <v>1</v>
      </c>
      <c r="I866" s="3" t="s">
        <v>13</v>
      </c>
      <c r="J866" s="3" t="s">
        <v>12</v>
      </c>
      <c r="K866" s="3" t="s">
        <v>482</v>
      </c>
      <c r="L866" s="3" t="s">
        <v>481</v>
      </c>
      <c r="M866" s="3" t="s">
        <v>480</v>
      </c>
      <c r="N866" s="3" t="s">
        <v>2255</v>
      </c>
      <c r="O866" s="3" t="s">
        <v>7</v>
      </c>
      <c r="P866" s="3" t="s">
        <v>6</v>
      </c>
      <c r="Q866" s="3" t="s">
        <v>5</v>
      </c>
      <c r="R866" s="3" t="s">
        <v>4</v>
      </c>
      <c r="S866" s="3" t="s">
        <v>3</v>
      </c>
      <c r="T866" s="3" t="s">
        <v>2</v>
      </c>
      <c r="U866" s="3" t="s">
        <v>1</v>
      </c>
      <c r="V866" s="3" t="s">
        <v>0</v>
      </c>
      <c r="W866" s="2">
        <v>32</v>
      </c>
    </row>
    <row r="867" spans="1:24" hidden="1" x14ac:dyDescent="0.25">
      <c r="A867" s="8">
        <v>10632</v>
      </c>
      <c r="B867" s="8" t="s">
        <v>2254</v>
      </c>
      <c r="C867" s="7" t="s">
        <v>2253</v>
      </c>
      <c r="D867" s="6" t="s">
        <v>15</v>
      </c>
      <c r="E867" s="5" t="s">
        <v>442</v>
      </c>
      <c r="F867" s="4">
        <v>40549</v>
      </c>
      <c r="G867" s="4" t="s">
        <v>1</v>
      </c>
      <c r="H867" s="4" t="s">
        <v>1</v>
      </c>
      <c r="I867" s="3" t="s">
        <v>13</v>
      </c>
      <c r="J867" s="3" t="s">
        <v>12</v>
      </c>
      <c r="K867" s="3" t="s">
        <v>63</v>
      </c>
      <c r="L867" s="3" t="s">
        <v>138</v>
      </c>
      <c r="M867" s="3" t="s">
        <v>137</v>
      </c>
      <c r="N867" s="3" t="s">
        <v>22</v>
      </c>
      <c r="O867" s="3" t="s">
        <v>21</v>
      </c>
      <c r="P867" s="3" t="s">
        <v>6</v>
      </c>
      <c r="Q867" s="3" t="s">
        <v>20</v>
      </c>
      <c r="R867" s="3" t="s">
        <v>4</v>
      </c>
      <c r="S867" s="3" t="s">
        <v>3</v>
      </c>
      <c r="T867" s="3" t="s">
        <v>19</v>
      </c>
      <c r="U867" s="3" t="s">
        <v>1</v>
      </c>
      <c r="V867" s="3" t="s">
        <v>18</v>
      </c>
      <c r="W867" s="2">
        <v>34</v>
      </c>
    </row>
    <row r="868" spans="1:24" hidden="1" x14ac:dyDescent="0.25">
      <c r="A868" s="8">
        <v>324</v>
      </c>
      <c r="B868" s="8" t="s">
        <v>2252</v>
      </c>
      <c r="C868" s="7" t="s">
        <v>2251</v>
      </c>
      <c r="D868" s="6" t="s">
        <v>15</v>
      </c>
      <c r="E868" s="5" t="s">
        <v>301</v>
      </c>
      <c r="F868" s="4">
        <v>37725</v>
      </c>
      <c r="G868" s="4" t="s">
        <v>1</v>
      </c>
      <c r="H868" s="4" t="s">
        <v>1</v>
      </c>
      <c r="I868" s="3" t="s">
        <v>13</v>
      </c>
      <c r="J868" s="3" t="s">
        <v>12</v>
      </c>
      <c r="K868" s="3" t="s">
        <v>63</v>
      </c>
      <c r="L868" s="3" t="s">
        <v>62</v>
      </c>
      <c r="M868" s="3" t="s">
        <v>61</v>
      </c>
      <c r="N868" s="3" t="s">
        <v>1362</v>
      </c>
      <c r="O868" s="3" t="s">
        <v>39</v>
      </c>
      <c r="P868" s="3" t="s">
        <v>72</v>
      </c>
      <c r="Q868" s="3" t="s">
        <v>20</v>
      </c>
      <c r="R868" s="3" t="s">
        <v>4</v>
      </c>
      <c r="S868" s="3" t="s">
        <v>3</v>
      </c>
      <c r="T868" s="3" t="s">
        <v>1361</v>
      </c>
      <c r="U868" s="3" t="s">
        <v>1</v>
      </c>
      <c r="V868" s="3" t="s">
        <v>0</v>
      </c>
      <c r="W868" s="2">
        <v>42</v>
      </c>
    </row>
    <row r="869" spans="1:24" hidden="1" x14ac:dyDescent="0.25">
      <c r="A869" s="8">
        <v>10637</v>
      </c>
      <c r="B869" s="8" t="s">
        <v>2250</v>
      </c>
      <c r="C869" s="7" t="s">
        <v>2249</v>
      </c>
      <c r="D869" s="6" t="s">
        <v>15</v>
      </c>
      <c r="E869" s="5" t="s">
        <v>442</v>
      </c>
      <c r="F869" s="4">
        <v>40549</v>
      </c>
      <c r="G869" s="4" t="s">
        <v>1</v>
      </c>
      <c r="H869" s="4" t="s">
        <v>1</v>
      </c>
      <c r="I869" s="3" t="s">
        <v>13</v>
      </c>
      <c r="J869" s="3" t="s">
        <v>12</v>
      </c>
      <c r="K869" s="3" t="s">
        <v>132</v>
      </c>
      <c r="L869" s="3" t="s">
        <v>218</v>
      </c>
      <c r="M869" s="3" t="s">
        <v>1968</v>
      </c>
      <c r="N869" s="3" t="s">
        <v>2248</v>
      </c>
      <c r="O869" s="3" t="s">
        <v>59</v>
      </c>
      <c r="P869" s="3" t="s">
        <v>6</v>
      </c>
      <c r="Q869" s="3" t="s">
        <v>5</v>
      </c>
      <c r="R869" s="3" t="s">
        <v>4</v>
      </c>
      <c r="S869" s="3" t="s">
        <v>3</v>
      </c>
      <c r="T869" s="3" t="s">
        <v>2</v>
      </c>
      <c r="U869" s="3" t="s">
        <v>1</v>
      </c>
      <c r="V869" s="3" t="s">
        <v>0</v>
      </c>
      <c r="W869" s="2">
        <v>32</v>
      </c>
    </row>
    <row r="870" spans="1:24" s="78" customFormat="1" hidden="1" x14ac:dyDescent="0.25">
      <c r="A870" s="73">
        <v>8695</v>
      </c>
      <c r="B870" s="73" t="s">
        <v>2247</v>
      </c>
      <c r="C870" s="87" t="s">
        <v>2246</v>
      </c>
      <c r="D870" s="88" t="s">
        <v>15</v>
      </c>
      <c r="E870" s="89" t="s">
        <v>1338</v>
      </c>
      <c r="F870" s="90">
        <v>39888</v>
      </c>
      <c r="G870" s="90" t="s">
        <v>1</v>
      </c>
      <c r="H870" s="90" t="s">
        <v>1</v>
      </c>
      <c r="I870" s="92" t="s">
        <v>13</v>
      </c>
      <c r="J870" s="92" t="s">
        <v>12</v>
      </c>
      <c r="K870" s="92" t="s">
        <v>63</v>
      </c>
      <c r="L870" s="92" t="s">
        <v>62</v>
      </c>
      <c r="M870" s="92" t="s">
        <v>61</v>
      </c>
      <c r="N870" s="92" t="s">
        <v>1078</v>
      </c>
      <c r="O870" s="92" t="s">
        <v>29</v>
      </c>
      <c r="P870" s="92" t="s">
        <v>72</v>
      </c>
      <c r="Q870" s="92" t="s">
        <v>20</v>
      </c>
      <c r="R870" s="92" t="s">
        <v>4</v>
      </c>
      <c r="S870" s="92" t="s">
        <v>3</v>
      </c>
      <c r="T870" s="92" t="s">
        <v>1077</v>
      </c>
      <c r="U870" s="92" t="s">
        <v>1</v>
      </c>
      <c r="V870" s="92" t="s">
        <v>0</v>
      </c>
      <c r="W870" s="93">
        <v>35</v>
      </c>
    </row>
    <row r="871" spans="1:24" hidden="1" x14ac:dyDescent="0.25">
      <c r="A871" s="8">
        <v>10642</v>
      </c>
      <c r="B871" s="8" t="s">
        <v>2245</v>
      </c>
      <c r="C871" s="7" t="s">
        <v>2244</v>
      </c>
      <c r="D871" s="6" t="s">
        <v>15</v>
      </c>
      <c r="E871" s="5" t="s">
        <v>442</v>
      </c>
      <c r="F871" s="4">
        <v>40549</v>
      </c>
      <c r="G871" s="4" t="s">
        <v>1</v>
      </c>
      <c r="H871" s="4" t="s">
        <v>1</v>
      </c>
      <c r="I871" s="3" t="s">
        <v>13</v>
      </c>
      <c r="J871" s="3" t="s">
        <v>12</v>
      </c>
      <c r="K871" s="3" t="s">
        <v>262</v>
      </c>
      <c r="L871" s="3" t="s">
        <v>261</v>
      </c>
      <c r="M871" s="3" t="s">
        <v>329</v>
      </c>
      <c r="N871" s="3" t="s">
        <v>1192</v>
      </c>
      <c r="O871" s="3" t="s">
        <v>59</v>
      </c>
      <c r="P871" s="3" t="s">
        <v>6</v>
      </c>
      <c r="Q871" s="3" t="s">
        <v>5</v>
      </c>
      <c r="R871" s="3" t="s">
        <v>4</v>
      </c>
      <c r="S871" s="3" t="s">
        <v>3</v>
      </c>
      <c r="T871" s="3" t="s">
        <v>2</v>
      </c>
      <c r="U871" s="3" t="s">
        <v>1</v>
      </c>
      <c r="V871" s="3" t="s">
        <v>0</v>
      </c>
      <c r="W871" s="2">
        <v>37</v>
      </c>
    </row>
    <row r="872" spans="1:24" hidden="1" x14ac:dyDescent="0.25">
      <c r="A872" s="8">
        <v>10646</v>
      </c>
      <c r="B872" s="8" t="s">
        <v>2243</v>
      </c>
      <c r="C872" s="7" t="s">
        <v>2242</v>
      </c>
      <c r="D872" s="6" t="s">
        <v>15</v>
      </c>
      <c r="E872" s="5" t="s">
        <v>2237</v>
      </c>
      <c r="F872" s="4">
        <v>40553</v>
      </c>
      <c r="G872" s="4" t="s">
        <v>1</v>
      </c>
      <c r="H872" s="4" t="s">
        <v>1</v>
      </c>
      <c r="I872" s="3" t="s">
        <v>13</v>
      </c>
      <c r="J872" s="3" t="s">
        <v>12</v>
      </c>
      <c r="K872" s="3" t="s">
        <v>132</v>
      </c>
      <c r="L872" s="3" t="s">
        <v>218</v>
      </c>
      <c r="M872" s="3" t="s">
        <v>575</v>
      </c>
      <c r="N872" s="3" t="s">
        <v>1362</v>
      </c>
      <c r="O872" s="3" t="s">
        <v>39</v>
      </c>
      <c r="P872" s="3" t="s">
        <v>6</v>
      </c>
      <c r="Q872" s="3" t="s">
        <v>20</v>
      </c>
      <c r="R872" s="3" t="s">
        <v>4</v>
      </c>
      <c r="S872" s="3" t="s">
        <v>3</v>
      </c>
      <c r="T872" s="3" t="s">
        <v>1361</v>
      </c>
      <c r="U872" s="3" t="s">
        <v>1</v>
      </c>
      <c r="V872" s="3" t="s">
        <v>18</v>
      </c>
      <c r="W872" s="2">
        <v>33</v>
      </c>
    </row>
    <row r="873" spans="1:24" hidden="1" x14ac:dyDescent="0.25">
      <c r="A873" s="8">
        <v>10679</v>
      </c>
      <c r="B873" s="8" t="s">
        <v>2241</v>
      </c>
      <c r="C873" s="7" t="s">
        <v>2240</v>
      </c>
      <c r="D873" s="6" t="s">
        <v>15</v>
      </c>
      <c r="E873" s="5" t="s">
        <v>2237</v>
      </c>
      <c r="F873" s="4">
        <v>40553</v>
      </c>
      <c r="G873" s="4" t="s">
        <v>1</v>
      </c>
      <c r="H873" s="4" t="s">
        <v>1</v>
      </c>
      <c r="I873" s="3" t="s">
        <v>13</v>
      </c>
      <c r="J873" s="3" t="s">
        <v>12</v>
      </c>
      <c r="K873" s="3" t="s">
        <v>187</v>
      </c>
      <c r="L873" s="3" t="s">
        <v>229</v>
      </c>
      <c r="M873" s="3" t="s">
        <v>228</v>
      </c>
      <c r="N873" s="3" t="s">
        <v>870</v>
      </c>
      <c r="O873" s="3" t="s">
        <v>21</v>
      </c>
      <c r="P873" s="3" t="s">
        <v>6</v>
      </c>
      <c r="Q873" s="3" t="s">
        <v>20</v>
      </c>
      <c r="R873" s="3" t="s">
        <v>4</v>
      </c>
      <c r="S873" s="3" t="s">
        <v>3</v>
      </c>
      <c r="T873" s="3" t="s">
        <v>2</v>
      </c>
      <c r="U873" s="3" t="s">
        <v>1</v>
      </c>
      <c r="V873" s="3" t="s">
        <v>0</v>
      </c>
      <c r="W873" s="2">
        <v>33</v>
      </c>
    </row>
    <row r="874" spans="1:24" hidden="1" x14ac:dyDescent="0.25">
      <c r="A874" s="8">
        <v>10688</v>
      </c>
      <c r="B874" s="8" t="s">
        <v>2239</v>
      </c>
      <c r="C874" s="35" t="s">
        <v>2238</v>
      </c>
      <c r="D874" s="6" t="s">
        <v>15</v>
      </c>
      <c r="E874" s="8" t="s">
        <v>2237</v>
      </c>
      <c r="F874" s="4">
        <v>40553</v>
      </c>
      <c r="G874" s="4" t="s">
        <v>1</v>
      </c>
      <c r="H874" s="4" t="s">
        <v>1</v>
      </c>
      <c r="I874" s="5" t="s">
        <v>50</v>
      </c>
      <c r="J874" s="5" t="s">
        <v>49</v>
      </c>
      <c r="K874" s="5" t="s">
        <v>33</v>
      </c>
      <c r="L874" s="5" t="s">
        <v>33</v>
      </c>
      <c r="M874" s="5" t="s">
        <v>49</v>
      </c>
      <c r="N874" s="5" t="s">
        <v>1665</v>
      </c>
      <c r="O874" s="5" t="s">
        <v>48</v>
      </c>
      <c r="P874" s="5" t="s">
        <v>30</v>
      </c>
      <c r="Q874" s="5" t="s">
        <v>47</v>
      </c>
      <c r="R874" s="3" t="s">
        <v>4</v>
      </c>
      <c r="S874" s="3" t="s">
        <v>3</v>
      </c>
      <c r="T874" s="3" t="s">
        <v>2</v>
      </c>
      <c r="U874" s="3" t="s">
        <v>1</v>
      </c>
      <c r="V874" s="3" t="s">
        <v>18</v>
      </c>
      <c r="W874" s="2">
        <v>35</v>
      </c>
      <c r="X874" s="20"/>
    </row>
    <row r="875" spans="1:24" hidden="1" x14ac:dyDescent="0.25">
      <c r="A875" s="8">
        <v>10698</v>
      </c>
      <c r="B875" s="8" t="s">
        <v>2236</v>
      </c>
      <c r="C875" s="19" t="s">
        <v>2235</v>
      </c>
      <c r="D875" s="6" t="s">
        <v>15</v>
      </c>
      <c r="E875" s="18" t="s">
        <v>2234</v>
      </c>
      <c r="F875" s="4">
        <v>40560</v>
      </c>
      <c r="G875" s="4" t="s">
        <v>1</v>
      </c>
      <c r="H875" s="4" t="s">
        <v>1</v>
      </c>
      <c r="I875" s="3" t="s">
        <v>13</v>
      </c>
      <c r="J875" s="3" t="s">
        <v>133</v>
      </c>
      <c r="K875" s="3" t="s">
        <v>262</v>
      </c>
      <c r="L875" s="3" t="s">
        <v>262</v>
      </c>
      <c r="M875" s="3" t="s">
        <v>277</v>
      </c>
      <c r="N875" s="3" t="s">
        <v>198</v>
      </c>
      <c r="O875" s="3" t="s">
        <v>184</v>
      </c>
      <c r="P875" s="3" t="s">
        <v>6</v>
      </c>
      <c r="Q875" s="3" t="s">
        <v>20</v>
      </c>
      <c r="R875" s="3" t="s">
        <v>4</v>
      </c>
      <c r="S875" s="3" t="s">
        <v>3</v>
      </c>
      <c r="T875" s="3" t="s">
        <v>2</v>
      </c>
      <c r="U875" s="3" t="s">
        <v>1</v>
      </c>
      <c r="V875" s="3" t="s">
        <v>0</v>
      </c>
      <c r="W875" s="2">
        <v>32</v>
      </c>
    </row>
    <row r="876" spans="1:24" hidden="1" x14ac:dyDescent="0.25">
      <c r="A876" s="8">
        <v>10746</v>
      </c>
      <c r="B876" s="8" t="s">
        <v>2233</v>
      </c>
      <c r="C876" s="7" t="s">
        <v>2232</v>
      </c>
      <c r="D876" s="6" t="s">
        <v>15</v>
      </c>
      <c r="E876" s="5" t="s">
        <v>2231</v>
      </c>
      <c r="F876" s="4">
        <v>40566</v>
      </c>
      <c r="G876" s="4" t="s">
        <v>1</v>
      </c>
      <c r="H876" s="4" t="s">
        <v>1</v>
      </c>
      <c r="I876" s="3" t="s">
        <v>145</v>
      </c>
      <c r="J876" s="3" t="s">
        <v>12</v>
      </c>
      <c r="K876" s="3" t="s">
        <v>63</v>
      </c>
      <c r="L876" s="3" t="s">
        <v>773</v>
      </c>
      <c r="M876" s="3" t="s">
        <v>565</v>
      </c>
      <c r="N876" s="3" t="s">
        <v>772</v>
      </c>
      <c r="O876" s="3" t="s">
        <v>771</v>
      </c>
      <c r="P876" s="3" t="s">
        <v>72</v>
      </c>
      <c r="Q876" s="3" t="s">
        <v>20</v>
      </c>
      <c r="R876" s="3" t="s">
        <v>4</v>
      </c>
      <c r="S876" s="3" t="s">
        <v>3</v>
      </c>
      <c r="T876" s="3" t="s">
        <v>2</v>
      </c>
      <c r="U876" s="3" t="s">
        <v>1</v>
      </c>
      <c r="V876" s="3" t="s">
        <v>0</v>
      </c>
      <c r="W876" s="2">
        <v>31</v>
      </c>
    </row>
    <row r="877" spans="1:24" s="78" customFormat="1" hidden="1" x14ac:dyDescent="0.25">
      <c r="A877" s="73">
        <v>10497</v>
      </c>
      <c r="B877" s="73" t="s">
        <v>2230</v>
      </c>
      <c r="C877" s="102" t="s">
        <v>2229</v>
      </c>
      <c r="D877" s="88" t="s">
        <v>15</v>
      </c>
      <c r="E877" s="91" t="s">
        <v>157</v>
      </c>
      <c r="F877" s="90">
        <v>40535</v>
      </c>
      <c r="G877" s="90" t="s">
        <v>1</v>
      </c>
      <c r="H877" s="90" t="s">
        <v>1</v>
      </c>
      <c r="I877" s="92" t="s">
        <v>13</v>
      </c>
      <c r="J877" s="92" t="s">
        <v>12</v>
      </c>
      <c r="K877" s="92" t="s">
        <v>63</v>
      </c>
      <c r="L877" s="92" t="s">
        <v>62</v>
      </c>
      <c r="M877" s="92" t="s">
        <v>61</v>
      </c>
      <c r="N877" s="92" t="s">
        <v>2228</v>
      </c>
      <c r="O877" s="92" t="s">
        <v>258</v>
      </c>
      <c r="P877" s="92" t="s">
        <v>72</v>
      </c>
      <c r="Q877" s="92" t="s">
        <v>5</v>
      </c>
      <c r="R877" s="92" t="s">
        <v>4</v>
      </c>
      <c r="S877" s="92" t="s">
        <v>3</v>
      </c>
      <c r="T877" s="92" t="s">
        <v>2</v>
      </c>
      <c r="U877" s="92" t="s">
        <v>1</v>
      </c>
      <c r="V877" s="92" t="s">
        <v>0</v>
      </c>
      <c r="W877" s="93">
        <v>33</v>
      </c>
    </row>
    <row r="878" spans="1:24" s="9" customFormat="1" hidden="1" x14ac:dyDescent="0.25">
      <c r="A878" s="17">
        <v>10575</v>
      </c>
      <c r="B878" s="17" t="s">
        <v>2227</v>
      </c>
      <c r="C878" s="16" t="s">
        <v>2226</v>
      </c>
      <c r="D878" s="15" t="s">
        <v>15</v>
      </c>
      <c r="E878" s="14" t="s">
        <v>1512</v>
      </c>
      <c r="F878" s="13">
        <v>40542</v>
      </c>
      <c r="G878" s="13" t="s">
        <v>1</v>
      </c>
      <c r="H878" s="13" t="s">
        <v>1</v>
      </c>
      <c r="I878" s="12" t="s">
        <v>13</v>
      </c>
      <c r="J878" s="12" t="s">
        <v>12</v>
      </c>
      <c r="K878" s="12" t="s">
        <v>63</v>
      </c>
      <c r="L878" s="12" t="s">
        <v>62</v>
      </c>
      <c r="M878" s="12" t="s">
        <v>61</v>
      </c>
      <c r="N878" s="12" t="s">
        <v>2225</v>
      </c>
      <c r="O878" s="12" t="s">
        <v>100</v>
      </c>
      <c r="P878" s="12" t="s">
        <v>72</v>
      </c>
      <c r="Q878" s="12" t="s">
        <v>20</v>
      </c>
      <c r="R878" s="12" t="s">
        <v>4</v>
      </c>
      <c r="S878" s="12" t="s">
        <v>3</v>
      </c>
      <c r="T878" s="12" t="s">
        <v>2</v>
      </c>
      <c r="U878" s="12" t="s">
        <v>1</v>
      </c>
      <c r="V878" s="12" t="s">
        <v>0</v>
      </c>
      <c r="W878" s="11">
        <v>32</v>
      </c>
      <c r="X878" s="10"/>
    </row>
    <row r="879" spans="1:24" s="78" customFormat="1" hidden="1" x14ac:dyDescent="0.25">
      <c r="A879" s="73">
        <v>11267</v>
      </c>
      <c r="B879" s="73" t="s">
        <v>2224</v>
      </c>
      <c r="C879" s="102" t="s">
        <v>2223</v>
      </c>
      <c r="D879" s="88" t="s">
        <v>15</v>
      </c>
      <c r="E879" s="91" t="s">
        <v>2052</v>
      </c>
      <c r="F879" s="90">
        <v>40617</v>
      </c>
      <c r="G879" s="90" t="s">
        <v>1</v>
      </c>
      <c r="H879" s="90" t="s">
        <v>1</v>
      </c>
      <c r="I879" s="92" t="s">
        <v>13</v>
      </c>
      <c r="J879" s="92" t="s">
        <v>12</v>
      </c>
      <c r="K879" s="92" t="s">
        <v>63</v>
      </c>
      <c r="L879" s="92" t="s">
        <v>62</v>
      </c>
      <c r="M879" s="92" t="s">
        <v>61</v>
      </c>
      <c r="N879" s="92" t="s">
        <v>454</v>
      </c>
      <c r="O879" s="92" t="s">
        <v>453</v>
      </c>
      <c r="P879" s="92" t="s">
        <v>72</v>
      </c>
      <c r="Q879" s="92" t="s">
        <v>5</v>
      </c>
      <c r="R879" s="92" t="s">
        <v>4</v>
      </c>
      <c r="S879" s="92" t="s">
        <v>3</v>
      </c>
      <c r="T879" s="92" t="s">
        <v>2</v>
      </c>
      <c r="U879" s="92" t="s">
        <v>1</v>
      </c>
      <c r="V879" s="92" t="s">
        <v>0</v>
      </c>
      <c r="W879" s="93">
        <v>34</v>
      </c>
    </row>
    <row r="880" spans="1:24" hidden="1" x14ac:dyDescent="0.25">
      <c r="A880" s="8">
        <v>10767</v>
      </c>
      <c r="B880" s="8" t="s">
        <v>2222</v>
      </c>
      <c r="C880" s="19" t="s">
        <v>2221</v>
      </c>
      <c r="D880" s="6" t="s">
        <v>15</v>
      </c>
      <c r="E880" s="18" t="s">
        <v>1437</v>
      </c>
      <c r="F880" s="4">
        <v>40567</v>
      </c>
      <c r="G880" s="4" t="s">
        <v>1</v>
      </c>
      <c r="H880" s="4" t="s">
        <v>1</v>
      </c>
      <c r="I880" s="3" t="s">
        <v>13</v>
      </c>
      <c r="J880" s="3" t="s">
        <v>12</v>
      </c>
      <c r="K880" s="3" t="s">
        <v>283</v>
      </c>
      <c r="L880" s="3" t="s">
        <v>282</v>
      </c>
      <c r="M880" s="3" t="s">
        <v>698</v>
      </c>
      <c r="N880" s="3" t="s">
        <v>1362</v>
      </c>
      <c r="O880" s="3" t="s">
        <v>39</v>
      </c>
      <c r="P880" s="3" t="s">
        <v>6</v>
      </c>
      <c r="Q880" s="3" t="s">
        <v>20</v>
      </c>
      <c r="R880" s="3" t="s">
        <v>4</v>
      </c>
      <c r="S880" s="3" t="s">
        <v>3</v>
      </c>
      <c r="T880" s="3" t="s">
        <v>1361</v>
      </c>
      <c r="U880" s="3" t="s">
        <v>1</v>
      </c>
      <c r="V880" s="3" t="s">
        <v>0</v>
      </c>
      <c r="W880" s="2">
        <v>36</v>
      </c>
    </row>
    <row r="881" spans="1:23" hidden="1" x14ac:dyDescent="0.25">
      <c r="A881" s="8">
        <v>10784</v>
      </c>
      <c r="B881" s="8" t="s">
        <v>2220</v>
      </c>
      <c r="C881" s="7" t="s">
        <v>2219</v>
      </c>
      <c r="D881" s="6" t="s">
        <v>15</v>
      </c>
      <c r="E881" s="5" t="s">
        <v>1437</v>
      </c>
      <c r="F881" s="4">
        <v>40567</v>
      </c>
      <c r="G881" s="4" t="s">
        <v>1</v>
      </c>
      <c r="H881" s="4" t="s">
        <v>1</v>
      </c>
      <c r="I881" s="3" t="s">
        <v>145</v>
      </c>
      <c r="J881" s="3" t="s">
        <v>12</v>
      </c>
      <c r="K881" s="3" t="s">
        <v>63</v>
      </c>
      <c r="L881" s="3" t="s">
        <v>174</v>
      </c>
      <c r="M881" s="3" t="s">
        <v>173</v>
      </c>
      <c r="N881" s="3" t="s">
        <v>2218</v>
      </c>
      <c r="O881" s="3" t="s">
        <v>2217</v>
      </c>
      <c r="P881" s="3" t="s">
        <v>6</v>
      </c>
      <c r="Q881" s="3" t="s">
        <v>20</v>
      </c>
      <c r="R881" s="3" t="s">
        <v>4</v>
      </c>
      <c r="S881" s="3" t="s">
        <v>3</v>
      </c>
      <c r="T881" s="3" t="s">
        <v>29</v>
      </c>
      <c r="U881" s="3" t="s">
        <v>1</v>
      </c>
      <c r="V881" s="3" t="s">
        <v>0</v>
      </c>
      <c r="W881" s="2">
        <v>34</v>
      </c>
    </row>
    <row r="882" spans="1:23" s="78" customFormat="1" hidden="1" x14ac:dyDescent="0.25">
      <c r="A882" s="73">
        <v>11550</v>
      </c>
      <c r="B882" s="73" t="s">
        <v>2216</v>
      </c>
      <c r="C882" s="87" t="s">
        <v>2215</v>
      </c>
      <c r="D882" s="88" t="s">
        <v>15</v>
      </c>
      <c r="E882" s="89" t="s">
        <v>1763</v>
      </c>
      <c r="F882" s="90">
        <v>40707</v>
      </c>
      <c r="G882" s="90" t="s">
        <v>1</v>
      </c>
      <c r="H882" s="90" t="s">
        <v>1</v>
      </c>
      <c r="I882" s="92" t="s">
        <v>13</v>
      </c>
      <c r="J882" s="92" t="s">
        <v>12</v>
      </c>
      <c r="K882" s="92" t="s">
        <v>63</v>
      </c>
      <c r="L882" s="92" t="s">
        <v>62</v>
      </c>
      <c r="M882" s="92" t="s">
        <v>61</v>
      </c>
      <c r="N882" s="92" t="s">
        <v>716</v>
      </c>
      <c r="O882" s="92" t="s">
        <v>59</v>
      </c>
      <c r="P882" s="92" t="s">
        <v>72</v>
      </c>
      <c r="Q882" s="92" t="s">
        <v>5</v>
      </c>
      <c r="R882" s="92" t="s">
        <v>4</v>
      </c>
      <c r="S882" s="92" t="s">
        <v>3</v>
      </c>
      <c r="T882" s="92" t="s">
        <v>2</v>
      </c>
      <c r="U882" s="92" t="s">
        <v>1</v>
      </c>
      <c r="V882" s="92" t="s">
        <v>0</v>
      </c>
      <c r="W882" s="93">
        <v>31</v>
      </c>
    </row>
    <row r="883" spans="1:23" hidden="1" x14ac:dyDescent="0.25">
      <c r="A883" s="8">
        <v>10816</v>
      </c>
      <c r="B883" s="8" t="s">
        <v>2214</v>
      </c>
      <c r="C883" s="19" t="s">
        <v>2213</v>
      </c>
      <c r="D883" s="6" t="s">
        <v>15</v>
      </c>
      <c r="E883" s="18" t="s">
        <v>1437</v>
      </c>
      <c r="F883" s="4">
        <v>40567</v>
      </c>
      <c r="G883" s="4" t="s">
        <v>1</v>
      </c>
      <c r="H883" s="4" t="s">
        <v>1</v>
      </c>
      <c r="I883" s="3" t="s">
        <v>145</v>
      </c>
      <c r="J883" s="3" t="s">
        <v>34</v>
      </c>
      <c r="K883" s="3" t="s">
        <v>33</v>
      </c>
      <c r="L883" s="3" t="s">
        <v>33</v>
      </c>
      <c r="M883" s="3" t="s">
        <v>144</v>
      </c>
      <c r="N883" s="3" t="s">
        <v>143</v>
      </c>
      <c r="O883" s="3" t="s">
        <v>142</v>
      </c>
      <c r="P883" s="3" t="s">
        <v>72</v>
      </c>
      <c r="Q883" s="3" t="s">
        <v>47</v>
      </c>
      <c r="R883" s="3" t="s">
        <v>4</v>
      </c>
      <c r="S883" s="3" t="s">
        <v>3</v>
      </c>
      <c r="T883" s="3" t="s">
        <v>2</v>
      </c>
      <c r="U883" s="3" t="s">
        <v>1</v>
      </c>
      <c r="V883" s="3" t="s">
        <v>0</v>
      </c>
      <c r="W883" s="2">
        <v>32</v>
      </c>
    </row>
    <row r="884" spans="1:23" hidden="1" x14ac:dyDescent="0.25">
      <c r="A884" s="8">
        <v>11959</v>
      </c>
      <c r="B884" s="8" t="s">
        <v>2212</v>
      </c>
      <c r="C884" s="7" t="s">
        <v>2211</v>
      </c>
      <c r="D884" s="6" t="s">
        <v>15</v>
      </c>
      <c r="E884" s="5" t="s">
        <v>1233</v>
      </c>
      <c r="F884" s="4">
        <v>40770</v>
      </c>
      <c r="G884" s="4" t="s">
        <v>1</v>
      </c>
      <c r="H884" s="4" t="s">
        <v>1</v>
      </c>
      <c r="I884" s="3" t="s">
        <v>13</v>
      </c>
      <c r="J884" s="3" t="s">
        <v>12</v>
      </c>
      <c r="K884" s="3" t="s">
        <v>63</v>
      </c>
      <c r="L884" s="3" t="s">
        <v>62</v>
      </c>
      <c r="M884" s="3" t="s">
        <v>61</v>
      </c>
      <c r="N884" s="3" t="s">
        <v>60</v>
      </c>
      <c r="O884" s="3" t="s">
        <v>59</v>
      </c>
      <c r="P884" s="3" t="s">
        <v>72</v>
      </c>
      <c r="Q884" s="3" t="s">
        <v>5</v>
      </c>
      <c r="R884" s="3" t="s">
        <v>4</v>
      </c>
      <c r="S884" s="3" t="s">
        <v>3</v>
      </c>
      <c r="T884" s="3" t="s">
        <v>2</v>
      </c>
      <c r="U884" s="3" t="s">
        <v>1</v>
      </c>
      <c r="V884" s="3" t="s">
        <v>0</v>
      </c>
      <c r="W884" s="2">
        <v>31</v>
      </c>
    </row>
    <row r="885" spans="1:23" hidden="1" x14ac:dyDescent="0.25">
      <c r="A885" s="8">
        <v>10820</v>
      </c>
      <c r="B885" s="8" t="s">
        <v>2210</v>
      </c>
      <c r="C885" s="7" t="s">
        <v>2209</v>
      </c>
      <c r="D885" s="6" t="s">
        <v>15</v>
      </c>
      <c r="E885" s="5" t="s">
        <v>1319</v>
      </c>
      <c r="F885" s="4">
        <v>40572</v>
      </c>
      <c r="G885" s="4" t="s">
        <v>1</v>
      </c>
      <c r="H885" s="4" t="s">
        <v>1</v>
      </c>
      <c r="I885" s="3" t="s">
        <v>13</v>
      </c>
      <c r="J885" s="3" t="s">
        <v>133</v>
      </c>
      <c r="K885" s="3" t="s">
        <v>11</v>
      </c>
      <c r="L885" s="3" t="s">
        <v>10</v>
      </c>
      <c r="M885" s="3" t="s">
        <v>290</v>
      </c>
      <c r="N885" s="3" t="s">
        <v>198</v>
      </c>
      <c r="O885" s="3" t="s">
        <v>184</v>
      </c>
      <c r="P885" s="3" t="s">
        <v>6</v>
      </c>
      <c r="Q885" s="3" t="s">
        <v>20</v>
      </c>
      <c r="R885" s="3" t="s">
        <v>4</v>
      </c>
      <c r="S885" s="3" t="s">
        <v>3</v>
      </c>
      <c r="T885" s="3" t="s">
        <v>2</v>
      </c>
      <c r="U885" s="3" t="s">
        <v>1</v>
      </c>
      <c r="V885" s="3" t="s">
        <v>0</v>
      </c>
      <c r="W885" s="2">
        <v>34</v>
      </c>
    </row>
    <row r="886" spans="1:23" hidden="1" x14ac:dyDescent="0.25">
      <c r="A886" s="8">
        <v>10821</v>
      </c>
      <c r="B886" s="8" t="s">
        <v>2208</v>
      </c>
      <c r="C886" s="7" t="s">
        <v>2207</v>
      </c>
      <c r="D886" s="6" t="s">
        <v>15</v>
      </c>
      <c r="E886" s="5" t="s">
        <v>1319</v>
      </c>
      <c r="F886" s="4">
        <v>40572</v>
      </c>
      <c r="G886" s="4" t="s">
        <v>1</v>
      </c>
      <c r="H886" s="4" t="s">
        <v>1</v>
      </c>
      <c r="I886" s="3" t="s">
        <v>13</v>
      </c>
      <c r="J886" s="3" t="s">
        <v>133</v>
      </c>
      <c r="K886" s="3" t="s">
        <v>187</v>
      </c>
      <c r="L886" s="3" t="s">
        <v>187</v>
      </c>
      <c r="M886" s="3" t="s">
        <v>186</v>
      </c>
      <c r="N886" s="3" t="s">
        <v>1557</v>
      </c>
      <c r="O886" s="3" t="s">
        <v>453</v>
      </c>
      <c r="P886" s="3" t="s">
        <v>6</v>
      </c>
      <c r="Q886" s="3" t="s">
        <v>5</v>
      </c>
      <c r="R886" s="3" t="s">
        <v>4</v>
      </c>
      <c r="S886" s="3" t="s">
        <v>3</v>
      </c>
      <c r="T886" s="3" t="s">
        <v>2</v>
      </c>
      <c r="U886" s="3" t="s">
        <v>1</v>
      </c>
      <c r="V886" s="3" t="s">
        <v>18</v>
      </c>
      <c r="W886" s="2">
        <v>34</v>
      </c>
    </row>
    <row r="887" spans="1:23" hidden="1" x14ac:dyDescent="0.25">
      <c r="A887" s="8">
        <v>10823</v>
      </c>
      <c r="B887" s="8" t="s">
        <v>2206</v>
      </c>
      <c r="C887" s="7" t="s">
        <v>2205</v>
      </c>
      <c r="D887" s="6" t="s">
        <v>15</v>
      </c>
      <c r="E887" s="5" t="s">
        <v>1319</v>
      </c>
      <c r="F887" s="4">
        <v>40572</v>
      </c>
      <c r="G887" s="4" t="s">
        <v>1</v>
      </c>
      <c r="H887" s="4" t="s">
        <v>1</v>
      </c>
      <c r="I887" s="5" t="s">
        <v>365</v>
      </c>
      <c r="J887" s="5" t="s">
        <v>813</v>
      </c>
      <c r="K887" s="5" t="s">
        <v>33</v>
      </c>
      <c r="L887" s="5" t="s">
        <v>33</v>
      </c>
      <c r="M887" s="5" t="s">
        <v>812</v>
      </c>
      <c r="N887" s="5" t="s">
        <v>811</v>
      </c>
      <c r="O887" s="5" t="s">
        <v>812</v>
      </c>
      <c r="P887" s="5" t="s">
        <v>30</v>
      </c>
      <c r="Q887" s="5" t="s">
        <v>121</v>
      </c>
      <c r="R887" s="3" t="s">
        <v>4</v>
      </c>
      <c r="S887" s="3" t="s">
        <v>3</v>
      </c>
      <c r="T887" s="3" t="s">
        <v>2</v>
      </c>
      <c r="U887" s="3" t="s">
        <v>1</v>
      </c>
      <c r="V887" s="3" t="s">
        <v>18</v>
      </c>
      <c r="W887" s="2">
        <v>34</v>
      </c>
    </row>
    <row r="888" spans="1:23" hidden="1" x14ac:dyDescent="0.25">
      <c r="A888" s="8">
        <v>10845</v>
      </c>
      <c r="B888" s="8" t="s">
        <v>2204</v>
      </c>
      <c r="C888" s="7" t="s">
        <v>2203</v>
      </c>
      <c r="D888" s="6" t="s">
        <v>15</v>
      </c>
      <c r="E888" s="5" t="s">
        <v>1319</v>
      </c>
      <c r="F888" s="4">
        <v>40572</v>
      </c>
      <c r="G888" s="4" t="s">
        <v>1</v>
      </c>
      <c r="H888" s="4" t="s">
        <v>1</v>
      </c>
      <c r="I888" s="3" t="s">
        <v>13</v>
      </c>
      <c r="J888" s="3" t="s">
        <v>34</v>
      </c>
      <c r="K888" s="3" t="s">
        <v>33</v>
      </c>
      <c r="L888" s="3" t="s">
        <v>33</v>
      </c>
      <c r="M888" s="3" t="s">
        <v>1006</v>
      </c>
      <c r="N888" s="3" t="s">
        <v>1005</v>
      </c>
      <c r="O888" s="3" t="s">
        <v>29</v>
      </c>
      <c r="P888" s="3" t="s">
        <v>6</v>
      </c>
      <c r="Q888" s="3" t="s">
        <v>20</v>
      </c>
      <c r="R888" s="3" t="s">
        <v>4</v>
      </c>
      <c r="S888" s="3" t="s">
        <v>3</v>
      </c>
      <c r="T888" s="3" t="s">
        <v>29</v>
      </c>
      <c r="U888" s="3" t="s">
        <v>1</v>
      </c>
      <c r="V888" s="3" t="s">
        <v>0</v>
      </c>
      <c r="W888" s="2">
        <v>34</v>
      </c>
    </row>
    <row r="889" spans="1:23" hidden="1" x14ac:dyDescent="0.25">
      <c r="A889" s="8">
        <v>12677</v>
      </c>
      <c r="B889" s="8" t="s">
        <v>2202</v>
      </c>
      <c r="C889" s="7" t="s">
        <v>2201</v>
      </c>
      <c r="D889" s="6" t="s">
        <v>15</v>
      </c>
      <c r="E889" s="5" t="s">
        <v>149</v>
      </c>
      <c r="F889" s="4">
        <v>40819</v>
      </c>
      <c r="G889" s="4" t="s">
        <v>1</v>
      </c>
      <c r="H889" s="4" t="s">
        <v>1</v>
      </c>
      <c r="I889" s="3" t="s">
        <v>13</v>
      </c>
      <c r="J889" s="3" t="s">
        <v>12</v>
      </c>
      <c r="K889" s="3" t="s">
        <v>63</v>
      </c>
      <c r="L889" s="3" t="s">
        <v>62</v>
      </c>
      <c r="M889" s="3" t="s">
        <v>61</v>
      </c>
      <c r="N889" s="3" t="s">
        <v>2200</v>
      </c>
      <c r="O889" s="3" t="s">
        <v>453</v>
      </c>
      <c r="P889" s="3" t="s">
        <v>72</v>
      </c>
      <c r="Q889" s="3" t="s">
        <v>5</v>
      </c>
      <c r="R889" s="3" t="s">
        <v>4</v>
      </c>
      <c r="S889" s="3" t="s">
        <v>3</v>
      </c>
      <c r="T889" s="3" t="s">
        <v>2</v>
      </c>
      <c r="U889" s="3" t="s">
        <v>1</v>
      </c>
      <c r="V889" s="3" t="s">
        <v>0</v>
      </c>
      <c r="W889" s="2">
        <v>32</v>
      </c>
    </row>
    <row r="890" spans="1:23" hidden="1" x14ac:dyDescent="0.25">
      <c r="A890" s="8">
        <v>24641</v>
      </c>
      <c r="B890" s="8" t="s">
        <v>2199</v>
      </c>
      <c r="C890" s="19" t="s">
        <v>2198</v>
      </c>
      <c r="D890" s="6" t="s">
        <v>15</v>
      </c>
      <c r="E890" s="18" t="s">
        <v>2197</v>
      </c>
      <c r="F890" s="4">
        <v>43696</v>
      </c>
      <c r="G890" s="4" t="s">
        <v>1</v>
      </c>
      <c r="H890" s="4" t="s">
        <v>1</v>
      </c>
      <c r="I890" s="3" t="s">
        <v>13</v>
      </c>
      <c r="J890" s="3" t="s">
        <v>12</v>
      </c>
      <c r="K890" s="3" t="s">
        <v>63</v>
      </c>
      <c r="L890" s="3" t="s">
        <v>62</v>
      </c>
      <c r="M890" s="3" t="s">
        <v>61</v>
      </c>
      <c r="N890" s="3" t="s">
        <v>2160</v>
      </c>
      <c r="O890" s="3" t="s">
        <v>453</v>
      </c>
      <c r="P890" s="3" t="s">
        <v>72</v>
      </c>
      <c r="Q890" s="3" t="s">
        <v>5</v>
      </c>
      <c r="R890" s="3" t="s">
        <v>4</v>
      </c>
      <c r="S890" s="3" t="s">
        <v>3</v>
      </c>
      <c r="T890" s="3" t="s">
        <v>2</v>
      </c>
      <c r="U890" s="3" t="s">
        <v>1</v>
      </c>
      <c r="V890" s="5" t="s">
        <v>0</v>
      </c>
      <c r="W890" s="2">
        <v>24</v>
      </c>
    </row>
    <row r="891" spans="1:23" hidden="1" x14ac:dyDescent="0.25">
      <c r="A891" s="8">
        <v>10853</v>
      </c>
      <c r="B891" s="8" t="s">
        <v>2196</v>
      </c>
      <c r="C891" s="7" t="s">
        <v>2195</v>
      </c>
      <c r="D891" s="6" t="s">
        <v>15</v>
      </c>
      <c r="E891" s="5" t="s">
        <v>1319</v>
      </c>
      <c r="F891" s="4">
        <v>40572</v>
      </c>
      <c r="G891" s="4" t="s">
        <v>1</v>
      </c>
      <c r="H891" s="4" t="s">
        <v>1</v>
      </c>
      <c r="I891" s="3" t="s">
        <v>13</v>
      </c>
      <c r="J891" s="3" t="s">
        <v>12</v>
      </c>
      <c r="K891" s="3" t="s">
        <v>63</v>
      </c>
      <c r="L891" s="3" t="s">
        <v>1469</v>
      </c>
      <c r="M891" s="3" t="s">
        <v>1468</v>
      </c>
      <c r="N891" s="3" t="s">
        <v>716</v>
      </c>
      <c r="O891" s="3" t="s">
        <v>59</v>
      </c>
      <c r="P891" s="3" t="s">
        <v>6</v>
      </c>
      <c r="Q891" s="3" t="s">
        <v>5</v>
      </c>
      <c r="R891" s="3" t="s">
        <v>4</v>
      </c>
      <c r="S891" s="3" t="s">
        <v>3</v>
      </c>
      <c r="T891" s="3" t="s">
        <v>2</v>
      </c>
      <c r="U891" s="3" t="s">
        <v>1</v>
      </c>
      <c r="V891" s="3" t="s">
        <v>0</v>
      </c>
      <c r="W891" s="2">
        <v>33</v>
      </c>
    </row>
    <row r="892" spans="1:23" hidden="1" x14ac:dyDescent="0.25">
      <c r="A892" s="8">
        <v>10858</v>
      </c>
      <c r="B892" s="8" t="s">
        <v>2194</v>
      </c>
      <c r="C892" s="7" t="s">
        <v>804</v>
      </c>
      <c r="D892" s="6" t="s">
        <v>15</v>
      </c>
      <c r="E892" s="5" t="s">
        <v>1319</v>
      </c>
      <c r="F892" s="4">
        <v>40572</v>
      </c>
      <c r="G892" s="4" t="s">
        <v>1</v>
      </c>
      <c r="H892" s="4" t="s">
        <v>1</v>
      </c>
      <c r="I892" s="3" t="s">
        <v>13</v>
      </c>
      <c r="J892" s="3" t="s">
        <v>12</v>
      </c>
      <c r="K892" s="3" t="s">
        <v>758</v>
      </c>
      <c r="L892" s="3" t="s">
        <v>757</v>
      </c>
      <c r="M892" s="3" t="s">
        <v>756</v>
      </c>
      <c r="N892" s="3" t="s">
        <v>606</v>
      </c>
      <c r="O892" s="3" t="s">
        <v>59</v>
      </c>
      <c r="P892" s="3" t="s">
        <v>6</v>
      </c>
      <c r="Q892" s="3" t="s">
        <v>5</v>
      </c>
      <c r="R892" s="3" t="s">
        <v>4</v>
      </c>
      <c r="S892" s="3" t="s">
        <v>3</v>
      </c>
      <c r="T892" s="3" t="s">
        <v>2</v>
      </c>
      <c r="U892" s="3" t="s">
        <v>1</v>
      </c>
      <c r="V892" s="3" t="s">
        <v>0</v>
      </c>
      <c r="W892" s="2">
        <v>32</v>
      </c>
    </row>
    <row r="893" spans="1:23" s="78" customFormat="1" hidden="1" x14ac:dyDescent="0.25">
      <c r="A893" s="73">
        <v>5548</v>
      </c>
      <c r="B893" s="73" t="s">
        <v>2193</v>
      </c>
      <c r="C893" s="87" t="s">
        <v>1921</v>
      </c>
      <c r="D893" s="88" t="s">
        <v>15</v>
      </c>
      <c r="E893" s="89" t="s">
        <v>41</v>
      </c>
      <c r="F893" s="90">
        <v>39052</v>
      </c>
      <c r="G893" s="90" t="s">
        <v>1</v>
      </c>
      <c r="H893" s="90" t="s">
        <v>1</v>
      </c>
      <c r="I893" s="92" t="s">
        <v>13</v>
      </c>
      <c r="J893" s="92" t="s">
        <v>12</v>
      </c>
      <c r="K893" s="92" t="s">
        <v>63</v>
      </c>
      <c r="L893" s="92" t="s">
        <v>62</v>
      </c>
      <c r="M893" s="92" t="s">
        <v>565</v>
      </c>
      <c r="N893" s="92" t="s">
        <v>649</v>
      </c>
      <c r="O893" s="92" t="s">
        <v>100</v>
      </c>
      <c r="P893" s="92" t="s">
        <v>72</v>
      </c>
      <c r="Q893" s="92" t="s">
        <v>20</v>
      </c>
      <c r="R893" s="92" t="s">
        <v>4</v>
      </c>
      <c r="S893" s="92" t="s">
        <v>3</v>
      </c>
      <c r="T893" s="92" t="s">
        <v>2</v>
      </c>
      <c r="U893" s="92" t="s">
        <v>1</v>
      </c>
      <c r="V893" s="92" t="s">
        <v>0</v>
      </c>
      <c r="W893" s="93">
        <v>40</v>
      </c>
    </row>
    <row r="894" spans="1:23" hidden="1" x14ac:dyDescent="0.25">
      <c r="A894" s="8">
        <v>10868</v>
      </c>
      <c r="B894" s="8" t="s">
        <v>2192</v>
      </c>
      <c r="C894" s="7" t="s">
        <v>1516</v>
      </c>
      <c r="D894" s="6" t="s">
        <v>15</v>
      </c>
      <c r="E894" s="5" t="s">
        <v>1319</v>
      </c>
      <c r="F894" s="4">
        <v>40572</v>
      </c>
      <c r="G894" s="4" t="s">
        <v>1</v>
      </c>
      <c r="H894" s="4" t="s">
        <v>1</v>
      </c>
      <c r="I894" s="3" t="s">
        <v>13</v>
      </c>
      <c r="J894" s="3" t="s">
        <v>12</v>
      </c>
      <c r="K894" s="3" t="s">
        <v>539</v>
      </c>
      <c r="L894" s="3" t="s">
        <v>1568</v>
      </c>
      <c r="M894" s="3" t="s">
        <v>1567</v>
      </c>
      <c r="N894" s="3" t="s">
        <v>606</v>
      </c>
      <c r="O894" s="3" t="s">
        <v>59</v>
      </c>
      <c r="P894" s="3" t="s">
        <v>6</v>
      </c>
      <c r="Q894" s="3" t="s">
        <v>5</v>
      </c>
      <c r="R894" s="3" t="s">
        <v>4</v>
      </c>
      <c r="S894" s="3" t="s">
        <v>3</v>
      </c>
      <c r="T894" s="3" t="s">
        <v>2</v>
      </c>
      <c r="U894" s="3" t="s">
        <v>1</v>
      </c>
      <c r="V894" s="3" t="s">
        <v>0</v>
      </c>
      <c r="W894" s="2">
        <v>32</v>
      </c>
    </row>
    <row r="895" spans="1:23" s="78" customFormat="1" hidden="1" x14ac:dyDescent="0.25">
      <c r="A895" s="73">
        <v>8665</v>
      </c>
      <c r="B895" s="73" t="s">
        <v>2191</v>
      </c>
      <c r="C895" s="119" t="s">
        <v>2190</v>
      </c>
      <c r="D895" s="88" t="s">
        <v>15</v>
      </c>
      <c r="E895" s="73" t="s">
        <v>225</v>
      </c>
      <c r="F895" s="90">
        <v>39878</v>
      </c>
      <c r="G895" s="90" t="s">
        <v>1</v>
      </c>
      <c r="H895" s="90" t="s">
        <v>1</v>
      </c>
      <c r="I895" s="92" t="s">
        <v>13</v>
      </c>
      <c r="J895" s="92" t="s">
        <v>12</v>
      </c>
      <c r="K895" s="92" t="s">
        <v>63</v>
      </c>
      <c r="L895" s="92" t="s">
        <v>62</v>
      </c>
      <c r="M895" s="92" t="s">
        <v>565</v>
      </c>
      <c r="N895" s="92" t="s">
        <v>2189</v>
      </c>
      <c r="O895" s="92" t="s">
        <v>59</v>
      </c>
      <c r="P895" s="92" t="s">
        <v>72</v>
      </c>
      <c r="Q895" s="92" t="s">
        <v>5</v>
      </c>
      <c r="R895" s="92" t="s">
        <v>4</v>
      </c>
      <c r="S895" s="92" t="s">
        <v>3</v>
      </c>
      <c r="T895" s="92" t="s">
        <v>2</v>
      </c>
      <c r="U895" s="92" t="s">
        <v>1</v>
      </c>
      <c r="V895" s="92" t="s">
        <v>0</v>
      </c>
      <c r="W895" s="93">
        <v>35</v>
      </c>
    </row>
    <row r="896" spans="1:23" hidden="1" x14ac:dyDescent="0.25">
      <c r="A896" s="8">
        <v>10884</v>
      </c>
      <c r="B896" s="8" t="s">
        <v>2188</v>
      </c>
      <c r="C896" s="7" t="s">
        <v>2187</v>
      </c>
      <c r="D896" s="6" t="s">
        <v>15</v>
      </c>
      <c r="E896" s="5" t="s">
        <v>2180</v>
      </c>
      <c r="F896" s="4">
        <v>40574</v>
      </c>
      <c r="G896" s="4" t="s">
        <v>1</v>
      </c>
      <c r="H896" s="4" t="s">
        <v>1</v>
      </c>
      <c r="I896" s="3" t="s">
        <v>13</v>
      </c>
      <c r="J896" s="3" t="s">
        <v>12</v>
      </c>
      <c r="K896" s="3" t="s">
        <v>63</v>
      </c>
      <c r="L896" s="3" t="s">
        <v>62</v>
      </c>
      <c r="M896" s="3" t="s">
        <v>565</v>
      </c>
      <c r="N896" s="3" t="s">
        <v>2160</v>
      </c>
      <c r="O896" s="3" t="s">
        <v>1726</v>
      </c>
      <c r="P896" s="3" t="s">
        <v>6</v>
      </c>
      <c r="Q896" s="3" t="s">
        <v>5</v>
      </c>
      <c r="R896" s="3" t="s">
        <v>4</v>
      </c>
      <c r="S896" s="3" t="s">
        <v>3</v>
      </c>
      <c r="T896" s="3" t="s">
        <v>2</v>
      </c>
      <c r="U896" s="3" t="s">
        <v>1</v>
      </c>
      <c r="V896" s="3" t="s">
        <v>0</v>
      </c>
      <c r="W896" s="2">
        <v>33</v>
      </c>
    </row>
    <row r="897" spans="1:24" s="9" customFormat="1" hidden="1" x14ac:dyDescent="0.25">
      <c r="A897" s="17">
        <v>10895</v>
      </c>
      <c r="B897" s="17" t="s">
        <v>2186</v>
      </c>
      <c r="C897" s="24" t="s">
        <v>2185</v>
      </c>
      <c r="D897" s="15" t="s">
        <v>15</v>
      </c>
      <c r="E897" s="22" t="s">
        <v>2180</v>
      </c>
      <c r="F897" s="13">
        <v>40574</v>
      </c>
      <c r="G897" s="13" t="s">
        <v>1</v>
      </c>
      <c r="H897" s="13" t="s">
        <v>1</v>
      </c>
      <c r="I897" s="12" t="s">
        <v>145</v>
      </c>
      <c r="J897" s="12" t="s">
        <v>34</v>
      </c>
      <c r="K897" s="12" t="s">
        <v>33</v>
      </c>
      <c r="L897" s="12" t="s">
        <v>954</v>
      </c>
      <c r="M897" s="12" t="s">
        <v>953</v>
      </c>
      <c r="N897" s="12" t="s">
        <v>952</v>
      </c>
      <c r="O897" s="12" t="s">
        <v>39</v>
      </c>
      <c r="P897" s="12" t="s">
        <v>30</v>
      </c>
      <c r="Q897" s="12" t="s">
        <v>20</v>
      </c>
      <c r="R897" s="12" t="s">
        <v>4</v>
      </c>
      <c r="S897" s="12" t="s">
        <v>3</v>
      </c>
      <c r="T897" s="12" t="s">
        <v>38</v>
      </c>
      <c r="U897" s="12" t="s">
        <v>1</v>
      </c>
      <c r="V897" s="12" t="s">
        <v>0</v>
      </c>
      <c r="W897" s="11">
        <v>32</v>
      </c>
      <c r="X897" s="10"/>
    </row>
    <row r="898" spans="1:24" s="9" customFormat="1" hidden="1" x14ac:dyDescent="0.25">
      <c r="A898" s="17">
        <v>8832</v>
      </c>
      <c r="B898" s="58" t="s">
        <v>2184</v>
      </c>
      <c r="C898" s="16" t="s">
        <v>2183</v>
      </c>
      <c r="D898" s="15" t="s">
        <v>15</v>
      </c>
      <c r="E898" s="14" t="s">
        <v>202</v>
      </c>
      <c r="F898" s="13">
        <v>39937</v>
      </c>
      <c r="G898" s="13" t="s">
        <v>1</v>
      </c>
      <c r="H898" s="13" t="s">
        <v>1</v>
      </c>
      <c r="I898" s="12" t="s">
        <v>13</v>
      </c>
      <c r="J898" s="12" t="s">
        <v>12</v>
      </c>
      <c r="K898" s="12" t="s">
        <v>63</v>
      </c>
      <c r="L898" s="12" t="s">
        <v>62</v>
      </c>
      <c r="M898" s="12" t="s">
        <v>565</v>
      </c>
      <c r="N898" s="12" t="s">
        <v>716</v>
      </c>
      <c r="O898" s="12" t="s">
        <v>59</v>
      </c>
      <c r="P898" s="12" t="s">
        <v>72</v>
      </c>
      <c r="Q898" s="12" t="s">
        <v>5</v>
      </c>
      <c r="R898" s="12" t="s">
        <v>4</v>
      </c>
      <c r="S898" s="12" t="s">
        <v>3</v>
      </c>
      <c r="T898" s="12" t="s">
        <v>2</v>
      </c>
      <c r="U898" s="12" t="s">
        <v>1</v>
      </c>
      <c r="V898" s="12" t="s">
        <v>0</v>
      </c>
      <c r="W898" s="11">
        <v>37</v>
      </c>
      <c r="X898" s="10"/>
    </row>
    <row r="899" spans="1:24" hidden="1" x14ac:dyDescent="0.25">
      <c r="A899" s="8">
        <v>10908</v>
      </c>
      <c r="B899" s="8" t="s">
        <v>2182</v>
      </c>
      <c r="C899" s="7" t="s">
        <v>2181</v>
      </c>
      <c r="D899" s="6" t="s">
        <v>15</v>
      </c>
      <c r="E899" s="5" t="s">
        <v>2180</v>
      </c>
      <c r="F899" s="4">
        <v>40574</v>
      </c>
      <c r="G899" s="4" t="s">
        <v>1</v>
      </c>
      <c r="H899" s="4" t="s">
        <v>1</v>
      </c>
      <c r="I899" s="3" t="s">
        <v>13</v>
      </c>
      <c r="J899" s="3" t="s">
        <v>133</v>
      </c>
      <c r="K899" s="3" t="s">
        <v>283</v>
      </c>
      <c r="L899" s="3" t="s">
        <v>999</v>
      </c>
      <c r="M899" s="3" t="s">
        <v>998</v>
      </c>
      <c r="N899" s="3" t="s">
        <v>2179</v>
      </c>
      <c r="O899" s="3" t="s">
        <v>100</v>
      </c>
      <c r="P899" s="3" t="s">
        <v>6</v>
      </c>
      <c r="Q899" s="3" t="s">
        <v>20</v>
      </c>
      <c r="R899" s="3" t="s">
        <v>4</v>
      </c>
      <c r="S899" s="3" t="s">
        <v>3</v>
      </c>
      <c r="T899" s="3" t="s">
        <v>2</v>
      </c>
      <c r="U899" s="3" t="s">
        <v>1</v>
      </c>
      <c r="V899" s="3" t="s">
        <v>0</v>
      </c>
      <c r="W899" s="2">
        <v>32</v>
      </c>
    </row>
    <row r="900" spans="1:24" hidden="1" x14ac:dyDescent="0.25">
      <c r="A900" s="8">
        <v>10130</v>
      </c>
      <c r="B900" s="8" t="s">
        <v>2178</v>
      </c>
      <c r="C900" s="7" t="s">
        <v>1516</v>
      </c>
      <c r="D900" s="6" t="s">
        <v>15</v>
      </c>
      <c r="E900" s="5" t="s">
        <v>1034</v>
      </c>
      <c r="F900" s="4">
        <v>40444</v>
      </c>
      <c r="G900" s="4" t="s">
        <v>1</v>
      </c>
      <c r="H900" s="4" t="s">
        <v>1</v>
      </c>
      <c r="I900" s="3" t="s">
        <v>13</v>
      </c>
      <c r="J900" s="3" t="s">
        <v>12</v>
      </c>
      <c r="K900" s="3" t="s">
        <v>63</v>
      </c>
      <c r="L900" s="3" t="s">
        <v>62</v>
      </c>
      <c r="M900" s="3" t="s">
        <v>565</v>
      </c>
      <c r="N900" s="3" t="s">
        <v>2177</v>
      </c>
      <c r="O900" s="3" t="s">
        <v>258</v>
      </c>
      <c r="P900" s="3" t="s">
        <v>72</v>
      </c>
      <c r="Q900" s="3" t="s">
        <v>5</v>
      </c>
      <c r="R900" s="3" t="s">
        <v>4</v>
      </c>
      <c r="S900" s="3" t="s">
        <v>3</v>
      </c>
      <c r="T900" s="3" t="s">
        <v>2</v>
      </c>
      <c r="U900" s="3" t="s">
        <v>1</v>
      </c>
      <c r="V900" s="3" t="s">
        <v>0</v>
      </c>
      <c r="W900" s="2">
        <v>32</v>
      </c>
    </row>
    <row r="901" spans="1:24" hidden="1" x14ac:dyDescent="0.25">
      <c r="A901" s="8">
        <v>10931</v>
      </c>
      <c r="B901" s="8" t="s">
        <v>2176</v>
      </c>
      <c r="C901" s="7" t="s">
        <v>2175</v>
      </c>
      <c r="D901" s="6" t="s">
        <v>15</v>
      </c>
      <c r="E901" s="5" t="s">
        <v>1639</v>
      </c>
      <c r="F901" s="4">
        <v>40578</v>
      </c>
      <c r="G901" s="4" t="s">
        <v>1</v>
      </c>
      <c r="H901" s="4" t="s">
        <v>1</v>
      </c>
      <c r="I901" s="3" t="s">
        <v>13</v>
      </c>
      <c r="J901" s="3" t="s">
        <v>12</v>
      </c>
      <c r="K901" s="3" t="s">
        <v>25</v>
      </c>
      <c r="L901" s="3" t="s">
        <v>24</v>
      </c>
      <c r="M901" s="3" t="s">
        <v>23</v>
      </c>
      <c r="N901" s="3" t="s">
        <v>1759</v>
      </c>
      <c r="O901" s="3" t="s">
        <v>7</v>
      </c>
      <c r="P901" s="3" t="s">
        <v>6</v>
      </c>
      <c r="Q901" s="3" t="s">
        <v>5</v>
      </c>
      <c r="R901" s="3" t="s">
        <v>4</v>
      </c>
      <c r="S901" s="3" t="s">
        <v>3</v>
      </c>
      <c r="T901" s="3" t="s">
        <v>2</v>
      </c>
      <c r="U901" s="3" t="s">
        <v>1</v>
      </c>
      <c r="V901" s="3" t="s">
        <v>0</v>
      </c>
      <c r="W901" s="2">
        <v>33</v>
      </c>
    </row>
    <row r="902" spans="1:24" hidden="1" x14ac:dyDescent="0.25">
      <c r="A902" s="8">
        <v>10187</v>
      </c>
      <c r="B902" s="8" t="s">
        <v>2174</v>
      </c>
      <c r="C902" s="7" t="s">
        <v>2173</v>
      </c>
      <c r="D902" s="6" t="s">
        <v>15</v>
      </c>
      <c r="E902" s="5" t="s">
        <v>476</v>
      </c>
      <c r="F902" s="4">
        <v>40458</v>
      </c>
      <c r="G902" s="4" t="s">
        <v>1</v>
      </c>
      <c r="H902" s="4" t="s">
        <v>1</v>
      </c>
      <c r="I902" s="3" t="s">
        <v>13</v>
      </c>
      <c r="J902" s="3" t="s">
        <v>12</v>
      </c>
      <c r="K902" s="3" t="s">
        <v>63</v>
      </c>
      <c r="L902" s="3" t="s">
        <v>62</v>
      </c>
      <c r="M902" s="3" t="s">
        <v>565</v>
      </c>
      <c r="N902" s="3" t="s">
        <v>1078</v>
      </c>
      <c r="O902" s="3" t="s">
        <v>29</v>
      </c>
      <c r="P902" s="3" t="s">
        <v>72</v>
      </c>
      <c r="Q902" s="3" t="s">
        <v>20</v>
      </c>
      <c r="R902" s="3" t="s">
        <v>4</v>
      </c>
      <c r="S902" s="3" t="s">
        <v>3</v>
      </c>
      <c r="T902" s="3" t="s">
        <v>1077</v>
      </c>
      <c r="U902" s="3" t="s">
        <v>1</v>
      </c>
      <c r="V902" s="3" t="s">
        <v>0</v>
      </c>
      <c r="W902" s="2">
        <v>36</v>
      </c>
    </row>
    <row r="903" spans="1:24" hidden="1" x14ac:dyDescent="0.25">
      <c r="A903" s="8">
        <v>10934</v>
      </c>
      <c r="B903" s="8" t="s">
        <v>2172</v>
      </c>
      <c r="C903" s="35" t="s">
        <v>1713</v>
      </c>
      <c r="D903" s="6" t="s">
        <v>15</v>
      </c>
      <c r="E903" s="8" t="s">
        <v>1639</v>
      </c>
      <c r="F903" s="4">
        <v>40578</v>
      </c>
      <c r="G903" s="4" t="s">
        <v>1</v>
      </c>
      <c r="H903" s="4" t="s">
        <v>1</v>
      </c>
      <c r="I903" s="3" t="s">
        <v>13</v>
      </c>
      <c r="J903" s="3" t="s">
        <v>133</v>
      </c>
      <c r="K903" s="3" t="s">
        <v>11</v>
      </c>
      <c r="L903" s="3" t="s">
        <v>10</v>
      </c>
      <c r="M903" s="3" t="s">
        <v>290</v>
      </c>
      <c r="N903" s="3" t="s">
        <v>2171</v>
      </c>
      <c r="O903" s="3" t="s">
        <v>128</v>
      </c>
      <c r="P903" s="3" t="s">
        <v>6</v>
      </c>
      <c r="Q903" s="3" t="s">
        <v>5</v>
      </c>
      <c r="R903" s="3" t="s">
        <v>4</v>
      </c>
      <c r="S903" s="3" t="s">
        <v>3</v>
      </c>
      <c r="T903" s="3" t="s">
        <v>2</v>
      </c>
      <c r="U903" s="3" t="s">
        <v>1</v>
      </c>
      <c r="V903" s="3" t="s">
        <v>0</v>
      </c>
      <c r="W903" s="2">
        <v>32</v>
      </c>
    </row>
    <row r="904" spans="1:24" hidden="1" x14ac:dyDescent="0.25">
      <c r="A904" s="8">
        <v>11368</v>
      </c>
      <c r="B904" s="8" t="s">
        <v>2170</v>
      </c>
      <c r="C904" s="7" t="s">
        <v>2169</v>
      </c>
      <c r="D904" s="6" t="s">
        <v>15</v>
      </c>
      <c r="E904" s="5" t="s">
        <v>2168</v>
      </c>
      <c r="F904" s="4">
        <v>40696</v>
      </c>
      <c r="G904" s="4" t="s">
        <v>1</v>
      </c>
      <c r="H904" s="4" t="s">
        <v>1</v>
      </c>
      <c r="I904" s="3" t="s">
        <v>13</v>
      </c>
      <c r="J904" s="3" t="s">
        <v>12</v>
      </c>
      <c r="K904" s="3" t="s">
        <v>63</v>
      </c>
      <c r="L904" s="3" t="s">
        <v>62</v>
      </c>
      <c r="M904" s="3" t="s">
        <v>565</v>
      </c>
      <c r="N904" s="3" t="s">
        <v>2167</v>
      </c>
      <c r="O904" s="3" t="s">
        <v>258</v>
      </c>
      <c r="P904" s="3" t="s">
        <v>72</v>
      </c>
      <c r="Q904" s="3" t="s">
        <v>5</v>
      </c>
      <c r="R904" s="3" t="s">
        <v>4</v>
      </c>
      <c r="S904" s="3" t="s">
        <v>3</v>
      </c>
      <c r="T904" s="3" t="s">
        <v>2</v>
      </c>
      <c r="U904" s="3" t="s">
        <v>1</v>
      </c>
      <c r="V904" s="3" t="s">
        <v>0</v>
      </c>
      <c r="W904" s="2">
        <v>32</v>
      </c>
    </row>
    <row r="905" spans="1:24" hidden="1" x14ac:dyDescent="0.25">
      <c r="A905" s="8">
        <v>10946</v>
      </c>
      <c r="B905" s="8" t="s">
        <v>2166</v>
      </c>
      <c r="C905" s="7" t="s">
        <v>2165</v>
      </c>
      <c r="D905" s="6" t="s">
        <v>15</v>
      </c>
      <c r="E905" s="5" t="s">
        <v>1639</v>
      </c>
      <c r="F905" s="4">
        <v>40578</v>
      </c>
      <c r="G905" s="4" t="s">
        <v>1</v>
      </c>
      <c r="H905" s="4" t="s">
        <v>1</v>
      </c>
      <c r="I905" s="3" t="s">
        <v>145</v>
      </c>
      <c r="J905" s="3" t="s">
        <v>133</v>
      </c>
      <c r="K905" s="3" t="s">
        <v>132</v>
      </c>
      <c r="L905" s="3" t="s">
        <v>218</v>
      </c>
      <c r="M905" s="3" t="s">
        <v>217</v>
      </c>
      <c r="N905" s="3" t="s">
        <v>209</v>
      </c>
      <c r="O905" s="3" t="s">
        <v>208</v>
      </c>
      <c r="P905" s="3" t="s">
        <v>6</v>
      </c>
      <c r="Q905" s="3" t="s">
        <v>47</v>
      </c>
      <c r="R905" s="3" t="s">
        <v>4</v>
      </c>
      <c r="S905" s="3" t="s">
        <v>3</v>
      </c>
      <c r="T905" s="3" t="s">
        <v>2</v>
      </c>
      <c r="U905" s="3" t="s">
        <v>1</v>
      </c>
      <c r="V905" s="3" t="s">
        <v>0</v>
      </c>
      <c r="W905" s="2">
        <v>34</v>
      </c>
    </row>
    <row r="906" spans="1:24" hidden="1" x14ac:dyDescent="0.25">
      <c r="A906" s="8">
        <v>10948</v>
      </c>
      <c r="B906" s="8" t="s">
        <v>2164</v>
      </c>
      <c r="C906" s="7" t="s">
        <v>2163</v>
      </c>
      <c r="D906" s="6" t="s">
        <v>15</v>
      </c>
      <c r="E906" s="5" t="s">
        <v>1639</v>
      </c>
      <c r="F906" s="4">
        <v>40578</v>
      </c>
      <c r="G906" s="4" t="s">
        <v>1</v>
      </c>
      <c r="H906" s="4" t="s">
        <v>1</v>
      </c>
      <c r="I906" s="5" t="s">
        <v>365</v>
      </c>
      <c r="J906" s="5" t="s">
        <v>813</v>
      </c>
      <c r="K906" s="5" t="s">
        <v>33</v>
      </c>
      <c r="L906" s="5" t="s">
        <v>33</v>
      </c>
      <c r="M906" s="5" t="s">
        <v>812</v>
      </c>
      <c r="N906" s="5" t="s">
        <v>811</v>
      </c>
      <c r="O906" s="5" t="s">
        <v>812</v>
      </c>
      <c r="P906" s="5" t="s">
        <v>30</v>
      </c>
      <c r="Q906" s="5" t="s">
        <v>121</v>
      </c>
      <c r="R906" s="3" t="s">
        <v>4</v>
      </c>
      <c r="S906" s="3" t="s">
        <v>3</v>
      </c>
      <c r="T906" s="3" t="s">
        <v>29</v>
      </c>
      <c r="U906" s="3" t="s">
        <v>1</v>
      </c>
      <c r="V906" s="3" t="s">
        <v>0</v>
      </c>
      <c r="W906" s="2">
        <v>32</v>
      </c>
    </row>
    <row r="907" spans="1:24" hidden="1" x14ac:dyDescent="0.25">
      <c r="A907" s="8">
        <v>11878</v>
      </c>
      <c r="B907" s="8" t="s">
        <v>2162</v>
      </c>
      <c r="C907" s="7" t="s">
        <v>2161</v>
      </c>
      <c r="D907" s="6" t="s">
        <v>15</v>
      </c>
      <c r="E907" s="5" t="s">
        <v>1789</v>
      </c>
      <c r="F907" s="4">
        <v>40735</v>
      </c>
      <c r="G907" s="4" t="s">
        <v>1</v>
      </c>
      <c r="H907" s="4" t="s">
        <v>1</v>
      </c>
      <c r="I907" s="3" t="s">
        <v>13</v>
      </c>
      <c r="J907" s="3" t="s">
        <v>12</v>
      </c>
      <c r="K907" s="3" t="s">
        <v>63</v>
      </c>
      <c r="L907" s="3" t="s">
        <v>62</v>
      </c>
      <c r="M907" s="3" t="s">
        <v>565</v>
      </c>
      <c r="N907" s="3" t="s">
        <v>2160</v>
      </c>
      <c r="O907" s="3" t="s">
        <v>453</v>
      </c>
      <c r="P907" s="3" t="s">
        <v>72</v>
      </c>
      <c r="Q907" s="3" t="s">
        <v>5</v>
      </c>
      <c r="R907" s="3" t="s">
        <v>4</v>
      </c>
      <c r="S907" s="3" t="s">
        <v>3</v>
      </c>
      <c r="T907" s="3" t="s">
        <v>2</v>
      </c>
      <c r="U907" s="3" t="s">
        <v>1</v>
      </c>
      <c r="V907" s="3" t="s">
        <v>0</v>
      </c>
      <c r="W907" s="2">
        <v>31</v>
      </c>
    </row>
    <row r="908" spans="1:24" hidden="1" x14ac:dyDescent="0.25">
      <c r="A908" s="8">
        <v>10964</v>
      </c>
      <c r="B908" s="8" t="s">
        <v>2159</v>
      </c>
      <c r="C908" s="7" t="s">
        <v>2158</v>
      </c>
      <c r="D908" s="6" t="s">
        <v>15</v>
      </c>
      <c r="E908" s="5" t="s">
        <v>1639</v>
      </c>
      <c r="F908" s="4">
        <v>40578</v>
      </c>
      <c r="G908" s="4" t="s">
        <v>1</v>
      </c>
      <c r="H908" s="4" t="s">
        <v>1</v>
      </c>
      <c r="I908" s="3" t="s">
        <v>13</v>
      </c>
      <c r="J908" s="3" t="s">
        <v>12</v>
      </c>
      <c r="K908" s="3" t="s">
        <v>283</v>
      </c>
      <c r="L908" s="3" t="s">
        <v>282</v>
      </c>
      <c r="M908" s="3" t="s">
        <v>281</v>
      </c>
      <c r="N908" s="3" t="s">
        <v>22</v>
      </c>
      <c r="O908" s="3" t="s">
        <v>21</v>
      </c>
      <c r="P908" s="3" t="s">
        <v>6</v>
      </c>
      <c r="Q908" s="3" t="s">
        <v>20</v>
      </c>
      <c r="R908" s="3" t="s">
        <v>4</v>
      </c>
      <c r="S908" s="3" t="s">
        <v>3</v>
      </c>
      <c r="T908" s="3" t="s">
        <v>19</v>
      </c>
      <c r="U908" s="3" t="s">
        <v>1</v>
      </c>
      <c r="V908" s="3" t="s">
        <v>0</v>
      </c>
      <c r="W908" s="2">
        <v>32</v>
      </c>
    </row>
    <row r="909" spans="1:24" hidden="1" x14ac:dyDescent="0.25">
      <c r="A909" s="8">
        <v>10966</v>
      </c>
      <c r="B909" s="8" t="s">
        <v>2157</v>
      </c>
      <c r="C909" s="35" t="s">
        <v>2156</v>
      </c>
      <c r="D909" s="6" t="s">
        <v>15</v>
      </c>
      <c r="E909" s="8" t="s">
        <v>1639</v>
      </c>
      <c r="F909" s="4">
        <v>40578</v>
      </c>
      <c r="G909" s="4" t="s">
        <v>1</v>
      </c>
      <c r="H909" s="4" t="s">
        <v>1</v>
      </c>
      <c r="I909" s="3" t="s">
        <v>13</v>
      </c>
      <c r="J909" s="3" t="s">
        <v>133</v>
      </c>
      <c r="K909" s="3" t="s">
        <v>25</v>
      </c>
      <c r="L909" s="3" t="s">
        <v>24</v>
      </c>
      <c r="M909" s="3" t="s">
        <v>199</v>
      </c>
      <c r="N909" s="3" t="s">
        <v>2155</v>
      </c>
      <c r="O909" s="3" t="s">
        <v>1231</v>
      </c>
      <c r="P909" s="3" t="s">
        <v>6</v>
      </c>
      <c r="Q909" s="3" t="s">
        <v>5</v>
      </c>
      <c r="R909" s="3" t="s">
        <v>4</v>
      </c>
      <c r="S909" s="3" t="s">
        <v>3</v>
      </c>
      <c r="T909" s="3" t="s">
        <v>2</v>
      </c>
      <c r="U909" s="3" t="s">
        <v>1</v>
      </c>
      <c r="V909" s="3" t="s">
        <v>0</v>
      </c>
      <c r="W909" s="2">
        <v>32</v>
      </c>
    </row>
    <row r="910" spans="1:24" hidden="1" x14ac:dyDescent="0.25">
      <c r="A910" s="8">
        <v>12140</v>
      </c>
      <c r="B910" s="8" t="s">
        <v>2154</v>
      </c>
      <c r="C910" s="7" t="s">
        <v>2153</v>
      </c>
      <c r="D910" s="6" t="s">
        <v>15</v>
      </c>
      <c r="E910" s="5" t="s">
        <v>421</v>
      </c>
      <c r="F910" s="4">
        <v>40798</v>
      </c>
      <c r="G910" s="4" t="s">
        <v>1</v>
      </c>
      <c r="H910" s="4" t="s">
        <v>1</v>
      </c>
      <c r="I910" s="3" t="s">
        <v>13</v>
      </c>
      <c r="J910" s="3" t="s">
        <v>12</v>
      </c>
      <c r="K910" s="3" t="s">
        <v>63</v>
      </c>
      <c r="L910" s="3" t="s">
        <v>62</v>
      </c>
      <c r="M910" s="3" t="s">
        <v>565</v>
      </c>
      <c r="N910" s="3" t="s">
        <v>2152</v>
      </c>
      <c r="O910" s="3" t="s">
        <v>258</v>
      </c>
      <c r="P910" s="3" t="s">
        <v>72</v>
      </c>
      <c r="Q910" s="3" t="s">
        <v>5</v>
      </c>
      <c r="R910" s="3" t="s">
        <v>4</v>
      </c>
      <c r="S910" s="3" t="s">
        <v>3</v>
      </c>
      <c r="T910" s="3" t="s">
        <v>2</v>
      </c>
      <c r="U910" s="3" t="s">
        <v>1</v>
      </c>
      <c r="V910" s="3" t="s">
        <v>0</v>
      </c>
      <c r="W910" s="2">
        <v>32</v>
      </c>
    </row>
    <row r="911" spans="1:24" hidden="1" x14ac:dyDescent="0.25">
      <c r="A911" s="8">
        <v>12466</v>
      </c>
      <c r="B911" s="8" t="s">
        <v>2151</v>
      </c>
      <c r="C911" s="7" t="s">
        <v>2150</v>
      </c>
      <c r="D911" s="6" t="s">
        <v>15</v>
      </c>
      <c r="E911" s="5" t="s">
        <v>154</v>
      </c>
      <c r="F911" s="4">
        <v>40812</v>
      </c>
      <c r="G911" s="4" t="s">
        <v>1</v>
      </c>
      <c r="H911" s="4" t="s">
        <v>1</v>
      </c>
      <c r="I911" s="3" t="s">
        <v>13</v>
      </c>
      <c r="J911" s="3" t="s">
        <v>12</v>
      </c>
      <c r="K911" s="3" t="s">
        <v>63</v>
      </c>
      <c r="L911" s="3" t="s">
        <v>62</v>
      </c>
      <c r="M911" s="3" t="s">
        <v>565</v>
      </c>
      <c r="N911" s="3" t="s">
        <v>454</v>
      </c>
      <c r="O911" s="3" t="s">
        <v>453</v>
      </c>
      <c r="P911" s="3" t="s">
        <v>72</v>
      </c>
      <c r="Q911" s="3" t="s">
        <v>5</v>
      </c>
      <c r="R911" s="3" t="s">
        <v>4</v>
      </c>
      <c r="S911" s="3" t="s">
        <v>3</v>
      </c>
      <c r="T911" s="3" t="s">
        <v>2</v>
      </c>
      <c r="U911" s="3" t="s">
        <v>1</v>
      </c>
      <c r="V911" s="3" t="s">
        <v>0</v>
      </c>
      <c r="W911" s="2">
        <v>32</v>
      </c>
    </row>
    <row r="912" spans="1:24" hidden="1" x14ac:dyDescent="0.25">
      <c r="A912" s="8">
        <v>23131</v>
      </c>
      <c r="B912" s="8" t="s">
        <v>2149</v>
      </c>
      <c r="C912" s="19" t="s">
        <v>2148</v>
      </c>
      <c r="D912" s="6" t="s">
        <v>15</v>
      </c>
      <c r="E912" s="18" t="s">
        <v>2147</v>
      </c>
      <c r="F912" s="4">
        <v>43369</v>
      </c>
      <c r="G912" s="4" t="s">
        <v>1</v>
      </c>
      <c r="H912" s="4" t="s">
        <v>1</v>
      </c>
      <c r="I912" s="3" t="s">
        <v>13</v>
      </c>
      <c r="J912" s="3" t="s">
        <v>12</v>
      </c>
      <c r="K912" s="3" t="s">
        <v>63</v>
      </c>
      <c r="L912" s="3" t="s">
        <v>62</v>
      </c>
      <c r="M912" s="3" t="s">
        <v>565</v>
      </c>
      <c r="N912" s="3" t="s">
        <v>762</v>
      </c>
      <c r="O912" s="3" t="s">
        <v>453</v>
      </c>
      <c r="P912" s="3" t="s">
        <v>72</v>
      </c>
      <c r="Q912" s="3" t="s">
        <v>5</v>
      </c>
      <c r="R912" s="3" t="s">
        <v>4</v>
      </c>
      <c r="S912" s="3" t="s">
        <v>3</v>
      </c>
      <c r="T912" s="3" t="s">
        <v>2</v>
      </c>
      <c r="U912" s="3" t="s">
        <v>1</v>
      </c>
      <c r="V912" s="3" t="s">
        <v>0</v>
      </c>
      <c r="W912" s="2">
        <v>26</v>
      </c>
    </row>
    <row r="913" spans="1:24" hidden="1" x14ac:dyDescent="0.25">
      <c r="A913" s="8">
        <v>10995</v>
      </c>
      <c r="B913" s="8" t="s">
        <v>2146</v>
      </c>
      <c r="C913" s="7" t="s">
        <v>2145</v>
      </c>
      <c r="D913" s="6" t="s">
        <v>15</v>
      </c>
      <c r="E913" s="5" t="s">
        <v>1434</v>
      </c>
      <c r="F913" s="4">
        <v>40585</v>
      </c>
      <c r="G913" s="4" t="s">
        <v>1</v>
      </c>
      <c r="H913" s="4" t="s">
        <v>1</v>
      </c>
      <c r="I913" s="18" t="s">
        <v>100</v>
      </c>
      <c r="J913" s="18" t="s">
        <v>124</v>
      </c>
      <c r="K913" s="18" t="s">
        <v>33</v>
      </c>
      <c r="L913" s="18" t="s">
        <v>33</v>
      </c>
      <c r="M913" s="18" t="s">
        <v>124</v>
      </c>
      <c r="N913" s="18" t="s">
        <v>194</v>
      </c>
      <c r="O913" s="18" t="s">
        <v>122</v>
      </c>
      <c r="P913" s="5" t="s">
        <v>1</v>
      </c>
      <c r="Q913" s="5" t="s">
        <v>121</v>
      </c>
      <c r="R913" s="3" t="s">
        <v>4</v>
      </c>
      <c r="S913" s="3" t="s">
        <v>3</v>
      </c>
      <c r="T913" s="3" t="s">
        <v>2</v>
      </c>
      <c r="U913" s="3" t="s">
        <v>1</v>
      </c>
      <c r="V913" s="3" t="s">
        <v>0</v>
      </c>
      <c r="W913" s="2">
        <v>36</v>
      </c>
    </row>
    <row r="914" spans="1:24" s="9" customFormat="1" hidden="1" x14ac:dyDescent="0.25">
      <c r="A914" s="17" t="s">
        <v>2144</v>
      </c>
      <c r="B914" s="17" t="s">
        <v>2144</v>
      </c>
      <c r="C914" s="16" t="s">
        <v>2143</v>
      </c>
      <c r="D914" s="15" t="s">
        <v>15</v>
      </c>
      <c r="E914" s="14" t="s">
        <v>263</v>
      </c>
      <c r="F914" s="13">
        <v>40868</v>
      </c>
      <c r="G914" s="13" t="s">
        <v>1</v>
      </c>
      <c r="H914" s="13" t="s">
        <v>1</v>
      </c>
      <c r="I914" s="12" t="s">
        <v>13</v>
      </c>
      <c r="J914" s="12" t="s">
        <v>12</v>
      </c>
      <c r="K914" s="12" t="s">
        <v>63</v>
      </c>
      <c r="L914" s="12" t="s">
        <v>62</v>
      </c>
      <c r="M914" s="12" t="s">
        <v>565</v>
      </c>
      <c r="N914" s="12" t="s">
        <v>22</v>
      </c>
      <c r="O914" s="12" t="s">
        <v>21</v>
      </c>
      <c r="P914" s="12" t="s">
        <v>72</v>
      </c>
      <c r="Q914" s="12" t="s">
        <v>20</v>
      </c>
      <c r="R914" s="12" t="s">
        <v>4</v>
      </c>
      <c r="S914" s="12" t="s">
        <v>3</v>
      </c>
      <c r="T914" s="12" t="s">
        <v>19</v>
      </c>
      <c r="U914" s="12" t="s">
        <v>1</v>
      </c>
      <c r="V914" s="12" t="s">
        <v>0</v>
      </c>
      <c r="W914" s="11">
        <v>31</v>
      </c>
      <c r="X914" s="10"/>
    </row>
    <row r="915" spans="1:24" hidden="1" x14ac:dyDescent="0.25">
      <c r="A915" s="8">
        <v>11019</v>
      </c>
      <c r="B915" s="8" t="s">
        <v>2142</v>
      </c>
      <c r="C915" s="19" t="s">
        <v>2141</v>
      </c>
      <c r="D915" s="6" t="s">
        <v>15</v>
      </c>
      <c r="E915" s="18" t="s">
        <v>1434</v>
      </c>
      <c r="F915" s="4">
        <v>40585</v>
      </c>
      <c r="G915" s="4" t="s">
        <v>1</v>
      </c>
      <c r="H915" s="4" t="s">
        <v>1</v>
      </c>
      <c r="I915" s="3" t="s">
        <v>145</v>
      </c>
      <c r="J915" s="3" t="s">
        <v>12</v>
      </c>
      <c r="K915" s="3" t="s">
        <v>758</v>
      </c>
      <c r="L915" s="3" t="s">
        <v>757</v>
      </c>
      <c r="M915" s="3" t="s">
        <v>756</v>
      </c>
      <c r="N915" s="3" t="s">
        <v>1196</v>
      </c>
      <c r="O915" s="3" t="s">
        <v>21</v>
      </c>
      <c r="P915" s="3" t="s">
        <v>6</v>
      </c>
      <c r="Q915" s="3" t="s">
        <v>20</v>
      </c>
      <c r="R915" s="3" t="s">
        <v>4</v>
      </c>
      <c r="S915" s="3" t="s">
        <v>3</v>
      </c>
      <c r="T915" s="3" t="s">
        <v>19</v>
      </c>
      <c r="U915" s="3" t="s">
        <v>1</v>
      </c>
      <c r="V915" s="3" t="s">
        <v>0</v>
      </c>
      <c r="W915" s="2">
        <v>35</v>
      </c>
    </row>
    <row r="916" spans="1:24" hidden="1" x14ac:dyDescent="0.25">
      <c r="A916" s="8">
        <v>11023</v>
      </c>
      <c r="B916" s="8" t="s">
        <v>2140</v>
      </c>
      <c r="C916" s="7" t="s">
        <v>2139</v>
      </c>
      <c r="D916" s="6" t="s">
        <v>15</v>
      </c>
      <c r="E916" s="5" t="s">
        <v>1434</v>
      </c>
      <c r="F916" s="4">
        <v>40585</v>
      </c>
      <c r="G916" s="4" t="s">
        <v>1</v>
      </c>
      <c r="H916" s="4" t="s">
        <v>1</v>
      </c>
      <c r="I916" s="3" t="s">
        <v>13</v>
      </c>
      <c r="J916" s="3" t="s">
        <v>12</v>
      </c>
      <c r="K916" s="3" t="s">
        <v>63</v>
      </c>
      <c r="L916" s="3" t="s">
        <v>81</v>
      </c>
      <c r="M916" s="3" t="s">
        <v>173</v>
      </c>
      <c r="N916" s="3" t="s">
        <v>1362</v>
      </c>
      <c r="O916" s="3" t="s">
        <v>39</v>
      </c>
      <c r="P916" s="3" t="s">
        <v>6</v>
      </c>
      <c r="Q916" s="3" t="s">
        <v>20</v>
      </c>
      <c r="R916" s="3" t="s">
        <v>4</v>
      </c>
      <c r="S916" s="3" t="s">
        <v>3</v>
      </c>
      <c r="T916" s="3" t="s">
        <v>1361</v>
      </c>
      <c r="U916" s="3" t="s">
        <v>1</v>
      </c>
      <c r="V916" s="3" t="s">
        <v>0</v>
      </c>
      <c r="W916" s="2">
        <v>34</v>
      </c>
    </row>
    <row r="917" spans="1:24" s="78" customFormat="1" hidden="1" x14ac:dyDescent="0.25">
      <c r="A917" s="73">
        <v>5940</v>
      </c>
      <c r="B917" s="73" t="s">
        <v>2138</v>
      </c>
      <c r="C917" s="87" t="s">
        <v>2137</v>
      </c>
      <c r="D917" s="88" t="s">
        <v>15</v>
      </c>
      <c r="E917" s="89" t="s">
        <v>248</v>
      </c>
      <c r="F917" s="90">
        <v>39129</v>
      </c>
      <c r="G917" s="90" t="s">
        <v>1</v>
      </c>
      <c r="H917" s="90" t="s">
        <v>1</v>
      </c>
      <c r="I917" s="92" t="s">
        <v>13</v>
      </c>
      <c r="J917" s="92" t="s">
        <v>12</v>
      </c>
      <c r="K917" s="92" t="s">
        <v>132</v>
      </c>
      <c r="L917" s="92" t="s">
        <v>400</v>
      </c>
      <c r="M917" s="92" t="s">
        <v>399</v>
      </c>
      <c r="N917" s="92" t="s">
        <v>1078</v>
      </c>
      <c r="O917" s="92" t="s">
        <v>29</v>
      </c>
      <c r="P917" s="92" t="s">
        <v>72</v>
      </c>
      <c r="Q917" s="92" t="s">
        <v>20</v>
      </c>
      <c r="R917" s="92" t="s">
        <v>4</v>
      </c>
      <c r="S917" s="92" t="s">
        <v>3</v>
      </c>
      <c r="T917" s="92" t="s">
        <v>1077</v>
      </c>
      <c r="U917" s="92" t="s">
        <v>1</v>
      </c>
      <c r="V917" s="92" t="s">
        <v>0</v>
      </c>
      <c r="W917" s="93">
        <v>38</v>
      </c>
    </row>
    <row r="918" spans="1:24" s="78" customFormat="1" hidden="1" x14ac:dyDescent="0.25">
      <c r="A918" s="108">
        <v>9558</v>
      </c>
      <c r="B918" s="73" t="s">
        <v>2136</v>
      </c>
      <c r="C918" s="102" t="s">
        <v>2135</v>
      </c>
      <c r="D918" s="88" t="s">
        <v>15</v>
      </c>
      <c r="E918" s="91" t="s">
        <v>491</v>
      </c>
      <c r="F918" s="90">
        <v>40154</v>
      </c>
      <c r="G918" s="90" t="s">
        <v>1</v>
      </c>
      <c r="H918" s="90" t="s">
        <v>1</v>
      </c>
      <c r="I918" s="92" t="s">
        <v>13</v>
      </c>
      <c r="J918" s="92" t="s">
        <v>12</v>
      </c>
      <c r="K918" s="92" t="s">
        <v>132</v>
      </c>
      <c r="L918" s="92" t="s">
        <v>400</v>
      </c>
      <c r="M918" s="92" t="s">
        <v>399</v>
      </c>
      <c r="N918" s="92" t="s">
        <v>1552</v>
      </c>
      <c r="O918" s="92" t="s">
        <v>59</v>
      </c>
      <c r="P918" s="92" t="s">
        <v>72</v>
      </c>
      <c r="Q918" s="92" t="s">
        <v>5</v>
      </c>
      <c r="R918" s="92" t="s">
        <v>4</v>
      </c>
      <c r="S918" s="92" t="s">
        <v>3</v>
      </c>
      <c r="T918" s="92" t="s">
        <v>2</v>
      </c>
      <c r="U918" s="92" t="s">
        <v>1</v>
      </c>
      <c r="V918" s="92" t="s">
        <v>0</v>
      </c>
      <c r="W918" s="93">
        <v>33</v>
      </c>
    </row>
    <row r="919" spans="1:24" s="78" customFormat="1" hidden="1" x14ac:dyDescent="0.25">
      <c r="A919" s="73">
        <v>9960</v>
      </c>
      <c r="B919" s="73" t="s">
        <v>2134</v>
      </c>
      <c r="C919" s="119" t="s">
        <v>2133</v>
      </c>
      <c r="D919" s="88" t="s">
        <v>15</v>
      </c>
      <c r="E919" s="73" t="s">
        <v>1041</v>
      </c>
      <c r="F919" s="90">
        <v>40431</v>
      </c>
      <c r="G919" s="90" t="s">
        <v>1</v>
      </c>
      <c r="H919" s="90" t="s">
        <v>1</v>
      </c>
      <c r="I919" s="92" t="s">
        <v>13</v>
      </c>
      <c r="J919" s="92" t="s">
        <v>12</v>
      </c>
      <c r="K919" s="92" t="s">
        <v>132</v>
      </c>
      <c r="L919" s="92" t="s">
        <v>400</v>
      </c>
      <c r="M919" s="92" t="s">
        <v>399</v>
      </c>
      <c r="N919" s="92" t="s">
        <v>2132</v>
      </c>
      <c r="O919" s="92" t="s">
        <v>59</v>
      </c>
      <c r="P919" s="92" t="s">
        <v>72</v>
      </c>
      <c r="Q919" s="92" t="s">
        <v>5</v>
      </c>
      <c r="R919" s="92" t="s">
        <v>4</v>
      </c>
      <c r="S919" s="92" t="s">
        <v>3</v>
      </c>
      <c r="T919" s="92" t="s">
        <v>2</v>
      </c>
      <c r="U919" s="92" t="s">
        <v>1</v>
      </c>
      <c r="V919" s="92" t="s">
        <v>0</v>
      </c>
      <c r="W919" s="93">
        <v>32</v>
      </c>
    </row>
    <row r="920" spans="1:24" hidden="1" x14ac:dyDescent="0.25">
      <c r="A920" s="8">
        <v>10538</v>
      </c>
      <c r="B920" s="8" t="s">
        <v>2131</v>
      </c>
      <c r="C920" s="7" t="s">
        <v>2130</v>
      </c>
      <c r="D920" s="6" t="s">
        <v>15</v>
      </c>
      <c r="E920" s="5" t="s">
        <v>157</v>
      </c>
      <c r="F920" s="4">
        <v>40535</v>
      </c>
      <c r="G920" s="4" t="s">
        <v>1</v>
      </c>
      <c r="H920" s="4" t="s">
        <v>1</v>
      </c>
      <c r="I920" s="3" t="s">
        <v>13</v>
      </c>
      <c r="J920" s="3" t="s">
        <v>12</v>
      </c>
      <c r="K920" s="3" t="s">
        <v>132</v>
      </c>
      <c r="L920" s="3" t="s">
        <v>400</v>
      </c>
      <c r="M920" s="3" t="s">
        <v>399</v>
      </c>
      <c r="N920" s="3" t="s">
        <v>22</v>
      </c>
      <c r="O920" s="3" t="s">
        <v>21</v>
      </c>
      <c r="P920" s="3" t="s">
        <v>72</v>
      </c>
      <c r="Q920" s="3" t="s">
        <v>20</v>
      </c>
      <c r="R920" s="3" t="s">
        <v>4</v>
      </c>
      <c r="S920" s="3" t="s">
        <v>3</v>
      </c>
      <c r="T920" s="3" t="s">
        <v>19</v>
      </c>
      <c r="U920" s="3" t="s">
        <v>1</v>
      </c>
      <c r="V920" s="3" t="s">
        <v>0</v>
      </c>
      <c r="W920" s="2">
        <v>35</v>
      </c>
    </row>
    <row r="921" spans="1:24" hidden="1" x14ac:dyDescent="0.25">
      <c r="A921" s="8">
        <v>11047</v>
      </c>
      <c r="B921" s="8" t="s">
        <v>2129</v>
      </c>
      <c r="C921" s="7" t="s">
        <v>2128</v>
      </c>
      <c r="D921" s="6" t="s">
        <v>15</v>
      </c>
      <c r="E921" s="5" t="s">
        <v>1108</v>
      </c>
      <c r="F921" s="4">
        <v>40592</v>
      </c>
      <c r="G921" s="4" t="s">
        <v>1</v>
      </c>
      <c r="H921" s="4" t="s">
        <v>1</v>
      </c>
      <c r="I921" s="18" t="s">
        <v>100</v>
      </c>
      <c r="J921" s="18" t="s">
        <v>124</v>
      </c>
      <c r="K921" s="18" t="s">
        <v>33</v>
      </c>
      <c r="L921" s="18" t="s">
        <v>33</v>
      </c>
      <c r="M921" s="18" t="s">
        <v>124</v>
      </c>
      <c r="N921" s="18" t="s">
        <v>194</v>
      </c>
      <c r="O921" s="18" t="s">
        <v>122</v>
      </c>
      <c r="P921" s="5" t="s">
        <v>1</v>
      </c>
      <c r="Q921" s="5" t="s">
        <v>121</v>
      </c>
      <c r="R921" s="3" t="s">
        <v>4</v>
      </c>
      <c r="S921" s="3" t="s">
        <v>3</v>
      </c>
      <c r="T921" s="3" t="s">
        <v>2</v>
      </c>
      <c r="U921" s="3" t="s">
        <v>1</v>
      </c>
      <c r="V921" s="3" t="s">
        <v>0</v>
      </c>
      <c r="W921" s="2">
        <v>33</v>
      </c>
    </row>
    <row r="922" spans="1:24" hidden="1" x14ac:dyDescent="0.25">
      <c r="A922" s="8">
        <v>11051</v>
      </c>
      <c r="B922" s="8" t="s">
        <v>2127</v>
      </c>
      <c r="C922" s="7" t="s">
        <v>2126</v>
      </c>
      <c r="D922" s="6" t="s">
        <v>15</v>
      </c>
      <c r="E922" s="5" t="s">
        <v>1108</v>
      </c>
      <c r="F922" s="4">
        <v>40592</v>
      </c>
      <c r="G922" s="4" t="s">
        <v>1</v>
      </c>
      <c r="H922" s="4" t="s">
        <v>1</v>
      </c>
      <c r="I922" s="3" t="s">
        <v>145</v>
      </c>
      <c r="J922" s="3" t="s">
        <v>34</v>
      </c>
      <c r="K922" s="3" t="s">
        <v>33</v>
      </c>
      <c r="L922" s="3" t="s">
        <v>33</v>
      </c>
      <c r="M922" s="3" t="s">
        <v>161</v>
      </c>
      <c r="N922" s="3" t="s">
        <v>160</v>
      </c>
      <c r="O922" s="3" t="s">
        <v>100</v>
      </c>
      <c r="P922" s="3" t="s">
        <v>30</v>
      </c>
      <c r="Q922" s="3" t="s">
        <v>20</v>
      </c>
      <c r="R922" s="3" t="s">
        <v>4</v>
      </c>
      <c r="S922" s="3" t="s">
        <v>3</v>
      </c>
      <c r="T922" s="3" t="s">
        <v>2</v>
      </c>
      <c r="U922" s="3" t="s">
        <v>1</v>
      </c>
      <c r="V922" s="3" t="s">
        <v>0</v>
      </c>
      <c r="W922" s="2">
        <v>33</v>
      </c>
    </row>
    <row r="923" spans="1:24" hidden="1" x14ac:dyDescent="0.25">
      <c r="A923" s="8">
        <v>519</v>
      </c>
      <c r="B923" s="8" t="s">
        <v>2125</v>
      </c>
      <c r="C923" s="7" t="s">
        <v>2124</v>
      </c>
      <c r="D923" s="6" t="s">
        <v>15</v>
      </c>
      <c r="E923" s="5" t="s">
        <v>2123</v>
      </c>
      <c r="F923" s="4">
        <v>37767</v>
      </c>
      <c r="G923" s="4" t="s">
        <v>1</v>
      </c>
      <c r="H923" s="4" t="s">
        <v>1</v>
      </c>
      <c r="I923" s="3" t="s">
        <v>13</v>
      </c>
      <c r="J923" s="3" t="s">
        <v>12</v>
      </c>
      <c r="K923" s="3" t="s">
        <v>63</v>
      </c>
      <c r="L923" s="3" t="s">
        <v>81</v>
      </c>
      <c r="M923" s="3" t="s">
        <v>173</v>
      </c>
      <c r="N923" s="3" t="s">
        <v>1362</v>
      </c>
      <c r="O923" s="3" t="s">
        <v>39</v>
      </c>
      <c r="P923" s="3" t="s">
        <v>72</v>
      </c>
      <c r="Q923" s="3" t="s">
        <v>20</v>
      </c>
      <c r="R923" s="3" t="s">
        <v>4</v>
      </c>
      <c r="S923" s="3" t="s">
        <v>3</v>
      </c>
      <c r="T923" s="3" t="s">
        <v>1361</v>
      </c>
      <c r="U923" s="3" t="s">
        <v>1</v>
      </c>
      <c r="V923" s="3" t="s">
        <v>0</v>
      </c>
      <c r="W923" s="2">
        <v>41</v>
      </c>
    </row>
    <row r="924" spans="1:24" s="78" customFormat="1" hidden="1" x14ac:dyDescent="0.25">
      <c r="A924" s="73">
        <v>1273</v>
      </c>
      <c r="B924" s="73" t="s">
        <v>2122</v>
      </c>
      <c r="C924" s="87" t="s">
        <v>2121</v>
      </c>
      <c r="D924" s="88" t="s">
        <v>15</v>
      </c>
      <c r="E924" s="89" t="s">
        <v>1581</v>
      </c>
      <c r="F924" s="90">
        <v>37921</v>
      </c>
      <c r="G924" s="90" t="s">
        <v>1</v>
      </c>
      <c r="H924" s="90" t="s">
        <v>1</v>
      </c>
      <c r="I924" s="92" t="s">
        <v>13</v>
      </c>
      <c r="J924" s="92" t="s">
        <v>12</v>
      </c>
      <c r="K924" s="92" t="s">
        <v>63</v>
      </c>
      <c r="L924" s="92" t="s">
        <v>81</v>
      </c>
      <c r="M924" s="92" t="s">
        <v>173</v>
      </c>
      <c r="N924" s="92" t="s">
        <v>2120</v>
      </c>
      <c r="O924" s="92" t="s">
        <v>258</v>
      </c>
      <c r="P924" s="92" t="s">
        <v>72</v>
      </c>
      <c r="Q924" s="92" t="s">
        <v>5</v>
      </c>
      <c r="R924" s="129" t="s">
        <v>4</v>
      </c>
      <c r="S924" s="129" t="s">
        <v>3</v>
      </c>
      <c r="T924" s="129" t="s">
        <v>2</v>
      </c>
      <c r="U924" s="92" t="s">
        <v>1</v>
      </c>
      <c r="V924" s="92" t="s">
        <v>0</v>
      </c>
      <c r="W924" s="93">
        <v>40</v>
      </c>
    </row>
    <row r="925" spans="1:24" hidden="1" x14ac:dyDescent="0.25">
      <c r="A925" s="8">
        <v>11079</v>
      </c>
      <c r="B925" s="8" t="s">
        <v>2119</v>
      </c>
      <c r="C925" s="7" t="s">
        <v>2118</v>
      </c>
      <c r="D925" s="6" t="s">
        <v>15</v>
      </c>
      <c r="E925" s="5" t="s">
        <v>2111</v>
      </c>
      <c r="F925" s="4">
        <v>40595</v>
      </c>
      <c r="G925" s="4" t="s">
        <v>1</v>
      </c>
      <c r="H925" s="4" t="s">
        <v>1</v>
      </c>
      <c r="I925" s="3" t="s">
        <v>145</v>
      </c>
      <c r="J925" s="3" t="s">
        <v>12</v>
      </c>
      <c r="K925" s="3" t="s">
        <v>262</v>
      </c>
      <c r="L925" s="3" t="s">
        <v>261</v>
      </c>
      <c r="M925" s="3" t="s">
        <v>329</v>
      </c>
      <c r="N925" s="3" t="s">
        <v>771</v>
      </c>
      <c r="O925" s="3" t="s">
        <v>771</v>
      </c>
      <c r="P925" s="3" t="s">
        <v>6</v>
      </c>
      <c r="Q925" s="3" t="s">
        <v>20</v>
      </c>
      <c r="R925" s="3" t="s">
        <v>4</v>
      </c>
      <c r="S925" s="3" t="s">
        <v>3</v>
      </c>
      <c r="T925" s="3" t="s">
        <v>2</v>
      </c>
      <c r="U925" s="3" t="s">
        <v>1</v>
      </c>
      <c r="V925" s="3" t="s">
        <v>0</v>
      </c>
      <c r="W925" s="2">
        <v>31</v>
      </c>
    </row>
    <row r="926" spans="1:24" s="9" customFormat="1" hidden="1" x14ac:dyDescent="0.25">
      <c r="A926" s="17">
        <v>11084</v>
      </c>
      <c r="B926" s="17" t="s">
        <v>2117</v>
      </c>
      <c r="C926" s="16" t="s">
        <v>2116</v>
      </c>
      <c r="D926" s="15" t="s">
        <v>15</v>
      </c>
      <c r="E926" s="14" t="s">
        <v>2111</v>
      </c>
      <c r="F926" s="13">
        <v>40595</v>
      </c>
      <c r="G926" s="13" t="s">
        <v>1</v>
      </c>
      <c r="H926" s="13" t="s">
        <v>1</v>
      </c>
      <c r="I926" s="12" t="s">
        <v>145</v>
      </c>
      <c r="J926" s="12" t="s">
        <v>133</v>
      </c>
      <c r="K926" s="12" t="s">
        <v>879</v>
      </c>
      <c r="L926" s="12" t="s">
        <v>879</v>
      </c>
      <c r="M926" s="12" t="s">
        <v>878</v>
      </c>
      <c r="N926" s="12" t="s">
        <v>209</v>
      </c>
      <c r="O926" s="12" t="s">
        <v>208</v>
      </c>
      <c r="P926" s="12" t="s">
        <v>72</v>
      </c>
      <c r="Q926" s="12" t="s">
        <v>47</v>
      </c>
      <c r="R926" s="12" t="s">
        <v>4</v>
      </c>
      <c r="S926" s="12" t="s">
        <v>3</v>
      </c>
      <c r="T926" s="12" t="s">
        <v>2</v>
      </c>
      <c r="U926" s="12" t="s">
        <v>1</v>
      </c>
      <c r="V926" s="12" t="s">
        <v>0</v>
      </c>
      <c r="W926" s="11">
        <v>32</v>
      </c>
      <c r="X926" s="10"/>
    </row>
    <row r="927" spans="1:24" s="78" customFormat="1" hidden="1" x14ac:dyDescent="0.25">
      <c r="A927" s="73">
        <v>8786</v>
      </c>
      <c r="B927" s="73" t="s">
        <v>2115</v>
      </c>
      <c r="C927" s="87" t="s">
        <v>2114</v>
      </c>
      <c r="D927" s="88" t="s">
        <v>15</v>
      </c>
      <c r="E927" s="89" t="s">
        <v>222</v>
      </c>
      <c r="F927" s="90">
        <v>39931</v>
      </c>
      <c r="G927" s="90" t="s">
        <v>1</v>
      </c>
      <c r="H927" s="90" t="s">
        <v>1</v>
      </c>
      <c r="I927" s="92" t="s">
        <v>13</v>
      </c>
      <c r="J927" s="92" t="s">
        <v>12</v>
      </c>
      <c r="K927" s="92" t="s">
        <v>63</v>
      </c>
      <c r="L927" s="92" t="s">
        <v>81</v>
      </c>
      <c r="M927" s="92" t="s">
        <v>173</v>
      </c>
      <c r="N927" s="92" t="s">
        <v>1078</v>
      </c>
      <c r="O927" s="92" t="s">
        <v>29</v>
      </c>
      <c r="P927" s="92" t="s">
        <v>72</v>
      </c>
      <c r="Q927" s="92" t="s">
        <v>20</v>
      </c>
      <c r="R927" s="92" t="s">
        <v>4</v>
      </c>
      <c r="S927" s="92" t="s">
        <v>3</v>
      </c>
      <c r="T927" s="92" t="s">
        <v>1077</v>
      </c>
      <c r="U927" s="92" t="s">
        <v>1</v>
      </c>
      <c r="V927" s="92" t="s">
        <v>0</v>
      </c>
      <c r="W927" s="93">
        <v>34</v>
      </c>
    </row>
    <row r="928" spans="1:24" hidden="1" x14ac:dyDescent="0.25">
      <c r="A928" s="8">
        <v>11093</v>
      </c>
      <c r="B928" s="8" t="s">
        <v>2113</v>
      </c>
      <c r="C928" s="7" t="s">
        <v>2112</v>
      </c>
      <c r="D928" s="6" t="s">
        <v>15</v>
      </c>
      <c r="E928" s="5" t="s">
        <v>2111</v>
      </c>
      <c r="F928" s="4">
        <v>40595</v>
      </c>
      <c r="G928" s="4" t="s">
        <v>1</v>
      </c>
      <c r="H928" s="4" t="s">
        <v>1</v>
      </c>
      <c r="I928" s="3" t="s">
        <v>384</v>
      </c>
      <c r="J928" s="3" t="s">
        <v>1709</v>
      </c>
      <c r="K928" s="3" t="s">
        <v>33</v>
      </c>
      <c r="L928" s="3" t="s">
        <v>33</v>
      </c>
      <c r="M928" s="3" t="s">
        <v>1709</v>
      </c>
      <c r="N928" s="3" t="s">
        <v>1708</v>
      </c>
      <c r="O928" s="3" t="s">
        <v>387</v>
      </c>
      <c r="P928" s="3" t="s">
        <v>30</v>
      </c>
      <c r="Q928" s="3" t="s">
        <v>47</v>
      </c>
      <c r="R928" s="3" t="s">
        <v>4</v>
      </c>
      <c r="S928" s="3" t="s">
        <v>3</v>
      </c>
      <c r="T928" s="3" t="s">
        <v>2</v>
      </c>
      <c r="U928" s="3" t="s">
        <v>1</v>
      </c>
      <c r="V928" s="3" t="s">
        <v>0</v>
      </c>
      <c r="W928" s="2">
        <v>34</v>
      </c>
    </row>
    <row r="929" spans="1:24" hidden="1" x14ac:dyDescent="0.25">
      <c r="A929" s="8">
        <v>11095</v>
      </c>
      <c r="B929" s="8" t="s">
        <v>2110</v>
      </c>
      <c r="C929" s="7" t="s">
        <v>2109</v>
      </c>
      <c r="D929" s="6" t="s">
        <v>15</v>
      </c>
      <c r="E929" s="5" t="s">
        <v>722</v>
      </c>
      <c r="F929" s="4">
        <v>40603</v>
      </c>
      <c r="G929" s="4" t="s">
        <v>1</v>
      </c>
      <c r="H929" s="4" t="s">
        <v>1</v>
      </c>
      <c r="I929" s="3" t="s">
        <v>13</v>
      </c>
      <c r="J929" s="3" t="s">
        <v>133</v>
      </c>
      <c r="K929" s="3" t="s">
        <v>262</v>
      </c>
      <c r="L929" s="3" t="s">
        <v>262</v>
      </c>
      <c r="M929" s="3" t="s">
        <v>277</v>
      </c>
      <c r="N929" s="3" t="s">
        <v>2108</v>
      </c>
      <c r="O929" s="3" t="s">
        <v>128</v>
      </c>
      <c r="P929" s="3" t="s">
        <v>6</v>
      </c>
      <c r="Q929" s="3" t="s">
        <v>5</v>
      </c>
      <c r="R929" s="3" t="s">
        <v>4</v>
      </c>
      <c r="S929" s="3" t="s">
        <v>3</v>
      </c>
      <c r="T929" s="3" t="s">
        <v>2</v>
      </c>
      <c r="U929" s="3" t="s">
        <v>1</v>
      </c>
      <c r="V929" s="3" t="s">
        <v>0</v>
      </c>
      <c r="W929" s="2">
        <v>34</v>
      </c>
    </row>
    <row r="930" spans="1:24" s="9" customFormat="1" hidden="1" x14ac:dyDescent="0.25">
      <c r="A930" s="17">
        <v>9426</v>
      </c>
      <c r="B930" s="17" t="s">
        <v>2107</v>
      </c>
      <c r="C930" s="16" t="s">
        <v>2106</v>
      </c>
      <c r="D930" s="15" t="s">
        <v>15</v>
      </c>
      <c r="E930" s="14" t="s">
        <v>491</v>
      </c>
      <c r="F930" s="13">
        <v>40148</v>
      </c>
      <c r="G930" s="13" t="s">
        <v>1</v>
      </c>
      <c r="H930" s="13" t="s">
        <v>1</v>
      </c>
      <c r="I930" s="12" t="s">
        <v>13</v>
      </c>
      <c r="J930" s="12" t="s">
        <v>12</v>
      </c>
      <c r="K930" s="12" t="s">
        <v>63</v>
      </c>
      <c r="L930" s="12" t="s">
        <v>81</v>
      </c>
      <c r="M930" s="12" t="s">
        <v>173</v>
      </c>
      <c r="N930" s="12" t="s">
        <v>2105</v>
      </c>
      <c r="O930" s="12" t="s">
        <v>258</v>
      </c>
      <c r="P930" s="12" t="s">
        <v>72</v>
      </c>
      <c r="Q930" s="12" t="s">
        <v>5</v>
      </c>
      <c r="R930" s="12" t="s">
        <v>4</v>
      </c>
      <c r="S930" s="12" t="s">
        <v>3</v>
      </c>
      <c r="T930" s="12" t="s">
        <v>2</v>
      </c>
      <c r="U930" s="12" t="s">
        <v>1</v>
      </c>
      <c r="V930" s="12" t="s">
        <v>0</v>
      </c>
      <c r="W930" s="11">
        <v>34</v>
      </c>
      <c r="X930" s="10"/>
    </row>
    <row r="931" spans="1:24" s="78" customFormat="1" hidden="1" x14ac:dyDescent="0.25">
      <c r="A931" s="73">
        <v>9436</v>
      </c>
      <c r="B931" s="73" t="s">
        <v>2104</v>
      </c>
      <c r="C931" s="106" t="s">
        <v>2103</v>
      </c>
      <c r="D931" s="107" t="s">
        <v>15</v>
      </c>
      <c r="E931" s="89" t="s">
        <v>491</v>
      </c>
      <c r="F931" s="90">
        <v>40148</v>
      </c>
      <c r="G931" s="90" t="s">
        <v>1</v>
      </c>
      <c r="H931" s="90" t="s">
        <v>1</v>
      </c>
      <c r="I931" s="92" t="s">
        <v>13</v>
      </c>
      <c r="J931" s="92" t="s">
        <v>12</v>
      </c>
      <c r="K931" s="92" t="s">
        <v>63</v>
      </c>
      <c r="L931" s="92" t="s">
        <v>81</v>
      </c>
      <c r="M931" s="92" t="s">
        <v>173</v>
      </c>
      <c r="N931" s="92" t="s">
        <v>1996</v>
      </c>
      <c r="O931" s="92" t="s">
        <v>59</v>
      </c>
      <c r="P931" s="92" t="s">
        <v>72</v>
      </c>
      <c r="Q931" s="92" t="s">
        <v>5</v>
      </c>
      <c r="R931" s="92" t="s">
        <v>4</v>
      </c>
      <c r="S931" s="92" t="s">
        <v>3</v>
      </c>
      <c r="T931" s="92" t="s">
        <v>2</v>
      </c>
      <c r="U931" s="92" t="s">
        <v>1</v>
      </c>
      <c r="V931" s="92" t="s">
        <v>0</v>
      </c>
      <c r="W931" s="93">
        <v>33</v>
      </c>
    </row>
    <row r="932" spans="1:24" hidden="1" x14ac:dyDescent="0.25">
      <c r="A932" s="8">
        <v>11113</v>
      </c>
      <c r="B932" s="8" t="s">
        <v>2102</v>
      </c>
      <c r="C932" s="7" t="s">
        <v>2101</v>
      </c>
      <c r="D932" s="6" t="s">
        <v>15</v>
      </c>
      <c r="E932" s="5" t="s">
        <v>722</v>
      </c>
      <c r="F932" s="4">
        <v>40603</v>
      </c>
      <c r="G932" s="4" t="s">
        <v>1</v>
      </c>
      <c r="H932" s="4" t="s">
        <v>1</v>
      </c>
      <c r="I932" s="3" t="s">
        <v>13</v>
      </c>
      <c r="J932" s="3" t="s">
        <v>12</v>
      </c>
      <c r="K932" s="3" t="s">
        <v>132</v>
      </c>
      <c r="L932" s="3" t="s">
        <v>218</v>
      </c>
      <c r="M932" s="3" t="s">
        <v>1968</v>
      </c>
      <c r="N932" s="3" t="s">
        <v>2100</v>
      </c>
      <c r="O932" s="3" t="s">
        <v>67</v>
      </c>
      <c r="P932" s="3" t="s">
        <v>6</v>
      </c>
      <c r="Q932" s="3" t="s">
        <v>5</v>
      </c>
      <c r="R932" s="3" t="s">
        <v>4</v>
      </c>
      <c r="S932" s="3" t="s">
        <v>3</v>
      </c>
      <c r="T932" s="3" t="s">
        <v>2</v>
      </c>
      <c r="U932" s="3" t="s">
        <v>1</v>
      </c>
      <c r="V932" s="3" t="s">
        <v>0</v>
      </c>
      <c r="W932" s="2">
        <v>33</v>
      </c>
    </row>
    <row r="933" spans="1:24" hidden="1" x14ac:dyDescent="0.25">
      <c r="A933" s="8">
        <v>11124</v>
      </c>
      <c r="B933" s="8" t="s">
        <v>2099</v>
      </c>
      <c r="C933" s="19" t="s">
        <v>2098</v>
      </c>
      <c r="D933" s="6" t="s">
        <v>15</v>
      </c>
      <c r="E933" s="5" t="s">
        <v>722</v>
      </c>
      <c r="F933" s="4">
        <v>40603</v>
      </c>
      <c r="G933" s="4" t="s">
        <v>1</v>
      </c>
      <c r="H933" s="4" t="s">
        <v>1</v>
      </c>
      <c r="I933" s="3" t="s">
        <v>13</v>
      </c>
      <c r="J933" s="3" t="s">
        <v>12</v>
      </c>
      <c r="K933" s="3" t="s">
        <v>262</v>
      </c>
      <c r="L933" s="3" t="s">
        <v>261</v>
      </c>
      <c r="M933" s="3" t="s">
        <v>329</v>
      </c>
      <c r="N933" s="3" t="s">
        <v>2097</v>
      </c>
      <c r="O933" s="3" t="s">
        <v>67</v>
      </c>
      <c r="P933" s="3" t="s">
        <v>6</v>
      </c>
      <c r="Q933" s="3" t="s">
        <v>5</v>
      </c>
      <c r="R933" s="3" t="s">
        <v>4</v>
      </c>
      <c r="S933" s="3" t="s">
        <v>3</v>
      </c>
      <c r="T933" s="3" t="s">
        <v>2</v>
      </c>
      <c r="U933" s="3" t="s">
        <v>1</v>
      </c>
      <c r="V933" s="3" t="s">
        <v>0</v>
      </c>
      <c r="W933" s="2">
        <v>34</v>
      </c>
    </row>
    <row r="934" spans="1:24" hidden="1" x14ac:dyDescent="0.25">
      <c r="A934" s="8">
        <v>11137</v>
      </c>
      <c r="B934" s="8" t="s">
        <v>2096</v>
      </c>
      <c r="C934" s="7" t="s">
        <v>2095</v>
      </c>
      <c r="D934" s="6" t="s">
        <v>15</v>
      </c>
      <c r="E934" s="5" t="s">
        <v>722</v>
      </c>
      <c r="F934" s="4">
        <v>40603</v>
      </c>
      <c r="G934" s="4" t="s">
        <v>1</v>
      </c>
      <c r="H934" s="4" t="s">
        <v>1</v>
      </c>
      <c r="I934" s="3" t="s">
        <v>145</v>
      </c>
      <c r="J934" s="3" t="s">
        <v>12</v>
      </c>
      <c r="K934" s="3" t="s">
        <v>11</v>
      </c>
      <c r="L934" s="3" t="s">
        <v>10</v>
      </c>
      <c r="M934" s="3" t="s">
        <v>9</v>
      </c>
      <c r="N934" s="3" t="s">
        <v>771</v>
      </c>
      <c r="O934" s="3" t="s">
        <v>771</v>
      </c>
      <c r="P934" s="3" t="s">
        <v>6</v>
      </c>
      <c r="Q934" s="3" t="s">
        <v>20</v>
      </c>
      <c r="R934" s="3" t="s">
        <v>4</v>
      </c>
      <c r="S934" s="3" t="s">
        <v>3</v>
      </c>
      <c r="T934" s="3" t="s">
        <v>2</v>
      </c>
      <c r="U934" s="3" t="s">
        <v>1</v>
      </c>
      <c r="V934" s="3" t="s">
        <v>0</v>
      </c>
      <c r="W934" s="2">
        <v>34</v>
      </c>
    </row>
    <row r="935" spans="1:24" hidden="1" x14ac:dyDescent="0.25">
      <c r="A935" s="8">
        <v>11161</v>
      </c>
      <c r="B935" s="8" t="s">
        <v>2094</v>
      </c>
      <c r="C935" s="7" t="s">
        <v>2093</v>
      </c>
      <c r="D935" s="6" t="s">
        <v>15</v>
      </c>
      <c r="E935" s="8" t="s">
        <v>2092</v>
      </c>
      <c r="F935" s="4">
        <v>40602</v>
      </c>
      <c r="G935" s="4" t="s">
        <v>1</v>
      </c>
      <c r="H935" s="4" t="s">
        <v>1</v>
      </c>
      <c r="I935" s="5" t="s">
        <v>50</v>
      </c>
      <c r="J935" s="5" t="s">
        <v>734</v>
      </c>
      <c r="K935" s="5" t="s">
        <v>33</v>
      </c>
      <c r="L935" s="5" t="s">
        <v>33</v>
      </c>
      <c r="M935" s="5" t="s">
        <v>1072</v>
      </c>
      <c r="N935" s="5" t="s">
        <v>2091</v>
      </c>
      <c r="O935" s="5" t="s">
        <v>734</v>
      </c>
      <c r="P935" s="5" t="s">
        <v>6</v>
      </c>
      <c r="Q935" s="5" t="s">
        <v>47</v>
      </c>
      <c r="R935" s="3" t="s">
        <v>4</v>
      </c>
      <c r="S935" s="3" t="s">
        <v>3</v>
      </c>
      <c r="T935" s="3" t="s">
        <v>121</v>
      </c>
      <c r="U935" s="3" t="s">
        <v>1</v>
      </c>
      <c r="V935" s="3" t="s">
        <v>18</v>
      </c>
      <c r="W935" s="2">
        <v>33</v>
      </c>
    </row>
    <row r="936" spans="1:24" hidden="1" x14ac:dyDescent="0.25">
      <c r="A936" s="8">
        <v>11165</v>
      </c>
      <c r="B936" s="8" t="s">
        <v>2090</v>
      </c>
      <c r="C936" s="7" t="s">
        <v>2089</v>
      </c>
      <c r="D936" s="6" t="s">
        <v>15</v>
      </c>
      <c r="E936" s="5" t="s">
        <v>2082</v>
      </c>
      <c r="F936" s="4">
        <v>40610</v>
      </c>
      <c r="G936" s="4" t="s">
        <v>1</v>
      </c>
      <c r="H936" s="4" t="s">
        <v>1</v>
      </c>
      <c r="I936" s="5" t="s">
        <v>100</v>
      </c>
      <c r="J936" s="5" t="s">
        <v>738</v>
      </c>
      <c r="K936" s="5" t="s">
        <v>33</v>
      </c>
      <c r="L936" s="5" t="s">
        <v>33</v>
      </c>
      <c r="M936" s="5" t="s">
        <v>739</v>
      </c>
      <c r="N936" s="5" t="s">
        <v>738</v>
      </c>
      <c r="O936" s="5" t="s">
        <v>122</v>
      </c>
      <c r="P936" s="5" t="s">
        <v>30</v>
      </c>
      <c r="Q936" s="5" t="s">
        <v>121</v>
      </c>
      <c r="R936" s="3" t="s">
        <v>4</v>
      </c>
      <c r="S936" s="3" t="s">
        <v>3</v>
      </c>
      <c r="T936" s="3" t="s">
        <v>2</v>
      </c>
      <c r="U936" s="3" t="s">
        <v>1</v>
      </c>
      <c r="V936" s="3" t="s">
        <v>0</v>
      </c>
      <c r="W936" s="2">
        <v>34</v>
      </c>
    </row>
    <row r="937" spans="1:24" hidden="1" x14ac:dyDescent="0.25">
      <c r="A937" s="8">
        <v>11166</v>
      </c>
      <c r="B937" s="8" t="s">
        <v>2088</v>
      </c>
      <c r="C937" s="7" t="s">
        <v>2087</v>
      </c>
      <c r="D937" s="6" t="s">
        <v>15</v>
      </c>
      <c r="E937" s="5" t="s">
        <v>2082</v>
      </c>
      <c r="F937" s="4">
        <v>40610</v>
      </c>
      <c r="G937" s="4" t="s">
        <v>1</v>
      </c>
      <c r="H937" s="4" t="s">
        <v>1</v>
      </c>
      <c r="I937" s="3" t="s">
        <v>13</v>
      </c>
      <c r="J937" s="3" t="s">
        <v>12</v>
      </c>
      <c r="K937" s="3" t="s">
        <v>132</v>
      </c>
      <c r="L937" s="3" t="s">
        <v>400</v>
      </c>
      <c r="M937" s="3" t="s">
        <v>399</v>
      </c>
      <c r="N937" s="3" t="s">
        <v>1078</v>
      </c>
      <c r="O937" s="3" t="s">
        <v>29</v>
      </c>
      <c r="P937" s="3" t="s">
        <v>6</v>
      </c>
      <c r="Q937" s="3" t="s">
        <v>20</v>
      </c>
      <c r="R937" s="3" t="s">
        <v>4</v>
      </c>
      <c r="S937" s="3" t="s">
        <v>3</v>
      </c>
      <c r="T937" s="3" t="s">
        <v>1077</v>
      </c>
      <c r="U937" s="3" t="s">
        <v>1</v>
      </c>
      <c r="V937" s="3" t="s">
        <v>0</v>
      </c>
      <c r="W937" s="2">
        <v>33</v>
      </c>
    </row>
    <row r="938" spans="1:24" hidden="1" x14ac:dyDescent="0.25">
      <c r="A938" s="8">
        <v>9942</v>
      </c>
      <c r="B938" s="8" t="s">
        <v>2086</v>
      </c>
      <c r="C938" s="7" t="s">
        <v>2085</v>
      </c>
      <c r="D938" s="6" t="s">
        <v>15</v>
      </c>
      <c r="E938" s="5" t="s">
        <v>1041</v>
      </c>
      <c r="F938" s="4">
        <v>40431</v>
      </c>
      <c r="G938" s="4" t="s">
        <v>1</v>
      </c>
      <c r="H938" s="4" t="s">
        <v>1</v>
      </c>
      <c r="I938" s="3" t="s">
        <v>13</v>
      </c>
      <c r="J938" s="3" t="s">
        <v>12</v>
      </c>
      <c r="K938" s="3" t="s">
        <v>63</v>
      </c>
      <c r="L938" s="3" t="s">
        <v>81</v>
      </c>
      <c r="M938" s="3" t="s">
        <v>173</v>
      </c>
      <c r="N938" s="3" t="s">
        <v>2012</v>
      </c>
      <c r="O938" s="3" t="s">
        <v>59</v>
      </c>
      <c r="P938" s="3" t="s">
        <v>72</v>
      </c>
      <c r="Q938" s="3" t="s">
        <v>5</v>
      </c>
      <c r="R938" s="3" t="s">
        <v>4</v>
      </c>
      <c r="S938" s="3" t="s">
        <v>3</v>
      </c>
      <c r="T938" s="3" t="s">
        <v>2</v>
      </c>
      <c r="U938" s="3" t="s">
        <v>1</v>
      </c>
      <c r="V938" s="3" t="s">
        <v>0</v>
      </c>
      <c r="W938" s="2">
        <v>36</v>
      </c>
    </row>
    <row r="939" spans="1:24" hidden="1" x14ac:dyDescent="0.25">
      <c r="A939" s="8">
        <v>11186</v>
      </c>
      <c r="B939" s="8" t="s">
        <v>2084</v>
      </c>
      <c r="C939" s="7" t="s">
        <v>2083</v>
      </c>
      <c r="D939" s="6" t="s">
        <v>15</v>
      </c>
      <c r="E939" s="5" t="s">
        <v>2082</v>
      </c>
      <c r="F939" s="4">
        <v>40610</v>
      </c>
      <c r="G939" s="4" t="s">
        <v>1</v>
      </c>
      <c r="H939" s="4" t="s">
        <v>1</v>
      </c>
      <c r="I939" s="3" t="s">
        <v>13</v>
      </c>
      <c r="J939" s="3" t="s">
        <v>12</v>
      </c>
      <c r="K939" s="3" t="s">
        <v>283</v>
      </c>
      <c r="L939" s="3" t="s">
        <v>282</v>
      </c>
      <c r="M939" s="3" t="s">
        <v>281</v>
      </c>
      <c r="N939" s="3" t="s">
        <v>2081</v>
      </c>
      <c r="O939" s="3" t="s">
        <v>100</v>
      </c>
      <c r="P939" s="3" t="s">
        <v>6</v>
      </c>
      <c r="Q939" s="3" t="s">
        <v>20</v>
      </c>
      <c r="R939" s="3" t="s">
        <v>4</v>
      </c>
      <c r="S939" s="3" t="s">
        <v>3</v>
      </c>
      <c r="T939" s="3" t="s">
        <v>2</v>
      </c>
      <c r="U939" s="3" t="s">
        <v>1</v>
      </c>
      <c r="V939" s="3" t="s">
        <v>0</v>
      </c>
      <c r="W939" s="2">
        <v>32</v>
      </c>
    </row>
    <row r="940" spans="1:24" s="9" customFormat="1" hidden="1" x14ac:dyDescent="0.25">
      <c r="A940" s="17">
        <v>12194</v>
      </c>
      <c r="B940" s="17" t="s">
        <v>2080</v>
      </c>
      <c r="C940" s="24" t="s">
        <v>2079</v>
      </c>
      <c r="D940" s="15" t="s">
        <v>15</v>
      </c>
      <c r="E940" s="22" t="s">
        <v>1666</v>
      </c>
      <c r="F940" s="13">
        <v>40802</v>
      </c>
      <c r="G940" s="13" t="s">
        <v>1</v>
      </c>
      <c r="H940" s="13" t="s">
        <v>1</v>
      </c>
      <c r="I940" s="12" t="s">
        <v>13</v>
      </c>
      <c r="J940" s="12" t="s">
        <v>12</v>
      </c>
      <c r="K940" s="12" t="s">
        <v>63</v>
      </c>
      <c r="L940" s="12" t="s">
        <v>81</v>
      </c>
      <c r="M940" s="12" t="s">
        <v>173</v>
      </c>
      <c r="N940" s="12" t="s">
        <v>22</v>
      </c>
      <c r="O940" s="12" t="s">
        <v>21</v>
      </c>
      <c r="P940" s="12" t="s">
        <v>72</v>
      </c>
      <c r="Q940" s="12" t="s">
        <v>20</v>
      </c>
      <c r="R940" s="12" t="s">
        <v>4</v>
      </c>
      <c r="S940" s="12" t="s">
        <v>3</v>
      </c>
      <c r="T940" s="12" t="s">
        <v>19</v>
      </c>
      <c r="U940" s="12" t="s">
        <v>1</v>
      </c>
      <c r="V940" s="12" t="s">
        <v>0</v>
      </c>
      <c r="W940" s="11">
        <v>31</v>
      </c>
      <c r="X940" s="10"/>
    </row>
    <row r="941" spans="1:24" hidden="1" x14ac:dyDescent="0.25">
      <c r="A941" s="8">
        <v>11191</v>
      </c>
      <c r="B941" s="8" t="s">
        <v>2078</v>
      </c>
      <c r="C941" s="35" t="s">
        <v>2077</v>
      </c>
      <c r="D941" s="6" t="s">
        <v>15</v>
      </c>
      <c r="E941" s="8" t="s">
        <v>1771</v>
      </c>
      <c r="F941" s="4">
        <v>40609</v>
      </c>
      <c r="G941" s="4" t="s">
        <v>1</v>
      </c>
      <c r="H941" s="4" t="s">
        <v>1</v>
      </c>
      <c r="I941" s="3" t="s">
        <v>13</v>
      </c>
      <c r="J941" s="3" t="s">
        <v>133</v>
      </c>
      <c r="K941" s="3" t="s">
        <v>879</v>
      </c>
      <c r="L941" s="3" t="s">
        <v>879</v>
      </c>
      <c r="M941" s="3" t="s">
        <v>878</v>
      </c>
      <c r="N941" s="3" t="s">
        <v>2076</v>
      </c>
      <c r="O941" s="3" t="s">
        <v>100</v>
      </c>
      <c r="P941" s="3" t="s">
        <v>6</v>
      </c>
      <c r="Q941" s="3" t="s">
        <v>20</v>
      </c>
      <c r="R941" s="3" t="s">
        <v>4</v>
      </c>
      <c r="S941" s="3" t="s">
        <v>3</v>
      </c>
      <c r="T941" s="3" t="s">
        <v>2</v>
      </c>
      <c r="U941" s="3" t="s">
        <v>1</v>
      </c>
      <c r="V941" s="3" t="s">
        <v>0</v>
      </c>
      <c r="W941" s="2">
        <v>33</v>
      </c>
    </row>
    <row r="942" spans="1:24" hidden="1" x14ac:dyDescent="0.25">
      <c r="A942" s="8">
        <v>11207</v>
      </c>
      <c r="B942" s="8" t="s">
        <v>2075</v>
      </c>
      <c r="C942" s="7" t="s">
        <v>2074</v>
      </c>
      <c r="D942" s="6" t="s">
        <v>15</v>
      </c>
      <c r="E942" s="5" t="s">
        <v>1771</v>
      </c>
      <c r="F942" s="4">
        <v>40609</v>
      </c>
      <c r="G942" s="4" t="s">
        <v>1</v>
      </c>
      <c r="H942" s="4" t="s">
        <v>1</v>
      </c>
      <c r="I942" s="18" t="s">
        <v>100</v>
      </c>
      <c r="J942" s="18" t="s">
        <v>124</v>
      </c>
      <c r="K942" s="18" t="s">
        <v>33</v>
      </c>
      <c r="L942" s="18" t="s">
        <v>33</v>
      </c>
      <c r="M942" s="18" t="s">
        <v>124</v>
      </c>
      <c r="N942" s="18" t="s">
        <v>194</v>
      </c>
      <c r="O942" s="18" t="s">
        <v>122</v>
      </c>
      <c r="P942" s="5" t="s">
        <v>1</v>
      </c>
      <c r="Q942" s="5" t="s">
        <v>121</v>
      </c>
      <c r="R942" s="3" t="s">
        <v>4</v>
      </c>
      <c r="S942" s="3" t="s">
        <v>3</v>
      </c>
      <c r="T942" s="3" t="s">
        <v>29</v>
      </c>
      <c r="U942" s="3" t="s">
        <v>1</v>
      </c>
      <c r="V942" s="3" t="s">
        <v>0</v>
      </c>
      <c r="W942" s="2">
        <v>33</v>
      </c>
    </row>
    <row r="943" spans="1:24" hidden="1" x14ac:dyDescent="0.25">
      <c r="A943" s="8">
        <v>12368</v>
      </c>
      <c r="B943" s="8" t="s">
        <v>2073</v>
      </c>
      <c r="C943" s="7" t="s">
        <v>2072</v>
      </c>
      <c r="D943" s="6" t="s">
        <v>15</v>
      </c>
      <c r="E943" s="5" t="s">
        <v>1506</v>
      </c>
      <c r="F943" s="4">
        <v>40809</v>
      </c>
      <c r="G943" s="4" t="s">
        <v>1</v>
      </c>
      <c r="H943" s="4" t="s">
        <v>1</v>
      </c>
      <c r="I943" s="3" t="s">
        <v>13</v>
      </c>
      <c r="J943" s="3" t="s">
        <v>12</v>
      </c>
      <c r="K943" s="3" t="s">
        <v>63</v>
      </c>
      <c r="L943" s="3" t="s">
        <v>81</v>
      </c>
      <c r="M943" s="3" t="s">
        <v>173</v>
      </c>
      <c r="N943" s="3" t="s">
        <v>2009</v>
      </c>
      <c r="O943" s="3" t="s">
        <v>59</v>
      </c>
      <c r="P943" s="3" t="s">
        <v>72</v>
      </c>
      <c r="Q943" s="3" t="s">
        <v>5</v>
      </c>
      <c r="R943" s="3" t="s">
        <v>4</v>
      </c>
      <c r="S943" s="3" t="s">
        <v>3</v>
      </c>
      <c r="T943" s="3" t="s">
        <v>2</v>
      </c>
      <c r="U943" s="3" t="s">
        <v>1</v>
      </c>
      <c r="V943" s="3" t="s">
        <v>0</v>
      </c>
      <c r="W943" s="2">
        <v>31</v>
      </c>
    </row>
    <row r="944" spans="1:24" hidden="1" x14ac:dyDescent="0.25">
      <c r="A944" s="8">
        <v>12596</v>
      </c>
      <c r="B944" s="8" t="s">
        <v>2071</v>
      </c>
      <c r="C944" s="7" t="s">
        <v>2070</v>
      </c>
      <c r="D944" s="6" t="s">
        <v>15</v>
      </c>
      <c r="E944" s="5" t="s">
        <v>1498</v>
      </c>
      <c r="F944" s="4">
        <v>40816</v>
      </c>
      <c r="G944" s="4" t="s">
        <v>1</v>
      </c>
      <c r="H944" s="4" t="s">
        <v>1</v>
      </c>
      <c r="I944" s="3" t="s">
        <v>13</v>
      </c>
      <c r="J944" s="3" t="s">
        <v>12</v>
      </c>
      <c r="K944" s="3" t="s">
        <v>63</v>
      </c>
      <c r="L944" s="3" t="s">
        <v>81</v>
      </c>
      <c r="M944" s="3" t="s">
        <v>173</v>
      </c>
      <c r="N944" s="3" t="s">
        <v>1987</v>
      </c>
      <c r="O944" s="3" t="s">
        <v>59</v>
      </c>
      <c r="P944" s="3" t="s">
        <v>72</v>
      </c>
      <c r="Q944" s="3" t="s">
        <v>5</v>
      </c>
      <c r="R944" s="3" t="s">
        <v>4</v>
      </c>
      <c r="S944" s="3" t="s">
        <v>3</v>
      </c>
      <c r="T944" s="3" t="s">
        <v>2</v>
      </c>
      <c r="U944" s="3" t="s">
        <v>1</v>
      </c>
      <c r="V944" s="3" t="s">
        <v>0</v>
      </c>
      <c r="W944" s="2">
        <v>31</v>
      </c>
    </row>
    <row r="945" spans="1:24" hidden="1" x14ac:dyDescent="0.25">
      <c r="A945" s="8">
        <v>12805</v>
      </c>
      <c r="B945" s="8" t="s">
        <v>2069</v>
      </c>
      <c r="C945" s="7" t="s">
        <v>2068</v>
      </c>
      <c r="D945" s="6" t="s">
        <v>15</v>
      </c>
      <c r="E945" s="5" t="s">
        <v>335</v>
      </c>
      <c r="F945" s="4">
        <v>40826</v>
      </c>
      <c r="G945" s="4" t="s">
        <v>1</v>
      </c>
      <c r="H945" s="4" t="s">
        <v>1</v>
      </c>
      <c r="I945" s="3" t="s">
        <v>13</v>
      </c>
      <c r="J945" s="3" t="s">
        <v>12</v>
      </c>
      <c r="K945" s="3" t="s">
        <v>63</v>
      </c>
      <c r="L945" s="3" t="s">
        <v>81</v>
      </c>
      <c r="M945" s="3" t="s">
        <v>173</v>
      </c>
      <c r="N945" s="3" t="s">
        <v>2067</v>
      </c>
      <c r="O945" s="3" t="s">
        <v>258</v>
      </c>
      <c r="P945" s="3" t="s">
        <v>72</v>
      </c>
      <c r="Q945" s="3" t="s">
        <v>5</v>
      </c>
      <c r="R945" s="3" t="s">
        <v>4</v>
      </c>
      <c r="S945" s="3" t="s">
        <v>3</v>
      </c>
      <c r="T945" s="3" t="s">
        <v>2</v>
      </c>
      <c r="U945" s="3" t="s">
        <v>1</v>
      </c>
      <c r="V945" s="3" t="s">
        <v>0</v>
      </c>
      <c r="W945" s="2">
        <v>32</v>
      </c>
    </row>
    <row r="946" spans="1:24" s="9" customFormat="1" hidden="1" x14ac:dyDescent="0.25">
      <c r="A946" s="17">
        <v>11248</v>
      </c>
      <c r="B946" s="17" t="s">
        <v>2066</v>
      </c>
      <c r="C946" s="16" t="s">
        <v>2065</v>
      </c>
      <c r="D946" s="15" t="s">
        <v>15</v>
      </c>
      <c r="E946" s="14" t="s">
        <v>2052</v>
      </c>
      <c r="F946" s="13">
        <v>40617</v>
      </c>
      <c r="G946" s="13" t="s">
        <v>1</v>
      </c>
      <c r="H946" s="13" t="s">
        <v>1</v>
      </c>
      <c r="I946" s="12" t="s">
        <v>145</v>
      </c>
      <c r="J946" s="12" t="s">
        <v>12</v>
      </c>
      <c r="K946" s="12" t="s">
        <v>187</v>
      </c>
      <c r="L946" s="12" t="s">
        <v>229</v>
      </c>
      <c r="M946" s="12" t="s">
        <v>228</v>
      </c>
      <c r="N946" s="12" t="s">
        <v>771</v>
      </c>
      <c r="O946" s="12" t="s">
        <v>771</v>
      </c>
      <c r="P946" s="12" t="s">
        <v>72</v>
      </c>
      <c r="Q946" s="12" t="s">
        <v>20</v>
      </c>
      <c r="R946" s="12" t="s">
        <v>4</v>
      </c>
      <c r="S946" s="12" t="s">
        <v>3</v>
      </c>
      <c r="T946" s="12" t="s">
        <v>2</v>
      </c>
      <c r="U946" s="12" t="s">
        <v>1</v>
      </c>
      <c r="V946" s="12" t="s">
        <v>0</v>
      </c>
      <c r="W946" s="11">
        <v>32</v>
      </c>
    </row>
    <row r="947" spans="1:24" hidden="1" x14ac:dyDescent="0.25">
      <c r="A947" s="8">
        <v>11259</v>
      </c>
      <c r="B947" s="8" t="s">
        <v>2064</v>
      </c>
      <c r="C947" s="7" t="s">
        <v>2063</v>
      </c>
      <c r="D947" s="6" t="s">
        <v>15</v>
      </c>
      <c r="E947" s="5" t="s">
        <v>2052</v>
      </c>
      <c r="F947" s="4">
        <v>40617</v>
      </c>
      <c r="G947" s="4" t="s">
        <v>1</v>
      </c>
      <c r="H947" s="4" t="s">
        <v>1</v>
      </c>
      <c r="I947" s="5" t="s">
        <v>93</v>
      </c>
      <c r="J947" s="5" t="s">
        <v>92</v>
      </c>
      <c r="K947" s="5" t="s">
        <v>33</v>
      </c>
      <c r="L947" s="5" t="s">
        <v>33</v>
      </c>
      <c r="M947" s="5" t="s">
        <v>1050</v>
      </c>
      <c r="N947" s="5" t="s">
        <v>2062</v>
      </c>
      <c r="O947" s="5" t="s">
        <v>1050</v>
      </c>
      <c r="P947" s="5" t="s">
        <v>30</v>
      </c>
      <c r="Q947" s="5" t="s">
        <v>47</v>
      </c>
      <c r="R947" s="3" t="s">
        <v>4</v>
      </c>
      <c r="S947" s="3" t="s">
        <v>3</v>
      </c>
      <c r="T947" s="3" t="s">
        <v>2</v>
      </c>
      <c r="U947" s="3" t="s">
        <v>1</v>
      </c>
      <c r="V947" s="3" t="s">
        <v>0</v>
      </c>
      <c r="W947" s="2">
        <v>33</v>
      </c>
    </row>
    <row r="948" spans="1:24" s="9" customFormat="1" hidden="1" x14ac:dyDescent="0.25">
      <c r="A948" s="17">
        <v>14153</v>
      </c>
      <c r="B948" s="17" t="s">
        <v>2061</v>
      </c>
      <c r="C948" s="24" t="s">
        <v>2060</v>
      </c>
      <c r="D948" s="15" t="s">
        <v>15</v>
      </c>
      <c r="E948" s="22" t="s">
        <v>2059</v>
      </c>
      <c r="F948" s="13">
        <v>41360</v>
      </c>
      <c r="G948" s="13" t="s">
        <v>1</v>
      </c>
      <c r="H948" s="13" t="s">
        <v>1</v>
      </c>
      <c r="I948" s="12" t="s">
        <v>13</v>
      </c>
      <c r="J948" s="12" t="s">
        <v>12</v>
      </c>
      <c r="K948" s="12" t="s">
        <v>63</v>
      </c>
      <c r="L948" s="12" t="s">
        <v>81</v>
      </c>
      <c r="M948" s="12" t="s">
        <v>173</v>
      </c>
      <c r="N948" s="12" t="s">
        <v>2058</v>
      </c>
      <c r="O948" s="12" t="s">
        <v>7</v>
      </c>
      <c r="P948" s="12" t="s">
        <v>72</v>
      </c>
      <c r="Q948" s="12" t="s">
        <v>5</v>
      </c>
      <c r="R948" s="12" t="s">
        <v>4</v>
      </c>
      <c r="S948" s="12" t="s">
        <v>3</v>
      </c>
      <c r="T948" s="12" t="s">
        <v>2</v>
      </c>
      <c r="U948" s="12" t="s">
        <v>1</v>
      </c>
      <c r="V948" s="12" t="s">
        <v>0</v>
      </c>
      <c r="W948" s="11">
        <v>31</v>
      </c>
    </row>
    <row r="949" spans="1:24" hidden="1" x14ac:dyDescent="0.25">
      <c r="A949" s="8">
        <v>14418</v>
      </c>
      <c r="B949" s="8" t="s">
        <v>2057</v>
      </c>
      <c r="C949" s="7" t="s">
        <v>2056</v>
      </c>
      <c r="D949" s="6" t="s">
        <v>15</v>
      </c>
      <c r="E949" s="5" t="s">
        <v>2055</v>
      </c>
      <c r="F949" s="4">
        <v>41390</v>
      </c>
      <c r="G949" s="4" t="s">
        <v>1</v>
      </c>
      <c r="H949" s="4" t="s">
        <v>1</v>
      </c>
      <c r="I949" s="3" t="s">
        <v>13</v>
      </c>
      <c r="J949" s="3" t="s">
        <v>12</v>
      </c>
      <c r="K949" s="3" t="s">
        <v>63</v>
      </c>
      <c r="L949" s="3" t="s">
        <v>81</v>
      </c>
      <c r="M949" s="3" t="s">
        <v>173</v>
      </c>
      <c r="N949" s="3" t="s">
        <v>2001</v>
      </c>
      <c r="O949" s="3" t="s">
        <v>59</v>
      </c>
      <c r="P949" s="3" t="s">
        <v>72</v>
      </c>
      <c r="Q949" s="3" t="s">
        <v>5</v>
      </c>
      <c r="R949" s="3" t="s">
        <v>4</v>
      </c>
      <c r="S949" s="3" t="s">
        <v>3</v>
      </c>
      <c r="T949" s="3" t="s">
        <v>2</v>
      </c>
      <c r="U949" s="3" t="s">
        <v>1</v>
      </c>
      <c r="V949" s="3" t="s">
        <v>0</v>
      </c>
      <c r="W949" s="2">
        <v>30</v>
      </c>
    </row>
    <row r="950" spans="1:24" hidden="1" x14ac:dyDescent="0.25">
      <c r="A950" s="8">
        <v>11275</v>
      </c>
      <c r="B950" s="8" t="s">
        <v>2054</v>
      </c>
      <c r="C950" s="7" t="s">
        <v>2053</v>
      </c>
      <c r="D950" s="6" t="s">
        <v>15</v>
      </c>
      <c r="E950" s="5" t="s">
        <v>2052</v>
      </c>
      <c r="F950" s="4">
        <v>40617</v>
      </c>
      <c r="G950" s="4" t="s">
        <v>1</v>
      </c>
      <c r="H950" s="4" t="s">
        <v>1</v>
      </c>
      <c r="I950" s="3" t="s">
        <v>13</v>
      </c>
      <c r="J950" s="3" t="s">
        <v>12</v>
      </c>
      <c r="K950" s="3" t="s">
        <v>132</v>
      </c>
      <c r="L950" s="3" t="s">
        <v>218</v>
      </c>
      <c r="M950" s="3" t="s">
        <v>1968</v>
      </c>
      <c r="N950" s="3" t="s">
        <v>2051</v>
      </c>
      <c r="O950" s="3" t="s">
        <v>7</v>
      </c>
      <c r="P950" s="3" t="s">
        <v>6</v>
      </c>
      <c r="Q950" s="3" t="s">
        <v>5</v>
      </c>
      <c r="R950" s="3" t="s">
        <v>4</v>
      </c>
      <c r="S950" s="3" t="s">
        <v>3</v>
      </c>
      <c r="T950" s="3" t="s">
        <v>2</v>
      </c>
      <c r="U950" s="3" t="s">
        <v>1</v>
      </c>
      <c r="V950" s="3" t="s">
        <v>0</v>
      </c>
      <c r="W950" s="2">
        <v>32</v>
      </c>
    </row>
    <row r="951" spans="1:24" hidden="1" x14ac:dyDescent="0.25">
      <c r="A951" s="8">
        <v>11286</v>
      </c>
      <c r="B951" s="8" t="s">
        <v>2050</v>
      </c>
      <c r="C951" s="19" t="s">
        <v>2049</v>
      </c>
      <c r="D951" s="6" t="s">
        <v>15</v>
      </c>
      <c r="E951" s="18" t="s">
        <v>2048</v>
      </c>
      <c r="F951" s="4">
        <v>40624</v>
      </c>
      <c r="G951" s="4" t="s">
        <v>1</v>
      </c>
      <c r="H951" s="4" t="s">
        <v>1</v>
      </c>
      <c r="I951" s="3" t="s">
        <v>13</v>
      </c>
      <c r="J951" s="3" t="s">
        <v>133</v>
      </c>
      <c r="K951" s="3" t="s">
        <v>879</v>
      </c>
      <c r="L951" s="3" t="s">
        <v>879</v>
      </c>
      <c r="M951" s="3" t="s">
        <v>878</v>
      </c>
      <c r="N951" s="3" t="s">
        <v>198</v>
      </c>
      <c r="O951" s="3" t="s">
        <v>184</v>
      </c>
      <c r="P951" s="3" t="s">
        <v>6</v>
      </c>
      <c r="Q951" s="3" t="s">
        <v>20</v>
      </c>
      <c r="R951" s="3" t="s">
        <v>4</v>
      </c>
      <c r="S951" s="3" t="s">
        <v>3</v>
      </c>
      <c r="T951" s="3" t="s">
        <v>2</v>
      </c>
      <c r="U951" s="3" t="s">
        <v>1</v>
      </c>
      <c r="V951" s="3" t="s">
        <v>0</v>
      </c>
      <c r="W951" s="2">
        <v>34</v>
      </c>
    </row>
    <row r="952" spans="1:24" hidden="1" x14ac:dyDescent="0.25">
      <c r="A952" s="8">
        <v>11291</v>
      </c>
      <c r="B952" s="8" t="s">
        <v>2047</v>
      </c>
      <c r="C952" s="7" t="s">
        <v>2046</v>
      </c>
      <c r="D952" s="6" t="s">
        <v>15</v>
      </c>
      <c r="E952" s="5" t="s">
        <v>2045</v>
      </c>
      <c r="F952" s="4">
        <v>40631</v>
      </c>
      <c r="G952" s="4" t="s">
        <v>1</v>
      </c>
      <c r="H952" s="4" t="s">
        <v>1</v>
      </c>
      <c r="I952" s="5" t="s">
        <v>50</v>
      </c>
      <c r="J952" s="5" t="s">
        <v>370</v>
      </c>
      <c r="K952" s="5" t="s">
        <v>33</v>
      </c>
      <c r="L952" s="5" t="s">
        <v>33</v>
      </c>
      <c r="M952" s="5" t="s">
        <v>370</v>
      </c>
      <c r="N952" s="5" t="s">
        <v>374</v>
      </c>
      <c r="O952" s="5" t="s">
        <v>368</v>
      </c>
      <c r="P952" s="5" t="s">
        <v>30</v>
      </c>
      <c r="Q952" s="5" t="s">
        <v>47</v>
      </c>
      <c r="R952" s="3" t="s">
        <v>4</v>
      </c>
      <c r="S952" s="3" t="s">
        <v>3</v>
      </c>
      <c r="T952" s="3" t="s">
        <v>38</v>
      </c>
      <c r="U952" s="3" t="s">
        <v>1</v>
      </c>
      <c r="V952" s="3" t="s">
        <v>18</v>
      </c>
      <c r="W952" s="2">
        <v>34</v>
      </c>
      <c r="X952" s="20"/>
    </row>
    <row r="953" spans="1:24" hidden="1" x14ac:dyDescent="0.25">
      <c r="A953" s="8">
        <v>11292</v>
      </c>
      <c r="B953" s="8" t="s">
        <v>2044</v>
      </c>
      <c r="C953" s="7" t="s">
        <v>2043</v>
      </c>
      <c r="D953" s="6" t="s">
        <v>15</v>
      </c>
      <c r="E953" s="5" t="s">
        <v>2039</v>
      </c>
      <c r="F953" s="4">
        <v>40634</v>
      </c>
      <c r="G953" s="4" t="s">
        <v>1</v>
      </c>
      <c r="H953" s="4" t="s">
        <v>1</v>
      </c>
      <c r="I953" s="18" t="s">
        <v>93</v>
      </c>
      <c r="J953" s="5" t="s">
        <v>834</v>
      </c>
      <c r="K953" s="18" t="s">
        <v>33</v>
      </c>
      <c r="L953" s="18" t="s">
        <v>33</v>
      </c>
      <c r="M953" s="5" t="s">
        <v>834</v>
      </c>
      <c r="N953" s="5" t="s">
        <v>2042</v>
      </c>
      <c r="O953" s="5" t="s">
        <v>832</v>
      </c>
      <c r="P953" s="5" t="s">
        <v>30</v>
      </c>
      <c r="Q953" s="5" t="s">
        <v>47</v>
      </c>
      <c r="R953" s="3" t="s">
        <v>4</v>
      </c>
      <c r="S953" s="3" t="s">
        <v>3</v>
      </c>
      <c r="T953" s="3" t="s">
        <v>29</v>
      </c>
      <c r="U953" s="3" t="s">
        <v>1</v>
      </c>
      <c r="V953" s="3" t="s">
        <v>18</v>
      </c>
      <c r="W953" s="2">
        <v>38</v>
      </c>
    </row>
    <row r="954" spans="1:24" hidden="1" x14ac:dyDescent="0.25">
      <c r="A954" s="8">
        <v>11293</v>
      </c>
      <c r="B954" s="8" t="s">
        <v>2041</v>
      </c>
      <c r="C954" s="25" t="s">
        <v>2040</v>
      </c>
      <c r="D954" s="6" t="s">
        <v>15</v>
      </c>
      <c r="E954" s="5" t="s">
        <v>2039</v>
      </c>
      <c r="F954" s="4">
        <v>40634</v>
      </c>
      <c r="G954" s="4" t="s">
        <v>1</v>
      </c>
      <c r="H954" s="4" t="s">
        <v>1</v>
      </c>
      <c r="I954" s="18" t="s">
        <v>93</v>
      </c>
      <c r="J954" s="5" t="s">
        <v>834</v>
      </c>
      <c r="K954" s="18" t="s">
        <v>33</v>
      </c>
      <c r="L954" s="18" t="s">
        <v>33</v>
      </c>
      <c r="M954" s="5" t="s">
        <v>834</v>
      </c>
      <c r="N954" s="5" t="s">
        <v>833</v>
      </c>
      <c r="O954" s="5" t="s">
        <v>832</v>
      </c>
      <c r="P954" s="5" t="s">
        <v>6</v>
      </c>
      <c r="Q954" s="5" t="s">
        <v>47</v>
      </c>
      <c r="R954" s="3" t="s">
        <v>4</v>
      </c>
      <c r="S954" s="3" t="s">
        <v>3</v>
      </c>
      <c r="T954" s="3" t="s">
        <v>88</v>
      </c>
      <c r="U954" s="3" t="s">
        <v>1</v>
      </c>
      <c r="V954" s="3" t="s">
        <v>18</v>
      </c>
      <c r="W954" s="2">
        <v>36</v>
      </c>
    </row>
    <row r="955" spans="1:24" hidden="1" x14ac:dyDescent="0.25">
      <c r="A955" s="8">
        <v>11295</v>
      </c>
      <c r="B955" s="8" t="s">
        <v>2038</v>
      </c>
      <c r="C955" s="7" t="s">
        <v>2037</v>
      </c>
      <c r="D955" s="6" t="s">
        <v>15</v>
      </c>
      <c r="E955" s="5" t="s">
        <v>2036</v>
      </c>
      <c r="F955" s="4">
        <v>40646</v>
      </c>
      <c r="G955" s="4" t="s">
        <v>1</v>
      </c>
      <c r="H955" s="4" t="s">
        <v>1</v>
      </c>
      <c r="I955" s="3" t="s">
        <v>13</v>
      </c>
      <c r="J955" s="3" t="s">
        <v>12</v>
      </c>
      <c r="K955" s="3" t="s">
        <v>63</v>
      </c>
      <c r="L955" s="3" t="s">
        <v>81</v>
      </c>
      <c r="M955" s="3" t="s">
        <v>173</v>
      </c>
      <c r="N955" s="3" t="s">
        <v>964</v>
      </c>
      <c r="O955" s="3" t="s">
        <v>59</v>
      </c>
      <c r="P955" s="3" t="s">
        <v>6</v>
      </c>
      <c r="Q955" s="3" t="s">
        <v>5</v>
      </c>
      <c r="R955" s="3" t="s">
        <v>4</v>
      </c>
      <c r="S955" s="3" t="s">
        <v>3</v>
      </c>
      <c r="T955" s="3" t="s">
        <v>2</v>
      </c>
      <c r="U955" s="3" t="s">
        <v>1</v>
      </c>
      <c r="V955" s="3" t="s">
        <v>0</v>
      </c>
      <c r="W955" s="2">
        <v>32</v>
      </c>
    </row>
    <row r="956" spans="1:24" hidden="1" x14ac:dyDescent="0.25">
      <c r="A956" s="8">
        <v>22027</v>
      </c>
      <c r="B956" s="8" t="s">
        <v>2035</v>
      </c>
      <c r="C956" s="19" t="s">
        <v>2034</v>
      </c>
      <c r="D956" s="6" t="s">
        <v>15</v>
      </c>
      <c r="E956" s="18" t="s">
        <v>532</v>
      </c>
      <c r="F956" s="4">
        <v>43144</v>
      </c>
      <c r="G956" s="4" t="s">
        <v>1</v>
      </c>
      <c r="H956" s="4" t="s">
        <v>1</v>
      </c>
      <c r="I956" s="3" t="s">
        <v>13</v>
      </c>
      <c r="J956" s="3" t="s">
        <v>12</v>
      </c>
      <c r="K956" s="3" t="s">
        <v>63</v>
      </c>
      <c r="L956" s="3" t="s">
        <v>81</v>
      </c>
      <c r="M956" s="3" t="s">
        <v>173</v>
      </c>
      <c r="N956" s="3" t="s">
        <v>2033</v>
      </c>
      <c r="O956" s="3" t="s">
        <v>7</v>
      </c>
      <c r="P956" s="3" t="s">
        <v>72</v>
      </c>
      <c r="Q956" s="3" t="s">
        <v>5</v>
      </c>
      <c r="R956" s="3" t="s">
        <v>4</v>
      </c>
      <c r="S956" s="3" t="s">
        <v>3</v>
      </c>
      <c r="T956" s="3" t="s">
        <v>2</v>
      </c>
      <c r="U956" s="3" t="s">
        <v>1</v>
      </c>
      <c r="V956" s="3" t="s">
        <v>0</v>
      </c>
      <c r="W956" s="2">
        <v>25</v>
      </c>
    </row>
    <row r="957" spans="1:24" hidden="1" x14ac:dyDescent="0.25">
      <c r="A957" s="8">
        <v>11316</v>
      </c>
      <c r="B957" s="8" t="s">
        <v>2032</v>
      </c>
      <c r="C957" s="7" t="s">
        <v>2031</v>
      </c>
      <c r="D957" s="6" t="s">
        <v>15</v>
      </c>
      <c r="E957" s="5" t="s">
        <v>2030</v>
      </c>
      <c r="F957" s="4">
        <v>40660</v>
      </c>
      <c r="G957" s="4" t="s">
        <v>1</v>
      </c>
      <c r="H957" s="4" t="s">
        <v>1</v>
      </c>
      <c r="I957" s="3" t="s">
        <v>13</v>
      </c>
      <c r="J957" s="3" t="s">
        <v>12</v>
      </c>
      <c r="K957" s="3" t="s">
        <v>262</v>
      </c>
      <c r="L957" s="3" t="s">
        <v>261</v>
      </c>
      <c r="M957" s="3" t="s">
        <v>260</v>
      </c>
      <c r="N957" s="3" t="s">
        <v>1843</v>
      </c>
      <c r="O957" s="3" t="s">
        <v>258</v>
      </c>
      <c r="P957" s="3" t="s">
        <v>6</v>
      </c>
      <c r="Q957" s="3" t="s">
        <v>5</v>
      </c>
      <c r="R957" s="3" t="s">
        <v>4</v>
      </c>
      <c r="S957" s="3" t="s">
        <v>3</v>
      </c>
      <c r="T957" s="3" t="s">
        <v>2</v>
      </c>
      <c r="U957" s="3" t="s">
        <v>1</v>
      </c>
      <c r="V957" s="3" t="s">
        <v>0</v>
      </c>
      <c r="W957" s="2">
        <v>36</v>
      </c>
    </row>
    <row r="958" spans="1:24" hidden="1" x14ac:dyDescent="0.25">
      <c r="A958" s="8" t="s">
        <v>2029</v>
      </c>
      <c r="B958" s="8" t="s">
        <v>2029</v>
      </c>
      <c r="C958" s="7" t="s">
        <v>2028</v>
      </c>
      <c r="D958" s="6" t="s">
        <v>15</v>
      </c>
      <c r="E958" s="5" t="s">
        <v>188</v>
      </c>
      <c r="F958" s="4">
        <v>40917</v>
      </c>
      <c r="G958" s="4" t="s">
        <v>1</v>
      </c>
      <c r="H958" s="4" t="s">
        <v>1</v>
      </c>
      <c r="I958" s="3" t="s">
        <v>13</v>
      </c>
      <c r="J958" s="3" t="s">
        <v>12</v>
      </c>
      <c r="K958" s="3" t="s">
        <v>63</v>
      </c>
      <c r="L958" s="3" t="s">
        <v>81</v>
      </c>
      <c r="M958" s="3" t="s">
        <v>173</v>
      </c>
      <c r="N958" s="3" t="s">
        <v>2027</v>
      </c>
      <c r="O958" s="3" t="s">
        <v>7</v>
      </c>
      <c r="P958" s="3" t="s">
        <v>72</v>
      </c>
      <c r="Q958" s="3" t="s">
        <v>5</v>
      </c>
      <c r="R958" s="3" t="s">
        <v>4</v>
      </c>
      <c r="S958" s="3" t="s">
        <v>3</v>
      </c>
      <c r="T958" s="3" t="s">
        <v>2</v>
      </c>
      <c r="U958" s="3" t="s">
        <v>1</v>
      </c>
      <c r="V958" s="3" t="s">
        <v>0</v>
      </c>
      <c r="W958" s="2">
        <v>31</v>
      </c>
    </row>
    <row r="959" spans="1:24" hidden="1" x14ac:dyDescent="0.25">
      <c r="A959" s="8">
        <v>8991</v>
      </c>
      <c r="B959" s="8" t="s">
        <v>2026</v>
      </c>
      <c r="C959" s="7" t="s">
        <v>2025</v>
      </c>
      <c r="D959" s="6" t="s">
        <v>15</v>
      </c>
      <c r="E959" s="5" t="s">
        <v>181</v>
      </c>
      <c r="F959" s="4">
        <v>39975</v>
      </c>
      <c r="G959" s="4" t="s">
        <v>1</v>
      </c>
      <c r="H959" s="4" t="s">
        <v>1</v>
      </c>
      <c r="I959" s="3" t="s">
        <v>13</v>
      </c>
      <c r="J959" s="3" t="s">
        <v>12</v>
      </c>
      <c r="K959" s="3" t="s">
        <v>63</v>
      </c>
      <c r="L959" s="3" t="s">
        <v>81</v>
      </c>
      <c r="M959" s="3" t="s">
        <v>80</v>
      </c>
      <c r="N959" s="3" t="s">
        <v>870</v>
      </c>
      <c r="O959" s="3" t="s">
        <v>21</v>
      </c>
      <c r="P959" s="3" t="s">
        <v>72</v>
      </c>
      <c r="Q959" s="3" t="s">
        <v>20</v>
      </c>
      <c r="R959" s="3" t="s">
        <v>4</v>
      </c>
      <c r="S959" s="3" t="s">
        <v>3</v>
      </c>
      <c r="T959" s="3" t="s">
        <v>19</v>
      </c>
      <c r="U959" s="3" t="s">
        <v>1</v>
      </c>
      <c r="V959" s="3" t="s">
        <v>0</v>
      </c>
      <c r="W959" s="2">
        <v>37</v>
      </c>
    </row>
    <row r="960" spans="1:24" hidden="1" x14ac:dyDescent="0.25">
      <c r="A960" s="8">
        <v>11329</v>
      </c>
      <c r="B960" s="8" t="s">
        <v>2024</v>
      </c>
      <c r="C960" s="7" t="s">
        <v>119</v>
      </c>
      <c r="D960" s="6" t="s">
        <v>15</v>
      </c>
      <c r="E960" s="5" t="s">
        <v>713</v>
      </c>
      <c r="F960" s="4">
        <v>40666</v>
      </c>
      <c r="G960" s="4" t="s">
        <v>1</v>
      </c>
      <c r="H960" s="4" t="s">
        <v>1</v>
      </c>
      <c r="I960" s="3" t="s">
        <v>13</v>
      </c>
      <c r="J960" s="3" t="s">
        <v>12</v>
      </c>
      <c r="K960" s="3" t="s">
        <v>539</v>
      </c>
      <c r="L960" s="3" t="s">
        <v>538</v>
      </c>
      <c r="M960" s="3" t="s">
        <v>537</v>
      </c>
      <c r="N960" s="3" t="s">
        <v>1446</v>
      </c>
      <c r="O960" s="3" t="s">
        <v>258</v>
      </c>
      <c r="P960" s="3" t="s">
        <v>6</v>
      </c>
      <c r="Q960" s="3" t="s">
        <v>5</v>
      </c>
      <c r="R960" s="3" t="s">
        <v>4</v>
      </c>
      <c r="S960" s="3" t="s">
        <v>3</v>
      </c>
      <c r="T960" s="3" t="s">
        <v>2</v>
      </c>
      <c r="U960" s="3" t="s">
        <v>1</v>
      </c>
      <c r="V960" s="3" t="s">
        <v>0</v>
      </c>
      <c r="W960" s="2">
        <v>34</v>
      </c>
    </row>
    <row r="961" spans="1:24" hidden="1" x14ac:dyDescent="0.25">
      <c r="A961" s="8">
        <v>8992</v>
      </c>
      <c r="B961" s="8" t="s">
        <v>2023</v>
      </c>
      <c r="C961" s="7" t="s">
        <v>2022</v>
      </c>
      <c r="D961" s="6" t="s">
        <v>15</v>
      </c>
      <c r="E961" s="5" t="s">
        <v>181</v>
      </c>
      <c r="F961" s="4">
        <v>39975</v>
      </c>
      <c r="G961" s="4" t="s">
        <v>1</v>
      </c>
      <c r="H961" s="4" t="s">
        <v>1</v>
      </c>
      <c r="I961" s="3" t="s">
        <v>13</v>
      </c>
      <c r="J961" s="3" t="s">
        <v>12</v>
      </c>
      <c r="K961" s="3" t="s">
        <v>63</v>
      </c>
      <c r="L961" s="3" t="s">
        <v>81</v>
      </c>
      <c r="M961" s="3" t="s">
        <v>80</v>
      </c>
      <c r="N961" s="3" t="s">
        <v>22</v>
      </c>
      <c r="O961" s="3" t="s">
        <v>21</v>
      </c>
      <c r="P961" s="3" t="s">
        <v>72</v>
      </c>
      <c r="Q961" s="3" t="s">
        <v>20</v>
      </c>
      <c r="R961" s="3" t="s">
        <v>4</v>
      </c>
      <c r="S961" s="3" t="s">
        <v>3</v>
      </c>
      <c r="T961" s="3" t="s">
        <v>19</v>
      </c>
      <c r="U961" s="3" t="s">
        <v>1</v>
      </c>
      <c r="V961" s="3" t="s">
        <v>0</v>
      </c>
      <c r="W961" s="2">
        <v>38</v>
      </c>
    </row>
    <row r="962" spans="1:24" hidden="1" x14ac:dyDescent="0.25">
      <c r="A962" s="8">
        <v>11352</v>
      </c>
      <c r="B962" s="8" t="s">
        <v>2021</v>
      </c>
      <c r="C962" s="7" t="s">
        <v>2020</v>
      </c>
      <c r="D962" s="6" t="s">
        <v>15</v>
      </c>
      <c r="E962" s="5" t="s">
        <v>2019</v>
      </c>
      <c r="F962" s="4">
        <v>40672</v>
      </c>
      <c r="G962" s="4" t="s">
        <v>1</v>
      </c>
      <c r="H962" s="4" t="s">
        <v>1</v>
      </c>
      <c r="I962" s="3" t="s">
        <v>384</v>
      </c>
      <c r="J962" s="3" t="s">
        <v>1227</v>
      </c>
      <c r="K962" s="3" t="s">
        <v>33</v>
      </c>
      <c r="L962" s="3" t="s">
        <v>33</v>
      </c>
      <c r="M962" s="3" t="s">
        <v>1227</v>
      </c>
      <c r="N962" s="3" t="s">
        <v>1226</v>
      </c>
      <c r="O962" s="3" t="s">
        <v>387</v>
      </c>
      <c r="P962" s="3" t="s">
        <v>30</v>
      </c>
      <c r="Q962" s="3" t="s">
        <v>47</v>
      </c>
      <c r="R962" s="3" t="s">
        <v>4</v>
      </c>
      <c r="S962" s="3" t="s">
        <v>3</v>
      </c>
      <c r="T962" s="3" t="s">
        <v>2</v>
      </c>
      <c r="U962" s="3" t="s">
        <v>1</v>
      </c>
      <c r="V962" s="3" t="s">
        <v>0</v>
      </c>
      <c r="W962" s="2">
        <v>32</v>
      </c>
    </row>
    <row r="963" spans="1:24" hidden="1" x14ac:dyDescent="0.25">
      <c r="A963" s="8">
        <v>11357</v>
      </c>
      <c r="B963" s="8" t="s">
        <v>2018</v>
      </c>
      <c r="C963" s="7" t="s">
        <v>2017</v>
      </c>
      <c r="D963" s="6" t="s">
        <v>15</v>
      </c>
      <c r="E963" s="5" t="s">
        <v>2016</v>
      </c>
      <c r="F963" s="4">
        <v>40674</v>
      </c>
      <c r="G963" s="4" t="s">
        <v>1</v>
      </c>
      <c r="H963" s="4" t="s">
        <v>1</v>
      </c>
      <c r="I963" s="3" t="s">
        <v>13</v>
      </c>
      <c r="J963" s="3" t="s">
        <v>12</v>
      </c>
      <c r="K963" s="3" t="s">
        <v>758</v>
      </c>
      <c r="L963" s="3" t="s">
        <v>757</v>
      </c>
      <c r="M963" s="3" t="s">
        <v>756</v>
      </c>
      <c r="N963" s="3" t="s">
        <v>1638</v>
      </c>
      <c r="O963" s="3" t="s">
        <v>1637</v>
      </c>
      <c r="P963" s="3" t="s">
        <v>6</v>
      </c>
      <c r="Q963" s="3" t="s">
        <v>20</v>
      </c>
      <c r="R963" s="3" t="s">
        <v>4</v>
      </c>
      <c r="S963" s="3" t="s">
        <v>3</v>
      </c>
      <c r="T963" s="3" t="s">
        <v>2</v>
      </c>
      <c r="U963" s="3" t="s">
        <v>1</v>
      </c>
      <c r="V963" s="3" t="s">
        <v>0</v>
      </c>
      <c r="W963" s="2">
        <v>32</v>
      </c>
    </row>
    <row r="964" spans="1:24" s="9" customFormat="1" hidden="1" x14ac:dyDescent="0.25">
      <c r="A964" s="17">
        <v>9058</v>
      </c>
      <c r="B964" s="17" t="s">
        <v>2015</v>
      </c>
      <c r="C964" s="16" t="s">
        <v>2014</v>
      </c>
      <c r="D964" s="15" t="s">
        <v>15</v>
      </c>
      <c r="E964" s="14" t="s">
        <v>2013</v>
      </c>
      <c r="F964" s="13">
        <v>39993</v>
      </c>
      <c r="G964" s="13" t="s">
        <v>1</v>
      </c>
      <c r="H964" s="13" t="s">
        <v>1</v>
      </c>
      <c r="I964" s="12" t="s">
        <v>13</v>
      </c>
      <c r="J964" s="12" t="s">
        <v>12</v>
      </c>
      <c r="K964" s="12" t="s">
        <v>63</v>
      </c>
      <c r="L964" s="12" t="s">
        <v>81</v>
      </c>
      <c r="M964" s="12" t="s">
        <v>80</v>
      </c>
      <c r="N964" s="12" t="s">
        <v>2012</v>
      </c>
      <c r="O964" s="12" t="s">
        <v>59</v>
      </c>
      <c r="P964" s="12" t="s">
        <v>72</v>
      </c>
      <c r="Q964" s="12" t="s">
        <v>5</v>
      </c>
      <c r="R964" s="12" t="s">
        <v>4</v>
      </c>
      <c r="S964" s="12" t="s">
        <v>3</v>
      </c>
      <c r="T964" s="12" t="s">
        <v>2</v>
      </c>
      <c r="U964" s="12" t="s">
        <v>1</v>
      </c>
      <c r="V964" s="12" t="s">
        <v>0</v>
      </c>
      <c r="W964" s="11">
        <v>34</v>
      </c>
      <c r="X964" s="10"/>
    </row>
    <row r="965" spans="1:24" s="78" customFormat="1" hidden="1" x14ac:dyDescent="0.25">
      <c r="A965" s="73">
        <v>10519</v>
      </c>
      <c r="B965" s="73" t="s">
        <v>2011</v>
      </c>
      <c r="C965" s="87" t="s">
        <v>2010</v>
      </c>
      <c r="D965" s="88" t="s">
        <v>15</v>
      </c>
      <c r="E965" s="89" t="s">
        <v>157</v>
      </c>
      <c r="F965" s="90">
        <v>40535</v>
      </c>
      <c r="G965" s="90" t="s">
        <v>1</v>
      </c>
      <c r="H965" s="90" t="s">
        <v>1</v>
      </c>
      <c r="I965" s="92" t="s">
        <v>13</v>
      </c>
      <c r="J965" s="92" t="s">
        <v>12</v>
      </c>
      <c r="K965" s="92" t="s">
        <v>63</v>
      </c>
      <c r="L965" s="92" t="s">
        <v>81</v>
      </c>
      <c r="M965" s="92" t="s">
        <v>80</v>
      </c>
      <c r="N965" s="92" t="s">
        <v>2009</v>
      </c>
      <c r="O965" s="92" t="s">
        <v>59</v>
      </c>
      <c r="P965" s="92" t="s">
        <v>72</v>
      </c>
      <c r="Q965" s="92" t="s">
        <v>5</v>
      </c>
      <c r="R965" s="92" t="s">
        <v>4</v>
      </c>
      <c r="S965" s="92" t="s">
        <v>3</v>
      </c>
      <c r="T965" s="92" t="s">
        <v>2</v>
      </c>
      <c r="U965" s="92" t="s">
        <v>1</v>
      </c>
      <c r="V965" s="92" t="s">
        <v>0</v>
      </c>
      <c r="W965" s="93">
        <v>34</v>
      </c>
    </row>
    <row r="966" spans="1:24" s="78" customFormat="1" hidden="1" x14ac:dyDescent="0.25">
      <c r="A966" s="73">
        <v>11734</v>
      </c>
      <c r="B966" s="73" t="s">
        <v>2008</v>
      </c>
      <c r="C966" s="102" t="s">
        <v>2007</v>
      </c>
      <c r="D966" s="88" t="s">
        <v>15</v>
      </c>
      <c r="E966" s="91" t="s">
        <v>424</v>
      </c>
      <c r="F966" s="90">
        <v>40714</v>
      </c>
      <c r="G966" s="90" t="s">
        <v>1</v>
      </c>
      <c r="H966" s="90" t="s">
        <v>1</v>
      </c>
      <c r="I966" s="92" t="s">
        <v>13</v>
      </c>
      <c r="J966" s="92" t="s">
        <v>12</v>
      </c>
      <c r="K966" s="92" t="s">
        <v>63</v>
      </c>
      <c r="L966" s="92" t="s">
        <v>81</v>
      </c>
      <c r="M966" s="92" t="s">
        <v>80</v>
      </c>
      <c r="N966" s="92" t="s">
        <v>1078</v>
      </c>
      <c r="O966" s="92" t="s">
        <v>29</v>
      </c>
      <c r="P966" s="92" t="s">
        <v>72</v>
      </c>
      <c r="Q966" s="92" t="s">
        <v>20</v>
      </c>
      <c r="R966" s="92" t="s">
        <v>4</v>
      </c>
      <c r="S966" s="92" t="s">
        <v>3</v>
      </c>
      <c r="T966" s="92" t="s">
        <v>1077</v>
      </c>
      <c r="U966" s="92" t="s">
        <v>1</v>
      </c>
      <c r="V966" s="92" t="s">
        <v>0</v>
      </c>
      <c r="W966" s="93">
        <v>31</v>
      </c>
    </row>
    <row r="967" spans="1:24" hidden="1" x14ac:dyDescent="0.25">
      <c r="A967" s="8">
        <v>11393</v>
      </c>
      <c r="B967" s="8" t="s">
        <v>2006</v>
      </c>
      <c r="C967" s="7" t="s">
        <v>2005</v>
      </c>
      <c r="D967" s="6" t="s">
        <v>15</v>
      </c>
      <c r="E967" s="5" t="s">
        <v>2004</v>
      </c>
      <c r="F967" s="4">
        <v>40700</v>
      </c>
      <c r="G967" s="4" t="s">
        <v>1</v>
      </c>
      <c r="H967" s="4" t="s">
        <v>1</v>
      </c>
      <c r="I967" s="3" t="s">
        <v>13</v>
      </c>
      <c r="J967" s="3" t="s">
        <v>133</v>
      </c>
      <c r="K967" s="3" t="s">
        <v>262</v>
      </c>
      <c r="L967" s="3" t="s">
        <v>262</v>
      </c>
      <c r="M967" s="3" t="s">
        <v>277</v>
      </c>
      <c r="N967" s="3" t="s">
        <v>198</v>
      </c>
      <c r="O967" s="3" t="s">
        <v>184</v>
      </c>
      <c r="P967" s="3" t="s">
        <v>6</v>
      </c>
      <c r="Q967" s="3" t="s">
        <v>20</v>
      </c>
      <c r="R967" s="3" t="s">
        <v>4</v>
      </c>
      <c r="S967" s="3" t="s">
        <v>3</v>
      </c>
      <c r="T967" s="3" t="s">
        <v>2</v>
      </c>
      <c r="U967" s="3" t="s">
        <v>1</v>
      </c>
      <c r="V967" s="3" t="s">
        <v>0</v>
      </c>
      <c r="W967" s="2">
        <v>32</v>
      </c>
    </row>
    <row r="968" spans="1:24" s="78" customFormat="1" hidden="1" x14ac:dyDescent="0.25">
      <c r="A968" s="73">
        <v>12482</v>
      </c>
      <c r="B968" s="73" t="s">
        <v>2003</v>
      </c>
      <c r="C968" s="87" t="s">
        <v>2002</v>
      </c>
      <c r="D968" s="88" t="s">
        <v>15</v>
      </c>
      <c r="E968" s="89" t="s">
        <v>154</v>
      </c>
      <c r="F968" s="90">
        <v>40812</v>
      </c>
      <c r="G968" s="90" t="s">
        <v>1</v>
      </c>
      <c r="H968" s="90" t="s">
        <v>1</v>
      </c>
      <c r="I968" s="92" t="s">
        <v>13</v>
      </c>
      <c r="J968" s="92" t="s">
        <v>12</v>
      </c>
      <c r="K968" s="92" t="s">
        <v>63</v>
      </c>
      <c r="L968" s="92" t="s">
        <v>81</v>
      </c>
      <c r="M968" s="92" t="s">
        <v>80</v>
      </c>
      <c r="N968" s="92" t="s">
        <v>2001</v>
      </c>
      <c r="O968" s="92" t="s">
        <v>59</v>
      </c>
      <c r="P968" s="92" t="s">
        <v>72</v>
      </c>
      <c r="Q968" s="92" t="s">
        <v>5</v>
      </c>
      <c r="R968" s="92" t="s">
        <v>4</v>
      </c>
      <c r="S968" s="92" t="s">
        <v>3</v>
      </c>
      <c r="T968" s="92" t="s">
        <v>2</v>
      </c>
      <c r="U968" s="92" t="s">
        <v>1</v>
      </c>
      <c r="V968" s="92" t="s">
        <v>0</v>
      </c>
      <c r="W968" s="93">
        <v>34</v>
      </c>
    </row>
    <row r="969" spans="1:24" hidden="1" x14ac:dyDescent="0.25">
      <c r="A969" s="8">
        <v>11406</v>
      </c>
      <c r="B969" s="8" t="s">
        <v>2000</v>
      </c>
      <c r="C969" s="7" t="s">
        <v>1999</v>
      </c>
      <c r="D969" s="6" t="s">
        <v>15</v>
      </c>
      <c r="E969" s="5" t="s">
        <v>1869</v>
      </c>
      <c r="F969" s="4">
        <v>40701</v>
      </c>
      <c r="G969" s="4" t="s">
        <v>1</v>
      </c>
      <c r="H969" s="4" t="s">
        <v>1</v>
      </c>
      <c r="I969" s="18" t="s">
        <v>100</v>
      </c>
      <c r="J969" s="18" t="s">
        <v>124</v>
      </c>
      <c r="K969" s="18" t="s">
        <v>33</v>
      </c>
      <c r="L969" s="18" t="s">
        <v>33</v>
      </c>
      <c r="M969" s="18" t="s">
        <v>124</v>
      </c>
      <c r="N969" s="18" t="s">
        <v>194</v>
      </c>
      <c r="O969" s="18" t="s">
        <v>122</v>
      </c>
      <c r="P969" s="5" t="s">
        <v>1</v>
      </c>
      <c r="Q969" s="5" t="s">
        <v>121</v>
      </c>
      <c r="R969" s="3" t="s">
        <v>4</v>
      </c>
      <c r="S969" s="3" t="s">
        <v>3</v>
      </c>
      <c r="T969" s="3" t="s">
        <v>2</v>
      </c>
      <c r="U969" s="3" t="s">
        <v>1</v>
      </c>
      <c r="V969" s="3" t="s">
        <v>0</v>
      </c>
      <c r="W969" s="2">
        <v>32</v>
      </c>
    </row>
    <row r="970" spans="1:24" hidden="1" x14ac:dyDescent="0.25">
      <c r="A970" s="8">
        <v>22294</v>
      </c>
      <c r="B970" s="8" t="s">
        <v>1998</v>
      </c>
      <c r="C970" s="19" t="s">
        <v>1997</v>
      </c>
      <c r="D970" s="6" t="s">
        <v>15</v>
      </c>
      <c r="E970" s="18" t="s">
        <v>510</v>
      </c>
      <c r="F970" s="4">
        <v>43192</v>
      </c>
      <c r="G970" s="4" t="s">
        <v>1</v>
      </c>
      <c r="H970" s="4" t="s">
        <v>1</v>
      </c>
      <c r="I970" s="3" t="s">
        <v>13</v>
      </c>
      <c r="J970" s="3" t="s">
        <v>12</v>
      </c>
      <c r="K970" s="3" t="s">
        <v>63</v>
      </c>
      <c r="L970" s="3" t="s">
        <v>81</v>
      </c>
      <c r="M970" s="3" t="s">
        <v>80</v>
      </c>
      <c r="N970" s="3" t="s">
        <v>1996</v>
      </c>
      <c r="O970" s="3" t="s">
        <v>59</v>
      </c>
      <c r="P970" s="3" t="s">
        <v>72</v>
      </c>
      <c r="Q970" s="3" t="s">
        <v>5</v>
      </c>
      <c r="R970" s="3" t="s">
        <v>4</v>
      </c>
      <c r="S970" s="3" t="s">
        <v>3</v>
      </c>
      <c r="T970" s="3" t="s">
        <v>2</v>
      </c>
      <c r="U970" s="3" t="s">
        <v>1</v>
      </c>
      <c r="V970" s="3" t="s">
        <v>0</v>
      </c>
      <c r="W970" s="2">
        <v>26</v>
      </c>
    </row>
    <row r="971" spans="1:24" hidden="1" x14ac:dyDescent="0.25">
      <c r="A971" s="8">
        <v>11419</v>
      </c>
      <c r="B971" s="8" t="s">
        <v>1995</v>
      </c>
      <c r="C971" s="7" t="s">
        <v>1994</v>
      </c>
      <c r="D971" s="6" t="s">
        <v>15</v>
      </c>
      <c r="E971" s="5" t="s">
        <v>1869</v>
      </c>
      <c r="F971" s="4">
        <v>40701</v>
      </c>
      <c r="G971" s="4" t="s">
        <v>1</v>
      </c>
      <c r="H971" s="4" t="s">
        <v>1</v>
      </c>
      <c r="I971" s="3" t="s">
        <v>13</v>
      </c>
      <c r="J971" s="3" t="s">
        <v>12</v>
      </c>
      <c r="K971" s="3" t="s">
        <v>132</v>
      </c>
      <c r="L971" s="3" t="s">
        <v>218</v>
      </c>
      <c r="M971" s="3" t="s">
        <v>1968</v>
      </c>
      <c r="N971" s="3" t="s">
        <v>22</v>
      </c>
      <c r="O971" s="3" t="s">
        <v>21</v>
      </c>
      <c r="P971" s="3" t="s">
        <v>6</v>
      </c>
      <c r="Q971" s="3" t="s">
        <v>20</v>
      </c>
      <c r="R971" s="3" t="s">
        <v>4</v>
      </c>
      <c r="S971" s="3" t="s">
        <v>3</v>
      </c>
      <c r="T971" s="3" t="s">
        <v>19</v>
      </c>
      <c r="U971" s="3" t="s">
        <v>1</v>
      </c>
      <c r="V971" s="3" t="s">
        <v>0</v>
      </c>
      <c r="W971" s="2">
        <v>32</v>
      </c>
    </row>
    <row r="972" spans="1:24" hidden="1" x14ac:dyDescent="0.25">
      <c r="A972" s="8">
        <v>11433</v>
      </c>
      <c r="B972" s="8" t="s">
        <v>1993</v>
      </c>
      <c r="C972" s="7" t="s">
        <v>1992</v>
      </c>
      <c r="D972" s="6" t="s">
        <v>15</v>
      </c>
      <c r="E972" s="5" t="s">
        <v>1869</v>
      </c>
      <c r="F972" s="4">
        <v>40701</v>
      </c>
      <c r="G972" s="4" t="s">
        <v>1</v>
      </c>
      <c r="H972" s="4" t="s">
        <v>1</v>
      </c>
      <c r="I972" s="3" t="s">
        <v>145</v>
      </c>
      <c r="J972" s="3" t="s">
        <v>12</v>
      </c>
      <c r="K972" s="3" t="s">
        <v>33</v>
      </c>
      <c r="L972" s="3" t="s">
        <v>33</v>
      </c>
      <c r="M972" s="3" t="s">
        <v>691</v>
      </c>
      <c r="N972" s="3" t="s">
        <v>1245</v>
      </c>
      <c r="O972" s="3" t="s">
        <v>171</v>
      </c>
      <c r="P972" s="3" t="s">
        <v>30</v>
      </c>
      <c r="Q972" s="3" t="s">
        <v>20</v>
      </c>
      <c r="R972" s="3" t="s">
        <v>4</v>
      </c>
      <c r="S972" s="3" t="s">
        <v>3</v>
      </c>
      <c r="T972" s="3" t="s">
        <v>2</v>
      </c>
      <c r="U972" s="3" t="s">
        <v>1</v>
      </c>
      <c r="V972" s="3" t="s">
        <v>0</v>
      </c>
      <c r="W972" s="2">
        <v>31</v>
      </c>
    </row>
    <row r="973" spans="1:24" hidden="1" x14ac:dyDescent="0.25">
      <c r="A973" s="8">
        <v>11436</v>
      </c>
      <c r="B973" s="8" t="s">
        <v>1991</v>
      </c>
      <c r="C973" s="19" t="s">
        <v>1990</v>
      </c>
      <c r="D973" s="6" t="s">
        <v>15</v>
      </c>
      <c r="E973" s="18" t="s">
        <v>1869</v>
      </c>
      <c r="F973" s="4">
        <v>40701</v>
      </c>
      <c r="G973" s="4" t="s">
        <v>1</v>
      </c>
      <c r="H973" s="4" t="s">
        <v>1</v>
      </c>
      <c r="I973" s="3" t="s">
        <v>13</v>
      </c>
      <c r="J973" s="3" t="s">
        <v>12</v>
      </c>
      <c r="K973" s="3" t="s">
        <v>262</v>
      </c>
      <c r="L973" s="3" t="s">
        <v>261</v>
      </c>
      <c r="M973" s="3" t="s">
        <v>329</v>
      </c>
      <c r="N973" s="3" t="s">
        <v>1313</v>
      </c>
      <c r="O973" s="3" t="s">
        <v>7</v>
      </c>
      <c r="P973" s="3" t="s">
        <v>6</v>
      </c>
      <c r="Q973" s="3" t="s">
        <v>5</v>
      </c>
      <c r="R973" s="3" t="s">
        <v>4</v>
      </c>
      <c r="S973" s="3" t="s">
        <v>3</v>
      </c>
      <c r="T973" s="3" t="s">
        <v>2</v>
      </c>
      <c r="U973" s="3" t="s">
        <v>1</v>
      </c>
      <c r="V973" s="3" t="s">
        <v>0</v>
      </c>
      <c r="W973" s="2">
        <v>32</v>
      </c>
    </row>
    <row r="974" spans="1:24" s="9" customFormat="1" hidden="1" x14ac:dyDescent="0.25">
      <c r="A974" s="17" t="s">
        <v>1989</v>
      </c>
      <c r="B974" s="17" t="s">
        <v>1989</v>
      </c>
      <c r="C974" s="16" t="s">
        <v>1988</v>
      </c>
      <c r="D974" s="15" t="s">
        <v>15</v>
      </c>
      <c r="E974" s="14" t="s">
        <v>109</v>
      </c>
      <c r="F974" s="13">
        <v>40826</v>
      </c>
      <c r="G974" s="13" t="s">
        <v>1</v>
      </c>
      <c r="H974" s="13" t="s">
        <v>1</v>
      </c>
      <c r="I974" s="12" t="s">
        <v>13</v>
      </c>
      <c r="J974" s="12" t="s">
        <v>12</v>
      </c>
      <c r="K974" s="12" t="s">
        <v>63</v>
      </c>
      <c r="L974" s="12" t="s">
        <v>81</v>
      </c>
      <c r="M974" s="12" t="s">
        <v>80</v>
      </c>
      <c r="N974" s="12" t="s">
        <v>1987</v>
      </c>
      <c r="O974" s="12" t="s">
        <v>59</v>
      </c>
      <c r="P974" s="12" t="s">
        <v>72</v>
      </c>
      <c r="Q974" s="12" t="s">
        <v>5</v>
      </c>
      <c r="R974" s="12" t="s">
        <v>4</v>
      </c>
      <c r="S974" s="12" t="s">
        <v>3</v>
      </c>
      <c r="T974" s="12" t="s">
        <v>2</v>
      </c>
      <c r="U974" s="12" t="s">
        <v>1</v>
      </c>
      <c r="V974" s="12" t="s">
        <v>0</v>
      </c>
      <c r="W974" s="11">
        <v>31</v>
      </c>
      <c r="X974" s="10"/>
    </row>
    <row r="975" spans="1:24" hidden="1" x14ac:dyDescent="0.25">
      <c r="A975" s="8">
        <v>11448</v>
      </c>
      <c r="B975" s="8" t="s">
        <v>1986</v>
      </c>
      <c r="C975" s="46" t="s">
        <v>404</v>
      </c>
      <c r="D975" s="45" t="s">
        <v>15</v>
      </c>
      <c r="E975" s="5" t="s">
        <v>1869</v>
      </c>
      <c r="F975" s="4">
        <v>40701</v>
      </c>
      <c r="G975" s="4" t="s">
        <v>1</v>
      </c>
      <c r="H975" s="4" t="s">
        <v>1</v>
      </c>
      <c r="I975" s="3" t="s">
        <v>13</v>
      </c>
      <c r="J975" s="3" t="s">
        <v>12</v>
      </c>
      <c r="K975" s="3" t="s">
        <v>283</v>
      </c>
      <c r="L975" s="3" t="s">
        <v>282</v>
      </c>
      <c r="M975" s="3" t="s">
        <v>281</v>
      </c>
      <c r="N975" s="3" t="s">
        <v>870</v>
      </c>
      <c r="O975" s="3" t="s">
        <v>21</v>
      </c>
      <c r="P975" s="3" t="s">
        <v>6</v>
      </c>
      <c r="Q975" s="3" t="s">
        <v>20</v>
      </c>
      <c r="R975" s="3" t="s">
        <v>4</v>
      </c>
      <c r="S975" s="3" t="s">
        <v>3</v>
      </c>
      <c r="T975" s="3" t="s">
        <v>2</v>
      </c>
      <c r="U975" s="3" t="s">
        <v>1</v>
      </c>
      <c r="V975" s="3" t="s">
        <v>0</v>
      </c>
      <c r="W975" s="2">
        <v>33</v>
      </c>
    </row>
    <row r="976" spans="1:24" hidden="1" x14ac:dyDescent="0.25">
      <c r="A976" s="8">
        <v>11455</v>
      </c>
      <c r="B976" s="8" t="s">
        <v>1985</v>
      </c>
      <c r="C976" s="7" t="s">
        <v>1984</v>
      </c>
      <c r="D976" s="6" t="s">
        <v>15</v>
      </c>
      <c r="E976" s="5" t="s">
        <v>1869</v>
      </c>
      <c r="F976" s="4">
        <v>40701</v>
      </c>
      <c r="G976" s="4" t="s">
        <v>1</v>
      </c>
      <c r="H976" s="4" t="s">
        <v>1</v>
      </c>
      <c r="I976" s="3" t="s">
        <v>13</v>
      </c>
      <c r="J976" s="3" t="s">
        <v>12</v>
      </c>
      <c r="K976" s="3" t="s">
        <v>63</v>
      </c>
      <c r="L976" s="3" t="s">
        <v>62</v>
      </c>
      <c r="M976" s="3" t="s">
        <v>565</v>
      </c>
      <c r="N976" s="3" t="s">
        <v>454</v>
      </c>
      <c r="O976" s="3" t="s">
        <v>453</v>
      </c>
      <c r="P976" s="3" t="s">
        <v>6</v>
      </c>
      <c r="Q976" s="3" t="s">
        <v>5</v>
      </c>
      <c r="R976" s="3" t="s">
        <v>4</v>
      </c>
      <c r="S976" s="3" t="s">
        <v>3</v>
      </c>
      <c r="T976" s="3" t="s">
        <v>2</v>
      </c>
      <c r="U976" s="3" t="s">
        <v>1</v>
      </c>
      <c r="V976" s="3" t="s">
        <v>0</v>
      </c>
      <c r="W976" s="2">
        <v>31</v>
      </c>
    </row>
    <row r="977" spans="1:24" hidden="1" x14ac:dyDescent="0.25">
      <c r="A977" s="8">
        <v>11461</v>
      </c>
      <c r="B977" s="8" t="s">
        <v>1983</v>
      </c>
      <c r="C977" s="7" t="s">
        <v>1982</v>
      </c>
      <c r="D977" s="6" t="s">
        <v>15</v>
      </c>
      <c r="E977" s="5" t="s">
        <v>1869</v>
      </c>
      <c r="F977" s="4">
        <v>40701</v>
      </c>
      <c r="G977" s="4" t="s">
        <v>1</v>
      </c>
      <c r="H977" s="4" t="s">
        <v>1</v>
      </c>
      <c r="I977" s="3" t="s">
        <v>13</v>
      </c>
      <c r="J977" s="3" t="s">
        <v>12</v>
      </c>
      <c r="K977" s="3" t="s">
        <v>482</v>
      </c>
      <c r="L977" s="3" t="s">
        <v>481</v>
      </c>
      <c r="M977" s="3" t="s">
        <v>480</v>
      </c>
      <c r="N977" s="3" t="s">
        <v>716</v>
      </c>
      <c r="O977" s="3" t="s">
        <v>59</v>
      </c>
      <c r="P977" s="3" t="s">
        <v>6</v>
      </c>
      <c r="Q977" s="3" t="s">
        <v>5</v>
      </c>
      <c r="R977" s="3" t="s">
        <v>4</v>
      </c>
      <c r="S977" s="3" t="s">
        <v>3</v>
      </c>
      <c r="T977" s="3" t="s">
        <v>2</v>
      </c>
      <c r="U977" s="3" t="s">
        <v>1</v>
      </c>
      <c r="V977" s="3" t="s">
        <v>0</v>
      </c>
      <c r="W977" s="2">
        <v>31</v>
      </c>
    </row>
    <row r="978" spans="1:24" hidden="1" x14ac:dyDescent="0.25">
      <c r="A978" s="8">
        <v>11483</v>
      </c>
      <c r="B978" s="8" t="s">
        <v>1981</v>
      </c>
      <c r="C978" s="7" t="s">
        <v>1980</v>
      </c>
      <c r="D978" s="6" t="s">
        <v>15</v>
      </c>
      <c r="E978" s="5" t="s">
        <v>1869</v>
      </c>
      <c r="F978" s="4">
        <v>40701</v>
      </c>
      <c r="G978" s="4" t="s">
        <v>1</v>
      </c>
      <c r="H978" s="4" t="s">
        <v>1</v>
      </c>
      <c r="I978" s="3" t="s">
        <v>13</v>
      </c>
      <c r="J978" s="3" t="s">
        <v>133</v>
      </c>
      <c r="K978" s="3" t="s">
        <v>132</v>
      </c>
      <c r="L978" s="3" t="s">
        <v>131</v>
      </c>
      <c r="M978" s="3" t="s">
        <v>130</v>
      </c>
      <c r="N978" s="3" t="s">
        <v>198</v>
      </c>
      <c r="O978" s="3" t="s">
        <v>184</v>
      </c>
      <c r="P978" s="3" t="s">
        <v>6</v>
      </c>
      <c r="Q978" s="3" t="s">
        <v>20</v>
      </c>
      <c r="R978" s="3" t="s">
        <v>4</v>
      </c>
      <c r="S978" s="3" t="s">
        <v>3</v>
      </c>
      <c r="T978" s="3" t="s">
        <v>2</v>
      </c>
      <c r="U978" s="3" t="s">
        <v>1</v>
      </c>
      <c r="V978" s="3" t="s">
        <v>0</v>
      </c>
      <c r="W978" s="2">
        <v>32</v>
      </c>
    </row>
    <row r="979" spans="1:24" hidden="1" x14ac:dyDescent="0.25">
      <c r="A979" s="8" t="s">
        <v>1979</v>
      </c>
      <c r="B979" s="8" t="s">
        <v>1979</v>
      </c>
      <c r="C979" s="7" t="s">
        <v>1978</v>
      </c>
      <c r="D979" s="6" t="s">
        <v>15</v>
      </c>
      <c r="E979" s="5" t="s">
        <v>1977</v>
      </c>
      <c r="F979" s="4">
        <v>42282</v>
      </c>
      <c r="G979" s="4" t="s">
        <v>1</v>
      </c>
      <c r="H979" s="4" t="s">
        <v>1</v>
      </c>
      <c r="I979" s="3" t="s">
        <v>13</v>
      </c>
      <c r="J979" s="3" t="s">
        <v>12</v>
      </c>
      <c r="K979" s="3" t="s">
        <v>63</v>
      </c>
      <c r="L979" s="3" t="s">
        <v>81</v>
      </c>
      <c r="M979" s="3" t="s">
        <v>80</v>
      </c>
      <c r="N979" s="3" t="s">
        <v>1976</v>
      </c>
      <c r="O979" s="3" t="s">
        <v>258</v>
      </c>
      <c r="P979" s="3" t="s">
        <v>72</v>
      </c>
      <c r="Q979" s="3" t="s">
        <v>5</v>
      </c>
      <c r="R979" s="3" t="s">
        <v>4</v>
      </c>
      <c r="S979" s="3" t="s">
        <v>3</v>
      </c>
      <c r="T979" s="3" t="s">
        <v>2</v>
      </c>
      <c r="U979" s="3" t="s">
        <v>1</v>
      </c>
      <c r="V979" s="3" t="s">
        <v>0</v>
      </c>
      <c r="W979" s="2">
        <v>29</v>
      </c>
    </row>
    <row r="980" spans="1:24" hidden="1" x14ac:dyDescent="0.25">
      <c r="A980" s="8">
        <v>9430</v>
      </c>
      <c r="B980" s="8" t="s">
        <v>1975</v>
      </c>
      <c r="C980" s="7" t="s">
        <v>1974</v>
      </c>
      <c r="D980" s="6" t="s">
        <v>15</v>
      </c>
      <c r="E980" s="5" t="s">
        <v>491</v>
      </c>
      <c r="F980" s="4">
        <v>40148</v>
      </c>
      <c r="G980" s="4" t="s">
        <v>1</v>
      </c>
      <c r="H980" s="4" t="s">
        <v>1</v>
      </c>
      <c r="I980" s="3" t="s">
        <v>13</v>
      </c>
      <c r="J980" s="3" t="s">
        <v>12</v>
      </c>
      <c r="K980" s="3" t="s">
        <v>63</v>
      </c>
      <c r="L980" s="3" t="s">
        <v>1469</v>
      </c>
      <c r="M980" s="3" t="s">
        <v>1468</v>
      </c>
      <c r="N980" s="3" t="s">
        <v>1078</v>
      </c>
      <c r="O980" s="3" t="s">
        <v>29</v>
      </c>
      <c r="P980" s="3" t="s">
        <v>72</v>
      </c>
      <c r="Q980" s="3" t="s">
        <v>20</v>
      </c>
      <c r="R980" s="3" t="s">
        <v>4</v>
      </c>
      <c r="S980" s="3" t="s">
        <v>3</v>
      </c>
      <c r="T980" s="3" t="s">
        <v>1077</v>
      </c>
      <c r="U980" s="3" t="s">
        <v>1</v>
      </c>
      <c r="V980" s="3" t="s">
        <v>0</v>
      </c>
      <c r="W980" s="2">
        <v>34</v>
      </c>
    </row>
    <row r="981" spans="1:24" s="9" customFormat="1" hidden="1" x14ac:dyDescent="0.25">
      <c r="A981" s="17">
        <v>9571</v>
      </c>
      <c r="B981" s="17" t="s">
        <v>1973</v>
      </c>
      <c r="C981" s="16" t="s">
        <v>1972</v>
      </c>
      <c r="D981" s="15" t="s">
        <v>15</v>
      </c>
      <c r="E981" s="14" t="s">
        <v>1971</v>
      </c>
      <c r="F981" s="13">
        <v>40179</v>
      </c>
      <c r="G981" s="13" t="s">
        <v>1</v>
      </c>
      <c r="H981" s="13" t="s">
        <v>1</v>
      </c>
      <c r="I981" s="12" t="s">
        <v>13</v>
      </c>
      <c r="J981" s="12" t="s">
        <v>12</v>
      </c>
      <c r="K981" s="12" t="s">
        <v>63</v>
      </c>
      <c r="L981" s="12" t="s">
        <v>1469</v>
      </c>
      <c r="M981" s="12" t="s">
        <v>1468</v>
      </c>
      <c r="N981" s="12" t="s">
        <v>606</v>
      </c>
      <c r="O981" s="12" t="s">
        <v>59</v>
      </c>
      <c r="P981" s="12" t="s">
        <v>72</v>
      </c>
      <c r="Q981" s="12" t="s">
        <v>5</v>
      </c>
      <c r="R981" s="12" t="s">
        <v>4</v>
      </c>
      <c r="S981" s="12" t="s">
        <v>3</v>
      </c>
      <c r="T981" s="12" t="s">
        <v>2</v>
      </c>
      <c r="U981" s="12" t="s">
        <v>1</v>
      </c>
      <c r="V981" s="12" t="s">
        <v>0</v>
      </c>
      <c r="W981" s="11">
        <v>35</v>
      </c>
      <c r="X981" s="10"/>
    </row>
    <row r="982" spans="1:24" hidden="1" x14ac:dyDescent="0.25">
      <c r="A982" s="8">
        <v>11523</v>
      </c>
      <c r="B982" s="8" t="s">
        <v>1970</v>
      </c>
      <c r="C982" s="7" t="s">
        <v>1969</v>
      </c>
      <c r="D982" s="6" t="s">
        <v>15</v>
      </c>
      <c r="E982" s="5" t="s">
        <v>1763</v>
      </c>
      <c r="F982" s="4">
        <v>40707</v>
      </c>
      <c r="G982" s="4" t="s">
        <v>1</v>
      </c>
      <c r="H982" s="4" t="s">
        <v>1</v>
      </c>
      <c r="I982" s="3" t="s">
        <v>13</v>
      </c>
      <c r="J982" s="3" t="s">
        <v>12</v>
      </c>
      <c r="K982" s="3" t="s">
        <v>132</v>
      </c>
      <c r="L982" s="3" t="s">
        <v>218</v>
      </c>
      <c r="M982" s="3" t="s">
        <v>1968</v>
      </c>
      <c r="N982" s="3" t="s">
        <v>1078</v>
      </c>
      <c r="O982" s="3" t="s">
        <v>29</v>
      </c>
      <c r="P982" s="3" t="s">
        <v>6</v>
      </c>
      <c r="Q982" s="3" t="s">
        <v>20</v>
      </c>
      <c r="R982" s="3" t="s">
        <v>4</v>
      </c>
      <c r="S982" s="3" t="s">
        <v>3</v>
      </c>
      <c r="T982" s="3" t="s">
        <v>1077</v>
      </c>
      <c r="U982" s="3" t="s">
        <v>1</v>
      </c>
      <c r="V982" s="3" t="s">
        <v>0</v>
      </c>
      <c r="W982" s="2">
        <v>32</v>
      </c>
    </row>
    <row r="983" spans="1:24" s="78" customFormat="1" hidden="1" x14ac:dyDescent="0.25">
      <c r="A983" s="73">
        <v>9972</v>
      </c>
      <c r="B983" s="73" t="s">
        <v>1967</v>
      </c>
      <c r="C983" s="87" t="s">
        <v>1966</v>
      </c>
      <c r="D983" s="88" t="s">
        <v>15</v>
      </c>
      <c r="E983" s="89" t="s">
        <v>1041</v>
      </c>
      <c r="F983" s="90">
        <v>40431</v>
      </c>
      <c r="G983" s="90" t="s">
        <v>1</v>
      </c>
      <c r="H983" s="90" t="s">
        <v>1</v>
      </c>
      <c r="I983" s="92" t="s">
        <v>13</v>
      </c>
      <c r="J983" s="92" t="s">
        <v>12</v>
      </c>
      <c r="K983" s="92" t="s">
        <v>63</v>
      </c>
      <c r="L983" s="92" t="s">
        <v>1469</v>
      </c>
      <c r="M983" s="92" t="s">
        <v>1468</v>
      </c>
      <c r="N983" s="92" t="s">
        <v>716</v>
      </c>
      <c r="O983" s="92" t="s">
        <v>59</v>
      </c>
      <c r="P983" s="92" t="s">
        <v>72</v>
      </c>
      <c r="Q983" s="92" t="s">
        <v>5</v>
      </c>
      <c r="R983" s="92" t="s">
        <v>4</v>
      </c>
      <c r="S983" s="92" t="s">
        <v>3</v>
      </c>
      <c r="T983" s="92" t="s">
        <v>2</v>
      </c>
      <c r="U983" s="92" t="s">
        <v>1</v>
      </c>
      <c r="V983" s="92" t="s">
        <v>0</v>
      </c>
      <c r="W983" s="93">
        <v>35</v>
      </c>
    </row>
    <row r="984" spans="1:24" hidden="1" x14ac:dyDescent="0.25">
      <c r="A984" s="8">
        <v>11546</v>
      </c>
      <c r="B984" s="8" t="s">
        <v>1965</v>
      </c>
      <c r="C984" s="35" t="s">
        <v>1964</v>
      </c>
      <c r="D984" s="6" t="s">
        <v>15</v>
      </c>
      <c r="E984" s="8" t="s">
        <v>1763</v>
      </c>
      <c r="F984" s="4">
        <v>40707</v>
      </c>
      <c r="G984" s="4" t="s">
        <v>1</v>
      </c>
      <c r="H984" s="4" t="s">
        <v>1</v>
      </c>
      <c r="I984" s="3" t="s">
        <v>13</v>
      </c>
      <c r="J984" s="3" t="s">
        <v>133</v>
      </c>
      <c r="K984" s="3" t="s">
        <v>212</v>
      </c>
      <c r="L984" s="3" t="s">
        <v>211</v>
      </c>
      <c r="M984" s="3" t="s">
        <v>210</v>
      </c>
      <c r="N984" s="3" t="s">
        <v>1963</v>
      </c>
      <c r="O984" s="3" t="s">
        <v>1231</v>
      </c>
      <c r="P984" s="3" t="s">
        <v>6</v>
      </c>
      <c r="Q984" s="3" t="s">
        <v>5</v>
      </c>
      <c r="R984" s="3" t="s">
        <v>4</v>
      </c>
      <c r="S984" s="3" t="s">
        <v>3</v>
      </c>
      <c r="T984" s="3" t="s">
        <v>2</v>
      </c>
      <c r="U984" s="3" t="s">
        <v>1</v>
      </c>
      <c r="V984" s="3" t="s">
        <v>0</v>
      </c>
      <c r="W984" s="2">
        <v>32</v>
      </c>
    </row>
    <row r="985" spans="1:24" s="78" customFormat="1" hidden="1" x14ac:dyDescent="0.25">
      <c r="A985" s="73">
        <v>12598</v>
      </c>
      <c r="B985" s="73" t="s">
        <v>1962</v>
      </c>
      <c r="C985" s="102" t="s">
        <v>1961</v>
      </c>
      <c r="D985" s="88" t="s">
        <v>15</v>
      </c>
      <c r="E985" s="91" t="s">
        <v>1498</v>
      </c>
      <c r="F985" s="90">
        <v>40816</v>
      </c>
      <c r="G985" s="90" t="s">
        <v>1</v>
      </c>
      <c r="H985" s="90" t="s">
        <v>1</v>
      </c>
      <c r="I985" s="92" t="s">
        <v>13</v>
      </c>
      <c r="J985" s="92" t="s">
        <v>12</v>
      </c>
      <c r="K985" s="92" t="s">
        <v>63</v>
      </c>
      <c r="L985" s="92" t="s">
        <v>1469</v>
      </c>
      <c r="M985" s="92" t="s">
        <v>1468</v>
      </c>
      <c r="N985" s="92" t="s">
        <v>628</v>
      </c>
      <c r="O985" s="92" t="s">
        <v>59</v>
      </c>
      <c r="P985" s="92" t="s">
        <v>72</v>
      </c>
      <c r="Q985" s="92" t="s">
        <v>5</v>
      </c>
      <c r="R985" s="92" t="s">
        <v>4</v>
      </c>
      <c r="S985" s="92" t="s">
        <v>3</v>
      </c>
      <c r="T985" s="92" t="s">
        <v>2</v>
      </c>
      <c r="U985" s="92" t="s">
        <v>1</v>
      </c>
      <c r="V985" s="92" t="s">
        <v>0</v>
      </c>
      <c r="W985" s="93">
        <v>31</v>
      </c>
    </row>
    <row r="986" spans="1:24" s="78" customFormat="1" hidden="1" x14ac:dyDescent="0.25">
      <c r="A986" s="73">
        <v>13530</v>
      </c>
      <c r="B986" s="73" t="s">
        <v>1960</v>
      </c>
      <c r="C986" s="87" t="s">
        <v>1959</v>
      </c>
      <c r="D986" s="88" t="s">
        <v>15</v>
      </c>
      <c r="E986" s="89" t="s">
        <v>1958</v>
      </c>
      <c r="F986" s="90">
        <v>40948</v>
      </c>
      <c r="G986" s="90" t="s">
        <v>1</v>
      </c>
      <c r="H986" s="90" t="s">
        <v>1</v>
      </c>
      <c r="I986" s="92" t="s">
        <v>13</v>
      </c>
      <c r="J986" s="92" t="s">
        <v>12</v>
      </c>
      <c r="K986" s="92" t="s">
        <v>63</v>
      </c>
      <c r="L986" s="92" t="s">
        <v>1469</v>
      </c>
      <c r="M986" s="92" t="s">
        <v>1468</v>
      </c>
      <c r="N986" s="92" t="s">
        <v>1957</v>
      </c>
      <c r="O986" s="92" t="s">
        <v>7</v>
      </c>
      <c r="P986" s="92" t="s">
        <v>72</v>
      </c>
      <c r="Q986" s="92" t="s">
        <v>5</v>
      </c>
      <c r="R986" s="92" t="s">
        <v>4</v>
      </c>
      <c r="S986" s="92" t="s">
        <v>3</v>
      </c>
      <c r="T986" s="92" t="s">
        <v>2</v>
      </c>
      <c r="U986" s="92" t="s">
        <v>1</v>
      </c>
      <c r="V986" s="92" t="s">
        <v>0</v>
      </c>
      <c r="W986" s="93">
        <v>31</v>
      </c>
    </row>
    <row r="987" spans="1:24" hidden="1" x14ac:dyDescent="0.25">
      <c r="A987" s="8">
        <v>11551</v>
      </c>
      <c r="B987" s="8" t="s">
        <v>1956</v>
      </c>
      <c r="C987" s="7" t="s">
        <v>1955</v>
      </c>
      <c r="D987" s="6" t="s">
        <v>15</v>
      </c>
      <c r="E987" s="5" t="s">
        <v>1763</v>
      </c>
      <c r="F987" s="4">
        <v>40707</v>
      </c>
      <c r="G987" s="4" t="s">
        <v>1</v>
      </c>
      <c r="H987" s="4" t="s">
        <v>1</v>
      </c>
      <c r="I987" s="3" t="s">
        <v>145</v>
      </c>
      <c r="J987" s="3" t="s">
        <v>12</v>
      </c>
      <c r="K987" s="3" t="s">
        <v>11</v>
      </c>
      <c r="L987" s="3" t="s">
        <v>10</v>
      </c>
      <c r="M987" s="3" t="s">
        <v>9</v>
      </c>
      <c r="N987" s="3" t="s">
        <v>1196</v>
      </c>
      <c r="O987" s="3" t="s">
        <v>21</v>
      </c>
      <c r="P987" s="3" t="s">
        <v>6</v>
      </c>
      <c r="Q987" s="3" t="s">
        <v>20</v>
      </c>
      <c r="R987" s="3" t="s">
        <v>4</v>
      </c>
      <c r="S987" s="3" t="s">
        <v>3</v>
      </c>
      <c r="T987" s="3" t="s">
        <v>19</v>
      </c>
      <c r="U987" s="3" t="s">
        <v>1</v>
      </c>
      <c r="V987" s="3" t="s">
        <v>0</v>
      </c>
      <c r="W987" s="2">
        <v>31</v>
      </c>
    </row>
    <row r="988" spans="1:24" hidden="1" x14ac:dyDescent="0.25">
      <c r="A988" s="8">
        <v>17149</v>
      </c>
      <c r="B988" s="8" t="s">
        <v>1954</v>
      </c>
      <c r="C988" s="19" t="s">
        <v>1953</v>
      </c>
      <c r="D988" s="6" t="s">
        <v>15</v>
      </c>
      <c r="E988" s="18" t="s">
        <v>1000</v>
      </c>
      <c r="F988" s="4">
        <v>41758</v>
      </c>
      <c r="G988" s="4" t="s">
        <v>1</v>
      </c>
      <c r="H988" s="4" t="s">
        <v>1</v>
      </c>
      <c r="I988" s="3" t="s">
        <v>13</v>
      </c>
      <c r="J988" s="3" t="s">
        <v>12</v>
      </c>
      <c r="K988" s="3" t="s">
        <v>63</v>
      </c>
      <c r="L988" s="3" t="s">
        <v>1469</v>
      </c>
      <c r="M988" s="3" t="s">
        <v>1468</v>
      </c>
      <c r="N988" s="3" t="s">
        <v>22</v>
      </c>
      <c r="O988" s="3" t="s">
        <v>21</v>
      </c>
      <c r="P988" s="3" t="s">
        <v>72</v>
      </c>
      <c r="Q988" s="3" t="s">
        <v>20</v>
      </c>
      <c r="R988" s="3" t="s">
        <v>4</v>
      </c>
      <c r="S988" s="3" t="s">
        <v>3</v>
      </c>
      <c r="T988" s="3" t="s">
        <v>19</v>
      </c>
      <c r="U988" s="3" t="s">
        <v>1</v>
      </c>
      <c r="V988" s="3" t="s">
        <v>0</v>
      </c>
      <c r="W988" s="2">
        <v>28</v>
      </c>
    </row>
    <row r="989" spans="1:24" hidden="1" x14ac:dyDescent="0.25">
      <c r="A989" s="8">
        <v>22035</v>
      </c>
      <c r="B989" s="8" t="s">
        <v>1952</v>
      </c>
      <c r="C989" s="19" t="s">
        <v>1951</v>
      </c>
      <c r="D989" s="6" t="s">
        <v>15</v>
      </c>
      <c r="E989" s="18" t="s">
        <v>532</v>
      </c>
      <c r="F989" s="4">
        <v>43144</v>
      </c>
      <c r="G989" s="4" t="s">
        <v>1</v>
      </c>
      <c r="H989" s="4" t="s">
        <v>1</v>
      </c>
      <c r="I989" s="3" t="s">
        <v>13</v>
      </c>
      <c r="J989" s="3" t="s">
        <v>12</v>
      </c>
      <c r="K989" s="3" t="s">
        <v>63</v>
      </c>
      <c r="L989" s="3" t="s">
        <v>1469</v>
      </c>
      <c r="M989" s="3" t="s">
        <v>1468</v>
      </c>
      <c r="N989" s="3" t="s">
        <v>1950</v>
      </c>
      <c r="O989" s="3" t="s">
        <v>453</v>
      </c>
      <c r="P989" s="3" t="s">
        <v>72</v>
      </c>
      <c r="Q989" s="3" t="s">
        <v>5</v>
      </c>
      <c r="R989" s="3" t="s">
        <v>4</v>
      </c>
      <c r="S989" s="3" t="s">
        <v>3</v>
      </c>
      <c r="T989" s="3" t="s">
        <v>2</v>
      </c>
      <c r="U989" s="3" t="s">
        <v>1</v>
      </c>
      <c r="V989" s="3" t="s">
        <v>0</v>
      </c>
      <c r="W989" s="2">
        <v>25</v>
      </c>
    </row>
    <row r="990" spans="1:24" hidden="1" x14ac:dyDescent="0.25">
      <c r="A990" s="8">
        <v>277</v>
      </c>
      <c r="B990" s="8" t="s">
        <v>1949</v>
      </c>
      <c r="C990" s="7" t="s">
        <v>1948</v>
      </c>
      <c r="D990" s="6" t="s">
        <v>15</v>
      </c>
      <c r="E990" s="5" t="s">
        <v>1947</v>
      </c>
      <c r="F990" s="4">
        <v>37718</v>
      </c>
      <c r="G990" s="4" t="s">
        <v>1</v>
      </c>
      <c r="H990" s="4" t="s">
        <v>1</v>
      </c>
      <c r="I990" s="3" t="s">
        <v>13</v>
      </c>
      <c r="J990" s="3" t="s">
        <v>12</v>
      </c>
      <c r="K990" s="3" t="s">
        <v>11</v>
      </c>
      <c r="L990" s="3" t="s">
        <v>10</v>
      </c>
      <c r="M990" s="3" t="s">
        <v>9</v>
      </c>
      <c r="N990" s="3" t="s">
        <v>1299</v>
      </c>
      <c r="O990" s="3" t="s">
        <v>67</v>
      </c>
      <c r="P990" s="3" t="s">
        <v>72</v>
      </c>
      <c r="Q990" s="3" t="s">
        <v>5</v>
      </c>
      <c r="R990" s="3" t="s">
        <v>4</v>
      </c>
      <c r="S990" s="3" t="s">
        <v>3</v>
      </c>
      <c r="T990" s="3" t="s">
        <v>2</v>
      </c>
      <c r="U990" s="3" t="s">
        <v>1</v>
      </c>
      <c r="V990" s="3" t="s">
        <v>0</v>
      </c>
      <c r="W990" s="2">
        <v>42</v>
      </c>
    </row>
    <row r="991" spans="1:24" hidden="1" x14ac:dyDescent="0.25">
      <c r="A991" s="8">
        <v>11584</v>
      </c>
      <c r="B991" s="8" t="s">
        <v>1946</v>
      </c>
      <c r="C991" s="7" t="s">
        <v>1945</v>
      </c>
      <c r="D991" s="6" t="s">
        <v>15</v>
      </c>
      <c r="E991" s="5" t="s">
        <v>1763</v>
      </c>
      <c r="F991" s="4">
        <v>40707</v>
      </c>
      <c r="G991" s="4" t="s">
        <v>1</v>
      </c>
      <c r="H991" s="4" t="s">
        <v>1</v>
      </c>
      <c r="I991" s="3" t="s">
        <v>13</v>
      </c>
      <c r="J991" s="3" t="s">
        <v>12</v>
      </c>
      <c r="K991" s="3" t="s">
        <v>262</v>
      </c>
      <c r="L991" s="3" t="s">
        <v>261</v>
      </c>
      <c r="M991" s="3" t="s">
        <v>329</v>
      </c>
      <c r="N991" s="3" t="s">
        <v>606</v>
      </c>
      <c r="O991" s="3" t="s">
        <v>59</v>
      </c>
      <c r="P991" s="3" t="s">
        <v>6</v>
      </c>
      <c r="Q991" s="3" t="s">
        <v>5</v>
      </c>
      <c r="R991" s="3" t="s">
        <v>4</v>
      </c>
      <c r="S991" s="3" t="s">
        <v>3</v>
      </c>
      <c r="T991" s="3" t="s">
        <v>2</v>
      </c>
      <c r="U991" s="3" t="s">
        <v>1</v>
      </c>
      <c r="V991" s="3" t="s">
        <v>0</v>
      </c>
      <c r="W991" s="2">
        <v>33</v>
      </c>
    </row>
    <row r="992" spans="1:24" s="9" customFormat="1" hidden="1" x14ac:dyDescent="0.25">
      <c r="A992" s="17">
        <v>1190</v>
      </c>
      <c r="B992" s="17" t="s">
        <v>1944</v>
      </c>
      <c r="C992" s="16" t="s">
        <v>1943</v>
      </c>
      <c r="D992" s="15" t="s">
        <v>15</v>
      </c>
      <c r="E992" s="14" t="s">
        <v>1942</v>
      </c>
      <c r="F992" s="13">
        <v>37907</v>
      </c>
      <c r="G992" s="13" t="s">
        <v>1</v>
      </c>
      <c r="H992" s="13" t="s">
        <v>1</v>
      </c>
      <c r="I992" s="12" t="s">
        <v>13</v>
      </c>
      <c r="J992" s="12" t="s">
        <v>12</v>
      </c>
      <c r="K992" s="12" t="s">
        <v>11</v>
      </c>
      <c r="L992" s="12" t="s">
        <v>10</v>
      </c>
      <c r="M992" s="12" t="s">
        <v>9</v>
      </c>
      <c r="N992" s="12" t="s">
        <v>1078</v>
      </c>
      <c r="O992" s="12" t="s">
        <v>29</v>
      </c>
      <c r="P992" s="12" t="s">
        <v>72</v>
      </c>
      <c r="Q992" s="12" t="s">
        <v>20</v>
      </c>
      <c r="R992" s="12" t="s">
        <v>4</v>
      </c>
      <c r="S992" s="12" t="s">
        <v>3</v>
      </c>
      <c r="T992" s="12" t="s">
        <v>1077</v>
      </c>
      <c r="U992" s="12" t="s">
        <v>1</v>
      </c>
      <c r="V992" s="12" t="s">
        <v>0</v>
      </c>
      <c r="W992" s="11">
        <v>39</v>
      </c>
      <c r="X992" s="10"/>
    </row>
    <row r="993" spans="1:24" s="78" customFormat="1" hidden="1" x14ac:dyDescent="0.25">
      <c r="A993" s="73">
        <v>5254</v>
      </c>
      <c r="B993" s="73" t="s">
        <v>1941</v>
      </c>
      <c r="C993" s="87" t="s">
        <v>1940</v>
      </c>
      <c r="D993" s="88" t="s">
        <v>15</v>
      </c>
      <c r="E993" s="89" t="s">
        <v>1177</v>
      </c>
      <c r="F993" s="90">
        <v>38961</v>
      </c>
      <c r="G993" s="90" t="s">
        <v>1</v>
      </c>
      <c r="H993" s="90" t="s">
        <v>1</v>
      </c>
      <c r="I993" s="92" t="s">
        <v>13</v>
      </c>
      <c r="J993" s="92" t="s">
        <v>12</v>
      </c>
      <c r="K993" s="92" t="s">
        <v>11</v>
      </c>
      <c r="L993" s="92" t="s">
        <v>10</v>
      </c>
      <c r="M993" s="92" t="s">
        <v>9</v>
      </c>
      <c r="N993" s="92" t="s">
        <v>1362</v>
      </c>
      <c r="O993" s="92" t="s">
        <v>39</v>
      </c>
      <c r="P993" s="92" t="s">
        <v>72</v>
      </c>
      <c r="Q993" s="92" t="s">
        <v>20</v>
      </c>
      <c r="R993" s="92" t="s">
        <v>4</v>
      </c>
      <c r="S993" s="92" t="s">
        <v>3</v>
      </c>
      <c r="T993" s="92" t="s">
        <v>1361</v>
      </c>
      <c r="U993" s="92" t="s">
        <v>1</v>
      </c>
      <c r="V993" s="92" t="s">
        <v>0</v>
      </c>
      <c r="W993" s="93">
        <v>40</v>
      </c>
    </row>
    <row r="994" spans="1:24" hidden="1" x14ac:dyDescent="0.25">
      <c r="A994" s="8">
        <v>11589</v>
      </c>
      <c r="B994" s="8" t="s">
        <v>1939</v>
      </c>
      <c r="C994" s="7" t="s">
        <v>1938</v>
      </c>
      <c r="D994" s="6" t="s">
        <v>15</v>
      </c>
      <c r="E994" s="5" t="s">
        <v>1763</v>
      </c>
      <c r="F994" s="4">
        <v>40707</v>
      </c>
      <c r="G994" s="4" t="s">
        <v>1</v>
      </c>
      <c r="H994" s="4" t="s">
        <v>1</v>
      </c>
      <c r="I994" s="3" t="s">
        <v>13</v>
      </c>
      <c r="J994" s="3" t="s">
        <v>12</v>
      </c>
      <c r="K994" s="3" t="s">
        <v>262</v>
      </c>
      <c r="L994" s="3" t="s">
        <v>261</v>
      </c>
      <c r="M994" s="3" t="s">
        <v>260</v>
      </c>
      <c r="N994" s="3" t="s">
        <v>22</v>
      </c>
      <c r="O994" s="3" t="s">
        <v>21</v>
      </c>
      <c r="P994" s="3" t="s">
        <v>6</v>
      </c>
      <c r="Q994" s="3" t="s">
        <v>20</v>
      </c>
      <c r="R994" s="3" t="s">
        <v>4</v>
      </c>
      <c r="S994" s="3" t="s">
        <v>3</v>
      </c>
      <c r="T994" s="3" t="s">
        <v>19</v>
      </c>
      <c r="U994" s="3" t="s">
        <v>1</v>
      </c>
      <c r="V994" s="3" t="s">
        <v>0</v>
      </c>
      <c r="W994" s="2">
        <v>32</v>
      </c>
    </row>
    <row r="995" spans="1:24" hidden="1" x14ac:dyDescent="0.25">
      <c r="A995" s="8">
        <v>11602</v>
      </c>
      <c r="B995" s="8" t="s">
        <v>1937</v>
      </c>
      <c r="C995" s="7" t="s">
        <v>1936</v>
      </c>
      <c r="D995" s="6" t="s">
        <v>15</v>
      </c>
      <c r="E995" s="5" t="s">
        <v>1763</v>
      </c>
      <c r="F995" s="4">
        <v>40707</v>
      </c>
      <c r="G995" s="4" t="s">
        <v>1</v>
      </c>
      <c r="H995" s="4" t="s">
        <v>1</v>
      </c>
      <c r="I995" s="5" t="s">
        <v>365</v>
      </c>
      <c r="J995" s="5" t="s">
        <v>813</v>
      </c>
      <c r="K995" s="5" t="s">
        <v>33</v>
      </c>
      <c r="L995" s="5" t="s">
        <v>33</v>
      </c>
      <c r="M995" s="5" t="s">
        <v>812</v>
      </c>
      <c r="N995" s="5" t="s">
        <v>945</v>
      </c>
      <c r="O995" s="3" t="s">
        <v>944</v>
      </c>
      <c r="P995" s="3" t="s">
        <v>30</v>
      </c>
      <c r="Q995" s="3" t="s">
        <v>47</v>
      </c>
      <c r="R995" s="3" t="s">
        <v>4</v>
      </c>
      <c r="S995" s="3" t="s">
        <v>3</v>
      </c>
      <c r="T995" s="3" t="s">
        <v>2</v>
      </c>
      <c r="U995" s="3" t="s">
        <v>1</v>
      </c>
      <c r="V995" s="3" t="s">
        <v>0</v>
      </c>
      <c r="W995" s="2">
        <v>31</v>
      </c>
    </row>
    <row r="996" spans="1:24" hidden="1" x14ac:dyDescent="0.25">
      <c r="A996" s="8">
        <v>11608</v>
      </c>
      <c r="B996" s="8" t="s">
        <v>1935</v>
      </c>
      <c r="C996" s="7" t="s">
        <v>1934</v>
      </c>
      <c r="D996" s="6" t="s">
        <v>15</v>
      </c>
      <c r="E996" s="5" t="s">
        <v>1763</v>
      </c>
      <c r="F996" s="4">
        <v>40707</v>
      </c>
      <c r="G996" s="4" t="s">
        <v>1</v>
      </c>
      <c r="H996" s="4" t="s">
        <v>1</v>
      </c>
      <c r="I996" s="3" t="s">
        <v>145</v>
      </c>
      <c r="J996" s="3" t="s">
        <v>12</v>
      </c>
      <c r="K996" s="3" t="s">
        <v>1933</v>
      </c>
      <c r="L996" s="3" t="s">
        <v>1932</v>
      </c>
      <c r="M996" s="3" t="s">
        <v>1931</v>
      </c>
      <c r="N996" s="3" t="s">
        <v>1355</v>
      </c>
      <c r="O996" s="3" t="s">
        <v>100</v>
      </c>
      <c r="P996" s="3" t="s">
        <v>30</v>
      </c>
      <c r="Q996" s="3" t="s">
        <v>20</v>
      </c>
      <c r="R996" s="3" t="s">
        <v>4</v>
      </c>
      <c r="S996" s="3" t="s">
        <v>3</v>
      </c>
      <c r="T996" s="3" t="s">
        <v>2</v>
      </c>
      <c r="U996" s="3" t="s">
        <v>1</v>
      </c>
      <c r="V996" s="3" t="s">
        <v>0</v>
      </c>
      <c r="W996" s="2">
        <v>31</v>
      </c>
    </row>
    <row r="997" spans="1:24" s="78" customFormat="1" hidden="1" x14ac:dyDescent="0.25">
      <c r="A997" s="73">
        <v>5415</v>
      </c>
      <c r="B997" s="73" t="s">
        <v>1930</v>
      </c>
      <c r="C997" s="87" t="s">
        <v>1929</v>
      </c>
      <c r="D997" s="88" t="s">
        <v>15</v>
      </c>
      <c r="E997" s="89" t="s">
        <v>44</v>
      </c>
      <c r="F997" s="90">
        <v>38991</v>
      </c>
      <c r="G997" s="90" t="s">
        <v>1</v>
      </c>
      <c r="H997" s="90" t="s">
        <v>1</v>
      </c>
      <c r="I997" s="92" t="s">
        <v>13</v>
      </c>
      <c r="J997" s="92" t="s">
        <v>12</v>
      </c>
      <c r="K997" s="92" t="s">
        <v>11</v>
      </c>
      <c r="L997" s="92" t="s">
        <v>10</v>
      </c>
      <c r="M997" s="92" t="s">
        <v>9</v>
      </c>
      <c r="N997" s="92" t="s">
        <v>1928</v>
      </c>
      <c r="O997" s="92" t="s">
        <v>258</v>
      </c>
      <c r="P997" s="92" t="s">
        <v>72</v>
      </c>
      <c r="Q997" s="92" t="s">
        <v>5</v>
      </c>
      <c r="R997" s="92" t="s">
        <v>4</v>
      </c>
      <c r="S997" s="92" t="s">
        <v>3</v>
      </c>
      <c r="T997" s="92" t="s">
        <v>2</v>
      </c>
      <c r="U997" s="92" t="s">
        <v>1</v>
      </c>
      <c r="V997" s="92" t="s">
        <v>0</v>
      </c>
      <c r="W997" s="93">
        <v>40</v>
      </c>
    </row>
    <row r="998" spans="1:24" hidden="1" x14ac:dyDescent="0.25">
      <c r="A998" s="8">
        <v>11618</v>
      </c>
      <c r="B998" s="8" t="s">
        <v>1927</v>
      </c>
      <c r="C998" s="7" t="s">
        <v>1926</v>
      </c>
      <c r="D998" s="6" t="s">
        <v>15</v>
      </c>
      <c r="E998" s="5" t="s">
        <v>1763</v>
      </c>
      <c r="F998" s="4">
        <v>40707</v>
      </c>
      <c r="G998" s="4" t="s">
        <v>1</v>
      </c>
      <c r="H998" s="4" t="s">
        <v>1</v>
      </c>
      <c r="I998" s="3" t="s">
        <v>13</v>
      </c>
      <c r="J998" s="3" t="s">
        <v>12</v>
      </c>
      <c r="K998" s="3" t="s">
        <v>63</v>
      </c>
      <c r="L998" s="3" t="s">
        <v>81</v>
      </c>
      <c r="M998" s="3" t="s">
        <v>173</v>
      </c>
      <c r="N998" s="3" t="s">
        <v>1925</v>
      </c>
      <c r="O998" s="3" t="s">
        <v>7</v>
      </c>
      <c r="P998" s="3" t="s">
        <v>6</v>
      </c>
      <c r="Q998" s="3" t="s">
        <v>5</v>
      </c>
      <c r="R998" s="3" t="s">
        <v>4</v>
      </c>
      <c r="S998" s="3" t="s">
        <v>3</v>
      </c>
      <c r="T998" s="3" t="s">
        <v>2</v>
      </c>
      <c r="U998" s="3" t="s">
        <v>1</v>
      </c>
      <c r="V998" s="3" t="s">
        <v>0</v>
      </c>
      <c r="W998" s="2">
        <v>33</v>
      </c>
    </row>
    <row r="999" spans="1:24" s="9" customFormat="1" hidden="1" x14ac:dyDescent="0.25">
      <c r="A999" s="17">
        <v>11619</v>
      </c>
      <c r="B999" s="17" t="s">
        <v>1924</v>
      </c>
      <c r="C999" s="16" t="s">
        <v>1923</v>
      </c>
      <c r="D999" s="15" t="s">
        <v>15</v>
      </c>
      <c r="E999" s="14" t="s">
        <v>1763</v>
      </c>
      <c r="F999" s="13">
        <v>40707</v>
      </c>
      <c r="G999" s="13" t="s">
        <v>1</v>
      </c>
      <c r="H999" s="13" t="s">
        <v>1</v>
      </c>
      <c r="I999" s="12" t="s">
        <v>145</v>
      </c>
      <c r="J999" s="12" t="s">
        <v>133</v>
      </c>
      <c r="K999" s="12" t="s">
        <v>262</v>
      </c>
      <c r="L999" s="12" t="s">
        <v>262</v>
      </c>
      <c r="M999" s="12" t="s">
        <v>277</v>
      </c>
      <c r="N999" s="12" t="s">
        <v>289</v>
      </c>
      <c r="O999" s="12" t="s">
        <v>288</v>
      </c>
      <c r="P999" s="12" t="s">
        <v>72</v>
      </c>
      <c r="Q999" s="12" t="s">
        <v>47</v>
      </c>
      <c r="R999" s="12" t="s">
        <v>4</v>
      </c>
      <c r="S999" s="12" t="s">
        <v>3</v>
      </c>
      <c r="T999" s="12" t="s">
        <v>2</v>
      </c>
      <c r="U999" s="12" t="s">
        <v>1</v>
      </c>
      <c r="V999" s="12" t="s">
        <v>0</v>
      </c>
      <c r="W999" s="11">
        <v>34</v>
      </c>
      <c r="X999" s="10"/>
    </row>
    <row r="1000" spans="1:24" hidden="1" x14ac:dyDescent="0.25">
      <c r="A1000" s="8">
        <v>11627</v>
      </c>
      <c r="B1000" s="8" t="s">
        <v>1922</v>
      </c>
      <c r="C1000" s="19" t="s">
        <v>1921</v>
      </c>
      <c r="D1000" s="6" t="s">
        <v>15</v>
      </c>
      <c r="E1000" s="18" t="s">
        <v>1763</v>
      </c>
      <c r="F1000" s="4">
        <v>40707</v>
      </c>
      <c r="G1000" s="4" t="s">
        <v>1</v>
      </c>
      <c r="H1000" s="4" t="s">
        <v>1</v>
      </c>
      <c r="I1000" s="3" t="s">
        <v>145</v>
      </c>
      <c r="J1000" s="3" t="s">
        <v>133</v>
      </c>
      <c r="K1000" s="3" t="s">
        <v>25</v>
      </c>
      <c r="L1000" s="3" t="s">
        <v>1241</v>
      </c>
      <c r="M1000" s="3" t="s">
        <v>1240</v>
      </c>
      <c r="N1000" s="3" t="s">
        <v>209</v>
      </c>
      <c r="O1000" s="3" t="s">
        <v>208</v>
      </c>
      <c r="P1000" s="3" t="s">
        <v>6</v>
      </c>
      <c r="Q1000" s="3" t="s">
        <v>47</v>
      </c>
      <c r="R1000" s="3" t="s">
        <v>4</v>
      </c>
      <c r="S1000" s="3" t="s">
        <v>3</v>
      </c>
      <c r="T1000" s="3" t="s">
        <v>2</v>
      </c>
      <c r="U1000" s="3" t="s">
        <v>1</v>
      </c>
      <c r="V1000" s="3" t="s">
        <v>0</v>
      </c>
      <c r="W1000" s="2">
        <v>32</v>
      </c>
    </row>
    <row r="1001" spans="1:24" hidden="1" x14ac:dyDescent="0.25">
      <c r="A1001" s="8">
        <v>11632</v>
      </c>
      <c r="B1001" s="8" t="s">
        <v>1920</v>
      </c>
      <c r="C1001" s="7" t="s">
        <v>1919</v>
      </c>
      <c r="D1001" s="6" t="s">
        <v>15</v>
      </c>
      <c r="E1001" s="5" t="s">
        <v>1763</v>
      </c>
      <c r="F1001" s="4">
        <v>40707</v>
      </c>
      <c r="G1001" s="4" t="s">
        <v>1</v>
      </c>
      <c r="H1001" s="4" t="s">
        <v>1</v>
      </c>
      <c r="I1001" s="3" t="s">
        <v>13</v>
      </c>
      <c r="J1001" s="3" t="s">
        <v>12</v>
      </c>
      <c r="K1001" s="3" t="s">
        <v>63</v>
      </c>
      <c r="L1001" s="3" t="s">
        <v>62</v>
      </c>
      <c r="M1001" s="3" t="s">
        <v>565</v>
      </c>
      <c r="N1001" s="3" t="s">
        <v>60</v>
      </c>
      <c r="O1001" s="3" t="s">
        <v>59</v>
      </c>
      <c r="P1001" s="3" t="s">
        <v>6</v>
      </c>
      <c r="Q1001" s="3" t="s">
        <v>5</v>
      </c>
      <c r="R1001" s="3" t="s">
        <v>4</v>
      </c>
      <c r="S1001" s="3" t="s">
        <v>3</v>
      </c>
      <c r="T1001" s="3" t="s">
        <v>2</v>
      </c>
      <c r="U1001" s="3" t="s">
        <v>1</v>
      </c>
      <c r="V1001" s="3" t="s">
        <v>0</v>
      </c>
      <c r="W1001" s="2">
        <v>31</v>
      </c>
    </row>
    <row r="1002" spans="1:24" hidden="1" x14ac:dyDescent="0.25">
      <c r="A1002" s="8">
        <v>11633</v>
      </c>
      <c r="B1002" s="8" t="s">
        <v>1918</v>
      </c>
      <c r="C1002" s="7" t="s">
        <v>1917</v>
      </c>
      <c r="D1002" s="6" t="s">
        <v>15</v>
      </c>
      <c r="E1002" s="5" t="s">
        <v>1763</v>
      </c>
      <c r="F1002" s="4">
        <v>40707</v>
      </c>
      <c r="G1002" s="4" t="s">
        <v>1</v>
      </c>
      <c r="H1002" s="4" t="s">
        <v>1</v>
      </c>
      <c r="I1002" s="3" t="s">
        <v>13</v>
      </c>
      <c r="J1002" s="3" t="s">
        <v>12</v>
      </c>
      <c r="K1002" s="3" t="s">
        <v>262</v>
      </c>
      <c r="L1002" s="3" t="s">
        <v>261</v>
      </c>
      <c r="M1002" s="3" t="s">
        <v>260</v>
      </c>
      <c r="N1002" s="3" t="s">
        <v>1372</v>
      </c>
      <c r="O1002" s="3" t="s">
        <v>59</v>
      </c>
      <c r="P1002" s="3" t="s">
        <v>6</v>
      </c>
      <c r="Q1002" s="3" t="s">
        <v>5</v>
      </c>
      <c r="R1002" s="3" t="s">
        <v>4</v>
      </c>
      <c r="S1002" s="3" t="s">
        <v>3</v>
      </c>
      <c r="T1002" s="3" t="s">
        <v>2</v>
      </c>
      <c r="U1002" s="3" t="s">
        <v>1</v>
      </c>
      <c r="V1002" s="3" t="s">
        <v>0</v>
      </c>
      <c r="W1002" s="2">
        <v>30</v>
      </c>
    </row>
    <row r="1003" spans="1:24" hidden="1" x14ac:dyDescent="0.25">
      <c r="A1003" s="8">
        <v>11643</v>
      </c>
      <c r="B1003" s="8" t="s">
        <v>1916</v>
      </c>
      <c r="C1003" s="7" t="s">
        <v>1915</v>
      </c>
      <c r="D1003" s="6" t="s">
        <v>15</v>
      </c>
      <c r="E1003" s="5" t="s">
        <v>1763</v>
      </c>
      <c r="F1003" s="4">
        <v>40707</v>
      </c>
      <c r="G1003" s="4" t="s">
        <v>1</v>
      </c>
      <c r="H1003" s="4" t="s">
        <v>1</v>
      </c>
      <c r="I1003" s="3" t="s">
        <v>13</v>
      </c>
      <c r="J1003" s="3" t="s">
        <v>12</v>
      </c>
      <c r="K1003" s="3" t="s">
        <v>262</v>
      </c>
      <c r="L1003" s="3" t="s">
        <v>261</v>
      </c>
      <c r="M1003" s="3" t="s">
        <v>329</v>
      </c>
      <c r="N1003" s="3" t="s">
        <v>1100</v>
      </c>
      <c r="O1003" s="3" t="s">
        <v>59</v>
      </c>
      <c r="P1003" s="3" t="s">
        <v>6</v>
      </c>
      <c r="Q1003" s="3" t="s">
        <v>5</v>
      </c>
      <c r="R1003" s="3" t="s">
        <v>4</v>
      </c>
      <c r="S1003" s="3" t="s">
        <v>3</v>
      </c>
      <c r="T1003" s="3" t="s">
        <v>2</v>
      </c>
      <c r="U1003" s="3" t="s">
        <v>1</v>
      </c>
      <c r="V1003" s="3" t="s">
        <v>0</v>
      </c>
      <c r="W1003" s="2">
        <v>32</v>
      </c>
    </row>
    <row r="1004" spans="1:24" hidden="1" x14ac:dyDescent="0.25">
      <c r="A1004" s="8">
        <v>5725</v>
      </c>
      <c r="B1004" s="8" t="s">
        <v>1914</v>
      </c>
      <c r="C1004" s="7" t="s">
        <v>1913</v>
      </c>
      <c r="D1004" s="6" t="s">
        <v>15</v>
      </c>
      <c r="E1004" s="5" t="s">
        <v>527</v>
      </c>
      <c r="F1004" s="4">
        <v>39098</v>
      </c>
      <c r="G1004" s="4" t="s">
        <v>1</v>
      </c>
      <c r="H1004" s="4" t="s">
        <v>1</v>
      </c>
      <c r="I1004" s="3" t="s">
        <v>13</v>
      </c>
      <c r="J1004" s="3" t="s">
        <v>12</v>
      </c>
      <c r="K1004" s="3" t="s">
        <v>11</v>
      </c>
      <c r="L1004" s="3" t="s">
        <v>10</v>
      </c>
      <c r="M1004" s="3" t="s">
        <v>9</v>
      </c>
      <c r="N1004" s="3" t="s">
        <v>68</v>
      </c>
      <c r="O1004" s="3" t="s">
        <v>67</v>
      </c>
      <c r="P1004" s="3" t="s">
        <v>72</v>
      </c>
      <c r="Q1004" s="3" t="s">
        <v>5</v>
      </c>
      <c r="R1004" s="3" t="s">
        <v>4</v>
      </c>
      <c r="S1004" s="3" t="s">
        <v>3</v>
      </c>
      <c r="T1004" s="3" t="s">
        <v>2</v>
      </c>
      <c r="U1004" s="3" t="s">
        <v>1</v>
      </c>
      <c r="V1004" s="3" t="s">
        <v>0</v>
      </c>
      <c r="W1004" s="2">
        <v>38</v>
      </c>
    </row>
    <row r="1005" spans="1:24" hidden="1" x14ac:dyDescent="0.25">
      <c r="A1005" s="8">
        <v>8726</v>
      </c>
      <c r="B1005" s="8" t="s">
        <v>1912</v>
      </c>
      <c r="C1005" s="7" t="s">
        <v>1911</v>
      </c>
      <c r="D1005" s="6" t="s">
        <v>15</v>
      </c>
      <c r="E1005" s="5" t="s">
        <v>1910</v>
      </c>
      <c r="F1005" s="4">
        <v>39904</v>
      </c>
      <c r="G1005" s="4" t="s">
        <v>1</v>
      </c>
      <c r="H1005" s="4" t="s">
        <v>1</v>
      </c>
      <c r="I1005" s="3" t="s">
        <v>13</v>
      </c>
      <c r="J1005" s="3" t="s">
        <v>12</v>
      </c>
      <c r="K1005" s="3" t="s">
        <v>11</v>
      </c>
      <c r="L1005" s="3" t="s">
        <v>10</v>
      </c>
      <c r="M1005" s="3" t="s">
        <v>9</v>
      </c>
      <c r="N1005" s="3" t="s">
        <v>1037</v>
      </c>
      <c r="O1005" s="3" t="s">
        <v>67</v>
      </c>
      <c r="P1005" s="3" t="s">
        <v>72</v>
      </c>
      <c r="Q1005" s="3" t="s">
        <v>5</v>
      </c>
      <c r="R1005" s="3" t="s">
        <v>4</v>
      </c>
      <c r="S1005" s="3" t="s">
        <v>3</v>
      </c>
      <c r="T1005" s="3" t="s">
        <v>2</v>
      </c>
      <c r="U1005" s="3" t="s">
        <v>1</v>
      </c>
      <c r="V1005" s="3" t="s">
        <v>0</v>
      </c>
      <c r="W1005" s="2">
        <v>37</v>
      </c>
    </row>
    <row r="1006" spans="1:24" hidden="1" x14ac:dyDescent="0.25">
      <c r="A1006" s="8">
        <v>11648</v>
      </c>
      <c r="B1006" s="8" t="s">
        <v>1909</v>
      </c>
      <c r="C1006" s="7" t="s">
        <v>1908</v>
      </c>
      <c r="D1006" s="6" t="s">
        <v>15</v>
      </c>
      <c r="E1006" s="8" t="s">
        <v>1907</v>
      </c>
      <c r="F1006" s="4">
        <v>40707</v>
      </c>
      <c r="G1006" s="4" t="s">
        <v>1</v>
      </c>
      <c r="H1006" s="4" t="s">
        <v>1</v>
      </c>
      <c r="I1006" s="5" t="s">
        <v>93</v>
      </c>
      <c r="J1006" s="5" t="s">
        <v>89</v>
      </c>
      <c r="K1006" s="5" t="s">
        <v>33</v>
      </c>
      <c r="L1006" s="5" t="s">
        <v>33</v>
      </c>
      <c r="M1006" s="5" t="s">
        <v>1212</v>
      </c>
      <c r="N1006" s="5" t="s">
        <v>1211</v>
      </c>
      <c r="O1006" s="5" t="s">
        <v>387</v>
      </c>
      <c r="P1006" s="5" t="s">
        <v>30</v>
      </c>
      <c r="Q1006" s="5" t="s">
        <v>47</v>
      </c>
      <c r="R1006" s="3" t="s">
        <v>4</v>
      </c>
      <c r="S1006" s="3" t="s">
        <v>3</v>
      </c>
      <c r="T1006" s="3" t="s">
        <v>88</v>
      </c>
      <c r="U1006" s="3" t="s">
        <v>1</v>
      </c>
      <c r="V1006" s="3" t="s">
        <v>18</v>
      </c>
      <c r="W1006" s="2">
        <v>35</v>
      </c>
    </row>
    <row r="1007" spans="1:24" hidden="1" x14ac:dyDescent="0.25">
      <c r="A1007" s="8">
        <v>11653</v>
      </c>
      <c r="B1007" s="8" t="s">
        <v>1906</v>
      </c>
      <c r="C1007" s="7" t="s">
        <v>1905</v>
      </c>
      <c r="D1007" s="6" t="s">
        <v>15</v>
      </c>
      <c r="E1007" s="5" t="s">
        <v>424</v>
      </c>
      <c r="F1007" s="4">
        <v>40714</v>
      </c>
      <c r="G1007" s="4" t="s">
        <v>1</v>
      </c>
      <c r="H1007" s="4" t="s">
        <v>1</v>
      </c>
      <c r="I1007" s="3" t="s">
        <v>13</v>
      </c>
      <c r="J1007" s="3" t="s">
        <v>133</v>
      </c>
      <c r="K1007" s="3" t="s">
        <v>262</v>
      </c>
      <c r="L1007" s="3" t="s">
        <v>262</v>
      </c>
      <c r="M1007" s="3" t="s">
        <v>277</v>
      </c>
      <c r="N1007" s="3" t="s">
        <v>276</v>
      </c>
      <c r="O1007" s="3" t="s">
        <v>184</v>
      </c>
      <c r="P1007" s="3" t="s">
        <v>6</v>
      </c>
      <c r="Q1007" s="3" t="s">
        <v>20</v>
      </c>
      <c r="R1007" s="3" t="s">
        <v>4</v>
      </c>
      <c r="S1007" s="3" t="s">
        <v>3</v>
      </c>
      <c r="T1007" s="3" t="s">
        <v>2</v>
      </c>
      <c r="U1007" s="3" t="s">
        <v>1</v>
      </c>
      <c r="V1007" s="3" t="s">
        <v>0</v>
      </c>
      <c r="W1007" s="2">
        <v>32</v>
      </c>
    </row>
    <row r="1008" spans="1:24" hidden="1" x14ac:dyDescent="0.25">
      <c r="A1008" s="8">
        <v>9200</v>
      </c>
      <c r="B1008" s="8" t="s">
        <v>1904</v>
      </c>
      <c r="C1008" s="7" t="s">
        <v>1903</v>
      </c>
      <c r="D1008" s="6" t="s">
        <v>15</v>
      </c>
      <c r="E1008" s="5" t="s">
        <v>491</v>
      </c>
      <c r="F1008" s="4">
        <v>40008</v>
      </c>
      <c r="G1008" s="4" t="s">
        <v>1</v>
      </c>
      <c r="H1008" s="4" t="s">
        <v>1</v>
      </c>
      <c r="I1008" s="3" t="s">
        <v>13</v>
      </c>
      <c r="J1008" s="3" t="s">
        <v>12</v>
      </c>
      <c r="K1008" s="3" t="s">
        <v>11</v>
      </c>
      <c r="L1008" s="3" t="s">
        <v>10</v>
      </c>
      <c r="M1008" s="3" t="s">
        <v>9</v>
      </c>
      <c r="N1008" s="3" t="s">
        <v>1902</v>
      </c>
      <c r="O1008" s="3" t="s">
        <v>7</v>
      </c>
      <c r="P1008" s="3" t="s">
        <v>72</v>
      </c>
      <c r="Q1008" s="3" t="s">
        <v>5</v>
      </c>
      <c r="R1008" s="3" t="s">
        <v>4</v>
      </c>
      <c r="S1008" s="3" t="s">
        <v>3</v>
      </c>
      <c r="T1008" s="3" t="s">
        <v>2</v>
      </c>
      <c r="U1008" s="3" t="s">
        <v>1</v>
      </c>
      <c r="V1008" s="3" t="s">
        <v>0</v>
      </c>
      <c r="W1008" s="2">
        <v>34</v>
      </c>
    </row>
    <row r="1009" spans="1:24" hidden="1" x14ac:dyDescent="0.25">
      <c r="A1009" s="8">
        <v>9800</v>
      </c>
      <c r="B1009" s="8" t="s">
        <v>1901</v>
      </c>
      <c r="C1009" s="7" t="s">
        <v>1900</v>
      </c>
      <c r="D1009" s="6" t="s">
        <v>15</v>
      </c>
      <c r="E1009" s="5" t="s">
        <v>1899</v>
      </c>
      <c r="F1009" s="4">
        <v>40360</v>
      </c>
      <c r="G1009" s="4" t="s">
        <v>1</v>
      </c>
      <c r="H1009" s="4" t="s">
        <v>1</v>
      </c>
      <c r="I1009" s="3" t="s">
        <v>13</v>
      </c>
      <c r="J1009" s="3" t="s">
        <v>12</v>
      </c>
      <c r="K1009" s="3" t="s">
        <v>11</v>
      </c>
      <c r="L1009" s="3" t="s">
        <v>10</v>
      </c>
      <c r="M1009" s="3" t="s">
        <v>9</v>
      </c>
      <c r="N1009" s="3" t="s">
        <v>22</v>
      </c>
      <c r="O1009" s="3" t="s">
        <v>21</v>
      </c>
      <c r="P1009" s="3" t="s">
        <v>72</v>
      </c>
      <c r="Q1009" s="3" t="s">
        <v>20</v>
      </c>
      <c r="R1009" s="3" t="s">
        <v>4</v>
      </c>
      <c r="S1009" s="3" t="s">
        <v>3</v>
      </c>
      <c r="T1009" s="3" t="s">
        <v>29</v>
      </c>
      <c r="U1009" s="3" t="s">
        <v>1</v>
      </c>
      <c r="V1009" s="3" t="s">
        <v>0</v>
      </c>
      <c r="W1009" s="2">
        <v>35</v>
      </c>
    </row>
    <row r="1010" spans="1:24" hidden="1" x14ac:dyDescent="0.25">
      <c r="A1010" s="8">
        <v>11658</v>
      </c>
      <c r="B1010" s="8" t="s">
        <v>1898</v>
      </c>
      <c r="C1010" s="7" t="s">
        <v>1897</v>
      </c>
      <c r="D1010" s="6" t="s">
        <v>15</v>
      </c>
      <c r="E1010" s="5" t="s">
        <v>424</v>
      </c>
      <c r="F1010" s="4">
        <v>40714</v>
      </c>
      <c r="G1010" s="4" t="s">
        <v>1</v>
      </c>
      <c r="H1010" s="4" t="s">
        <v>1</v>
      </c>
      <c r="I1010" s="3" t="s">
        <v>13</v>
      </c>
      <c r="J1010" s="3" t="s">
        <v>12</v>
      </c>
      <c r="K1010" s="3" t="s">
        <v>63</v>
      </c>
      <c r="L1010" s="3" t="s">
        <v>81</v>
      </c>
      <c r="M1010" s="3" t="s">
        <v>80</v>
      </c>
      <c r="N1010" s="3" t="s">
        <v>22</v>
      </c>
      <c r="O1010" s="3" t="s">
        <v>21</v>
      </c>
      <c r="P1010" s="3" t="s">
        <v>6</v>
      </c>
      <c r="Q1010" s="3" t="s">
        <v>20</v>
      </c>
      <c r="R1010" s="3" t="s">
        <v>4</v>
      </c>
      <c r="S1010" s="3" t="s">
        <v>3</v>
      </c>
      <c r="T1010" s="3" t="s">
        <v>19</v>
      </c>
      <c r="U1010" s="3" t="s">
        <v>1</v>
      </c>
      <c r="V1010" s="3" t="s">
        <v>0</v>
      </c>
      <c r="W1010" s="2">
        <v>31</v>
      </c>
    </row>
    <row r="1011" spans="1:24" s="9" customFormat="1" hidden="1" x14ac:dyDescent="0.25">
      <c r="A1011" s="17">
        <v>9930</v>
      </c>
      <c r="B1011" s="17" t="s">
        <v>1896</v>
      </c>
      <c r="C1011" s="16" t="s">
        <v>1895</v>
      </c>
      <c r="D1011" s="15" t="s">
        <v>15</v>
      </c>
      <c r="E1011" s="14" t="s">
        <v>1041</v>
      </c>
      <c r="F1011" s="13">
        <v>40431</v>
      </c>
      <c r="G1011" s="13" t="s">
        <v>1</v>
      </c>
      <c r="H1011" s="13" t="s">
        <v>1</v>
      </c>
      <c r="I1011" s="12" t="s">
        <v>13</v>
      </c>
      <c r="J1011" s="12" t="s">
        <v>12</v>
      </c>
      <c r="K1011" s="12" t="s">
        <v>11</v>
      </c>
      <c r="L1011" s="12" t="s">
        <v>10</v>
      </c>
      <c r="M1011" s="12" t="s">
        <v>9</v>
      </c>
      <c r="N1011" s="12" t="s">
        <v>1894</v>
      </c>
      <c r="O1011" s="12" t="s">
        <v>7</v>
      </c>
      <c r="P1011" s="12" t="s">
        <v>72</v>
      </c>
      <c r="Q1011" s="12" t="s">
        <v>5</v>
      </c>
      <c r="R1011" s="12" t="s">
        <v>4</v>
      </c>
      <c r="S1011" s="12" t="s">
        <v>3</v>
      </c>
      <c r="T1011" s="12" t="s">
        <v>2</v>
      </c>
      <c r="U1011" s="12" t="s">
        <v>1</v>
      </c>
      <c r="V1011" s="12" t="s">
        <v>0</v>
      </c>
      <c r="W1011" s="11">
        <v>32</v>
      </c>
      <c r="X1011" s="10"/>
    </row>
    <row r="1012" spans="1:24" hidden="1" x14ac:dyDescent="0.25">
      <c r="A1012" s="8">
        <v>11680</v>
      </c>
      <c r="B1012" s="8" t="s">
        <v>1893</v>
      </c>
      <c r="C1012" s="7" t="s">
        <v>1892</v>
      </c>
      <c r="D1012" s="6" t="s">
        <v>15</v>
      </c>
      <c r="E1012" s="5" t="s">
        <v>424</v>
      </c>
      <c r="F1012" s="4">
        <v>40714</v>
      </c>
      <c r="G1012" s="4" t="s">
        <v>1</v>
      </c>
      <c r="H1012" s="4" t="s">
        <v>1</v>
      </c>
      <c r="I1012" s="3" t="s">
        <v>13</v>
      </c>
      <c r="J1012" s="3" t="s">
        <v>12</v>
      </c>
      <c r="K1012" s="3" t="s">
        <v>539</v>
      </c>
      <c r="L1012" s="3" t="s">
        <v>1568</v>
      </c>
      <c r="M1012" s="3" t="s">
        <v>1567</v>
      </c>
      <c r="N1012" s="3" t="s">
        <v>1891</v>
      </c>
      <c r="O1012" s="3" t="s">
        <v>7</v>
      </c>
      <c r="P1012" s="3" t="s">
        <v>6</v>
      </c>
      <c r="Q1012" s="3" t="s">
        <v>5</v>
      </c>
      <c r="R1012" s="3" t="s">
        <v>4</v>
      </c>
      <c r="S1012" s="3" t="s">
        <v>3</v>
      </c>
      <c r="T1012" s="3" t="s">
        <v>2</v>
      </c>
      <c r="U1012" s="3" t="s">
        <v>1</v>
      </c>
      <c r="V1012" s="3" t="s">
        <v>0</v>
      </c>
      <c r="W1012" s="2">
        <v>32</v>
      </c>
    </row>
    <row r="1013" spans="1:24" hidden="1" x14ac:dyDescent="0.25">
      <c r="A1013" s="8">
        <v>11683</v>
      </c>
      <c r="B1013" s="8" t="s">
        <v>1890</v>
      </c>
      <c r="C1013" s="7" t="s">
        <v>1889</v>
      </c>
      <c r="D1013" s="6" t="s">
        <v>15</v>
      </c>
      <c r="E1013" s="5" t="s">
        <v>424</v>
      </c>
      <c r="F1013" s="4">
        <v>40714</v>
      </c>
      <c r="G1013" s="4" t="s">
        <v>1</v>
      </c>
      <c r="H1013" s="4" t="s">
        <v>1</v>
      </c>
      <c r="I1013" s="3" t="s">
        <v>13</v>
      </c>
      <c r="J1013" s="3" t="s">
        <v>12</v>
      </c>
      <c r="K1013" s="3" t="s">
        <v>132</v>
      </c>
      <c r="L1013" s="3" t="s">
        <v>218</v>
      </c>
      <c r="M1013" s="3" t="s">
        <v>575</v>
      </c>
      <c r="N1013" s="3" t="s">
        <v>1888</v>
      </c>
      <c r="O1013" s="3" t="s">
        <v>67</v>
      </c>
      <c r="P1013" s="3" t="s">
        <v>6</v>
      </c>
      <c r="Q1013" s="3" t="s">
        <v>5</v>
      </c>
      <c r="R1013" s="3" t="s">
        <v>4</v>
      </c>
      <c r="S1013" s="3" t="s">
        <v>3</v>
      </c>
      <c r="T1013" s="3" t="s">
        <v>2</v>
      </c>
      <c r="U1013" s="3" t="s">
        <v>1</v>
      </c>
      <c r="V1013" s="3" t="s">
        <v>0</v>
      </c>
      <c r="W1013" s="2">
        <v>31</v>
      </c>
    </row>
    <row r="1014" spans="1:24" hidden="1" x14ac:dyDescent="0.25">
      <c r="A1014" s="8">
        <v>9939</v>
      </c>
      <c r="B1014" s="8" t="s">
        <v>1887</v>
      </c>
      <c r="C1014" s="7" t="s">
        <v>1886</v>
      </c>
      <c r="D1014" s="6" t="s">
        <v>15</v>
      </c>
      <c r="E1014" s="5" t="s">
        <v>1041</v>
      </c>
      <c r="F1014" s="4">
        <v>40431</v>
      </c>
      <c r="G1014" s="4" t="s">
        <v>1</v>
      </c>
      <c r="H1014" s="4" t="s">
        <v>1</v>
      </c>
      <c r="I1014" s="3" t="s">
        <v>13</v>
      </c>
      <c r="J1014" s="3" t="s">
        <v>12</v>
      </c>
      <c r="K1014" s="3" t="s">
        <v>11</v>
      </c>
      <c r="L1014" s="3" t="s">
        <v>10</v>
      </c>
      <c r="M1014" s="3" t="s">
        <v>9</v>
      </c>
      <c r="N1014" s="3" t="s">
        <v>628</v>
      </c>
      <c r="O1014" s="3" t="s">
        <v>59</v>
      </c>
      <c r="P1014" s="3" t="s">
        <v>72</v>
      </c>
      <c r="Q1014" s="3" t="s">
        <v>5</v>
      </c>
      <c r="R1014" s="3" t="s">
        <v>4</v>
      </c>
      <c r="S1014" s="3" t="s">
        <v>3</v>
      </c>
      <c r="T1014" s="3" t="s">
        <v>2</v>
      </c>
      <c r="U1014" s="3" t="s">
        <v>1</v>
      </c>
      <c r="V1014" s="3" t="s">
        <v>0</v>
      </c>
      <c r="W1014" s="2">
        <v>32</v>
      </c>
    </row>
    <row r="1015" spans="1:24" hidden="1" x14ac:dyDescent="0.25">
      <c r="A1015" s="8">
        <v>10234</v>
      </c>
      <c r="B1015" s="8" t="s">
        <v>1885</v>
      </c>
      <c r="C1015" s="7" t="s">
        <v>1884</v>
      </c>
      <c r="D1015" s="6" t="s">
        <v>15</v>
      </c>
      <c r="E1015" s="5" t="s">
        <v>1792</v>
      </c>
      <c r="F1015" s="4">
        <v>40489</v>
      </c>
      <c r="G1015" s="4" t="s">
        <v>1</v>
      </c>
      <c r="H1015" s="4" t="s">
        <v>1</v>
      </c>
      <c r="I1015" s="3" t="s">
        <v>13</v>
      </c>
      <c r="J1015" s="3" t="s">
        <v>12</v>
      </c>
      <c r="K1015" s="3" t="s">
        <v>11</v>
      </c>
      <c r="L1015" s="3" t="s">
        <v>10</v>
      </c>
      <c r="M1015" s="3" t="s">
        <v>9</v>
      </c>
      <c r="N1015" s="3" t="s">
        <v>1100</v>
      </c>
      <c r="O1015" s="3" t="s">
        <v>59</v>
      </c>
      <c r="P1015" s="3" t="s">
        <v>72</v>
      </c>
      <c r="Q1015" s="3" t="s">
        <v>5</v>
      </c>
      <c r="R1015" s="3" t="s">
        <v>4</v>
      </c>
      <c r="S1015" s="3" t="s">
        <v>3</v>
      </c>
      <c r="T1015" s="3" t="s">
        <v>2</v>
      </c>
      <c r="U1015" s="3" t="s">
        <v>1</v>
      </c>
      <c r="V1015" s="3" t="s">
        <v>0</v>
      </c>
      <c r="W1015" s="2">
        <v>32</v>
      </c>
    </row>
    <row r="1016" spans="1:24" hidden="1" x14ac:dyDescent="0.25">
      <c r="A1016" s="8">
        <v>10320</v>
      </c>
      <c r="B1016" s="8" t="s">
        <v>1883</v>
      </c>
      <c r="C1016" s="7" t="s">
        <v>1882</v>
      </c>
      <c r="D1016" s="6" t="s">
        <v>15</v>
      </c>
      <c r="E1016" s="5" t="s">
        <v>725</v>
      </c>
      <c r="F1016" s="4">
        <v>40511</v>
      </c>
      <c r="G1016" s="4" t="s">
        <v>1</v>
      </c>
      <c r="H1016" s="4" t="s">
        <v>1</v>
      </c>
      <c r="I1016" s="3" t="s">
        <v>13</v>
      </c>
      <c r="J1016" s="3" t="s">
        <v>12</v>
      </c>
      <c r="K1016" s="3" t="s">
        <v>11</v>
      </c>
      <c r="L1016" s="3" t="s">
        <v>10</v>
      </c>
      <c r="M1016" s="3" t="s">
        <v>9</v>
      </c>
      <c r="N1016" s="3" t="s">
        <v>272</v>
      </c>
      <c r="O1016" s="3" t="s">
        <v>59</v>
      </c>
      <c r="P1016" s="3" t="s">
        <v>72</v>
      </c>
      <c r="Q1016" s="3" t="s">
        <v>5</v>
      </c>
      <c r="R1016" s="3" t="s">
        <v>4</v>
      </c>
      <c r="S1016" s="3" t="s">
        <v>3</v>
      </c>
      <c r="T1016" s="3" t="s">
        <v>2</v>
      </c>
      <c r="U1016" s="3" t="s">
        <v>1</v>
      </c>
      <c r="V1016" s="3" t="s">
        <v>0</v>
      </c>
      <c r="W1016" s="2">
        <v>32</v>
      </c>
    </row>
    <row r="1017" spans="1:24" s="9" customFormat="1" hidden="1" x14ac:dyDescent="0.25">
      <c r="A1017" s="17">
        <v>10850</v>
      </c>
      <c r="B1017" s="17" t="s">
        <v>1881</v>
      </c>
      <c r="C1017" s="16" t="s">
        <v>1880</v>
      </c>
      <c r="D1017" s="15" t="s">
        <v>15</v>
      </c>
      <c r="E1017" s="14" t="s">
        <v>1319</v>
      </c>
      <c r="F1017" s="13">
        <v>40572</v>
      </c>
      <c r="G1017" s="13" t="s">
        <v>1</v>
      </c>
      <c r="H1017" s="13" t="s">
        <v>1</v>
      </c>
      <c r="I1017" s="12" t="s">
        <v>13</v>
      </c>
      <c r="J1017" s="12" t="s">
        <v>12</v>
      </c>
      <c r="K1017" s="12" t="s">
        <v>11</v>
      </c>
      <c r="L1017" s="12" t="s">
        <v>10</v>
      </c>
      <c r="M1017" s="12" t="s">
        <v>9</v>
      </c>
      <c r="N1017" s="12" t="s">
        <v>1879</v>
      </c>
      <c r="O1017" s="12" t="s">
        <v>258</v>
      </c>
      <c r="P1017" s="12" t="s">
        <v>72</v>
      </c>
      <c r="Q1017" s="12" t="s">
        <v>5</v>
      </c>
      <c r="R1017" s="12" t="s">
        <v>4</v>
      </c>
      <c r="S1017" s="12" t="s">
        <v>3</v>
      </c>
      <c r="T1017" s="12" t="s">
        <v>2</v>
      </c>
      <c r="U1017" s="12" t="s">
        <v>1</v>
      </c>
      <c r="V1017" s="12" t="s">
        <v>0</v>
      </c>
      <c r="W1017" s="11">
        <v>35</v>
      </c>
    </row>
    <row r="1018" spans="1:24" hidden="1" x14ac:dyDescent="0.25">
      <c r="A1018" s="8">
        <v>11711</v>
      </c>
      <c r="B1018" s="8" t="s">
        <v>1878</v>
      </c>
      <c r="C1018" s="7" t="s">
        <v>1877</v>
      </c>
      <c r="D1018" s="6" t="s">
        <v>15</v>
      </c>
      <c r="E1018" s="5" t="s">
        <v>424</v>
      </c>
      <c r="F1018" s="4">
        <v>40714</v>
      </c>
      <c r="G1018" s="4" t="s">
        <v>1</v>
      </c>
      <c r="H1018" s="4" t="s">
        <v>1</v>
      </c>
      <c r="I1018" s="18" t="s">
        <v>100</v>
      </c>
      <c r="J1018" s="18" t="s">
        <v>124</v>
      </c>
      <c r="K1018" s="18" t="s">
        <v>33</v>
      </c>
      <c r="L1018" s="18" t="s">
        <v>33</v>
      </c>
      <c r="M1018" s="18" t="s">
        <v>124</v>
      </c>
      <c r="N1018" s="18" t="s">
        <v>123</v>
      </c>
      <c r="O1018" s="18" t="s">
        <v>122</v>
      </c>
      <c r="P1018" s="5" t="s">
        <v>1</v>
      </c>
      <c r="Q1018" s="5" t="s">
        <v>121</v>
      </c>
      <c r="R1018" s="3" t="s">
        <v>4</v>
      </c>
      <c r="S1018" s="3" t="s">
        <v>3</v>
      </c>
      <c r="T1018" s="3" t="s">
        <v>2</v>
      </c>
      <c r="U1018" s="3" t="s">
        <v>1</v>
      </c>
      <c r="V1018" s="3" t="s">
        <v>0</v>
      </c>
      <c r="W1018" s="2">
        <v>37</v>
      </c>
    </row>
    <row r="1019" spans="1:24" hidden="1" x14ac:dyDescent="0.25">
      <c r="A1019" s="8">
        <v>11721</v>
      </c>
      <c r="B1019" s="8" t="s">
        <v>1876</v>
      </c>
      <c r="C1019" s="7" t="s">
        <v>1875</v>
      </c>
      <c r="D1019" s="6" t="s">
        <v>15</v>
      </c>
      <c r="E1019" s="5" t="s">
        <v>424</v>
      </c>
      <c r="F1019" s="4">
        <v>40714</v>
      </c>
      <c r="G1019" s="4" t="s">
        <v>1</v>
      </c>
      <c r="H1019" s="4" t="s">
        <v>1</v>
      </c>
      <c r="I1019" s="3" t="s">
        <v>13</v>
      </c>
      <c r="J1019" s="3" t="s">
        <v>12</v>
      </c>
      <c r="K1019" s="3" t="s">
        <v>132</v>
      </c>
      <c r="L1019" s="3" t="s">
        <v>400</v>
      </c>
      <c r="M1019" s="3" t="s">
        <v>399</v>
      </c>
      <c r="N1019" s="3" t="s">
        <v>1874</v>
      </c>
      <c r="O1019" s="3" t="s">
        <v>67</v>
      </c>
      <c r="P1019" s="3" t="s">
        <v>6</v>
      </c>
      <c r="Q1019" s="3" t="s">
        <v>5</v>
      </c>
      <c r="R1019" s="3" t="s">
        <v>4</v>
      </c>
      <c r="S1019" s="3" t="s">
        <v>3</v>
      </c>
      <c r="T1019" s="3" t="s">
        <v>2</v>
      </c>
      <c r="U1019" s="3" t="s">
        <v>1</v>
      </c>
      <c r="V1019" s="3" t="s">
        <v>0</v>
      </c>
      <c r="W1019" s="2">
        <v>32</v>
      </c>
    </row>
    <row r="1020" spans="1:24" hidden="1" x14ac:dyDescent="0.25">
      <c r="A1020" s="8">
        <v>11723</v>
      </c>
      <c r="B1020" s="8" t="s">
        <v>1873</v>
      </c>
      <c r="C1020" s="7" t="s">
        <v>1872</v>
      </c>
      <c r="D1020" s="6" t="s">
        <v>15</v>
      </c>
      <c r="E1020" s="5" t="s">
        <v>424</v>
      </c>
      <c r="F1020" s="4">
        <v>40714</v>
      </c>
      <c r="G1020" s="4" t="s">
        <v>1</v>
      </c>
      <c r="H1020" s="4" t="s">
        <v>1</v>
      </c>
      <c r="I1020" s="3" t="s">
        <v>145</v>
      </c>
      <c r="J1020" s="3" t="s">
        <v>12</v>
      </c>
      <c r="K1020" s="3" t="s">
        <v>33</v>
      </c>
      <c r="L1020" s="3" t="s">
        <v>33</v>
      </c>
      <c r="M1020" s="3" t="s">
        <v>691</v>
      </c>
      <c r="N1020" s="3" t="s">
        <v>1245</v>
      </c>
      <c r="O1020" s="3" t="s">
        <v>171</v>
      </c>
      <c r="P1020" s="3" t="s">
        <v>30</v>
      </c>
      <c r="Q1020" s="3" t="s">
        <v>20</v>
      </c>
      <c r="R1020" s="3" t="s">
        <v>4</v>
      </c>
      <c r="S1020" s="3" t="s">
        <v>3</v>
      </c>
      <c r="T1020" s="3" t="s">
        <v>2</v>
      </c>
      <c r="U1020" s="3" t="s">
        <v>1</v>
      </c>
      <c r="V1020" s="3" t="s">
        <v>0</v>
      </c>
      <c r="W1020" s="2">
        <v>32</v>
      </c>
    </row>
    <row r="1021" spans="1:24" s="9" customFormat="1" hidden="1" x14ac:dyDescent="0.25">
      <c r="A1021" s="17">
        <v>11496</v>
      </c>
      <c r="B1021" s="17" t="s">
        <v>1871</v>
      </c>
      <c r="C1021" s="48" t="s">
        <v>1870</v>
      </c>
      <c r="D1021" s="15" t="s">
        <v>15</v>
      </c>
      <c r="E1021" s="17" t="s">
        <v>1869</v>
      </c>
      <c r="F1021" s="13">
        <v>40701</v>
      </c>
      <c r="G1021" s="13" t="s">
        <v>1</v>
      </c>
      <c r="H1021" s="13" t="s">
        <v>1</v>
      </c>
      <c r="I1021" s="12" t="s">
        <v>13</v>
      </c>
      <c r="J1021" s="12" t="s">
        <v>12</v>
      </c>
      <c r="K1021" s="12" t="s">
        <v>11</v>
      </c>
      <c r="L1021" s="12" t="s">
        <v>10</v>
      </c>
      <c r="M1021" s="12" t="s">
        <v>9</v>
      </c>
      <c r="N1021" s="12" t="s">
        <v>1078</v>
      </c>
      <c r="O1021" s="12" t="s">
        <v>29</v>
      </c>
      <c r="P1021" s="12" t="s">
        <v>72</v>
      </c>
      <c r="Q1021" s="12" t="s">
        <v>20</v>
      </c>
      <c r="R1021" s="12" t="s">
        <v>4</v>
      </c>
      <c r="S1021" s="12" t="s">
        <v>3</v>
      </c>
      <c r="T1021" s="12" t="s">
        <v>1077</v>
      </c>
      <c r="U1021" s="12" t="s">
        <v>1</v>
      </c>
      <c r="V1021" s="12" t="s">
        <v>0</v>
      </c>
      <c r="W1021" s="11">
        <v>32</v>
      </c>
    </row>
    <row r="1022" spans="1:24" hidden="1" x14ac:dyDescent="0.25">
      <c r="A1022" s="26">
        <v>11726</v>
      </c>
      <c r="B1022" s="8" t="s">
        <v>1868</v>
      </c>
      <c r="C1022" s="19" t="s">
        <v>1867</v>
      </c>
      <c r="D1022" s="6" t="s">
        <v>15</v>
      </c>
      <c r="E1022" s="18" t="s">
        <v>424</v>
      </c>
      <c r="F1022" s="4">
        <v>40714</v>
      </c>
      <c r="G1022" s="4" t="s">
        <v>1</v>
      </c>
      <c r="H1022" s="4" t="s">
        <v>1</v>
      </c>
      <c r="I1022" s="3" t="s">
        <v>13</v>
      </c>
      <c r="J1022" s="3" t="s">
        <v>12</v>
      </c>
      <c r="K1022" s="3" t="s">
        <v>63</v>
      </c>
      <c r="L1022" s="3" t="s">
        <v>460</v>
      </c>
      <c r="M1022" s="3" t="s">
        <v>459</v>
      </c>
      <c r="N1022" s="3" t="s">
        <v>1866</v>
      </c>
      <c r="O1022" s="3" t="s">
        <v>453</v>
      </c>
      <c r="P1022" s="3" t="s">
        <v>6</v>
      </c>
      <c r="Q1022" s="3" t="s">
        <v>5</v>
      </c>
      <c r="R1022" s="3" t="s">
        <v>4</v>
      </c>
      <c r="S1022" s="3" t="s">
        <v>3</v>
      </c>
      <c r="T1022" s="3" t="s">
        <v>2</v>
      </c>
      <c r="U1022" s="3" t="s">
        <v>1</v>
      </c>
      <c r="V1022" s="3" t="s">
        <v>0</v>
      </c>
      <c r="W1022" s="2">
        <v>31</v>
      </c>
    </row>
    <row r="1023" spans="1:24" hidden="1" x14ac:dyDescent="0.25">
      <c r="A1023" s="8">
        <v>11729</v>
      </c>
      <c r="B1023" s="8" t="s">
        <v>1865</v>
      </c>
      <c r="C1023" s="7" t="s">
        <v>1864</v>
      </c>
      <c r="D1023" s="6" t="s">
        <v>15</v>
      </c>
      <c r="E1023" s="5" t="s">
        <v>424</v>
      </c>
      <c r="F1023" s="4">
        <v>40714</v>
      </c>
      <c r="G1023" s="4" t="s">
        <v>1</v>
      </c>
      <c r="H1023" s="4" t="s">
        <v>1</v>
      </c>
      <c r="I1023" s="3" t="s">
        <v>13</v>
      </c>
      <c r="J1023" s="3" t="s">
        <v>12</v>
      </c>
      <c r="K1023" s="3" t="s">
        <v>11</v>
      </c>
      <c r="L1023" s="3" t="s">
        <v>10</v>
      </c>
      <c r="M1023" s="3" t="s">
        <v>9</v>
      </c>
      <c r="N1023" s="3" t="s">
        <v>606</v>
      </c>
      <c r="O1023" s="3" t="s">
        <v>59</v>
      </c>
      <c r="P1023" s="3" t="s">
        <v>72</v>
      </c>
      <c r="Q1023" s="3" t="s">
        <v>5</v>
      </c>
      <c r="R1023" s="3" t="s">
        <v>4</v>
      </c>
      <c r="S1023" s="3" t="s">
        <v>3</v>
      </c>
      <c r="T1023" s="3" t="s">
        <v>2</v>
      </c>
      <c r="U1023" s="3" t="s">
        <v>1</v>
      </c>
      <c r="V1023" s="3" t="s">
        <v>0</v>
      </c>
      <c r="W1023" s="2">
        <v>32</v>
      </c>
    </row>
    <row r="1024" spans="1:24" hidden="1" x14ac:dyDescent="0.25">
      <c r="A1024" s="8">
        <v>11783</v>
      </c>
      <c r="B1024" s="8" t="s">
        <v>1863</v>
      </c>
      <c r="C1024" s="7" t="s">
        <v>1862</v>
      </c>
      <c r="D1024" s="6" t="s">
        <v>15</v>
      </c>
      <c r="E1024" s="5" t="s">
        <v>424</v>
      </c>
      <c r="F1024" s="4">
        <v>40714</v>
      </c>
      <c r="G1024" s="4" t="s">
        <v>1</v>
      </c>
      <c r="H1024" s="4" t="s">
        <v>1</v>
      </c>
      <c r="I1024" s="3" t="s">
        <v>13</v>
      </c>
      <c r="J1024" s="3" t="s">
        <v>12</v>
      </c>
      <c r="K1024" s="3" t="s">
        <v>11</v>
      </c>
      <c r="L1024" s="3" t="s">
        <v>10</v>
      </c>
      <c r="M1024" s="3" t="s">
        <v>9</v>
      </c>
      <c r="N1024" s="3" t="s">
        <v>22</v>
      </c>
      <c r="O1024" s="3" t="s">
        <v>21</v>
      </c>
      <c r="P1024" s="3" t="s">
        <v>72</v>
      </c>
      <c r="Q1024" s="3" t="s">
        <v>20</v>
      </c>
      <c r="R1024" s="3" t="s">
        <v>4</v>
      </c>
      <c r="S1024" s="3" t="s">
        <v>3</v>
      </c>
      <c r="T1024" s="3" t="s">
        <v>19</v>
      </c>
      <c r="U1024" s="3" t="s">
        <v>1</v>
      </c>
      <c r="V1024" s="3" t="s">
        <v>0</v>
      </c>
      <c r="W1024" s="2">
        <v>31</v>
      </c>
    </row>
    <row r="1025" spans="1:24" hidden="1" x14ac:dyDescent="0.25">
      <c r="A1025" s="8">
        <v>12339</v>
      </c>
      <c r="B1025" s="8" t="s">
        <v>1861</v>
      </c>
      <c r="C1025" s="19" t="s">
        <v>1516</v>
      </c>
      <c r="D1025" s="6" t="s">
        <v>15</v>
      </c>
      <c r="E1025" s="18" t="s">
        <v>1630</v>
      </c>
      <c r="F1025" s="4">
        <v>40805</v>
      </c>
      <c r="G1025" s="4" t="s">
        <v>1</v>
      </c>
      <c r="H1025" s="4" t="s">
        <v>1</v>
      </c>
      <c r="I1025" s="3" t="s">
        <v>13</v>
      </c>
      <c r="J1025" s="3" t="s">
        <v>12</v>
      </c>
      <c r="K1025" s="3" t="s">
        <v>11</v>
      </c>
      <c r="L1025" s="3" t="s">
        <v>10</v>
      </c>
      <c r="M1025" s="3" t="s">
        <v>9</v>
      </c>
      <c r="N1025" s="3" t="s">
        <v>1530</v>
      </c>
      <c r="O1025" s="3" t="s">
        <v>258</v>
      </c>
      <c r="P1025" s="3" t="s">
        <v>72</v>
      </c>
      <c r="Q1025" s="3" t="s">
        <v>5</v>
      </c>
      <c r="R1025" s="3" t="s">
        <v>4</v>
      </c>
      <c r="S1025" s="3" t="s">
        <v>3</v>
      </c>
      <c r="T1025" s="3" t="s">
        <v>2</v>
      </c>
      <c r="U1025" s="3" t="s">
        <v>1</v>
      </c>
      <c r="V1025" s="3" t="s">
        <v>0</v>
      </c>
      <c r="W1025" s="2">
        <v>31</v>
      </c>
    </row>
    <row r="1026" spans="1:24" hidden="1" x14ac:dyDescent="0.25">
      <c r="A1026" s="8">
        <v>11739</v>
      </c>
      <c r="B1026" s="8" t="s">
        <v>1860</v>
      </c>
      <c r="C1026" s="7" t="s">
        <v>1859</v>
      </c>
      <c r="D1026" s="6" t="s">
        <v>15</v>
      </c>
      <c r="E1026" s="5" t="s">
        <v>424</v>
      </c>
      <c r="F1026" s="4">
        <v>40714</v>
      </c>
      <c r="G1026" s="4" t="s">
        <v>1</v>
      </c>
      <c r="H1026" s="4" t="s">
        <v>1</v>
      </c>
      <c r="I1026" s="3" t="s">
        <v>145</v>
      </c>
      <c r="J1026" s="3" t="s">
        <v>12</v>
      </c>
      <c r="K1026" s="3" t="s">
        <v>539</v>
      </c>
      <c r="L1026" s="3" t="s">
        <v>1568</v>
      </c>
      <c r="M1026" s="3" t="s">
        <v>1567</v>
      </c>
      <c r="N1026" s="3" t="s">
        <v>771</v>
      </c>
      <c r="O1026" s="3" t="s">
        <v>771</v>
      </c>
      <c r="P1026" s="3" t="s">
        <v>6</v>
      </c>
      <c r="Q1026" s="3" t="s">
        <v>20</v>
      </c>
      <c r="R1026" s="3" t="s">
        <v>4</v>
      </c>
      <c r="S1026" s="3" t="s">
        <v>3</v>
      </c>
      <c r="T1026" s="3" t="s">
        <v>2</v>
      </c>
      <c r="U1026" s="3" t="s">
        <v>1</v>
      </c>
      <c r="V1026" s="3" t="s">
        <v>0</v>
      </c>
      <c r="W1026" s="2">
        <v>31</v>
      </c>
    </row>
    <row r="1027" spans="1:24" hidden="1" x14ac:dyDescent="0.25">
      <c r="A1027" s="8">
        <v>11743</v>
      </c>
      <c r="B1027" s="8" t="s">
        <v>1858</v>
      </c>
      <c r="C1027" s="7" t="s">
        <v>1857</v>
      </c>
      <c r="D1027" s="6" t="s">
        <v>15</v>
      </c>
      <c r="E1027" s="5" t="s">
        <v>424</v>
      </c>
      <c r="F1027" s="4">
        <v>40714</v>
      </c>
      <c r="G1027" s="4" t="s">
        <v>1</v>
      </c>
      <c r="H1027" s="4" t="s">
        <v>1</v>
      </c>
      <c r="I1027" s="3" t="s">
        <v>13</v>
      </c>
      <c r="J1027" s="3" t="s">
        <v>133</v>
      </c>
      <c r="K1027" s="3" t="s">
        <v>63</v>
      </c>
      <c r="L1027" s="3" t="s">
        <v>1634</v>
      </c>
      <c r="M1027" s="3" t="s">
        <v>1633</v>
      </c>
      <c r="N1027" s="3" t="s">
        <v>198</v>
      </c>
      <c r="O1027" s="3" t="s">
        <v>184</v>
      </c>
      <c r="P1027" s="3" t="s">
        <v>6</v>
      </c>
      <c r="Q1027" s="3" t="s">
        <v>20</v>
      </c>
      <c r="R1027" s="3" t="s">
        <v>4</v>
      </c>
      <c r="S1027" s="3" t="s">
        <v>3</v>
      </c>
      <c r="T1027" s="3" t="s">
        <v>2</v>
      </c>
      <c r="U1027" s="3" t="s">
        <v>1</v>
      </c>
      <c r="V1027" s="3" t="s">
        <v>0</v>
      </c>
      <c r="W1027" s="2">
        <v>34</v>
      </c>
    </row>
    <row r="1028" spans="1:24" hidden="1" x14ac:dyDescent="0.25">
      <c r="A1028" s="8">
        <v>11755</v>
      </c>
      <c r="B1028" s="8" t="s">
        <v>1856</v>
      </c>
      <c r="C1028" s="7" t="s">
        <v>786</v>
      </c>
      <c r="D1028" s="6" t="s">
        <v>15</v>
      </c>
      <c r="E1028" s="5" t="s">
        <v>424</v>
      </c>
      <c r="F1028" s="4">
        <v>40714</v>
      </c>
      <c r="G1028" s="4" t="s">
        <v>1</v>
      </c>
      <c r="H1028" s="4" t="s">
        <v>1</v>
      </c>
      <c r="I1028" s="3" t="s">
        <v>13</v>
      </c>
      <c r="J1028" s="3" t="s">
        <v>12</v>
      </c>
      <c r="K1028" s="3" t="s">
        <v>132</v>
      </c>
      <c r="L1028" s="3" t="s">
        <v>218</v>
      </c>
      <c r="M1028" s="3" t="s">
        <v>575</v>
      </c>
      <c r="N1028" s="3" t="s">
        <v>1855</v>
      </c>
      <c r="O1028" s="3" t="s">
        <v>7</v>
      </c>
      <c r="P1028" s="3" t="s">
        <v>6</v>
      </c>
      <c r="Q1028" s="3" t="s">
        <v>5</v>
      </c>
      <c r="R1028" s="3" t="s">
        <v>4</v>
      </c>
      <c r="S1028" s="3" t="s">
        <v>3</v>
      </c>
      <c r="T1028" s="3" t="s">
        <v>2</v>
      </c>
      <c r="U1028" s="3" t="s">
        <v>1</v>
      </c>
      <c r="V1028" s="3" t="s">
        <v>0</v>
      </c>
      <c r="W1028" s="2">
        <v>31</v>
      </c>
    </row>
    <row r="1029" spans="1:24" s="9" customFormat="1" hidden="1" x14ac:dyDescent="0.25">
      <c r="A1029" s="17">
        <v>11757</v>
      </c>
      <c r="B1029" s="17" t="s">
        <v>1854</v>
      </c>
      <c r="C1029" s="16" t="s">
        <v>1853</v>
      </c>
      <c r="D1029" s="15" t="s">
        <v>15</v>
      </c>
      <c r="E1029" s="14" t="s">
        <v>424</v>
      </c>
      <c r="F1029" s="13">
        <v>40714</v>
      </c>
      <c r="G1029" s="13" t="s">
        <v>1</v>
      </c>
      <c r="H1029" s="13" t="s">
        <v>1</v>
      </c>
      <c r="I1029" s="12" t="s">
        <v>145</v>
      </c>
      <c r="J1029" s="12" t="s">
        <v>133</v>
      </c>
      <c r="K1029" s="12" t="s">
        <v>132</v>
      </c>
      <c r="L1029" s="12" t="s">
        <v>218</v>
      </c>
      <c r="M1029" s="12" t="s">
        <v>217</v>
      </c>
      <c r="N1029" s="12" t="s">
        <v>209</v>
      </c>
      <c r="O1029" s="12" t="s">
        <v>208</v>
      </c>
      <c r="P1029" s="12" t="s">
        <v>72</v>
      </c>
      <c r="Q1029" s="12" t="s">
        <v>47</v>
      </c>
      <c r="R1029" s="12" t="s">
        <v>4</v>
      </c>
      <c r="S1029" s="12" t="s">
        <v>3</v>
      </c>
      <c r="T1029" s="12" t="s">
        <v>2</v>
      </c>
      <c r="U1029" s="12" t="s">
        <v>1</v>
      </c>
      <c r="V1029" s="12" t="s">
        <v>0</v>
      </c>
      <c r="W1029" s="11">
        <v>31</v>
      </c>
      <c r="X1029" s="10"/>
    </row>
    <row r="1030" spans="1:24" hidden="1" x14ac:dyDescent="0.25">
      <c r="A1030" s="8">
        <v>11759</v>
      </c>
      <c r="B1030" s="8" t="s">
        <v>1852</v>
      </c>
      <c r="C1030" s="7" t="s">
        <v>1851</v>
      </c>
      <c r="D1030" s="6" t="s">
        <v>15</v>
      </c>
      <c r="E1030" s="5" t="s">
        <v>424</v>
      </c>
      <c r="F1030" s="4">
        <v>40714</v>
      </c>
      <c r="G1030" s="4" t="s">
        <v>1</v>
      </c>
      <c r="H1030" s="4" t="s">
        <v>1</v>
      </c>
      <c r="I1030" s="3" t="s">
        <v>13</v>
      </c>
      <c r="J1030" s="3" t="s">
        <v>12</v>
      </c>
      <c r="K1030" s="3" t="s">
        <v>283</v>
      </c>
      <c r="L1030" s="3" t="s">
        <v>282</v>
      </c>
      <c r="M1030" s="3" t="s">
        <v>281</v>
      </c>
      <c r="N1030" s="3" t="s">
        <v>1850</v>
      </c>
      <c r="O1030" s="3" t="s">
        <v>100</v>
      </c>
      <c r="P1030" s="3" t="s">
        <v>6</v>
      </c>
      <c r="Q1030" s="3" t="s">
        <v>20</v>
      </c>
      <c r="R1030" s="3" t="s">
        <v>4</v>
      </c>
      <c r="S1030" s="3" t="s">
        <v>3</v>
      </c>
      <c r="T1030" s="3" t="s">
        <v>2</v>
      </c>
      <c r="U1030" s="3" t="s">
        <v>1</v>
      </c>
      <c r="V1030" s="3" t="s">
        <v>0</v>
      </c>
      <c r="W1030" s="2">
        <v>32</v>
      </c>
    </row>
    <row r="1031" spans="1:24" hidden="1" x14ac:dyDescent="0.25">
      <c r="A1031" s="8">
        <v>11768</v>
      </c>
      <c r="B1031" s="8" t="s">
        <v>1849</v>
      </c>
      <c r="C1031" s="7" t="s">
        <v>1848</v>
      </c>
      <c r="D1031" s="6" t="s">
        <v>15</v>
      </c>
      <c r="E1031" s="5" t="s">
        <v>424</v>
      </c>
      <c r="F1031" s="4">
        <v>40714</v>
      </c>
      <c r="G1031" s="4" t="s">
        <v>1</v>
      </c>
      <c r="H1031" s="4" t="s">
        <v>1</v>
      </c>
      <c r="I1031" s="3" t="s">
        <v>13</v>
      </c>
      <c r="J1031" s="3" t="s">
        <v>12</v>
      </c>
      <c r="K1031" s="3" t="s">
        <v>758</v>
      </c>
      <c r="L1031" s="3" t="s">
        <v>757</v>
      </c>
      <c r="M1031" s="3" t="s">
        <v>756</v>
      </c>
      <c r="N1031" s="3" t="s">
        <v>8</v>
      </c>
      <c r="O1031" s="3" t="s">
        <v>7</v>
      </c>
      <c r="P1031" s="3" t="s">
        <v>6</v>
      </c>
      <c r="Q1031" s="3" t="s">
        <v>5</v>
      </c>
      <c r="R1031" s="3" t="s">
        <v>4</v>
      </c>
      <c r="S1031" s="3" t="s">
        <v>3</v>
      </c>
      <c r="T1031" s="3" t="s">
        <v>2</v>
      </c>
      <c r="U1031" s="3" t="s">
        <v>1</v>
      </c>
      <c r="V1031" s="3" t="s">
        <v>0</v>
      </c>
      <c r="W1031" s="2">
        <v>31</v>
      </c>
    </row>
    <row r="1032" spans="1:24" hidden="1" x14ac:dyDescent="0.25">
      <c r="A1032" s="8">
        <v>12603</v>
      </c>
      <c r="B1032" s="8" t="s">
        <v>1847</v>
      </c>
      <c r="C1032" s="46" t="s">
        <v>1846</v>
      </c>
      <c r="D1032" s="45" t="s">
        <v>15</v>
      </c>
      <c r="E1032" s="5" t="s">
        <v>1498</v>
      </c>
      <c r="F1032" s="4">
        <v>40816</v>
      </c>
      <c r="G1032" s="4" t="s">
        <v>1</v>
      </c>
      <c r="H1032" s="4" t="s">
        <v>1</v>
      </c>
      <c r="I1032" s="3" t="s">
        <v>13</v>
      </c>
      <c r="J1032" s="3" t="s">
        <v>12</v>
      </c>
      <c r="K1032" s="3" t="s">
        <v>11</v>
      </c>
      <c r="L1032" s="3" t="s">
        <v>10</v>
      </c>
      <c r="M1032" s="3" t="s">
        <v>9</v>
      </c>
      <c r="N1032" s="3" t="s">
        <v>320</v>
      </c>
      <c r="O1032" s="3" t="s">
        <v>59</v>
      </c>
      <c r="P1032" s="3" t="s">
        <v>72</v>
      </c>
      <c r="Q1032" s="3" t="s">
        <v>5</v>
      </c>
      <c r="R1032" s="3" t="s">
        <v>4</v>
      </c>
      <c r="S1032" s="3" t="s">
        <v>3</v>
      </c>
      <c r="T1032" s="3" t="s">
        <v>2</v>
      </c>
      <c r="U1032" s="3" t="s">
        <v>1</v>
      </c>
      <c r="V1032" s="3" t="s">
        <v>0</v>
      </c>
      <c r="W1032" s="2">
        <v>32</v>
      </c>
    </row>
    <row r="1033" spans="1:24" hidden="1" x14ac:dyDescent="0.25">
      <c r="A1033" s="8">
        <v>13660</v>
      </c>
      <c r="B1033" s="8" t="s">
        <v>1845</v>
      </c>
      <c r="C1033" s="7" t="s">
        <v>1844</v>
      </c>
      <c r="D1033" s="6" t="s">
        <v>15</v>
      </c>
      <c r="E1033" s="5" t="s">
        <v>1193</v>
      </c>
      <c r="F1033" s="4">
        <v>41165</v>
      </c>
      <c r="G1033" s="4" t="s">
        <v>1</v>
      </c>
      <c r="H1033" s="4" t="s">
        <v>1</v>
      </c>
      <c r="I1033" s="3" t="s">
        <v>13</v>
      </c>
      <c r="J1033" s="3" t="s">
        <v>12</v>
      </c>
      <c r="K1033" s="3" t="s">
        <v>11</v>
      </c>
      <c r="L1033" s="3" t="s">
        <v>10</v>
      </c>
      <c r="M1033" s="3" t="s">
        <v>9</v>
      </c>
      <c r="N1033" s="3" t="s">
        <v>1843</v>
      </c>
      <c r="O1033" s="3" t="s">
        <v>258</v>
      </c>
      <c r="P1033" s="3" t="s">
        <v>72</v>
      </c>
      <c r="Q1033" s="3" t="s">
        <v>5</v>
      </c>
      <c r="R1033" s="3" t="s">
        <v>4</v>
      </c>
      <c r="S1033" s="3" t="s">
        <v>3</v>
      </c>
      <c r="T1033" s="3" t="s">
        <v>2</v>
      </c>
      <c r="U1033" s="3" t="s">
        <v>1</v>
      </c>
      <c r="V1033" s="3" t="s">
        <v>0</v>
      </c>
      <c r="W1033" s="2">
        <v>30</v>
      </c>
    </row>
    <row r="1034" spans="1:24" hidden="1" x14ac:dyDescent="0.25">
      <c r="A1034" s="8">
        <v>17846</v>
      </c>
      <c r="B1034" s="8" t="s">
        <v>1842</v>
      </c>
      <c r="C1034" s="25" t="s">
        <v>1841</v>
      </c>
      <c r="D1034" s="6" t="s">
        <v>15</v>
      </c>
      <c r="E1034" s="5" t="s">
        <v>1840</v>
      </c>
      <c r="F1034" s="4">
        <v>41820</v>
      </c>
      <c r="G1034" s="4" t="s">
        <v>1</v>
      </c>
      <c r="H1034" s="4" t="s">
        <v>1</v>
      </c>
      <c r="I1034" s="3" t="s">
        <v>13</v>
      </c>
      <c r="J1034" s="3" t="s">
        <v>12</v>
      </c>
      <c r="K1034" s="3" t="s">
        <v>11</v>
      </c>
      <c r="L1034" s="3" t="s">
        <v>10</v>
      </c>
      <c r="M1034" s="3" t="s">
        <v>9</v>
      </c>
      <c r="N1034" s="3" t="s">
        <v>870</v>
      </c>
      <c r="O1034" s="3" t="s">
        <v>21</v>
      </c>
      <c r="P1034" s="3" t="s">
        <v>72</v>
      </c>
      <c r="Q1034" s="3" t="s">
        <v>20</v>
      </c>
      <c r="R1034" s="3" t="s">
        <v>4</v>
      </c>
      <c r="S1034" s="3" t="s">
        <v>3</v>
      </c>
      <c r="T1034" s="3" t="s">
        <v>2</v>
      </c>
      <c r="U1034" s="3" t="s">
        <v>1</v>
      </c>
      <c r="V1034" s="3" t="s">
        <v>0</v>
      </c>
      <c r="W1034" s="2">
        <v>28</v>
      </c>
    </row>
    <row r="1035" spans="1:24" s="9" customFormat="1" hidden="1" x14ac:dyDescent="0.25">
      <c r="A1035" s="17" t="s">
        <v>1839</v>
      </c>
      <c r="B1035" s="17" t="s">
        <v>1839</v>
      </c>
      <c r="C1035" s="16" t="s">
        <v>1838</v>
      </c>
      <c r="D1035" s="15" t="s">
        <v>15</v>
      </c>
      <c r="E1035" s="14" t="s">
        <v>205</v>
      </c>
      <c r="F1035" s="13">
        <v>40904</v>
      </c>
      <c r="G1035" s="13" t="s">
        <v>1</v>
      </c>
      <c r="H1035" s="13" t="s">
        <v>1</v>
      </c>
      <c r="I1035" s="12" t="s">
        <v>13</v>
      </c>
      <c r="J1035" s="12" t="s">
        <v>12</v>
      </c>
      <c r="K1035" s="12" t="s">
        <v>11</v>
      </c>
      <c r="L1035" s="12" t="s">
        <v>10</v>
      </c>
      <c r="M1035" s="12" t="s">
        <v>9</v>
      </c>
      <c r="N1035" s="12" t="s">
        <v>1028</v>
      </c>
      <c r="O1035" s="12" t="s">
        <v>67</v>
      </c>
      <c r="P1035" s="12" t="s">
        <v>72</v>
      </c>
      <c r="Q1035" s="12" t="s">
        <v>5</v>
      </c>
      <c r="R1035" s="12" t="s">
        <v>4</v>
      </c>
      <c r="S1035" s="12" t="s">
        <v>3</v>
      </c>
      <c r="T1035" s="12" t="s">
        <v>2</v>
      </c>
      <c r="U1035" s="12" t="s">
        <v>1</v>
      </c>
      <c r="V1035" s="12" t="s">
        <v>0</v>
      </c>
      <c r="W1035" s="11">
        <v>32</v>
      </c>
      <c r="X1035" s="49"/>
    </row>
    <row r="1036" spans="1:24" hidden="1" x14ac:dyDescent="0.25">
      <c r="A1036" s="8">
        <v>11787</v>
      </c>
      <c r="B1036" s="8" t="s">
        <v>1837</v>
      </c>
      <c r="C1036" s="7" t="s">
        <v>1836</v>
      </c>
      <c r="D1036" s="6" t="s">
        <v>15</v>
      </c>
      <c r="E1036" s="5" t="s">
        <v>424</v>
      </c>
      <c r="F1036" s="4">
        <v>40714</v>
      </c>
      <c r="G1036" s="4" t="s">
        <v>1</v>
      </c>
      <c r="H1036" s="4" t="s">
        <v>1</v>
      </c>
      <c r="I1036" s="3" t="s">
        <v>384</v>
      </c>
      <c r="J1036" s="3" t="s">
        <v>1227</v>
      </c>
      <c r="K1036" s="3" t="s">
        <v>33</v>
      </c>
      <c r="L1036" s="3" t="s">
        <v>33</v>
      </c>
      <c r="M1036" s="3" t="s">
        <v>1227</v>
      </c>
      <c r="N1036" s="3" t="s">
        <v>1226</v>
      </c>
      <c r="O1036" s="3" t="s">
        <v>387</v>
      </c>
      <c r="P1036" s="3" t="s">
        <v>30</v>
      </c>
      <c r="Q1036" s="3" t="s">
        <v>47</v>
      </c>
      <c r="R1036" s="3" t="s">
        <v>4</v>
      </c>
      <c r="S1036" s="3" t="s">
        <v>3</v>
      </c>
      <c r="T1036" s="3" t="s">
        <v>2</v>
      </c>
      <c r="U1036" s="3" t="s">
        <v>1</v>
      </c>
      <c r="V1036" s="3" t="s">
        <v>0</v>
      </c>
      <c r="W1036" s="2">
        <v>33</v>
      </c>
    </row>
    <row r="1037" spans="1:24" hidden="1" x14ac:dyDescent="0.25">
      <c r="A1037" s="8">
        <v>11791</v>
      </c>
      <c r="B1037" s="8" t="s">
        <v>1835</v>
      </c>
      <c r="C1037" s="7" t="s">
        <v>1834</v>
      </c>
      <c r="D1037" s="6" t="s">
        <v>15</v>
      </c>
      <c r="E1037" s="5" t="s">
        <v>424</v>
      </c>
      <c r="F1037" s="4">
        <v>40714</v>
      </c>
      <c r="G1037" s="4" t="s">
        <v>1</v>
      </c>
      <c r="H1037" s="4" t="s">
        <v>1</v>
      </c>
      <c r="I1037" s="3" t="s">
        <v>13</v>
      </c>
      <c r="J1037" s="3" t="s">
        <v>12</v>
      </c>
      <c r="K1037" s="3" t="s">
        <v>63</v>
      </c>
      <c r="L1037" s="3" t="s">
        <v>81</v>
      </c>
      <c r="M1037" s="3" t="s">
        <v>173</v>
      </c>
      <c r="N1037" s="3" t="s">
        <v>79</v>
      </c>
      <c r="O1037" s="3" t="s">
        <v>59</v>
      </c>
      <c r="P1037" s="3" t="s">
        <v>6</v>
      </c>
      <c r="Q1037" s="3" t="s">
        <v>5</v>
      </c>
      <c r="R1037" s="3" t="s">
        <v>4</v>
      </c>
      <c r="S1037" s="3" t="s">
        <v>3</v>
      </c>
      <c r="T1037" s="3" t="s">
        <v>2</v>
      </c>
      <c r="U1037" s="3" t="s">
        <v>1</v>
      </c>
      <c r="V1037" s="3" t="s">
        <v>0</v>
      </c>
      <c r="W1037" s="2">
        <v>31</v>
      </c>
    </row>
    <row r="1038" spans="1:24" hidden="1" x14ac:dyDescent="0.25">
      <c r="A1038" s="8">
        <v>11794</v>
      </c>
      <c r="B1038" s="8" t="s">
        <v>1833</v>
      </c>
      <c r="C1038" s="7" t="s">
        <v>1832</v>
      </c>
      <c r="D1038" s="6" t="s">
        <v>15</v>
      </c>
      <c r="E1038" s="5" t="s">
        <v>1089</v>
      </c>
      <c r="F1038" s="4">
        <v>40721</v>
      </c>
      <c r="G1038" s="4" t="s">
        <v>1</v>
      </c>
      <c r="H1038" s="4" t="s">
        <v>1</v>
      </c>
      <c r="I1038" s="3" t="s">
        <v>384</v>
      </c>
      <c r="J1038" s="3" t="s">
        <v>1227</v>
      </c>
      <c r="K1038" s="3" t="s">
        <v>33</v>
      </c>
      <c r="L1038" s="3" t="s">
        <v>33</v>
      </c>
      <c r="M1038" s="3" t="s">
        <v>1227</v>
      </c>
      <c r="N1038" s="3" t="s">
        <v>1226</v>
      </c>
      <c r="O1038" s="3" t="s">
        <v>387</v>
      </c>
      <c r="P1038" s="3" t="s">
        <v>30</v>
      </c>
      <c r="Q1038" s="3" t="s">
        <v>47</v>
      </c>
      <c r="R1038" s="3" t="s">
        <v>4</v>
      </c>
      <c r="S1038" s="3" t="s">
        <v>3</v>
      </c>
      <c r="T1038" s="3" t="s">
        <v>121</v>
      </c>
      <c r="U1038" s="3" t="s">
        <v>1</v>
      </c>
      <c r="V1038" s="3" t="s">
        <v>0</v>
      </c>
      <c r="W1038" s="2">
        <v>31</v>
      </c>
    </row>
    <row r="1039" spans="1:24" hidden="1" x14ac:dyDescent="0.25">
      <c r="A1039" s="8">
        <v>11815</v>
      </c>
      <c r="B1039" s="8" t="s">
        <v>1831</v>
      </c>
      <c r="C1039" s="7" t="s">
        <v>1830</v>
      </c>
      <c r="D1039" s="6" t="s">
        <v>15</v>
      </c>
      <c r="E1039" s="5" t="s">
        <v>1089</v>
      </c>
      <c r="F1039" s="4">
        <v>40721</v>
      </c>
      <c r="G1039" s="4" t="s">
        <v>1</v>
      </c>
      <c r="H1039" s="4" t="s">
        <v>1</v>
      </c>
      <c r="I1039" s="3" t="s">
        <v>13</v>
      </c>
      <c r="J1039" s="3" t="s">
        <v>12</v>
      </c>
      <c r="K1039" s="3" t="s">
        <v>63</v>
      </c>
      <c r="L1039" s="3" t="s">
        <v>81</v>
      </c>
      <c r="M1039" s="3" t="s">
        <v>173</v>
      </c>
      <c r="N1039" s="3" t="s">
        <v>1829</v>
      </c>
      <c r="O1039" s="3" t="s">
        <v>59</v>
      </c>
      <c r="P1039" s="3" t="s">
        <v>6</v>
      </c>
      <c r="Q1039" s="3" t="s">
        <v>5</v>
      </c>
      <c r="R1039" s="3" t="s">
        <v>4</v>
      </c>
      <c r="S1039" s="3" t="s">
        <v>3</v>
      </c>
      <c r="T1039" s="3" t="s">
        <v>2</v>
      </c>
      <c r="U1039" s="3" t="s">
        <v>1</v>
      </c>
      <c r="V1039" s="3" t="s">
        <v>0</v>
      </c>
      <c r="W1039" s="2">
        <v>32</v>
      </c>
    </row>
    <row r="1040" spans="1:24" hidden="1" x14ac:dyDescent="0.25">
      <c r="A1040" s="8" t="s">
        <v>1828</v>
      </c>
      <c r="B1040" s="8" t="s">
        <v>1828</v>
      </c>
      <c r="C1040" s="7" t="s">
        <v>1827</v>
      </c>
      <c r="D1040" s="6" t="s">
        <v>15</v>
      </c>
      <c r="E1040" s="5" t="s">
        <v>314</v>
      </c>
      <c r="F1040" s="4">
        <v>41165</v>
      </c>
      <c r="G1040" s="4" t="s">
        <v>1</v>
      </c>
      <c r="H1040" s="4" t="s">
        <v>1</v>
      </c>
      <c r="I1040" s="3" t="s">
        <v>13</v>
      </c>
      <c r="J1040" s="3" t="s">
        <v>12</v>
      </c>
      <c r="K1040" s="3" t="s">
        <v>11</v>
      </c>
      <c r="L1040" s="3" t="s">
        <v>10</v>
      </c>
      <c r="M1040" s="3" t="s">
        <v>9</v>
      </c>
      <c r="N1040" s="3" t="s">
        <v>784</v>
      </c>
      <c r="O1040" s="3" t="s">
        <v>258</v>
      </c>
      <c r="P1040" s="3" t="s">
        <v>72</v>
      </c>
      <c r="Q1040" s="3" t="s">
        <v>5</v>
      </c>
      <c r="R1040" s="3" t="s">
        <v>4</v>
      </c>
      <c r="S1040" s="3" t="s">
        <v>3</v>
      </c>
      <c r="T1040" s="3" t="s">
        <v>2</v>
      </c>
      <c r="U1040" s="3" t="s">
        <v>1</v>
      </c>
      <c r="V1040" s="3" t="s">
        <v>0</v>
      </c>
      <c r="W1040" s="2">
        <v>30</v>
      </c>
    </row>
    <row r="1041" spans="1:23" s="78" customFormat="1" hidden="1" x14ac:dyDescent="0.25">
      <c r="A1041" s="73">
        <v>11824</v>
      </c>
      <c r="B1041" s="73" t="s">
        <v>1826</v>
      </c>
      <c r="C1041" s="87" t="s">
        <v>1825</v>
      </c>
      <c r="D1041" s="88" t="s">
        <v>15</v>
      </c>
      <c r="E1041" s="89" t="s">
        <v>1089</v>
      </c>
      <c r="F1041" s="90">
        <v>40721</v>
      </c>
      <c r="G1041" s="90" t="s">
        <v>1</v>
      </c>
      <c r="H1041" s="90" t="s">
        <v>1</v>
      </c>
      <c r="I1041" s="92" t="s">
        <v>384</v>
      </c>
      <c r="J1041" s="92" t="s">
        <v>1227</v>
      </c>
      <c r="K1041" s="92" t="s">
        <v>33</v>
      </c>
      <c r="L1041" s="92" t="s">
        <v>33</v>
      </c>
      <c r="M1041" s="92" t="s">
        <v>1227</v>
      </c>
      <c r="N1041" s="92" t="s">
        <v>1226</v>
      </c>
      <c r="O1041" s="92" t="s">
        <v>387</v>
      </c>
      <c r="P1041" s="92" t="s">
        <v>30</v>
      </c>
      <c r="Q1041" s="92" t="s">
        <v>47</v>
      </c>
      <c r="R1041" s="92" t="s">
        <v>4</v>
      </c>
      <c r="S1041" s="92" t="s">
        <v>3</v>
      </c>
      <c r="T1041" s="92" t="s">
        <v>121</v>
      </c>
      <c r="U1041" s="92" t="s">
        <v>1</v>
      </c>
      <c r="V1041" s="92" t="s">
        <v>0</v>
      </c>
      <c r="W1041" s="93">
        <v>31</v>
      </c>
    </row>
    <row r="1042" spans="1:23" hidden="1" x14ac:dyDescent="0.25">
      <c r="A1042" s="8">
        <v>6358</v>
      </c>
      <c r="B1042" s="8" t="s">
        <v>1824</v>
      </c>
      <c r="C1042" s="7" t="s">
        <v>1823</v>
      </c>
      <c r="D1042" s="6" t="s">
        <v>15</v>
      </c>
      <c r="E1042" s="5" t="s">
        <v>765</v>
      </c>
      <c r="F1042" s="4">
        <v>39279</v>
      </c>
      <c r="G1042" s="4" t="s">
        <v>1</v>
      </c>
      <c r="H1042" s="4" t="s">
        <v>1</v>
      </c>
      <c r="I1042" s="3" t="s">
        <v>13</v>
      </c>
      <c r="J1042" s="3" t="s">
        <v>12</v>
      </c>
      <c r="K1042" s="3" t="s">
        <v>25</v>
      </c>
      <c r="L1042" s="3" t="s">
        <v>24</v>
      </c>
      <c r="M1042" s="3" t="s">
        <v>23</v>
      </c>
      <c r="N1042" s="3" t="s">
        <v>1545</v>
      </c>
      <c r="O1042" s="3" t="s">
        <v>258</v>
      </c>
      <c r="P1042" s="3" t="s">
        <v>72</v>
      </c>
      <c r="Q1042" s="3" t="s">
        <v>5</v>
      </c>
      <c r="R1042" s="3" t="s">
        <v>4</v>
      </c>
      <c r="S1042" s="3" t="s">
        <v>3</v>
      </c>
      <c r="T1042" s="3" t="s">
        <v>2</v>
      </c>
      <c r="U1042" s="3" t="s">
        <v>1</v>
      </c>
      <c r="V1042" s="3" t="s">
        <v>0</v>
      </c>
      <c r="W1042" s="2">
        <v>40</v>
      </c>
    </row>
    <row r="1043" spans="1:23" hidden="1" x14ac:dyDescent="0.25">
      <c r="A1043" s="8">
        <v>8779</v>
      </c>
      <c r="B1043" s="8" t="s">
        <v>1822</v>
      </c>
      <c r="C1043" s="7" t="s">
        <v>1821</v>
      </c>
      <c r="D1043" s="6" t="s">
        <v>15</v>
      </c>
      <c r="E1043" s="5" t="s">
        <v>222</v>
      </c>
      <c r="F1043" s="4">
        <v>39931</v>
      </c>
      <c r="G1043" s="4" t="s">
        <v>1</v>
      </c>
      <c r="H1043" s="4" t="s">
        <v>1</v>
      </c>
      <c r="I1043" s="3" t="s">
        <v>13</v>
      </c>
      <c r="J1043" s="3" t="s">
        <v>12</v>
      </c>
      <c r="K1043" s="3" t="s">
        <v>25</v>
      </c>
      <c r="L1043" s="3" t="s">
        <v>24</v>
      </c>
      <c r="M1043" s="3" t="s">
        <v>23</v>
      </c>
      <c r="N1043" s="3" t="s">
        <v>1820</v>
      </c>
      <c r="O1043" s="3" t="s">
        <v>59</v>
      </c>
      <c r="P1043" s="3" t="s">
        <v>72</v>
      </c>
      <c r="Q1043" s="3" t="s">
        <v>5</v>
      </c>
      <c r="R1043" s="3" t="s">
        <v>4</v>
      </c>
      <c r="S1043" s="3" t="s">
        <v>3</v>
      </c>
      <c r="T1043" s="3" t="s">
        <v>2</v>
      </c>
      <c r="U1043" s="3" t="s">
        <v>1</v>
      </c>
      <c r="V1043" s="3" t="s">
        <v>0</v>
      </c>
      <c r="W1043" s="2">
        <v>35</v>
      </c>
    </row>
    <row r="1044" spans="1:23" hidden="1" x14ac:dyDescent="0.25">
      <c r="A1044" s="8">
        <v>9455</v>
      </c>
      <c r="B1044" s="8" t="s">
        <v>1819</v>
      </c>
      <c r="C1044" s="7" t="s">
        <v>1818</v>
      </c>
      <c r="D1044" s="6" t="s">
        <v>15</v>
      </c>
      <c r="E1044" s="5" t="s">
        <v>491</v>
      </c>
      <c r="F1044" s="4">
        <v>40148</v>
      </c>
      <c r="G1044" s="4" t="s">
        <v>1</v>
      </c>
      <c r="H1044" s="4" t="s">
        <v>1</v>
      </c>
      <c r="I1044" s="3" t="s">
        <v>13</v>
      </c>
      <c r="J1044" s="3" t="s">
        <v>12</v>
      </c>
      <c r="K1044" s="3" t="s">
        <v>25</v>
      </c>
      <c r="L1044" s="3" t="s">
        <v>24</v>
      </c>
      <c r="M1044" s="3" t="s">
        <v>23</v>
      </c>
      <c r="N1044" s="3" t="s">
        <v>628</v>
      </c>
      <c r="O1044" s="3" t="s">
        <v>59</v>
      </c>
      <c r="P1044" s="3" t="s">
        <v>72</v>
      </c>
      <c r="Q1044" s="3" t="s">
        <v>5</v>
      </c>
      <c r="R1044" s="3" t="s">
        <v>4</v>
      </c>
      <c r="S1044" s="3" t="s">
        <v>3</v>
      </c>
      <c r="T1044" s="3" t="s">
        <v>2</v>
      </c>
      <c r="U1044" s="3" t="s">
        <v>1</v>
      </c>
      <c r="V1044" s="3" t="s">
        <v>0</v>
      </c>
      <c r="W1044" s="2">
        <v>33</v>
      </c>
    </row>
    <row r="1045" spans="1:23" hidden="1" x14ac:dyDescent="0.25">
      <c r="A1045" s="8">
        <v>11836</v>
      </c>
      <c r="B1045" s="8" t="s">
        <v>1817</v>
      </c>
      <c r="C1045" s="7" t="s">
        <v>1816</v>
      </c>
      <c r="D1045" s="6" t="s">
        <v>15</v>
      </c>
      <c r="E1045" s="5" t="s">
        <v>1089</v>
      </c>
      <c r="F1045" s="4">
        <v>40721</v>
      </c>
      <c r="G1045" s="4" t="s">
        <v>1</v>
      </c>
      <c r="H1045" s="4" t="s">
        <v>1</v>
      </c>
      <c r="I1045" s="3" t="s">
        <v>13</v>
      </c>
      <c r="J1045" s="3" t="s">
        <v>12</v>
      </c>
      <c r="K1045" s="3" t="s">
        <v>262</v>
      </c>
      <c r="L1045" s="3" t="s">
        <v>261</v>
      </c>
      <c r="M1045" s="3" t="s">
        <v>260</v>
      </c>
      <c r="N1045" s="3" t="s">
        <v>628</v>
      </c>
      <c r="O1045" s="3" t="s">
        <v>59</v>
      </c>
      <c r="P1045" s="3" t="s">
        <v>6</v>
      </c>
      <c r="Q1045" s="3" t="s">
        <v>5</v>
      </c>
      <c r="R1045" s="3" t="s">
        <v>4</v>
      </c>
      <c r="S1045" s="3" t="s">
        <v>3</v>
      </c>
      <c r="T1045" s="3" t="s">
        <v>2</v>
      </c>
      <c r="U1045" s="3" t="s">
        <v>1</v>
      </c>
      <c r="V1045" s="3" t="s">
        <v>0</v>
      </c>
      <c r="W1045" s="2">
        <v>31</v>
      </c>
    </row>
    <row r="1046" spans="1:23" hidden="1" x14ac:dyDescent="0.25">
      <c r="A1046" s="8">
        <v>11838</v>
      </c>
      <c r="B1046" s="8" t="s">
        <v>1815</v>
      </c>
      <c r="C1046" s="7" t="s">
        <v>1814</v>
      </c>
      <c r="D1046" s="6" t="s">
        <v>15</v>
      </c>
      <c r="E1046" s="5" t="s">
        <v>1089</v>
      </c>
      <c r="F1046" s="4">
        <v>40721</v>
      </c>
      <c r="G1046" s="4" t="s">
        <v>1</v>
      </c>
      <c r="H1046" s="4" t="s">
        <v>1</v>
      </c>
      <c r="I1046" s="3" t="s">
        <v>13</v>
      </c>
      <c r="J1046" s="3" t="s">
        <v>12</v>
      </c>
      <c r="K1046" s="3" t="s">
        <v>132</v>
      </c>
      <c r="L1046" s="3" t="s">
        <v>218</v>
      </c>
      <c r="M1046" s="3" t="s">
        <v>575</v>
      </c>
      <c r="N1046" s="3" t="s">
        <v>1813</v>
      </c>
      <c r="O1046" s="3" t="s">
        <v>59</v>
      </c>
      <c r="P1046" s="3" t="s">
        <v>6</v>
      </c>
      <c r="Q1046" s="3" t="s">
        <v>5</v>
      </c>
      <c r="R1046" s="3" t="s">
        <v>4</v>
      </c>
      <c r="S1046" s="3" t="s">
        <v>3</v>
      </c>
      <c r="T1046" s="3" t="s">
        <v>2</v>
      </c>
      <c r="U1046" s="3" t="s">
        <v>1</v>
      </c>
      <c r="V1046" s="3" t="s">
        <v>0</v>
      </c>
      <c r="W1046" s="2">
        <v>33</v>
      </c>
    </row>
    <row r="1047" spans="1:23" hidden="1" x14ac:dyDescent="0.25">
      <c r="A1047" s="8">
        <v>9591</v>
      </c>
      <c r="B1047" s="8" t="s">
        <v>1812</v>
      </c>
      <c r="C1047" s="7" t="s">
        <v>1811</v>
      </c>
      <c r="D1047" s="6" t="s">
        <v>15</v>
      </c>
      <c r="E1047" s="5" t="s">
        <v>178</v>
      </c>
      <c r="F1047" s="4">
        <v>40179</v>
      </c>
      <c r="G1047" s="4" t="s">
        <v>1</v>
      </c>
      <c r="H1047" s="4" t="s">
        <v>1</v>
      </c>
      <c r="I1047" s="3" t="s">
        <v>13</v>
      </c>
      <c r="J1047" s="3" t="s">
        <v>12</v>
      </c>
      <c r="K1047" s="3" t="s">
        <v>25</v>
      </c>
      <c r="L1047" s="3" t="s">
        <v>24</v>
      </c>
      <c r="M1047" s="3" t="s">
        <v>23</v>
      </c>
      <c r="N1047" s="3" t="s">
        <v>1810</v>
      </c>
      <c r="O1047" s="3" t="s">
        <v>258</v>
      </c>
      <c r="P1047" s="3" t="s">
        <v>72</v>
      </c>
      <c r="Q1047" s="3" t="s">
        <v>5</v>
      </c>
      <c r="R1047" s="3" t="s">
        <v>4</v>
      </c>
      <c r="S1047" s="3" t="s">
        <v>3</v>
      </c>
      <c r="T1047" s="3" t="s">
        <v>2</v>
      </c>
      <c r="U1047" s="3" t="s">
        <v>1</v>
      </c>
      <c r="V1047" s="3" t="s">
        <v>0</v>
      </c>
      <c r="W1047" s="2">
        <v>34</v>
      </c>
    </row>
    <row r="1048" spans="1:23" hidden="1" x14ac:dyDescent="0.25">
      <c r="A1048" s="8">
        <v>11845</v>
      </c>
      <c r="B1048" s="8" t="s">
        <v>1809</v>
      </c>
      <c r="C1048" s="7" t="s">
        <v>1808</v>
      </c>
      <c r="D1048" s="6" t="s">
        <v>15</v>
      </c>
      <c r="E1048" s="5" t="s">
        <v>1089</v>
      </c>
      <c r="F1048" s="4">
        <v>40721</v>
      </c>
      <c r="G1048" s="4" t="s">
        <v>1</v>
      </c>
      <c r="H1048" s="4" t="s">
        <v>1</v>
      </c>
      <c r="I1048" s="18" t="s">
        <v>100</v>
      </c>
      <c r="J1048" s="18" t="s">
        <v>124</v>
      </c>
      <c r="K1048" s="18" t="s">
        <v>33</v>
      </c>
      <c r="L1048" s="18" t="s">
        <v>33</v>
      </c>
      <c r="M1048" s="18" t="s">
        <v>124</v>
      </c>
      <c r="N1048" s="18" t="s">
        <v>1807</v>
      </c>
      <c r="O1048" s="18" t="s">
        <v>122</v>
      </c>
      <c r="P1048" s="5" t="s">
        <v>1</v>
      </c>
      <c r="Q1048" s="5" t="s">
        <v>121</v>
      </c>
      <c r="R1048" s="3" t="s">
        <v>4</v>
      </c>
      <c r="S1048" s="3" t="s">
        <v>3</v>
      </c>
      <c r="T1048" s="3" t="s">
        <v>2</v>
      </c>
      <c r="U1048" s="3" t="s">
        <v>1</v>
      </c>
      <c r="V1048" s="3" t="s">
        <v>0</v>
      </c>
      <c r="W1048" s="2">
        <v>31</v>
      </c>
    </row>
    <row r="1049" spans="1:23" hidden="1" x14ac:dyDescent="0.25">
      <c r="A1049" s="8">
        <v>11854</v>
      </c>
      <c r="B1049" s="8" t="s">
        <v>1806</v>
      </c>
      <c r="C1049" s="7" t="s">
        <v>1805</v>
      </c>
      <c r="D1049" s="6" t="s">
        <v>15</v>
      </c>
      <c r="E1049" s="5" t="s">
        <v>1089</v>
      </c>
      <c r="F1049" s="4">
        <v>40721</v>
      </c>
      <c r="G1049" s="4" t="s">
        <v>1</v>
      </c>
      <c r="H1049" s="4" t="s">
        <v>1</v>
      </c>
      <c r="I1049" s="3" t="s">
        <v>145</v>
      </c>
      <c r="J1049" s="3" t="s">
        <v>12</v>
      </c>
      <c r="K1049" s="3" t="s">
        <v>283</v>
      </c>
      <c r="L1049" s="3" t="s">
        <v>282</v>
      </c>
      <c r="M1049" s="3" t="s">
        <v>698</v>
      </c>
      <c r="N1049" s="3" t="s">
        <v>1355</v>
      </c>
      <c r="O1049" s="3" t="s">
        <v>100</v>
      </c>
      <c r="P1049" s="3" t="s">
        <v>6</v>
      </c>
      <c r="Q1049" s="3" t="s">
        <v>20</v>
      </c>
      <c r="R1049" s="3" t="s">
        <v>4</v>
      </c>
      <c r="S1049" s="3" t="s">
        <v>3</v>
      </c>
      <c r="T1049" s="3" t="s">
        <v>2</v>
      </c>
      <c r="U1049" s="3" t="s">
        <v>1</v>
      </c>
      <c r="V1049" s="3" t="s">
        <v>0</v>
      </c>
      <c r="W1049" s="2">
        <v>32</v>
      </c>
    </row>
    <row r="1050" spans="1:23" hidden="1" x14ac:dyDescent="0.25">
      <c r="A1050" s="8">
        <v>9928</v>
      </c>
      <c r="B1050" s="8" t="s">
        <v>1804</v>
      </c>
      <c r="C1050" s="19" t="s">
        <v>1803</v>
      </c>
      <c r="D1050" s="6" t="s">
        <v>15</v>
      </c>
      <c r="E1050" s="18" t="s">
        <v>1041</v>
      </c>
      <c r="F1050" s="4">
        <v>40431</v>
      </c>
      <c r="G1050" s="4" t="s">
        <v>1</v>
      </c>
      <c r="H1050" s="4" t="s">
        <v>1</v>
      </c>
      <c r="I1050" s="3" t="s">
        <v>13</v>
      </c>
      <c r="J1050" s="3" t="s">
        <v>12</v>
      </c>
      <c r="K1050" s="3" t="s">
        <v>25</v>
      </c>
      <c r="L1050" s="3" t="s">
        <v>24</v>
      </c>
      <c r="M1050" s="3" t="s">
        <v>23</v>
      </c>
      <c r="N1050" s="3" t="s">
        <v>1791</v>
      </c>
      <c r="O1050" s="3" t="s">
        <v>7</v>
      </c>
      <c r="P1050" s="3" t="s">
        <v>30</v>
      </c>
      <c r="Q1050" s="3" t="s">
        <v>5</v>
      </c>
      <c r="R1050" s="3" t="s">
        <v>4</v>
      </c>
      <c r="S1050" s="3" t="s">
        <v>3</v>
      </c>
      <c r="T1050" s="3" t="s">
        <v>2</v>
      </c>
      <c r="U1050" s="3" t="s">
        <v>1</v>
      </c>
      <c r="V1050" s="3" t="s">
        <v>0</v>
      </c>
      <c r="W1050" s="2">
        <v>33</v>
      </c>
    </row>
    <row r="1051" spans="1:23" hidden="1" x14ac:dyDescent="0.25">
      <c r="A1051" s="8">
        <v>11863</v>
      </c>
      <c r="B1051" s="8" t="s">
        <v>1802</v>
      </c>
      <c r="C1051" s="7" t="s">
        <v>1801</v>
      </c>
      <c r="D1051" s="6" t="s">
        <v>15</v>
      </c>
      <c r="E1051" s="5" t="s">
        <v>1089</v>
      </c>
      <c r="F1051" s="4">
        <v>40721</v>
      </c>
      <c r="G1051" s="4" t="s">
        <v>1</v>
      </c>
      <c r="H1051" s="4" t="s">
        <v>1</v>
      </c>
      <c r="I1051" s="3" t="s">
        <v>384</v>
      </c>
      <c r="J1051" s="3" t="s">
        <v>1709</v>
      </c>
      <c r="K1051" s="3" t="s">
        <v>33</v>
      </c>
      <c r="L1051" s="3" t="s">
        <v>33</v>
      </c>
      <c r="M1051" s="3" t="s">
        <v>1709</v>
      </c>
      <c r="N1051" s="3" t="s">
        <v>1708</v>
      </c>
      <c r="O1051" s="5" t="s">
        <v>387</v>
      </c>
      <c r="P1051" s="3" t="s">
        <v>30</v>
      </c>
      <c r="Q1051" s="5" t="s">
        <v>47</v>
      </c>
      <c r="R1051" s="3" t="s">
        <v>4</v>
      </c>
      <c r="S1051" s="3" t="s">
        <v>3</v>
      </c>
      <c r="T1051" s="3" t="s">
        <v>2</v>
      </c>
      <c r="U1051" s="3" t="s">
        <v>1</v>
      </c>
      <c r="V1051" s="3" t="s">
        <v>0</v>
      </c>
      <c r="W1051" s="2">
        <v>32</v>
      </c>
    </row>
    <row r="1052" spans="1:23" hidden="1" x14ac:dyDescent="0.25">
      <c r="A1052" s="8">
        <v>10128</v>
      </c>
      <c r="B1052" s="8" t="s">
        <v>1800</v>
      </c>
      <c r="C1052" s="7" t="s">
        <v>1799</v>
      </c>
      <c r="D1052" s="6" t="s">
        <v>15</v>
      </c>
      <c r="E1052" s="5" t="s">
        <v>1034</v>
      </c>
      <c r="F1052" s="4">
        <v>40444</v>
      </c>
      <c r="G1052" s="4" t="s">
        <v>1</v>
      </c>
      <c r="H1052" s="4" t="s">
        <v>1</v>
      </c>
      <c r="I1052" s="3" t="s">
        <v>13</v>
      </c>
      <c r="J1052" s="3" t="s">
        <v>12</v>
      </c>
      <c r="K1052" s="3" t="s">
        <v>25</v>
      </c>
      <c r="L1052" s="3" t="s">
        <v>24</v>
      </c>
      <c r="M1052" s="3" t="s">
        <v>23</v>
      </c>
      <c r="N1052" s="3" t="s">
        <v>1100</v>
      </c>
      <c r="O1052" s="3" t="s">
        <v>59</v>
      </c>
      <c r="P1052" s="3" t="s">
        <v>72</v>
      </c>
      <c r="Q1052" s="3" t="s">
        <v>5</v>
      </c>
      <c r="R1052" s="3" t="s">
        <v>4</v>
      </c>
      <c r="S1052" s="3" t="s">
        <v>3</v>
      </c>
      <c r="T1052" s="3" t="s">
        <v>2</v>
      </c>
      <c r="U1052" s="3" t="s">
        <v>1</v>
      </c>
      <c r="V1052" s="3" t="s">
        <v>0</v>
      </c>
      <c r="W1052" s="2">
        <v>35</v>
      </c>
    </row>
    <row r="1053" spans="1:23" hidden="1" x14ac:dyDescent="0.25">
      <c r="A1053" s="8">
        <v>10203</v>
      </c>
      <c r="B1053" s="8" t="s">
        <v>1798</v>
      </c>
      <c r="C1053" s="7" t="s">
        <v>1797</v>
      </c>
      <c r="D1053" s="6" t="s">
        <v>15</v>
      </c>
      <c r="E1053" s="5" t="s">
        <v>476</v>
      </c>
      <c r="F1053" s="4">
        <v>40458</v>
      </c>
      <c r="G1053" s="4" t="s">
        <v>1</v>
      </c>
      <c r="H1053" s="4" t="s">
        <v>1</v>
      </c>
      <c r="I1053" s="3" t="s">
        <v>13</v>
      </c>
      <c r="J1053" s="3" t="s">
        <v>12</v>
      </c>
      <c r="K1053" s="3" t="s">
        <v>25</v>
      </c>
      <c r="L1053" s="3" t="s">
        <v>24</v>
      </c>
      <c r="M1053" s="3" t="s">
        <v>23</v>
      </c>
      <c r="N1053" s="3" t="s">
        <v>320</v>
      </c>
      <c r="O1053" s="3" t="s">
        <v>59</v>
      </c>
      <c r="P1053" s="3" t="s">
        <v>72</v>
      </c>
      <c r="Q1053" s="3" t="s">
        <v>5</v>
      </c>
      <c r="R1053" s="3" t="s">
        <v>4</v>
      </c>
      <c r="S1053" s="3" t="s">
        <v>3</v>
      </c>
      <c r="T1053" s="3" t="s">
        <v>2</v>
      </c>
      <c r="U1053" s="3" t="s">
        <v>1</v>
      </c>
      <c r="V1053" s="3" t="s">
        <v>0</v>
      </c>
      <c r="W1053" s="2">
        <v>32</v>
      </c>
    </row>
    <row r="1054" spans="1:23" hidden="1" x14ac:dyDescent="0.25">
      <c r="A1054" s="8">
        <v>11894</v>
      </c>
      <c r="B1054" s="8" t="s">
        <v>1796</v>
      </c>
      <c r="C1054" s="7" t="s">
        <v>1795</v>
      </c>
      <c r="D1054" s="6" t="s">
        <v>15</v>
      </c>
      <c r="E1054" s="5" t="s">
        <v>1789</v>
      </c>
      <c r="F1054" s="4">
        <v>40735</v>
      </c>
      <c r="G1054" s="4" t="s">
        <v>1</v>
      </c>
      <c r="H1054" s="4" t="s">
        <v>1</v>
      </c>
      <c r="I1054" s="18" t="s">
        <v>100</v>
      </c>
      <c r="J1054" s="18" t="s">
        <v>124</v>
      </c>
      <c r="K1054" s="18" t="s">
        <v>33</v>
      </c>
      <c r="L1054" s="18" t="s">
        <v>33</v>
      </c>
      <c r="M1054" s="18" t="s">
        <v>124</v>
      </c>
      <c r="N1054" s="18" t="s">
        <v>194</v>
      </c>
      <c r="O1054" s="18" t="s">
        <v>122</v>
      </c>
      <c r="P1054" s="5" t="s">
        <v>1</v>
      </c>
      <c r="Q1054" s="5" t="s">
        <v>121</v>
      </c>
      <c r="R1054" s="3" t="s">
        <v>4</v>
      </c>
      <c r="S1054" s="3" t="s">
        <v>3</v>
      </c>
      <c r="T1054" s="3" t="s">
        <v>2</v>
      </c>
      <c r="U1054" s="3" t="s">
        <v>1</v>
      </c>
      <c r="V1054" s="3" t="s">
        <v>0</v>
      </c>
      <c r="W1054" s="2">
        <v>31</v>
      </c>
    </row>
    <row r="1055" spans="1:23" s="50" customFormat="1" hidden="1" x14ac:dyDescent="0.25">
      <c r="A1055" s="57">
        <v>10229</v>
      </c>
      <c r="B1055" s="57" t="s">
        <v>1794</v>
      </c>
      <c r="C1055" s="56" t="s">
        <v>1793</v>
      </c>
      <c r="D1055" s="55" t="s">
        <v>15</v>
      </c>
      <c r="E1055" s="54" t="s">
        <v>1792</v>
      </c>
      <c r="F1055" s="53">
        <v>40489</v>
      </c>
      <c r="G1055" s="53" t="s">
        <v>1</v>
      </c>
      <c r="H1055" s="53" t="s">
        <v>1</v>
      </c>
      <c r="I1055" s="52" t="s">
        <v>13</v>
      </c>
      <c r="J1055" s="52" t="s">
        <v>12</v>
      </c>
      <c r="K1055" s="52" t="s">
        <v>25</v>
      </c>
      <c r="L1055" s="52" t="s">
        <v>24</v>
      </c>
      <c r="M1055" s="52" t="s">
        <v>23</v>
      </c>
      <c r="N1055" s="52" t="s">
        <v>1791</v>
      </c>
      <c r="O1055" s="52" t="s">
        <v>7</v>
      </c>
      <c r="P1055" s="52" t="s">
        <v>30</v>
      </c>
      <c r="Q1055" s="52" t="s">
        <v>5</v>
      </c>
      <c r="R1055" s="52" t="s">
        <v>4</v>
      </c>
      <c r="S1055" s="52" t="s">
        <v>3</v>
      </c>
      <c r="T1055" s="52" t="s">
        <v>2</v>
      </c>
      <c r="U1055" s="52" t="s">
        <v>1</v>
      </c>
      <c r="V1055" s="52" t="s">
        <v>0</v>
      </c>
      <c r="W1055" s="51">
        <v>33</v>
      </c>
    </row>
    <row r="1056" spans="1:23" hidden="1" x14ac:dyDescent="0.25">
      <c r="A1056" s="8">
        <v>11903</v>
      </c>
      <c r="B1056" s="8" t="s">
        <v>1790</v>
      </c>
      <c r="C1056" s="7" t="s">
        <v>1516</v>
      </c>
      <c r="D1056" s="6" t="s">
        <v>15</v>
      </c>
      <c r="E1056" s="5" t="s">
        <v>1789</v>
      </c>
      <c r="F1056" s="4">
        <v>40735</v>
      </c>
      <c r="G1056" s="4" t="s">
        <v>1</v>
      </c>
      <c r="H1056" s="4" t="s">
        <v>1</v>
      </c>
      <c r="I1056" s="3" t="s">
        <v>13</v>
      </c>
      <c r="J1056" s="3" t="s">
        <v>12</v>
      </c>
      <c r="K1056" s="3" t="s">
        <v>25</v>
      </c>
      <c r="L1056" s="3" t="s">
        <v>24</v>
      </c>
      <c r="M1056" s="3" t="s">
        <v>23</v>
      </c>
      <c r="N1056" s="3" t="s">
        <v>320</v>
      </c>
      <c r="O1056" s="3" t="s">
        <v>59</v>
      </c>
      <c r="P1056" s="3" t="s">
        <v>6</v>
      </c>
      <c r="Q1056" s="3" t="s">
        <v>5</v>
      </c>
      <c r="R1056" s="3" t="s">
        <v>4</v>
      </c>
      <c r="S1056" s="3" t="s">
        <v>3</v>
      </c>
      <c r="T1056" s="3" t="s">
        <v>2</v>
      </c>
      <c r="U1056" s="3" t="s">
        <v>1</v>
      </c>
      <c r="V1056" s="3" t="s">
        <v>0</v>
      </c>
      <c r="W1056" s="2">
        <v>32</v>
      </c>
    </row>
    <row r="1057" spans="1:24" s="50" customFormat="1" hidden="1" x14ac:dyDescent="0.25">
      <c r="A1057" s="57">
        <v>10536</v>
      </c>
      <c r="B1057" s="57" t="s">
        <v>1788</v>
      </c>
      <c r="C1057" s="56" t="s">
        <v>1787</v>
      </c>
      <c r="D1057" s="55" t="s">
        <v>15</v>
      </c>
      <c r="E1057" s="54" t="s">
        <v>157</v>
      </c>
      <c r="F1057" s="53">
        <v>40535</v>
      </c>
      <c r="G1057" s="53" t="s">
        <v>1</v>
      </c>
      <c r="H1057" s="53" t="s">
        <v>1</v>
      </c>
      <c r="I1057" s="52" t="s">
        <v>13</v>
      </c>
      <c r="J1057" s="52" t="s">
        <v>12</v>
      </c>
      <c r="K1057" s="52" t="s">
        <v>25</v>
      </c>
      <c r="L1057" s="52" t="s">
        <v>24</v>
      </c>
      <c r="M1057" s="52" t="s">
        <v>23</v>
      </c>
      <c r="N1057" s="52" t="s">
        <v>1786</v>
      </c>
      <c r="O1057" s="52" t="s">
        <v>258</v>
      </c>
      <c r="P1057" s="52" t="s">
        <v>72</v>
      </c>
      <c r="Q1057" s="52" t="s">
        <v>5</v>
      </c>
      <c r="R1057" s="52" t="s">
        <v>4</v>
      </c>
      <c r="S1057" s="52" t="s">
        <v>3</v>
      </c>
      <c r="T1057" s="52" t="s">
        <v>2</v>
      </c>
      <c r="U1057" s="52" t="s">
        <v>1</v>
      </c>
      <c r="V1057" s="52" t="s">
        <v>0</v>
      </c>
      <c r="W1057" s="51">
        <v>33</v>
      </c>
    </row>
    <row r="1058" spans="1:24" hidden="1" x14ac:dyDescent="0.25">
      <c r="A1058" s="8">
        <v>11912</v>
      </c>
      <c r="B1058" s="8" t="s">
        <v>1785</v>
      </c>
      <c r="C1058" s="7" t="s">
        <v>1784</v>
      </c>
      <c r="D1058" s="6" t="s">
        <v>15</v>
      </c>
      <c r="E1058" s="5" t="s">
        <v>1783</v>
      </c>
      <c r="F1058" s="4">
        <v>40763</v>
      </c>
      <c r="G1058" s="4" t="s">
        <v>1</v>
      </c>
      <c r="H1058" s="4" t="s">
        <v>1</v>
      </c>
      <c r="I1058" s="5" t="s">
        <v>93</v>
      </c>
      <c r="J1058" s="5" t="s">
        <v>92</v>
      </c>
      <c r="K1058" s="5" t="s">
        <v>33</v>
      </c>
      <c r="L1058" s="5" t="s">
        <v>33</v>
      </c>
      <c r="M1058" s="3" t="s">
        <v>1739</v>
      </c>
      <c r="N1058" s="3" t="s">
        <v>1782</v>
      </c>
      <c r="O1058" s="3" t="s">
        <v>368</v>
      </c>
      <c r="P1058" s="3" t="s">
        <v>30</v>
      </c>
      <c r="Q1058" s="3" t="s">
        <v>47</v>
      </c>
      <c r="R1058" s="3" t="s">
        <v>4</v>
      </c>
      <c r="S1058" s="3" t="s">
        <v>3</v>
      </c>
      <c r="T1058" s="3" t="s">
        <v>1347</v>
      </c>
      <c r="U1058" s="3" t="s">
        <v>1</v>
      </c>
      <c r="V1058" s="3" t="s">
        <v>0</v>
      </c>
      <c r="W1058" s="2">
        <v>35</v>
      </c>
    </row>
    <row r="1059" spans="1:24" s="99" customFormat="1" hidden="1" x14ac:dyDescent="0.25">
      <c r="A1059" s="97">
        <v>10585</v>
      </c>
      <c r="B1059" s="97" t="s">
        <v>1781</v>
      </c>
      <c r="C1059" s="127" t="s">
        <v>1780</v>
      </c>
      <c r="D1059" s="122" t="s">
        <v>15</v>
      </c>
      <c r="E1059" s="128" t="s">
        <v>445</v>
      </c>
      <c r="F1059" s="124">
        <v>40544</v>
      </c>
      <c r="G1059" s="124" t="s">
        <v>1</v>
      </c>
      <c r="H1059" s="124" t="s">
        <v>1</v>
      </c>
      <c r="I1059" s="125" t="s">
        <v>13</v>
      </c>
      <c r="J1059" s="125" t="s">
        <v>12</v>
      </c>
      <c r="K1059" s="125" t="s">
        <v>25</v>
      </c>
      <c r="L1059" s="125" t="s">
        <v>24</v>
      </c>
      <c r="M1059" s="125" t="s">
        <v>23</v>
      </c>
      <c r="N1059" s="125" t="s">
        <v>1362</v>
      </c>
      <c r="O1059" s="125" t="s">
        <v>39</v>
      </c>
      <c r="P1059" s="125" t="s">
        <v>72</v>
      </c>
      <c r="Q1059" s="125" t="s">
        <v>20</v>
      </c>
      <c r="R1059" s="125" t="s">
        <v>4</v>
      </c>
      <c r="S1059" s="125" t="s">
        <v>3</v>
      </c>
      <c r="T1059" s="125" t="s">
        <v>1361</v>
      </c>
      <c r="U1059" s="125" t="s">
        <v>1</v>
      </c>
      <c r="V1059" s="125" t="s">
        <v>0</v>
      </c>
      <c r="W1059" s="126">
        <v>34</v>
      </c>
    </row>
    <row r="1060" spans="1:24" hidden="1" x14ac:dyDescent="0.25">
      <c r="A1060" s="8">
        <v>10949</v>
      </c>
      <c r="B1060" s="8" t="s">
        <v>1779</v>
      </c>
      <c r="C1060" s="7" t="s">
        <v>1778</v>
      </c>
      <c r="D1060" s="6" t="s">
        <v>15</v>
      </c>
      <c r="E1060" s="5" t="s">
        <v>1639</v>
      </c>
      <c r="F1060" s="4">
        <v>40578</v>
      </c>
      <c r="G1060" s="4" t="s">
        <v>1</v>
      </c>
      <c r="H1060" s="4" t="s">
        <v>1</v>
      </c>
      <c r="I1060" s="3" t="s">
        <v>13</v>
      </c>
      <c r="J1060" s="3" t="s">
        <v>12</v>
      </c>
      <c r="K1060" s="3" t="s">
        <v>25</v>
      </c>
      <c r="L1060" s="3" t="s">
        <v>24</v>
      </c>
      <c r="M1060" s="3" t="s">
        <v>23</v>
      </c>
      <c r="N1060" s="3" t="s">
        <v>606</v>
      </c>
      <c r="O1060" s="3" t="s">
        <v>59</v>
      </c>
      <c r="P1060" s="3" t="s">
        <v>72</v>
      </c>
      <c r="Q1060" s="3" t="s">
        <v>5</v>
      </c>
      <c r="R1060" s="3" t="s">
        <v>4</v>
      </c>
      <c r="S1060" s="3" t="s">
        <v>3</v>
      </c>
      <c r="T1060" s="3" t="s">
        <v>2</v>
      </c>
      <c r="U1060" s="3" t="s">
        <v>1</v>
      </c>
      <c r="V1060" s="3" t="s">
        <v>0</v>
      </c>
      <c r="W1060" s="2">
        <v>36</v>
      </c>
    </row>
    <row r="1061" spans="1:24" hidden="1" x14ac:dyDescent="0.25">
      <c r="A1061" s="8">
        <v>11930</v>
      </c>
      <c r="B1061" s="8" t="s">
        <v>1777</v>
      </c>
      <c r="C1061" s="7" t="s">
        <v>1776</v>
      </c>
      <c r="D1061" s="6" t="s">
        <v>15</v>
      </c>
      <c r="E1061" s="5" t="s">
        <v>1233</v>
      </c>
      <c r="F1061" s="4">
        <v>40770</v>
      </c>
      <c r="G1061" s="4" t="s">
        <v>1</v>
      </c>
      <c r="H1061" s="4" t="s">
        <v>1</v>
      </c>
      <c r="I1061" s="3" t="s">
        <v>13</v>
      </c>
      <c r="J1061" s="3" t="s">
        <v>12</v>
      </c>
      <c r="K1061" s="3" t="s">
        <v>25</v>
      </c>
      <c r="L1061" s="3" t="s">
        <v>24</v>
      </c>
      <c r="M1061" s="3" t="s">
        <v>23</v>
      </c>
      <c r="N1061" s="3" t="s">
        <v>870</v>
      </c>
      <c r="O1061" s="3" t="s">
        <v>21</v>
      </c>
      <c r="P1061" s="3" t="s">
        <v>6</v>
      </c>
      <c r="Q1061" s="3" t="s">
        <v>20</v>
      </c>
      <c r="R1061" s="3" t="s">
        <v>4</v>
      </c>
      <c r="S1061" s="3" t="s">
        <v>3</v>
      </c>
      <c r="T1061" s="3" t="s">
        <v>2</v>
      </c>
      <c r="U1061" s="3" t="s">
        <v>1</v>
      </c>
      <c r="V1061" s="3" t="s">
        <v>0</v>
      </c>
      <c r="W1061" s="2">
        <v>31</v>
      </c>
    </row>
    <row r="1062" spans="1:24" hidden="1" x14ac:dyDescent="0.25">
      <c r="A1062" s="8">
        <v>11219</v>
      </c>
      <c r="B1062" s="8" t="s">
        <v>1775</v>
      </c>
      <c r="C1062" s="19" t="s">
        <v>1774</v>
      </c>
      <c r="D1062" s="6" t="s">
        <v>15</v>
      </c>
      <c r="E1062" s="5" t="s">
        <v>1771</v>
      </c>
      <c r="F1062" s="4">
        <v>40609</v>
      </c>
      <c r="G1062" s="4" t="s">
        <v>1</v>
      </c>
      <c r="H1062" s="4" t="s">
        <v>1</v>
      </c>
      <c r="I1062" s="3" t="s">
        <v>13</v>
      </c>
      <c r="J1062" s="3" t="s">
        <v>12</v>
      </c>
      <c r="K1062" s="3" t="s">
        <v>25</v>
      </c>
      <c r="L1062" s="3" t="s">
        <v>24</v>
      </c>
      <c r="M1062" s="3" t="s">
        <v>23</v>
      </c>
      <c r="N1062" s="3" t="s">
        <v>1078</v>
      </c>
      <c r="O1062" s="3" t="s">
        <v>29</v>
      </c>
      <c r="P1062" s="3" t="s">
        <v>72</v>
      </c>
      <c r="Q1062" s="3" t="s">
        <v>20</v>
      </c>
      <c r="R1062" s="3" t="s">
        <v>4</v>
      </c>
      <c r="S1062" s="3" t="s">
        <v>3</v>
      </c>
      <c r="T1062" s="3" t="s">
        <v>1077</v>
      </c>
      <c r="U1062" s="3" t="s">
        <v>1</v>
      </c>
      <c r="V1062" s="3" t="s">
        <v>0</v>
      </c>
      <c r="W1062" s="2">
        <v>33</v>
      </c>
    </row>
    <row r="1063" spans="1:24" hidden="1" x14ac:dyDescent="0.25">
      <c r="A1063" s="8">
        <v>11222</v>
      </c>
      <c r="B1063" s="8" t="s">
        <v>1773</v>
      </c>
      <c r="C1063" s="7" t="s">
        <v>1772</v>
      </c>
      <c r="D1063" s="6" t="s">
        <v>15</v>
      </c>
      <c r="E1063" s="5" t="s">
        <v>1771</v>
      </c>
      <c r="F1063" s="4">
        <v>40609</v>
      </c>
      <c r="G1063" s="4" t="s">
        <v>1</v>
      </c>
      <c r="H1063" s="4" t="s">
        <v>1</v>
      </c>
      <c r="I1063" s="3" t="s">
        <v>13</v>
      </c>
      <c r="J1063" s="3" t="s">
        <v>12</v>
      </c>
      <c r="K1063" s="3" t="s">
        <v>25</v>
      </c>
      <c r="L1063" s="3" t="s">
        <v>24</v>
      </c>
      <c r="M1063" s="3" t="s">
        <v>23</v>
      </c>
      <c r="N1063" s="3" t="s">
        <v>870</v>
      </c>
      <c r="O1063" s="3" t="s">
        <v>21</v>
      </c>
      <c r="P1063" s="3" t="s">
        <v>72</v>
      </c>
      <c r="Q1063" s="3" t="s">
        <v>20</v>
      </c>
      <c r="R1063" s="3" t="s">
        <v>4</v>
      </c>
      <c r="S1063" s="3" t="s">
        <v>3</v>
      </c>
      <c r="T1063" s="3" t="s">
        <v>2</v>
      </c>
      <c r="U1063" s="3" t="s">
        <v>1</v>
      </c>
      <c r="V1063" s="3" t="s">
        <v>0</v>
      </c>
      <c r="W1063" s="2">
        <v>33</v>
      </c>
    </row>
    <row r="1064" spans="1:24" hidden="1" x14ac:dyDescent="0.25">
      <c r="A1064" s="8">
        <v>11946</v>
      </c>
      <c r="B1064" s="8" t="s">
        <v>1770</v>
      </c>
      <c r="C1064" s="7" t="s">
        <v>1769</v>
      </c>
      <c r="D1064" s="6" t="s">
        <v>15</v>
      </c>
      <c r="E1064" s="5" t="s">
        <v>1233</v>
      </c>
      <c r="F1064" s="4">
        <v>40770</v>
      </c>
      <c r="G1064" s="4" t="s">
        <v>1</v>
      </c>
      <c r="H1064" s="4" t="s">
        <v>1</v>
      </c>
      <c r="I1064" s="3" t="s">
        <v>13</v>
      </c>
      <c r="J1064" s="3" t="s">
        <v>12</v>
      </c>
      <c r="K1064" s="3" t="s">
        <v>262</v>
      </c>
      <c r="L1064" s="3" t="s">
        <v>261</v>
      </c>
      <c r="M1064" s="3" t="s">
        <v>260</v>
      </c>
      <c r="N1064" s="3" t="s">
        <v>646</v>
      </c>
      <c r="O1064" s="3" t="s">
        <v>67</v>
      </c>
      <c r="P1064" s="3" t="s">
        <v>6</v>
      </c>
      <c r="Q1064" s="3" t="s">
        <v>5</v>
      </c>
      <c r="R1064" s="3" t="s">
        <v>4</v>
      </c>
      <c r="S1064" s="3" t="s">
        <v>3</v>
      </c>
      <c r="T1064" s="3" t="s">
        <v>2</v>
      </c>
      <c r="U1064" s="3" t="s">
        <v>1</v>
      </c>
      <c r="V1064" s="3" t="s">
        <v>0</v>
      </c>
      <c r="W1064" s="2">
        <v>31</v>
      </c>
    </row>
    <row r="1065" spans="1:24" hidden="1" x14ac:dyDescent="0.25">
      <c r="A1065" s="8">
        <v>11947</v>
      </c>
      <c r="B1065" s="8" t="s">
        <v>1768</v>
      </c>
      <c r="C1065" s="7" t="s">
        <v>1767</v>
      </c>
      <c r="D1065" s="6" t="s">
        <v>15</v>
      </c>
      <c r="E1065" s="5" t="s">
        <v>1233</v>
      </c>
      <c r="F1065" s="4">
        <v>40770</v>
      </c>
      <c r="G1065" s="4" t="s">
        <v>1</v>
      </c>
      <c r="H1065" s="4" t="s">
        <v>1</v>
      </c>
      <c r="I1065" s="3" t="s">
        <v>13</v>
      </c>
      <c r="J1065" s="3" t="s">
        <v>133</v>
      </c>
      <c r="K1065" s="3" t="s">
        <v>25</v>
      </c>
      <c r="L1065" s="3" t="s">
        <v>24</v>
      </c>
      <c r="M1065" s="3" t="s">
        <v>199</v>
      </c>
      <c r="N1065" s="3" t="s">
        <v>1766</v>
      </c>
      <c r="O1065" s="3" t="s">
        <v>128</v>
      </c>
      <c r="P1065" s="3" t="s">
        <v>6</v>
      </c>
      <c r="Q1065" s="3" t="s">
        <v>5</v>
      </c>
      <c r="R1065" s="3" t="s">
        <v>4</v>
      </c>
      <c r="S1065" s="3" t="s">
        <v>3</v>
      </c>
      <c r="T1065" s="3" t="s">
        <v>2</v>
      </c>
      <c r="U1065" s="3" t="s">
        <v>1</v>
      </c>
      <c r="V1065" s="3" t="s">
        <v>0</v>
      </c>
      <c r="W1065" s="2">
        <v>32</v>
      </c>
    </row>
    <row r="1066" spans="1:24" hidden="1" x14ac:dyDescent="0.25">
      <c r="A1066" s="8">
        <v>11522</v>
      </c>
      <c r="B1066" s="8" t="s">
        <v>1765</v>
      </c>
      <c r="C1066" s="7" t="s">
        <v>1764</v>
      </c>
      <c r="D1066" s="6" t="s">
        <v>15</v>
      </c>
      <c r="E1066" s="5" t="s">
        <v>1763</v>
      </c>
      <c r="F1066" s="4">
        <v>40707</v>
      </c>
      <c r="G1066" s="4" t="s">
        <v>1</v>
      </c>
      <c r="H1066" s="4" t="s">
        <v>1</v>
      </c>
      <c r="I1066" s="3" t="s">
        <v>13</v>
      </c>
      <c r="J1066" s="3" t="s">
        <v>12</v>
      </c>
      <c r="K1066" s="3" t="s">
        <v>25</v>
      </c>
      <c r="L1066" s="3" t="s">
        <v>24</v>
      </c>
      <c r="M1066" s="3" t="s">
        <v>23</v>
      </c>
      <c r="N1066" s="3" t="s">
        <v>1192</v>
      </c>
      <c r="O1066" s="3" t="s">
        <v>59</v>
      </c>
      <c r="P1066" s="3" t="s">
        <v>72</v>
      </c>
      <c r="Q1066" s="3" t="s">
        <v>5</v>
      </c>
      <c r="R1066" s="3" t="s">
        <v>4</v>
      </c>
      <c r="S1066" s="3" t="s">
        <v>3</v>
      </c>
      <c r="T1066" s="3" t="s">
        <v>2</v>
      </c>
      <c r="U1066" s="3" t="s">
        <v>1</v>
      </c>
      <c r="V1066" s="3" t="s">
        <v>0</v>
      </c>
      <c r="W1066" s="2">
        <v>36</v>
      </c>
    </row>
    <row r="1067" spans="1:24" hidden="1" x14ac:dyDescent="0.25">
      <c r="A1067" s="8">
        <v>13106</v>
      </c>
      <c r="B1067" s="8" t="s">
        <v>1762</v>
      </c>
      <c r="C1067" s="25" t="s">
        <v>1761</v>
      </c>
      <c r="D1067" s="6" t="s">
        <v>15</v>
      </c>
      <c r="E1067" s="5" t="s">
        <v>1760</v>
      </c>
      <c r="F1067" s="4">
        <v>40861</v>
      </c>
      <c r="G1067" s="4" t="s">
        <v>1</v>
      </c>
      <c r="H1067" s="4" t="s">
        <v>1</v>
      </c>
      <c r="I1067" s="3" t="s">
        <v>13</v>
      </c>
      <c r="J1067" s="3" t="s">
        <v>12</v>
      </c>
      <c r="K1067" s="3" t="s">
        <v>25</v>
      </c>
      <c r="L1067" s="3" t="s">
        <v>24</v>
      </c>
      <c r="M1067" s="3" t="s">
        <v>23</v>
      </c>
      <c r="N1067" s="3" t="s">
        <v>1759</v>
      </c>
      <c r="O1067" s="3" t="s">
        <v>7</v>
      </c>
      <c r="P1067" s="3" t="s">
        <v>72</v>
      </c>
      <c r="Q1067" s="3" t="s">
        <v>5</v>
      </c>
      <c r="R1067" s="3" t="s">
        <v>4</v>
      </c>
      <c r="S1067" s="3" t="s">
        <v>3</v>
      </c>
      <c r="T1067" s="3" t="s">
        <v>2</v>
      </c>
      <c r="U1067" s="3" t="s">
        <v>1</v>
      </c>
      <c r="V1067" s="3" t="s">
        <v>0</v>
      </c>
      <c r="W1067" s="2">
        <v>33</v>
      </c>
    </row>
    <row r="1068" spans="1:24" hidden="1" x14ac:dyDescent="0.25">
      <c r="A1068" s="8">
        <v>19607</v>
      </c>
      <c r="B1068" s="8" t="s">
        <v>1758</v>
      </c>
      <c r="C1068" s="7" t="s">
        <v>1757</v>
      </c>
      <c r="D1068" s="6" t="s">
        <v>15</v>
      </c>
      <c r="E1068" s="5" t="s">
        <v>797</v>
      </c>
      <c r="F1068" s="4">
        <v>42472</v>
      </c>
      <c r="G1068" s="4" t="s">
        <v>1</v>
      </c>
      <c r="H1068" s="4" t="s">
        <v>1</v>
      </c>
      <c r="I1068" s="3" t="s">
        <v>13</v>
      </c>
      <c r="J1068" s="3" t="s">
        <v>12</v>
      </c>
      <c r="K1068" s="3" t="s">
        <v>25</v>
      </c>
      <c r="L1068" s="3" t="s">
        <v>24</v>
      </c>
      <c r="M1068" s="3" t="s">
        <v>23</v>
      </c>
      <c r="N1068" s="3" t="s">
        <v>1482</v>
      </c>
      <c r="O1068" s="3" t="s">
        <v>258</v>
      </c>
      <c r="P1068" s="3" t="s">
        <v>72</v>
      </c>
      <c r="Q1068" s="3" t="s">
        <v>5</v>
      </c>
      <c r="R1068" s="3" t="s">
        <v>4</v>
      </c>
      <c r="S1068" s="3" t="s">
        <v>3</v>
      </c>
      <c r="T1068" s="3" t="s">
        <v>2</v>
      </c>
      <c r="U1068" s="3" t="s">
        <v>1</v>
      </c>
      <c r="V1068" s="3" t="s">
        <v>18</v>
      </c>
      <c r="W1068" s="2">
        <v>28</v>
      </c>
    </row>
    <row r="1069" spans="1:24" hidden="1" x14ac:dyDescent="0.25">
      <c r="A1069" s="8">
        <v>11976</v>
      </c>
      <c r="B1069" s="8" t="s">
        <v>1756</v>
      </c>
      <c r="C1069" s="46" t="s">
        <v>1755</v>
      </c>
      <c r="D1069" s="45" t="s">
        <v>15</v>
      </c>
      <c r="E1069" s="5" t="s">
        <v>1752</v>
      </c>
      <c r="F1069" s="4">
        <v>40777</v>
      </c>
      <c r="G1069" s="4" t="s">
        <v>1</v>
      </c>
      <c r="H1069" s="4" t="s">
        <v>1</v>
      </c>
      <c r="I1069" s="3" t="s">
        <v>13</v>
      </c>
      <c r="J1069" s="3" t="s">
        <v>133</v>
      </c>
      <c r="K1069" s="3" t="s">
        <v>187</v>
      </c>
      <c r="L1069" s="3" t="s">
        <v>187</v>
      </c>
      <c r="M1069" s="3" t="s">
        <v>186</v>
      </c>
      <c r="N1069" s="3" t="s">
        <v>1717</v>
      </c>
      <c r="O1069" s="3" t="s">
        <v>184</v>
      </c>
      <c r="P1069" s="3" t="s">
        <v>6</v>
      </c>
      <c r="Q1069" s="3" t="s">
        <v>20</v>
      </c>
      <c r="R1069" s="3" t="s">
        <v>4</v>
      </c>
      <c r="S1069" s="3" t="s">
        <v>3</v>
      </c>
      <c r="T1069" s="3" t="s">
        <v>2</v>
      </c>
      <c r="U1069" s="3" t="s">
        <v>1</v>
      </c>
      <c r="V1069" s="3" t="s">
        <v>0</v>
      </c>
      <c r="W1069" s="2">
        <v>31</v>
      </c>
    </row>
    <row r="1070" spans="1:24" hidden="1" x14ac:dyDescent="0.25">
      <c r="A1070" s="8">
        <v>11984</v>
      </c>
      <c r="B1070" s="8" t="s">
        <v>1754</v>
      </c>
      <c r="C1070" s="7" t="s">
        <v>1753</v>
      </c>
      <c r="D1070" s="6" t="s">
        <v>15</v>
      </c>
      <c r="E1070" s="5" t="s">
        <v>1752</v>
      </c>
      <c r="F1070" s="4">
        <v>40777</v>
      </c>
      <c r="G1070" s="4" t="s">
        <v>1</v>
      </c>
      <c r="H1070" s="4" t="s">
        <v>1</v>
      </c>
      <c r="I1070" s="3" t="s">
        <v>145</v>
      </c>
      <c r="J1070" s="3" t="s">
        <v>12</v>
      </c>
      <c r="K1070" s="3" t="s">
        <v>283</v>
      </c>
      <c r="L1070" s="3" t="s">
        <v>282</v>
      </c>
      <c r="M1070" s="3" t="s">
        <v>281</v>
      </c>
      <c r="N1070" s="3" t="s">
        <v>1355</v>
      </c>
      <c r="O1070" s="3" t="s">
        <v>100</v>
      </c>
      <c r="P1070" s="3" t="s">
        <v>6</v>
      </c>
      <c r="Q1070" s="3" t="s">
        <v>20</v>
      </c>
      <c r="R1070" s="3" t="s">
        <v>4</v>
      </c>
      <c r="S1070" s="3" t="s">
        <v>3</v>
      </c>
      <c r="T1070" s="3" t="s">
        <v>2</v>
      </c>
      <c r="U1070" s="3" t="s">
        <v>1</v>
      </c>
      <c r="V1070" s="3" t="s">
        <v>0</v>
      </c>
      <c r="W1070" s="2">
        <v>31</v>
      </c>
    </row>
    <row r="1071" spans="1:24" s="9" customFormat="1" hidden="1" x14ac:dyDescent="0.25">
      <c r="A1071" s="17">
        <v>19866</v>
      </c>
      <c r="B1071" s="17" t="s">
        <v>1751</v>
      </c>
      <c r="C1071" s="16" t="s">
        <v>1750</v>
      </c>
      <c r="D1071" s="15" t="s">
        <v>15</v>
      </c>
      <c r="E1071" s="14" t="s">
        <v>759</v>
      </c>
      <c r="F1071" s="13">
        <v>42506</v>
      </c>
      <c r="G1071" s="13" t="s">
        <v>1</v>
      </c>
      <c r="H1071" s="13" t="s">
        <v>1</v>
      </c>
      <c r="I1071" s="12" t="s">
        <v>13</v>
      </c>
      <c r="J1071" s="12" t="s">
        <v>12</v>
      </c>
      <c r="K1071" s="12" t="s">
        <v>25</v>
      </c>
      <c r="L1071" s="12" t="s">
        <v>24</v>
      </c>
      <c r="M1071" s="12" t="s">
        <v>23</v>
      </c>
      <c r="N1071" s="12" t="s">
        <v>646</v>
      </c>
      <c r="O1071" s="12" t="s">
        <v>67</v>
      </c>
      <c r="P1071" s="12" t="s">
        <v>72</v>
      </c>
      <c r="Q1071" s="12" t="s">
        <v>5</v>
      </c>
      <c r="R1071" s="12" t="s">
        <v>4</v>
      </c>
      <c r="S1071" s="12" t="s">
        <v>3</v>
      </c>
      <c r="T1071" s="12" t="s">
        <v>2</v>
      </c>
      <c r="U1071" s="12" t="s">
        <v>1</v>
      </c>
      <c r="V1071" s="12" t="s">
        <v>18</v>
      </c>
      <c r="W1071" s="11">
        <v>32</v>
      </c>
      <c r="X1071" s="49"/>
    </row>
    <row r="1072" spans="1:24" hidden="1" x14ac:dyDescent="0.25">
      <c r="A1072" s="8">
        <v>12026</v>
      </c>
      <c r="B1072" s="8" t="s">
        <v>1749</v>
      </c>
      <c r="C1072" s="7" t="s">
        <v>1748</v>
      </c>
      <c r="D1072" s="6" t="s">
        <v>15</v>
      </c>
      <c r="E1072" s="5" t="s">
        <v>1747</v>
      </c>
      <c r="F1072" s="4">
        <v>40777</v>
      </c>
      <c r="G1072" s="4" t="s">
        <v>1</v>
      </c>
      <c r="H1072" s="4" t="s">
        <v>1</v>
      </c>
      <c r="I1072" s="5" t="s">
        <v>93</v>
      </c>
      <c r="J1072" s="5" t="s">
        <v>89</v>
      </c>
      <c r="K1072" s="5" t="s">
        <v>33</v>
      </c>
      <c r="L1072" s="5" t="s">
        <v>33</v>
      </c>
      <c r="M1072" s="5" t="s">
        <v>1216</v>
      </c>
      <c r="N1072" s="5" t="s">
        <v>1216</v>
      </c>
      <c r="O1072" s="5" t="s">
        <v>89</v>
      </c>
      <c r="P1072" s="5" t="s">
        <v>6</v>
      </c>
      <c r="Q1072" s="5" t="s">
        <v>20</v>
      </c>
      <c r="R1072" s="3" t="s">
        <v>4</v>
      </c>
      <c r="S1072" s="3" t="s">
        <v>3</v>
      </c>
      <c r="T1072" s="3" t="s">
        <v>88</v>
      </c>
      <c r="U1072" s="3" t="s">
        <v>1</v>
      </c>
      <c r="V1072" s="3" t="s">
        <v>18</v>
      </c>
      <c r="W1072" s="2">
        <v>39</v>
      </c>
    </row>
    <row r="1073" spans="1:24" s="9" customFormat="1" hidden="1" x14ac:dyDescent="0.25">
      <c r="A1073" s="17">
        <v>12027</v>
      </c>
      <c r="B1073" s="17" t="s">
        <v>1746</v>
      </c>
      <c r="C1073" s="16" t="s">
        <v>1745</v>
      </c>
      <c r="D1073" s="15" t="s">
        <v>15</v>
      </c>
      <c r="E1073" s="14" t="s">
        <v>343</v>
      </c>
      <c r="F1073" s="13">
        <v>40791</v>
      </c>
      <c r="G1073" s="13" t="s">
        <v>1</v>
      </c>
      <c r="H1073" s="13" t="s">
        <v>1</v>
      </c>
      <c r="I1073" s="12" t="s">
        <v>145</v>
      </c>
      <c r="J1073" s="12" t="s">
        <v>34</v>
      </c>
      <c r="K1073" s="12" t="s">
        <v>33</v>
      </c>
      <c r="L1073" s="12" t="s">
        <v>33</v>
      </c>
      <c r="M1073" s="12" t="s">
        <v>939</v>
      </c>
      <c r="N1073" s="12" t="s">
        <v>1744</v>
      </c>
      <c r="O1073" s="12" t="s">
        <v>624</v>
      </c>
      <c r="P1073" s="12" t="s">
        <v>30</v>
      </c>
      <c r="Q1073" s="12" t="s">
        <v>47</v>
      </c>
      <c r="R1073" s="12" t="s">
        <v>4</v>
      </c>
      <c r="S1073" s="12" t="s">
        <v>3</v>
      </c>
      <c r="T1073" s="12" t="s">
        <v>338</v>
      </c>
      <c r="U1073" s="12" t="s">
        <v>1</v>
      </c>
      <c r="V1073" s="12" t="s">
        <v>18</v>
      </c>
      <c r="W1073" s="11">
        <v>37</v>
      </c>
      <c r="X1073" s="10"/>
    </row>
    <row r="1074" spans="1:24" hidden="1" x14ac:dyDescent="0.25">
      <c r="A1074" s="8">
        <v>12028</v>
      </c>
      <c r="B1074" s="8" t="s">
        <v>1743</v>
      </c>
      <c r="C1074" s="7" t="s">
        <v>1742</v>
      </c>
      <c r="D1074" s="6" t="s">
        <v>15</v>
      </c>
      <c r="E1074" s="5" t="s">
        <v>343</v>
      </c>
      <c r="F1074" s="4">
        <v>40791</v>
      </c>
      <c r="G1074" s="4" t="s">
        <v>1</v>
      </c>
      <c r="H1074" s="4" t="s">
        <v>1</v>
      </c>
      <c r="I1074" s="3" t="s">
        <v>13</v>
      </c>
      <c r="J1074" s="3" t="s">
        <v>12</v>
      </c>
      <c r="K1074" s="3" t="s">
        <v>33</v>
      </c>
      <c r="L1074" s="3" t="s">
        <v>33</v>
      </c>
      <c r="M1074" s="3" t="s">
        <v>654</v>
      </c>
      <c r="N1074" s="3" t="s">
        <v>670</v>
      </c>
      <c r="O1074" s="3" t="s">
        <v>615</v>
      </c>
      <c r="P1074" s="3" t="s">
        <v>6</v>
      </c>
      <c r="Q1074" s="3" t="s">
        <v>20</v>
      </c>
      <c r="R1074" s="3" t="s">
        <v>4</v>
      </c>
      <c r="S1074" s="3" t="s">
        <v>3</v>
      </c>
      <c r="T1074" s="3" t="s">
        <v>338</v>
      </c>
      <c r="U1074" s="3" t="s">
        <v>1</v>
      </c>
      <c r="V1074" s="3" t="s">
        <v>18</v>
      </c>
      <c r="W1074" s="2">
        <v>37</v>
      </c>
    </row>
    <row r="1075" spans="1:24" hidden="1" x14ac:dyDescent="0.25">
      <c r="A1075" s="8">
        <v>12029</v>
      </c>
      <c r="B1075" s="8" t="s">
        <v>1741</v>
      </c>
      <c r="C1075" s="7" t="s">
        <v>1740</v>
      </c>
      <c r="D1075" s="6" t="s">
        <v>15</v>
      </c>
      <c r="E1075" s="5" t="s">
        <v>343</v>
      </c>
      <c r="F1075" s="4">
        <v>40791</v>
      </c>
      <c r="G1075" s="4" t="s">
        <v>1</v>
      </c>
      <c r="H1075" s="4" t="s">
        <v>1</v>
      </c>
      <c r="I1075" s="5" t="s">
        <v>93</v>
      </c>
      <c r="J1075" s="5" t="s">
        <v>92</v>
      </c>
      <c r="K1075" s="5" t="s">
        <v>33</v>
      </c>
      <c r="L1075" s="5" t="s">
        <v>33</v>
      </c>
      <c r="M1075" s="3" t="s">
        <v>1739</v>
      </c>
      <c r="N1075" s="5" t="s">
        <v>939</v>
      </c>
      <c r="O1075" s="5" t="s">
        <v>624</v>
      </c>
      <c r="P1075" s="3" t="s">
        <v>30</v>
      </c>
      <c r="Q1075" s="5" t="s">
        <v>47</v>
      </c>
      <c r="R1075" s="3" t="s">
        <v>4</v>
      </c>
      <c r="S1075" s="3" t="s">
        <v>3</v>
      </c>
      <c r="T1075" s="3" t="s">
        <v>338</v>
      </c>
      <c r="U1075" s="3" t="s">
        <v>1</v>
      </c>
      <c r="V1075" s="3" t="s">
        <v>18</v>
      </c>
      <c r="W1075" s="2">
        <v>37</v>
      </c>
    </row>
    <row r="1076" spans="1:24" s="78" customFormat="1" hidden="1" x14ac:dyDescent="0.25">
      <c r="A1076" s="73">
        <v>20699</v>
      </c>
      <c r="B1076" s="73" t="s">
        <v>1738</v>
      </c>
      <c r="C1076" s="87" t="s">
        <v>1737</v>
      </c>
      <c r="D1076" s="88" t="s">
        <v>15</v>
      </c>
      <c r="E1076" s="89" t="s">
        <v>680</v>
      </c>
      <c r="F1076" s="90">
        <v>42642</v>
      </c>
      <c r="G1076" s="90" t="s">
        <v>1</v>
      </c>
      <c r="H1076" s="90" t="s">
        <v>1</v>
      </c>
      <c r="I1076" s="92" t="s">
        <v>13</v>
      </c>
      <c r="J1076" s="92" t="s">
        <v>12</v>
      </c>
      <c r="K1076" s="92" t="s">
        <v>25</v>
      </c>
      <c r="L1076" s="92" t="s">
        <v>24</v>
      </c>
      <c r="M1076" s="92" t="s">
        <v>23</v>
      </c>
      <c r="N1076" s="92" t="s">
        <v>68</v>
      </c>
      <c r="O1076" s="92" t="s">
        <v>67</v>
      </c>
      <c r="P1076" s="92" t="s">
        <v>72</v>
      </c>
      <c r="Q1076" s="92" t="s">
        <v>5</v>
      </c>
      <c r="R1076" s="92" t="s">
        <v>4</v>
      </c>
      <c r="S1076" s="92" t="s">
        <v>3</v>
      </c>
      <c r="T1076" s="92" t="s">
        <v>2</v>
      </c>
      <c r="U1076" s="92" t="s">
        <v>1</v>
      </c>
      <c r="V1076" s="92" t="s">
        <v>0</v>
      </c>
      <c r="W1076" s="93">
        <v>25</v>
      </c>
    </row>
    <row r="1077" spans="1:24" hidden="1" x14ac:dyDescent="0.25">
      <c r="A1077" s="8">
        <v>12040</v>
      </c>
      <c r="B1077" s="8" t="s">
        <v>1736</v>
      </c>
      <c r="C1077" s="7" t="s">
        <v>1735</v>
      </c>
      <c r="D1077" s="6" t="s">
        <v>15</v>
      </c>
      <c r="E1077" s="5" t="s">
        <v>1732</v>
      </c>
      <c r="F1077" s="4">
        <v>40792</v>
      </c>
      <c r="G1077" s="4" t="s">
        <v>1</v>
      </c>
      <c r="H1077" s="4" t="s">
        <v>1</v>
      </c>
      <c r="I1077" s="3" t="s">
        <v>13</v>
      </c>
      <c r="J1077" s="3" t="s">
        <v>12</v>
      </c>
      <c r="K1077" s="3" t="s">
        <v>63</v>
      </c>
      <c r="L1077" s="3" t="s">
        <v>81</v>
      </c>
      <c r="M1077" s="3" t="s">
        <v>80</v>
      </c>
      <c r="N1077" s="3" t="s">
        <v>1078</v>
      </c>
      <c r="O1077" s="3" t="s">
        <v>29</v>
      </c>
      <c r="P1077" s="3" t="s">
        <v>6</v>
      </c>
      <c r="Q1077" s="3" t="s">
        <v>20</v>
      </c>
      <c r="R1077" s="3" t="s">
        <v>4</v>
      </c>
      <c r="S1077" s="3" t="s">
        <v>3</v>
      </c>
      <c r="T1077" s="3" t="s">
        <v>1077</v>
      </c>
      <c r="U1077" s="3" t="s">
        <v>1</v>
      </c>
      <c r="V1077" s="3" t="s">
        <v>0</v>
      </c>
      <c r="W1077" s="2">
        <v>33</v>
      </c>
    </row>
    <row r="1078" spans="1:24" hidden="1" x14ac:dyDescent="0.25">
      <c r="A1078" s="8">
        <v>12044</v>
      </c>
      <c r="B1078" s="8" t="s">
        <v>1734</v>
      </c>
      <c r="C1078" s="7" t="s">
        <v>1733</v>
      </c>
      <c r="D1078" s="6" t="s">
        <v>15</v>
      </c>
      <c r="E1078" s="5" t="s">
        <v>1732</v>
      </c>
      <c r="F1078" s="4">
        <v>40792</v>
      </c>
      <c r="G1078" s="4" t="s">
        <v>1</v>
      </c>
      <c r="H1078" s="4" t="s">
        <v>1</v>
      </c>
      <c r="I1078" s="3" t="s">
        <v>13</v>
      </c>
      <c r="J1078" s="3" t="s">
        <v>133</v>
      </c>
      <c r="K1078" s="3" t="s">
        <v>879</v>
      </c>
      <c r="L1078" s="3" t="s">
        <v>879</v>
      </c>
      <c r="M1078" s="3" t="s">
        <v>878</v>
      </c>
      <c r="N1078" s="3" t="s">
        <v>1731</v>
      </c>
      <c r="O1078" s="3" t="s">
        <v>184</v>
      </c>
      <c r="P1078" s="3" t="s">
        <v>6</v>
      </c>
      <c r="Q1078" s="3" t="s">
        <v>20</v>
      </c>
      <c r="R1078" s="3" t="s">
        <v>4</v>
      </c>
      <c r="S1078" s="3" t="s">
        <v>3</v>
      </c>
      <c r="T1078" s="3" t="s">
        <v>2</v>
      </c>
      <c r="U1078" s="3" t="s">
        <v>1</v>
      </c>
      <c r="V1078" s="3" t="s">
        <v>0</v>
      </c>
      <c r="W1078" s="2">
        <v>30</v>
      </c>
    </row>
    <row r="1079" spans="1:24" s="78" customFormat="1" hidden="1" x14ac:dyDescent="0.25">
      <c r="A1079" s="73" t="s">
        <v>1730</v>
      </c>
      <c r="B1079" s="73" t="s">
        <v>1730</v>
      </c>
      <c r="C1079" s="87" t="s">
        <v>1729</v>
      </c>
      <c r="D1079" s="88" t="s">
        <v>15</v>
      </c>
      <c r="E1079" s="89" t="s">
        <v>263</v>
      </c>
      <c r="F1079" s="90">
        <v>40868</v>
      </c>
      <c r="G1079" s="90" t="s">
        <v>1</v>
      </c>
      <c r="H1079" s="90" t="s">
        <v>1</v>
      </c>
      <c r="I1079" s="92" t="s">
        <v>13</v>
      </c>
      <c r="J1079" s="92" t="s">
        <v>12</v>
      </c>
      <c r="K1079" s="92" t="s">
        <v>25</v>
      </c>
      <c r="L1079" s="92" t="s">
        <v>24</v>
      </c>
      <c r="M1079" s="92" t="s">
        <v>23</v>
      </c>
      <c r="N1079" s="92" t="s">
        <v>22</v>
      </c>
      <c r="O1079" s="92" t="s">
        <v>21</v>
      </c>
      <c r="P1079" s="92" t="s">
        <v>72</v>
      </c>
      <c r="Q1079" s="92" t="s">
        <v>20</v>
      </c>
      <c r="R1079" s="92" t="s">
        <v>4</v>
      </c>
      <c r="S1079" s="92" t="s">
        <v>3</v>
      </c>
      <c r="T1079" s="92" t="s">
        <v>19</v>
      </c>
      <c r="U1079" s="92" t="s">
        <v>1</v>
      </c>
      <c r="V1079" s="92" t="s">
        <v>18</v>
      </c>
      <c r="W1079" s="93">
        <v>31</v>
      </c>
    </row>
    <row r="1080" spans="1:24" hidden="1" x14ac:dyDescent="0.25">
      <c r="A1080" s="8">
        <v>12073</v>
      </c>
      <c r="B1080" s="8" t="s">
        <v>1728</v>
      </c>
      <c r="C1080" s="7" t="s">
        <v>1727</v>
      </c>
      <c r="D1080" s="6" t="s">
        <v>15</v>
      </c>
      <c r="E1080" s="5" t="s">
        <v>421</v>
      </c>
      <c r="F1080" s="4">
        <v>40798</v>
      </c>
      <c r="G1080" s="4" t="s">
        <v>1</v>
      </c>
      <c r="H1080" s="4" t="s">
        <v>1</v>
      </c>
      <c r="I1080" s="3" t="s">
        <v>13</v>
      </c>
      <c r="J1080" s="3" t="s">
        <v>133</v>
      </c>
      <c r="K1080" s="3" t="s">
        <v>262</v>
      </c>
      <c r="L1080" s="3" t="s">
        <v>262</v>
      </c>
      <c r="M1080" s="3" t="s">
        <v>277</v>
      </c>
      <c r="N1080" s="3" t="s">
        <v>1545</v>
      </c>
      <c r="O1080" s="3" t="s">
        <v>1726</v>
      </c>
      <c r="P1080" s="3" t="s">
        <v>6</v>
      </c>
      <c r="Q1080" s="3" t="s">
        <v>5</v>
      </c>
      <c r="R1080" s="3" t="s">
        <v>4</v>
      </c>
      <c r="S1080" s="3" t="s">
        <v>3</v>
      </c>
      <c r="T1080" s="3" t="s">
        <v>2</v>
      </c>
      <c r="U1080" s="3" t="s">
        <v>1</v>
      </c>
      <c r="V1080" s="3" t="s">
        <v>0</v>
      </c>
      <c r="W1080" s="2">
        <v>35</v>
      </c>
    </row>
    <row r="1081" spans="1:24" hidden="1" x14ac:dyDescent="0.25">
      <c r="A1081" s="8">
        <v>79</v>
      </c>
      <c r="B1081" s="8" t="s">
        <v>1725</v>
      </c>
      <c r="C1081" s="7" t="s">
        <v>1724</v>
      </c>
      <c r="D1081" s="6" t="s">
        <v>15</v>
      </c>
      <c r="E1081" s="5" t="s">
        <v>603</v>
      </c>
      <c r="F1081" s="4">
        <v>37627</v>
      </c>
      <c r="G1081" s="4" t="s">
        <v>1</v>
      </c>
      <c r="H1081" s="4" t="s">
        <v>1</v>
      </c>
      <c r="I1081" s="3" t="s">
        <v>13</v>
      </c>
      <c r="J1081" s="3" t="s">
        <v>12</v>
      </c>
      <c r="K1081" s="3" t="s">
        <v>25</v>
      </c>
      <c r="L1081" s="3" t="s">
        <v>1241</v>
      </c>
      <c r="M1081" s="3" t="s">
        <v>1684</v>
      </c>
      <c r="N1081" s="3" t="s">
        <v>1362</v>
      </c>
      <c r="O1081" s="3" t="s">
        <v>39</v>
      </c>
      <c r="P1081" s="3" t="s">
        <v>30</v>
      </c>
      <c r="Q1081" s="3" t="s">
        <v>20</v>
      </c>
      <c r="R1081" s="3" t="s">
        <v>4</v>
      </c>
      <c r="S1081" s="3" t="s">
        <v>3</v>
      </c>
      <c r="T1081" s="3" t="s">
        <v>1361</v>
      </c>
      <c r="U1081" s="3" t="s">
        <v>1</v>
      </c>
      <c r="V1081" s="3" t="s">
        <v>0</v>
      </c>
      <c r="W1081" s="2">
        <v>41</v>
      </c>
    </row>
    <row r="1082" spans="1:24" s="78" customFormat="1" hidden="1" x14ac:dyDescent="0.25">
      <c r="A1082" s="73">
        <v>9872</v>
      </c>
      <c r="B1082" s="73" t="s">
        <v>1723</v>
      </c>
      <c r="C1082" s="87" t="s">
        <v>1722</v>
      </c>
      <c r="D1082" s="88" t="s">
        <v>15</v>
      </c>
      <c r="E1082" s="89" t="s">
        <v>1674</v>
      </c>
      <c r="F1082" s="90">
        <v>40411</v>
      </c>
      <c r="G1082" s="90" t="s">
        <v>1</v>
      </c>
      <c r="H1082" s="90" t="s">
        <v>1</v>
      </c>
      <c r="I1082" s="92" t="s">
        <v>13</v>
      </c>
      <c r="J1082" s="92" t="s">
        <v>12</v>
      </c>
      <c r="K1082" s="92" t="s">
        <v>25</v>
      </c>
      <c r="L1082" s="92" t="s">
        <v>1241</v>
      </c>
      <c r="M1082" s="92" t="s">
        <v>1684</v>
      </c>
      <c r="N1082" s="92" t="s">
        <v>60</v>
      </c>
      <c r="O1082" s="92" t="s">
        <v>59</v>
      </c>
      <c r="P1082" s="92" t="s">
        <v>30</v>
      </c>
      <c r="Q1082" s="92" t="s">
        <v>5</v>
      </c>
      <c r="R1082" s="92" t="s">
        <v>4</v>
      </c>
      <c r="S1082" s="92" t="s">
        <v>3</v>
      </c>
      <c r="T1082" s="92" t="s">
        <v>2</v>
      </c>
      <c r="U1082" s="92" t="s">
        <v>1</v>
      </c>
      <c r="V1082" s="92" t="s">
        <v>0</v>
      </c>
      <c r="W1082" s="93">
        <v>33</v>
      </c>
    </row>
    <row r="1083" spans="1:24" hidden="1" x14ac:dyDescent="0.25">
      <c r="A1083" s="8">
        <v>9926</v>
      </c>
      <c r="B1083" s="8" t="s">
        <v>1721</v>
      </c>
      <c r="C1083" s="7" t="s">
        <v>1720</v>
      </c>
      <c r="D1083" s="6" t="s">
        <v>15</v>
      </c>
      <c r="E1083" s="5" t="s">
        <v>1041</v>
      </c>
      <c r="F1083" s="4">
        <v>40431</v>
      </c>
      <c r="G1083" s="4" t="s">
        <v>1</v>
      </c>
      <c r="H1083" s="4" t="s">
        <v>1</v>
      </c>
      <c r="I1083" s="3" t="s">
        <v>13</v>
      </c>
      <c r="J1083" s="3" t="s">
        <v>12</v>
      </c>
      <c r="K1083" s="3" t="s">
        <v>25</v>
      </c>
      <c r="L1083" s="3" t="s">
        <v>1241</v>
      </c>
      <c r="M1083" s="3" t="s">
        <v>1684</v>
      </c>
      <c r="N1083" s="3" t="s">
        <v>716</v>
      </c>
      <c r="O1083" s="3" t="s">
        <v>59</v>
      </c>
      <c r="P1083" s="3" t="s">
        <v>30</v>
      </c>
      <c r="Q1083" s="3" t="s">
        <v>5</v>
      </c>
      <c r="R1083" s="3" t="s">
        <v>4</v>
      </c>
      <c r="S1083" s="3" t="s">
        <v>3</v>
      </c>
      <c r="T1083" s="3" t="s">
        <v>2</v>
      </c>
      <c r="U1083" s="3" t="s">
        <v>1</v>
      </c>
      <c r="V1083" s="3" t="s">
        <v>0</v>
      </c>
      <c r="W1083" s="2">
        <v>32</v>
      </c>
    </row>
    <row r="1084" spans="1:24" hidden="1" x14ac:dyDescent="0.25">
      <c r="A1084" s="8">
        <v>12100</v>
      </c>
      <c r="B1084" s="8" t="s">
        <v>1719</v>
      </c>
      <c r="C1084" s="35" t="s">
        <v>1718</v>
      </c>
      <c r="D1084" s="6" t="s">
        <v>15</v>
      </c>
      <c r="E1084" s="8" t="s">
        <v>421</v>
      </c>
      <c r="F1084" s="4">
        <v>40798</v>
      </c>
      <c r="G1084" s="4" t="s">
        <v>1</v>
      </c>
      <c r="H1084" s="4" t="s">
        <v>1</v>
      </c>
      <c r="I1084" s="3" t="s">
        <v>13</v>
      </c>
      <c r="J1084" s="3" t="s">
        <v>133</v>
      </c>
      <c r="K1084" s="3" t="s">
        <v>262</v>
      </c>
      <c r="L1084" s="3" t="s">
        <v>262</v>
      </c>
      <c r="M1084" s="3" t="s">
        <v>277</v>
      </c>
      <c r="N1084" s="3" t="s">
        <v>1717</v>
      </c>
      <c r="O1084" s="3" t="s">
        <v>184</v>
      </c>
      <c r="P1084" s="3" t="s">
        <v>6</v>
      </c>
      <c r="Q1084" s="3" t="s">
        <v>20</v>
      </c>
      <c r="R1084" s="3" t="s">
        <v>4</v>
      </c>
      <c r="S1084" s="3" t="s">
        <v>3</v>
      </c>
      <c r="T1084" s="3" t="s">
        <v>2</v>
      </c>
      <c r="U1084" s="3" t="s">
        <v>1</v>
      </c>
      <c r="V1084" s="3" t="s">
        <v>0</v>
      </c>
      <c r="W1084" s="2">
        <v>32</v>
      </c>
    </row>
    <row r="1085" spans="1:24" hidden="1" x14ac:dyDescent="0.25">
      <c r="A1085" s="8">
        <v>12113</v>
      </c>
      <c r="B1085" s="8" t="s">
        <v>1716</v>
      </c>
      <c r="C1085" s="7" t="s">
        <v>1715</v>
      </c>
      <c r="D1085" s="6" t="s">
        <v>15</v>
      </c>
      <c r="E1085" s="5" t="s">
        <v>421</v>
      </c>
      <c r="F1085" s="4">
        <v>40798</v>
      </c>
      <c r="G1085" s="4" t="s">
        <v>1</v>
      </c>
      <c r="H1085" s="4" t="s">
        <v>1</v>
      </c>
      <c r="I1085" s="3" t="s">
        <v>13</v>
      </c>
      <c r="J1085" s="3" t="s">
        <v>133</v>
      </c>
      <c r="K1085" s="3" t="s">
        <v>262</v>
      </c>
      <c r="L1085" s="3" t="s">
        <v>262</v>
      </c>
      <c r="M1085" s="3" t="s">
        <v>277</v>
      </c>
      <c r="N1085" s="3" t="s">
        <v>870</v>
      </c>
      <c r="O1085" s="3" t="s">
        <v>21</v>
      </c>
      <c r="P1085" s="3" t="s">
        <v>6</v>
      </c>
      <c r="Q1085" s="3" t="s">
        <v>20</v>
      </c>
      <c r="R1085" s="3" t="s">
        <v>4</v>
      </c>
      <c r="S1085" s="3" t="s">
        <v>3</v>
      </c>
      <c r="T1085" s="3" t="s">
        <v>2</v>
      </c>
      <c r="U1085" s="3" t="s">
        <v>1</v>
      </c>
      <c r="V1085" s="3" t="s">
        <v>0</v>
      </c>
      <c r="W1085" s="2">
        <v>31</v>
      </c>
    </row>
    <row r="1086" spans="1:24" hidden="1" x14ac:dyDescent="0.25">
      <c r="A1086" s="8">
        <v>12117</v>
      </c>
      <c r="B1086" s="8" t="s">
        <v>1714</v>
      </c>
      <c r="C1086" s="7" t="s">
        <v>1713</v>
      </c>
      <c r="D1086" s="6" t="s">
        <v>15</v>
      </c>
      <c r="E1086" s="5" t="s">
        <v>421</v>
      </c>
      <c r="F1086" s="4">
        <v>40798</v>
      </c>
      <c r="G1086" s="4" t="s">
        <v>1</v>
      </c>
      <c r="H1086" s="4" t="s">
        <v>1</v>
      </c>
      <c r="I1086" s="3" t="s">
        <v>13</v>
      </c>
      <c r="J1086" s="3" t="s">
        <v>133</v>
      </c>
      <c r="K1086" s="3" t="s">
        <v>879</v>
      </c>
      <c r="L1086" s="3" t="s">
        <v>879</v>
      </c>
      <c r="M1086" s="3" t="s">
        <v>878</v>
      </c>
      <c r="N1086" s="3" t="s">
        <v>1712</v>
      </c>
      <c r="O1086" s="3" t="s">
        <v>128</v>
      </c>
      <c r="P1086" s="3" t="s">
        <v>6</v>
      </c>
      <c r="Q1086" s="3" t="s">
        <v>5</v>
      </c>
      <c r="R1086" s="3" t="s">
        <v>4</v>
      </c>
      <c r="S1086" s="3" t="s">
        <v>3</v>
      </c>
      <c r="T1086" s="3" t="s">
        <v>2</v>
      </c>
      <c r="U1086" s="3" t="s">
        <v>1</v>
      </c>
      <c r="V1086" s="3" t="s">
        <v>0</v>
      </c>
      <c r="W1086" s="2">
        <v>32</v>
      </c>
    </row>
    <row r="1087" spans="1:24" hidden="1" x14ac:dyDescent="0.25">
      <c r="A1087" s="8">
        <v>12138</v>
      </c>
      <c r="B1087" s="8" t="s">
        <v>1711</v>
      </c>
      <c r="C1087" s="7" t="s">
        <v>1710</v>
      </c>
      <c r="D1087" s="6" t="s">
        <v>15</v>
      </c>
      <c r="E1087" s="5" t="s">
        <v>421</v>
      </c>
      <c r="F1087" s="4">
        <v>40798</v>
      </c>
      <c r="G1087" s="4" t="s">
        <v>1</v>
      </c>
      <c r="H1087" s="4" t="s">
        <v>1</v>
      </c>
      <c r="I1087" s="3" t="s">
        <v>384</v>
      </c>
      <c r="J1087" s="3" t="s">
        <v>1709</v>
      </c>
      <c r="K1087" s="3" t="s">
        <v>33</v>
      </c>
      <c r="L1087" s="3" t="s">
        <v>33</v>
      </c>
      <c r="M1087" s="3" t="s">
        <v>1709</v>
      </c>
      <c r="N1087" s="3" t="s">
        <v>1708</v>
      </c>
      <c r="O1087" s="5" t="s">
        <v>387</v>
      </c>
      <c r="P1087" s="3" t="s">
        <v>30</v>
      </c>
      <c r="Q1087" s="5" t="s">
        <v>47</v>
      </c>
      <c r="R1087" s="3" t="s">
        <v>4</v>
      </c>
      <c r="S1087" s="3" t="s">
        <v>3</v>
      </c>
      <c r="T1087" s="3" t="s">
        <v>2</v>
      </c>
      <c r="U1087" s="3" t="s">
        <v>1</v>
      </c>
      <c r="V1087" s="3" t="s">
        <v>0</v>
      </c>
      <c r="W1087" s="2">
        <v>31</v>
      </c>
    </row>
    <row r="1088" spans="1:24" s="9" customFormat="1" hidden="1" x14ac:dyDescent="0.25">
      <c r="A1088" s="17">
        <v>10466</v>
      </c>
      <c r="B1088" s="17" t="s">
        <v>1707</v>
      </c>
      <c r="C1088" s="48" t="s">
        <v>1706</v>
      </c>
      <c r="D1088" s="15" t="s">
        <v>15</v>
      </c>
      <c r="E1088" s="17" t="s">
        <v>165</v>
      </c>
      <c r="F1088" s="13">
        <v>40524</v>
      </c>
      <c r="G1088" s="13" t="s">
        <v>1</v>
      </c>
      <c r="H1088" s="13" t="s">
        <v>1</v>
      </c>
      <c r="I1088" s="12" t="s">
        <v>13</v>
      </c>
      <c r="J1088" s="12" t="s">
        <v>12</v>
      </c>
      <c r="K1088" s="12" t="s">
        <v>25</v>
      </c>
      <c r="L1088" s="12" t="s">
        <v>1241</v>
      </c>
      <c r="M1088" s="12" t="s">
        <v>1684</v>
      </c>
      <c r="N1088" s="12" t="s">
        <v>22</v>
      </c>
      <c r="O1088" s="12" t="s">
        <v>21</v>
      </c>
      <c r="P1088" s="12" t="s">
        <v>30</v>
      </c>
      <c r="Q1088" s="12" t="s">
        <v>20</v>
      </c>
      <c r="R1088" s="12" t="s">
        <v>4</v>
      </c>
      <c r="S1088" s="12" t="s">
        <v>3</v>
      </c>
      <c r="T1088" s="12" t="s">
        <v>19</v>
      </c>
      <c r="U1088" s="12" t="s">
        <v>1</v>
      </c>
      <c r="V1088" s="12" t="s">
        <v>0</v>
      </c>
      <c r="W1088" s="11">
        <v>32</v>
      </c>
    </row>
    <row r="1089" spans="1:24" s="9" customFormat="1" hidden="1" x14ac:dyDescent="0.25">
      <c r="A1089" s="17">
        <v>10616</v>
      </c>
      <c r="B1089" s="17" t="s">
        <v>1705</v>
      </c>
      <c r="C1089" s="48" t="s">
        <v>1704</v>
      </c>
      <c r="D1089" s="15" t="s">
        <v>15</v>
      </c>
      <c r="E1089" s="17" t="s">
        <v>445</v>
      </c>
      <c r="F1089" s="13">
        <v>40544</v>
      </c>
      <c r="G1089" s="13" t="s">
        <v>1</v>
      </c>
      <c r="H1089" s="13" t="s">
        <v>1</v>
      </c>
      <c r="I1089" s="12" t="s">
        <v>13</v>
      </c>
      <c r="J1089" s="12" t="s">
        <v>12</v>
      </c>
      <c r="K1089" s="12" t="s">
        <v>25</v>
      </c>
      <c r="L1089" s="12" t="s">
        <v>1241</v>
      </c>
      <c r="M1089" s="12" t="s">
        <v>1684</v>
      </c>
      <c r="N1089" s="12" t="s">
        <v>1078</v>
      </c>
      <c r="O1089" s="12" t="s">
        <v>29</v>
      </c>
      <c r="P1089" s="12" t="s">
        <v>30</v>
      </c>
      <c r="Q1089" s="12" t="s">
        <v>20</v>
      </c>
      <c r="R1089" s="12" t="s">
        <v>4</v>
      </c>
      <c r="S1089" s="12" t="s">
        <v>3</v>
      </c>
      <c r="T1089" s="12" t="s">
        <v>1077</v>
      </c>
      <c r="U1089" s="12" t="s">
        <v>1</v>
      </c>
      <c r="V1089" s="12" t="s">
        <v>0</v>
      </c>
      <c r="W1089" s="11">
        <v>35</v>
      </c>
    </row>
    <row r="1090" spans="1:24" s="78" customFormat="1" hidden="1" x14ac:dyDescent="0.25">
      <c r="A1090" s="73">
        <v>12080</v>
      </c>
      <c r="B1090" s="73" t="s">
        <v>1703</v>
      </c>
      <c r="C1090" s="87" t="s">
        <v>1702</v>
      </c>
      <c r="D1090" s="88" t="s">
        <v>15</v>
      </c>
      <c r="E1090" s="89" t="s">
        <v>421</v>
      </c>
      <c r="F1090" s="90">
        <v>40798</v>
      </c>
      <c r="G1090" s="90" t="s">
        <v>1</v>
      </c>
      <c r="H1090" s="90" t="s">
        <v>1</v>
      </c>
      <c r="I1090" s="92" t="s">
        <v>13</v>
      </c>
      <c r="J1090" s="92" t="s">
        <v>12</v>
      </c>
      <c r="K1090" s="92" t="s">
        <v>25</v>
      </c>
      <c r="L1090" s="92" t="s">
        <v>1241</v>
      </c>
      <c r="M1090" s="92" t="s">
        <v>1684</v>
      </c>
      <c r="N1090" s="92" t="s">
        <v>1701</v>
      </c>
      <c r="O1090" s="92" t="s">
        <v>258</v>
      </c>
      <c r="P1090" s="92" t="s">
        <v>30</v>
      </c>
      <c r="Q1090" s="92" t="s">
        <v>5</v>
      </c>
      <c r="R1090" s="92" t="s">
        <v>4</v>
      </c>
      <c r="S1090" s="92" t="s">
        <v>3</v>
      </c>
      <c r="T1090" s="92" t="s">
        <v>2</v>
      </c>
      <c r="U1090" s="92" t="s">
        <v>1</v>
      </c>
      <c r="V1090" s="92" t="s">
        <v>0</v>
      </c>
      <c r="W1090" s="93">
        <v>32</v>
      </c>
    </row>
    <row r="1091" spans="1:24" s="78" customFormat="1" hidden="1" x14ac:dyDescent="0.25">
      <c r="A1091" s="73">
        <v>12163</v>
      </c>
      <c r="B1091" s="73" t="s">
        <v>1700</v>
      </c>
      <c r="C1091" s="102" t="s">
        <v>1699</v>
      </c>
      <c r="D1091" s="88" t="s">
        <v>15</v>
      </c>
      <c r="E1091" s="91" t="s">
        <v>1698</v>
      </c>
      <c r="F1091" s="90">
        <v>40802</v>
      </c>
      <c r="G1091" s="90" t="s">
        <v>1</v>
      </c>
      <c r="H1091" s="90" t="s">
        <v>1</v>
      </c>
      <c r="I1091" s="91" t="s">
        <v>93</v>
      </c>
      <c r="J1091" s="91" t="s">
        <v>92</v>
      </c>
      <c r="K1091" s="91" t="s">
        <v>33</v>
      </c>
      <c r="L1091" s="91" t="s">
        <v>33</v>
      </c>
      <c r="M1091" s="92" t="s">
        <v>449</v>
      </c>
      <c r="N1091" s="92" t="s">
        <v>1152</v>
      </c>
      <c r="O1091" s="92" t="s">
        <v>394</v>
      </c>
      <c r="P1091" s="92" t="s">
        <v>72</v>
      </c>
      <c r="Q1091" s="92" t="s">
        <v>47</v>
      </c>
      <c r="R1091" s="92" t="s">
        <v>4</v>
      </c>
      <c r="S1091" s="92" t="s">
        <v>3</v>
      </c>
      <c r="T1091" s="92" t="s">
        <v>88</v>
      </c>
      <c r="U1091" s="92" t="s">
        <v>1</v>
      </c>
      <c r="V1091" s="92" t="s">
        <v>18</v>
      </c>
      <c r="W1091" s="93">
        <v>33</v>
      </c>
    </row>
    <row r="1092" spans="1:24" hidden="1" x14ac:dyDescent="0.25">
      <c r="A1092" s="8">
        <v>12175</v>
      </c>
      <c r="B1092" s="8" t="s">
        <v>1697</v>
      </c>
      <c r="C1092" s="7" t="s">
        <v>1696</v>
      </c>
      <c r="D1092" s="6" t="s">
        <v>15</v>
      </c>
      <c r="E1092" s="5" t="s">
        <v>1666</v>
      </c>
      <c r="F1092" s="4">
        <v>40802</v>
      </c>
      <c r="G1092" s="4" t="s">
        <v>1</v>
      </c>
      <c r="H1092" s="4" t="s">
        <v>1</v>
      </c>
      <c r="I1092" s="3" t="s">
        <v>13</v>
      </c>
      <c r="J1092" s="3" t="s">
        <v>12</v>
      </c>
      <c r="K1092" s="3" t="s">
        <v>63</v>
      </c>
      <c r="L1092" s="3" t="s">
        <v>62</v>
      </c>
      <c r="M1092" s="3" t="s">
        <v>565</v>
      </c>
      <c r="N1092" s="3" t="s">
        <v>1078</v>
      </c>
      <c r="O1092" s="3" t="s">
        <v>29</v>
      </c>
      <c r="P1092" s="3" t="s">
        <v>6</v>
      </c>
      <c r="Q1092" s="3" t="s">
        <v>20</v>
      </c>
      <c r="R1092" s="3" t="s">
        <v>4</v>
      </c>
      <c r="S1092" s="3" t="s">
        <v>3</v>
      </c>
      <c r="T1092" s="3" t="s">
        <v>1077</v>
      </c>
      <c r="U1092" s="3" t="s">
        <v>1</v>
      </c>
      <c r="V1092" s="3" t="s">
        <v>0</v>
      </c>
      <c r="W1092" s="2">
        <v>32</v>
      </c>
    </row>
    <row r="1093" spans="1:24" hidden="1" x14ac:dyDescent="0.25">
      <c r="A1093" s="8">
        <v>12185</v>
      </c>
      <c r="B1093" s="8" t="s">
        <v>1695</v>
      </c>
      <c r="C1093" s="7" t="s">
        <v>1694</v>
      </c>
      <c r="D1093" s="6" t="s">
        <v>15</v>
      </c>
      <c r="E1093" s="5" t="s">
        <v>1666</v>
      </c>
      <c r="F1093" s="4">
        <v>40802</v>
      </c>
      <c r="G1093" s="4" t="s">
        <v>1</v>
      </c>
      <c r="H1093" s="4" t="s">
        <v>1</v>
      </c>
      <c r="I1093" s="3" t="s">
        <v>13</v>
      </c>
      <c r="J1093" s="3" t="s">
        <v>12</v>
      </c>
      <c r="K1093" s="3" t="s">
        <v>63</v>
      </c>
      <c r="L1093" s="3" t="s">
        <v>81</v>
      </c>
      <c r="M1093" s="3" t="s">
        <v>173</v>
      </c>
      <c r="N1093" s="3" t="s">
        <v>22</v>
      </c>
      <c r="O1093" s="3" t="s">
        <v>21</v>
      </c>
      <c r="P1093" s="3" t="s">
        <v>6</v>
      </c>
      <c r="Q1093" s="3" t="s">
        <v>20</v>
      </c>
      <c r="R1093" s="3" t="s">
        <v>4</v>
      </c>
      <c r="S1093" s="3" t="s">
        <v>3</v>
      </c>
      <c r="T1093" s="3" t="s">
        <v>2</v>
      </c>
      <c r="U1093" s="3" t="s">
        <v>1</v>
      </c>
      <c r="V1093" s="3" t="s">
        <v>0</v>
      </c>
      <c r="W1093" s="2">
        <v>30</v>
      </c>
    </row>
    <row r="1094" spans="1:24" hidden="1" x14ac:dyDescent="0.25">
      <c r="A1094" s="8">
        <v>12187</v>
      </c>
      <c r="B1094" s="8" t="s">
        <v>1693</v>
      </c>
      <c r="C1094" s="7" t="s">
        <v>1692</v>
      </c>
      <c r="D1094" s="6" t="s">
        <v>15</v>
      </c>
      <c r="E1094" s="5" t="s">
        <v>1666</v>
      </c>
      <c r="F1094" s="4">
        <v>40802</v>
      </c>
      <c r="G1094" s="4" t="s">
        <v>1</v>
      </c>
      <c r="H1094" s="4" t="s">
        <v>1</v>
      </c>
      <c r="I1094" s="5" t="s">
        <v>50</v>
      </c>
      <c r="J1094" s="5" t="s">
        <v>370</v>
      </c>
      <c r="K1094" s="5" t="s">
        <v>33</v>
      </c>
      <c r="L1094" s="5" t="s">
        <v>33</v>
      </c>
      <c r="M1094" s="5" t="s">
        <v>370</v>
      </c>
      <c r="N1094" s="18" t="s">
        <v>1691</v>
      </c>
      <c r="O1094" s="5" t="s">
        <v>1690</v>
      </c>
      <c r="P1094" s="47" t="s">
        <v>30</v>
      </c>
      <c r="Q1094" s="5" t="s">
        <v>47</v>
      </c>
      <c r="R1094" s="3" t="s">
        <v>4</v>
      </c>
      <c r="S1094" s="3" t="s">
        <v>3</v>
      </c>
      <c r="T1094" s="3" t="s">
        <v>2</v>
      </c>
      <c r="U1094" s="3" t="s">
        <v>1</v>
      </c>
      <c r="V1094" s="3" t="s">
        <v>0</v>
      </c>
      <c r="W1094" s="2">
        <v>31</v>
      </c>
      <c r="X1094" s="20"/>
    </row>
    <row r="1095" spans="1:24" hidden="1" x14ac:dyDescent="0.25">
      <c r="A1095" s="8" t="s">
        <v>1689</v>
      </c>
      <c r="B1095" s="8" t="s">
        <v>1689</v>
      </c>
      <c r="C1095" s="19" t="s">
        <v>1688</v>
      </c>
      <c r="D1095" s="6" t="s">
        <v>15</v>
      </c>
      <c r="E1095" s="18" t="s">
        <v>293</v>
      </c>
      <c r="F1095" s="4">
        <v>40847</v>
      </c>
      <c r="G1095" s="4" t="s">
        <v>1</v>
      </c>
      <c r="H1095" s="4" t="s">
        <v>1</v>
      </c>
      <c r="I1095" s="3" t="s">
        <v>13</v>
      </c>
      <c r="J1095" s="3" t="s">
        <v>12</v>
      </c>
      <c r="K1095" s="3" t="s">
        <v>25</v>
      </c>
      <c r="L1095" s="3" t="s">
        <v>1241</v>
      </c>
      <c r="M1095" s="3" t="s">
        <v>1684</v>
      </c>
      <c r="N1095" s="3" t="s">
        <v>1687</v>
      </c>
      <c r="O1095" s="3" t="s">
        <v>7</v>
      </c>
      <c r="P1095" s="3" t="s">
        <v>30</v>
      </c>
      <c r="Q1095" s="3" t="s">
        <v>5</v>
      </c>
      <c r="R1095" s="3" t="s">
        <v>4</v>
      </c>
      <c r="S1095" s="3" t="s">
        <v>3</v>
      </c>
      <c r="T1095" s="3" t="s">
        <v>2</v>
      </c>
      <c r="U1095" s="3" t="s">
        <v>1</v>
      </c>
      <c r="V1095" s="3" t="s">
        <v>0</v>
      </c>
      <c r="W1095" s="2">
        <v>31</v>
      </c>
    </row>
    <row r="1096" spans="1:24" hidden="1" x14ac:dyDescent="0.25">
      <c r="A1096" s="8" t="s">
        <v>1686</v>
      </c>
      <c r="B1096" s="8" t="s">
        <v>1686</v>
      </c>
      <c r="C1096" s="7" t="s">
        <v>1685</v>
      </c>
      <c r="D1096" s="6" t="s">
        <v>15</v>
      </c>
      <c r="E1096" s="5" t="s">
        <v>263</v>
      </c>
      <c r="F1096" s="4">
        <v>40868</v>
      </c>
      <c r="G1096" s="4" t="s">
        <v>1</v>
      </c>
      <c r="H1096" s="4" t="s">
        <v>1</v>
      </c>
      <c r="I1096" s="3" t="s">
        <v>13</v>
      </c>
      <c r="J1096" s="3" t="s">
        <v>12</v>
      </c>
      <c r="K1096" s="3" t="s">
        <v>25</v>
      </c>
      <c r="L1096" s="3" t="s">
        <v>1241</v>
      </c>
      <c r="M1096" s="3" t="s">
        <v>1684</v>
      </c>
      <c r="N1096" s="3" t="s">
        <v>1683</v>
      </c>
      <c r="O1096" s="3" t="s">
        <v>7</v>
      </c>
      <c r="P1096" s="3" t="s">
        <v>30</v>
      </c>
      <c r="Q1096" s="3" t="s">
        <v>5</v>
      </c>
      <c r="R1096" s="3" t="s">
        <v>4</v>
      </c>
      <c r="S1096" s="3" t="s">
        <v>3</v>
      </c>
      <c r="T1096" s="3" t="s">
        <v>2</v>
      </c>
      <c r="U1096" s="3" t="s">
        <v>1</v>
      </c>
      <c r="V1096" s="3" t="s">
        <v>0</v>
      </c>
      <c r="W1096" s="2">
        <v>33</v>
      </c>
    </row>
    <row r="1097" spans="1:24" hidden="1" x14ac:dyDescent="0.25">
      <c r="A1097" s="8">
        <v>8638</v>
      </c>
      <c r="B1097" s="8" t="s">
        <v>1682</v>
      </c>
      <c r="C1097" s="7" t="s">
        <v>1681</v>
      </c>
      <c r="D1097" s="6" t="s">
        <v>15</v>
      </c>
      <c r="E1097" s="5" t="s">
        <v>225</v>
      </c>
      <c r="F1097" s="4">
        <v>39878</v>
      </c>
      <c r="G1097" s="4" t="s">
        <v>1</v>
      </c>
      <c r="H1097" s="4" t="s">
        <v>1</v>
      </c>
      <c r="I1097" s="3" t="s">
        <v>13</v>
      </c>
      <c r="J1097" s="3" t="s">
        <v>12</v>
      </c>
      <c r="K1097" s="3" t="s">
        <v>539</v>
      </c>
      <c r="L1097" s="3" t="s">
        <v>538</v>
      </c>
      <c r="M1097" s="3" t="s">
        <v>537</v>
      </c>
      <c r="N1097" s="3" t="s">
        <v>22</v>
      </c>
      <c r="O1097" s="3" t="s">
        <v>21</v>
      </c>
      <c r="P1097" s="3" t="s">
        <v>72</v>
      </c>
      <c r="Q1097" s="3" t="s">
        <v>20</v>
      </c>
      <c r="R1097" s="3" t="s">
        <v>4</v>
      </c>
      <c r="S1097" s="3" t="s">
        <v>3</v>
      </c>
      <c r="T1097" s="3" t="s">
        <v>19</v>
      </c>
      <c r="U1097" s="3" t="s">
        <v>1</v>
      </c>
      <c r="V1097" s="3" t="s">
        <v>0</v>
      </c>
      <c r="W1097" s="2">
        <v>34</v>
      </c>
    </row>
    <row r="1098" spans="1:24" hidden="1" x14ac:dyDescent="0.25">
      <c r="A1098" s="8">
        <v>12203</v>
      </c>
      <c r="B1098" s="8" t="s">
        <v>1680</v>
      </c>
      <c r="C1098" s="7" t="s">
        <v>1679</v>
      </c>
      <c r="D1098" s="6" t="s">
        <v>15</v>
      </c>
      <c r="E1098" s="5" t="s">
        <v>1666</v>
      </c>
      <c r="F1098" s="4">
        <v>40802</v>
      </c>
      <c r="G1098" s="4" t="s">
        <v>1</v>
      </c>
      <c r="H1098" s="4" t="s">
        <v>1</v>
      </c>
      <c r="I1098" s="3" t="s">
        <v>13</v>
      </c>
      <c r="J1098" s="3" t="s">
        <v>12</v>
      </c>
      <c r="K1098" s="3" t="s">
        <v>539</v>
      </c>
      <c r="L1098" s="3" t="s">
        <v>1568</v>
      </c>
      <c r="M1098" s="3" t="s">
        <v>1567</v>
      </c>
      <c r="N1098" s="3" t="s">
        <v>320</v>
      </c>
      <c r="O1098" s="3" t="s">
        <v>59</v>
      </c>
      <c r="P1098" s="3" t="s">
        <v>6</v>
      </c>
      <c r="Q1098" s="3" t="s">
        <v>5</v>
      </c>
      <c r="R1098" s="3" t="s">
        <v>4</v>
      </c>
      <c r="S1098" s="3" t="s">
        <v>3</v>
      </c>
      <c r="T1098" s="3" t="s">
        <v>2</v>
      </c>
      <c r="U1098" s="3" t="s">
        <v>1</v>
      </c>
      <c r="V1098" s="3" t="s">
        <v>0</v>
      </c>
      <c r="W1098" s="2">
        <v>35</v>
      </c>
    </row>
    <row r="1099" spans="1:24" hidden="1" x14ac:dyDescent="0.25">
      <c r="A1099" s="8">
        <v>12204</v>
      </c>
      <c r="B1099" s="8" t="s">
        <v>1678</v>
      </c>
      <c r="C1099" s="7" t="s">
        <v>1677</v>
      </c>
      <c r="D1099" s="6" t="s">
        <v>15</v>
      </c>
      <c r="E1099" s="5" t="s">
        <v>1666</v>
      </c>
      <c r="F1099" s="4">
        <v>40802</v>
      </c>
      <c r="G1099" s="4" t="s">
        <v>1</v>
      </c>
      <c r="H1099" s="4" t="s">
        <v>1</v>
      </c>
      <c r="I1099" s="3" t="s">
        <v>13</v>
      </c>
      <c r="J1099" s="3" t="s">
        <v>12</v>
      </c>
      <c r="K1099" s="3" t="s">
        <v>63</v>
      </c>
      <c r="L1099" s="3" t="s">
        <v>460</v>
      </c>
      <c r="M1099" s="3" t="s">
        <v>459</v>
      </c>
      <c r="N1099" s="3" t="s">
        <v>22</v>
      </c>
      <c r="O1099" s="3" t="s">
        <v>21</v>
      </c>
      <c r="P1099" s="3" t="s">
        <v>6</v>
      </c>
      <c r="Q1099" s="3" t="s">
        <v>20</v>
      </c>
      <c r="R1099" s="3" t="s">
        <v>4</v>
      </c>
      <c r="S1099" s="3" t="s">
        <v>3</v>
      </c>
      <c r="T1099" s="3" t="s">
        <v>1077</v>
      </c>
      <c r="U1099" s="3" t="s">
        <v>1</v>
      </c>
      <c r="V1099" s="3" t="s">
        <v>0</v>
      </c>
      <c r="W1099" s="2">
        <v>32</v>
      </c>
    </row>
    <row r="1100" spans="1:24" hidden="1" x14ac:dyDescent="0.25">
      <c r="A1100" s="8">
        <v>9857</v>
      </c>
      <c r="B1100" s="8" t="s">
        <v>1676</v>
      </c>
      <c r="C1100" s="7" t="s">
        <v>1675</v>
      </c>
      <c r="D1100" s="6" t="s">
        <v>15</v>
      </c>
      <c r="E1100" s="5" t="s">
        <v>1674</v>
      </c>
      <c r="F1100" s="4">
        <v>40411</v>
      </c>
      <c r="G1100" s="4" t="s">
        <v>1</v>
      </c>
      <c r="H1100" s="4" t="s">
        <v>1</v>
      </c>
      <c r="I1100" s="3" t="s">
        <v>13</v>
      </c>
      <c r="J1100" s="3" t="s">
        <v>12</v>
      </c>
      <c r="K1100" s="3" t="s">
        <v>539</v>
      </c>
      <c r="L1100" s="3" t="s">
        <v>538</v>
      </c>
      <c r="M1100" s="3" t="s">
        <v>537</v>
      </c>
      <c r="N1100" s="3" t="s">
        <v>1673</v>
      </c>
      <c r="O1100" s="3" t="s">
        <v>67</v>
      </c>
      <c r="P1100" s="3" t="s">
        <v>72</v>
      </c>
      <c r="Q1100" s="3" t="s">
        <v>5</v>
      </c>
      <c r="R1100" s="3" t="s">
        <v>4</v>
      </c>
      <c r="S1100" s="3" t="s">
        <v>3</v>
      </c>
      <c r="T1100" s="3" t="s">
        <v>2</v>
      </c>
      <c r="U1100" s="3" t="s">
        <v>1</v>
      </c>
      <c r="V1100" s="3" t="s">
        <v>0</v>
      </c>
      <c r="W1100" s="2">
        <v>35</v>
      </c>
    </row>
    <row r="1101" spans="1:24" hidden="1" x14ac:dyDescent="0.25">
      <c r="A1101" s="8">
        <v>9935</v>
      </c>
      <c r="B1101" s="8" t="s">
        <v>1672</v>
      </c>
      <c r="C1101" s="7" t="s">
        <v>1671</v>
      </c>
      <c r="D1101" s="6" t="s">
        <v>15</v>
      </c>
      <c r="E1101" s="5" t="s">
        <v>1041</v>
      </c>
      <c r="F1101" s="4">
        <v>40431</v>
      </c>
      <c r="G1101" s="4" t="s">
        <v>1</v>
      </c>
      <c r="H1101" s="4" t="s">
        <v>1</v>
      </c>
      <c r="I1101" s="3" t="s">
        <v>13</v>
      </c>
      <c r="J1101" s="3" t="s">
        <v>12</v>
      </c>
      <c r="K1101" s="3" t="s">
        <v>539</v>
      </c>
      <c r="L1101" s="3" t="s">
        <v>538</v>
      </c>
      <c r="M1101" s="3" t="s">
        <v>537</v>
      </c>
      <c r="N1101" s="3" t="s">
        <v>1078</v>
      </c>
      <c r="O1101" s="3" t="s">
        <v>29</v>
      </c>
      <c r="P1101" s="3" t="s">
        <v>72</v>
      </c>
      <c r="Q1101" s="3" t="s">
        <v>20</v>
      </c>
      <c r="R1101" s="3" t="s">
        <v>4</v>
      </c>
      <c r="S1101" s="3" t="s">
        <v>3</v>
      </c>
      <c r="T1101" s="3" t="s">
        <v>1077</v>
      </c>
      <c r="U1101" s="3" t="s">
        <v>1</v>
      </c>
      <c r="V1101" s="3" t="s">
        <v>0</v>
      </c>
      <c r="W1101" s="2">
        <v>34</v>
      </c>
    </row>
    <row r="1102" spans="1:24" hidden="1" x14ac:dyDescent="0.25">
      <c r="A1102" s="8">
        <v>12224</v>
      </c>
      <c r="B1102" s="8" t="s">
        <v>1670</v>
      </c>
      <c r="C1102" s="25" t="s">
        <v>1669</v>
      </c>
      <c r="D1102" s="6" t="s">
        <v>15</v>
      </c>
      <c r="E1102" s="5" t="s">
        <v>1666</v>
      </c>
      <c r="F1102" s="4">
        <v>40802</v>
      </c>
      <c r="G1102" s="4" t="s">
        <v>1</v>
      </c>
      <c r="H1102" s="4" t="s">
        <v>1</v>
      </c>
      <c r="I1102" s="3" t="s">
        <v>13</v>
      </c>
      <c r="J1102" s="3" t="s">
        <v>12</v>
      </c>
      <c r="K1102" s="3" t="s">
        <v>262</v>
      </c>
      <c r="L1102" s="3" t="s">
        <v>261</v>
      </c>
      <c r="M1102" s="3" t="s">
        <v>329</v>
      </c>
      <c r="N1102" s="3" t="s">
        <v>628</v>
      </c>
      <c r="O1102" s="3" t="s">
        <v>59</v>
      </c>
      <c r="P1102" s="3" t="s">
        <v>6</v>
      </c>
      <c r="Q1102" s="3" t="s">
        <v>5</v>
      </c>
      <c r="R1102" s="3" t="s">
        <v>4</v>
      </c>
      <c r="S1102" s="3" t="s">
        <v>3</v>
      </c>
      <c r="T1102" s="3" t="s">
        <v>2</v>
      </c>
      <c r="U1102" s="3" t="s">
        <v>1</v>
      </c>
      <c r="V1102" s="3" t="s">
        <v>0</v>
      </c>
      <c r="W1102" s="2">
        <v>34</v>
      </c>
    </row>
    <row r="1103" spans="1:24" hidden="1" x14ac:dyDescent="0.25">
      <c r="A1103" s="8">
        <v>12227</v>
      </c>
      <c r="B1103" s="8" t="s">
        <v>1668</v>
      </c>
      <c r="C1103" s="7" t="s">
        <v>1667</v>
      </c>
      <c r="D1103" s="6" t="s">
        <v>15</v>
      </c>
      <c r="E1103" s="5" t="s">
        <v>1666</v>
      </c>
      <c r="F1103" s="4">
        <v>40802</v>
      </c>
      <c r="G1103" s="4" t="s">
        <v>1</v>
      </c>
      <c r="H1103" s="4" t="s">
        <v>1</v>
      </c>
      <c r="I1103" s="5" t="s">
        <v>50</v>
      </c>
      <c r="J1103" s="5" t="s">
        <v>49</v>
      </c>
      <c r="K1103" s="5" t="s">
        <v>33</v>
      </c>
      <c r="L1103" s="5" t="s">
        <v>33</v>
      </c>
      <c r="M1103" s="5" t="s">
        <v>49</v>
      </c>
      <c r="N1103" s="5" t="s">
        <v>1665</v>
      </c>
      <c r="O1103" s="5" t="s">
        <v>48</v>
      </c>
      <c r="P1103" s="5" t="s">
        <v>30</v>
      </c>
      <c r="Q1103" s="5" t="s">
        <v>47</v>
      </c>
      <c r="R1103" s="3" t="s">
        <v>4</v>
      </c>
      <c r="S1103" s="3" t="s">
        <v>3</v>
      </c>
      <c r="T1103" s="3" t="s">
        <v>2</v>
      </c>
      <c r="U1103" s="3" t="s">
        <v>1</v>
      </c>
      <c r="V1103" s="3" t="s">
        <v>0</v>
      </c>
      <c r="W1103" s="2">
        <v>37</v>
      </c>
      <c r="X1103" s="20"/>
    </row>
    <row r="1104" spans="1:24" s="9" customFormat="1" hidden="1" x14ac:dyDescent="0.25">
      <c r="A1104" s="17">
        <v>12230</v>
      </c>
      <c r="B1104" s="17" t="s">
        <v>1664</v>
      </c>
      <c r="C1104" s="24" t="s">
        <v>1663</v>
      </c>
      <c r="D1104" s="15" t="s">
        <v>15</v>
      </c>
      <c r="E1104" s="22" t="s">
        <v>1662</v>
      </c>
      <c r="F1104" s="13">
        <v>40805</v>
      </c>
      <c r="G1104" s="13" t="s">
        <v>1</v>
      </c>
      <c r="H1104" s="13" t="s">
        <v>1</v>
      </c>
      <c r="I1104" s="14" t="s">
        <v>93</v>
      </c>
      <c r="J1104" s="14" t="s">
        <v>866</v>
      </c>
      <c r="K1104" s="14" t="s">
        <v>33</v>
      </c>
      <c r="L1104" s="14" t="s">
        <v>33</v>
      </c>
      <c r="M1104" s="14" t="s">
        <v>866</v>
      </c>
      <c r="N1104" s="14" t="s">
        <v>1661</v>
      </c>
      <c r="O1104" s="14" t="s">
        <v>1660</v>
      </c>
      <c r="P1104" s="14" t="s">
        <v>30</v>
      </c>
      <c r="Q1104" s="14" t="s">
        <v>47</v>
      </c>
      <c r="R1104" s="12" t="s">
        <v>4</v>
      </c>
      <c r="S1104" s="12" t="s">
        <v>3</v>
      </c>
      <c r="T1104" s="12" t="s">
        <v>88</v>
      </c>
      <c r="U1104" s="12" t="s">
        <v>1</v>
      </c>
      <c r="V1104" s="12" t="s">
        <v>18</v>
      </c>
      <c r="W1104" s="11">
        <v>34</v>
      </c>
      <c r="X1104" s="10"/>
    </row>
    <row r="1105" spans="1:24" hidden="1" x14ac:dyDescent="0.25">
      <c r="A1105" s="8">
        <v>12233</v>
      </c>
      <c r="B1105" s="8" t="s">
        <v>1659</v>
      </c>
      <c r="C1105" s="19" t="s">
        <v>1658</v>
      </c>
      <c r="D1105" s="6" t="s">
        <v>15</v>
      </c>
      <c r="E1105" s="18" t="s">
        <v>1630</v>
      </c>
      <c r="F1105" s="4">
        <v>40805</v>
      </c>
      <c r="G1105" s="4" t="s">
        <v>1</v>
      </c>
      <c r="H1105" s="4" t="s">
        <v>1</v>
      </c>
      <c r="I1105" s="3" t="s">
        <v>145</v>
      </c>
      <c r="J1105" s="3" t="s">
        <v>34</v>
      </c>
      <c r="K1105" s="3" t="s">
        <v>33</v>
      </c>
      <c r="L1105" s="3" t="s">
        <v>33</v>
      </c>
      <c r="M1105" s="3" t="s">
        <v>161</v>
      </c>
      <c r="N1105" s="3" t="s">
        <v>1657</v>
      </c>
      <c r="O1105" s="3" t="s">
        <v>29</v>
      </c>
      <c r="P1105" s="3" t="s">
        <v>30</v>
      </c>
      <c r="Q1105" s="3" t="s">
        <v>20</v>
      </c>
      <c r="R1105" s="3" t="s">
        <v>4</v>
      </c>
      <c r="S1105" s="3" t="s">
        <v>3</v>
      </c>
      <c r="T1105" s="3" t="s">
        <v>29</v>
      </c>
      <c r="U1105" s="3" t="s">
        <v>1</v>
      </c>
      <c r="V1105" s="3" t="s">
        <v>18</v>
      </c>
      <c r="W1105" s="2">
        <v>33</v>
      </c>
    </row>
    <row r="1106" spans="1:24" hidden="1" x14ac:dyDescent="0.25">
      <c r="A1106" s="8">
        <v>12234</v>
      </c>
      <c r="B1106" s="8" t="s">
        <v>1656</v>
      </c>
      <c r="C1106" s="7" t="s">
        <v>1655</v>
      </c>
      <c r="D1106" s="6" t="s">
        <v>15</v>
      </c>
      <c r="E1106" s="5" t="s">
        <v>1630</v>
      </c>
      <c r="F1106" s="4">
        <v>40805</v>
      </c>
      <c r="G1106" s="4" t="s">
        <v>1</v>
      </c>
      <c r="H1106" s="4" t="s">
        <v>1</v>
      </c>
      <c r="I1106" s="3" t="s">
        <v>13</v>
      </c>
      <c r="J1106" s="3" t="s">
        <v>12</v>
      </c>
      <c r="K1106" s="3" t="s">
        <v>25</v>
      </c>
      <c r="L1106" s="3" t="s">
        <v>24</v>
      </c>
      <c r="M1106" s="3" t="s">
        <v>23</v>
      </c>
      <c r="N1106" s="3" t="s">
        <v>1482</v>
      </c>
      <c r="O1106" s="3" t="s">
        <v>258</v>
      </c>
      <c r="P1106" s="3" t="s">
        <v>6</v>
      </c>
      <c r="Q1106" s="3" t="s">
        <v>5</v>
      </c>
      <c r="R1106" s="3" t="s">
        <v>4</v>
      </c>
      <c r="S1106" s="3" t="s">
        <v>3</v>
      </c>
      <c r="T1106" s="3" t="s">
        <v>2</v>
      </c>
      <c r="U1106" s="3" t="s">
        <v>1</v>
      </c>
      <c r="V1106" s="3" t="s">
        <v>18</v>
      </c>
      <c r="W1106" s="2">
        <v>32</v>
      </c>
    </row>
    <row r="1107" spans="1:24" hidden="1" x14ac:dyDescent="0.25">
      <c r="A1107" s="8">
        <v>10118</v>
      </c>
      <c r="B1107" s="8" t="s">
        <v>1654</v>
      </c>
      <c r="C1107" s="7" t="s">
        <v>1653</v>
      </c>
      <c r="D1107" s="6" t="s">
        <v>15</v>
      </c>
      <c r="E1107" s="5" t="s">
        <v>1034</v>
      </c>
      <c r="F1107" s="4">
        <v>40444</v>
      </c>
      <c r="G1107" s="4" t="s">
        <v>1</v>
      </c>
      <c r="H1107" s="4" t="s">
        <v>1</v>
      </c>
      <c r="I1107" s="3" t="s">
        <v>13</v>
      </c>
      <c r="J1107" s="3" t="s">
        <v>12</v>
      </c>
      <c r="K1107" s="3" t="s">
        <v>539</v>
      </c>
      <c r="L1107" s="3" t="s">
        <v>538</v>
      </c>
      <c r="M1107" s="3" t="s">
        <v>537</v>
      </c>
      <c r="N1107" s="3" t="s">
        <v>1037</v>
      </c>
      <c r="O1107" s="3" t="s">
        <v>67</v>
      </c>
      <c r="P1107" s="3" t="s">
        <v>72</v>
      </c>
      <c r="Q1107" s="3" t="s">
        <v>5</v>
      </c>
      <c r="R1107" s="3" t="s">
        <v>4</v>
      </c>
      <c r="S1107" s="3" t="s">
        <v>3</v>
      </c>
      <c r="T1107" s="3" t="s">
        <v>2</v>
      </c>
      <c r="U1107" s="3" t="s">
        <v>1</v>
      </c>
      <c r="V1107" s="3" t="s">
        <v>0</v>
      </c>
      <c r="W1107" s="2">
        <v>32</v>
      </c>
    </row>
    <row r="1108" spans="1:24" hidden="1" x14ac:dyDescent="0.25">
      <c r="A1108" s="8">
        <v>12254</v>
      </c>
      <c r="B1108" s="8" t="s">
        <v>1652</v>
      </c>
      <c r="C1108" s="7" t="s">
        <v>1651</v>
      </c>
      <c r="D1108" s="6" t="s">
        <v>15</v>
      </c>
      <c r="E1108" s="5" t="s">
        <v>1630</v>
      </c>
      <c r="F1108" s="4">
        <v>40805</v>
      </c>
      <c r="G1108" s="4" t="s">
        <v>1</v>
      </c>
      <c r="H1108" s="4" t="s">
        <v>1</v>
      </c>
      <c r="I1108" s="3" t="s">
        <v>145</v>
      </c>
      <c r="J1108" s="3" t="s">
        <v>133</v>
      </c>
      <c r="K1108" s="3" t="s">
        <v>262</v>
      </c>
      <c r="L1108" s="3" t="s">
        <v>262</v>
      </c>
      <c r="M1108" s="3" t="s">
        <v>277</v>
      </c>
      <c r="N1108" s="3" t="s">
        <v>289</v>
      </c>
      <c r="O1108" s="3" t="s">
        <v>288</v>
      </c>
      <c r="P1108" s="3" t="s">
        <v>6</v>
      </c>
      <c r="Q1108" s="3" t="s">
        <v>47</v>
      </c>
      <c r="R1108" s="3" t="s">
        <v>4</v>
      </c>
      <c r="S1108" s="3" t="s">
        <v>3</v>
      </c>
      <c r="T1108" s="3" t="s">
        <v>2</v>
      </c>
      <c r="U1108" s="3" t="s">
        <v>1</v>
      </c>
      <c r="V1108" s="3" t="s">
        <v>0</v>
      </c>
      <c r="W1108" s="2">
        <v>39</v>
      </c>
    </row>
    <row r="1109" spans="1:24" hidden="1" x14ac:dyDescent="0.25">
      <c r="A1109" s="8">
        <v>12266</v>
      </c>
      <c r="B1109" s="8" t="s">
        <v>1650</v>
      </c>
      <c r="C1109" s="19" t="s">
        <v>1649</v>
      </c>
      <c r="D1109" s="6" t="s">
        <v>15</v>
      </c>
      <c r="E1109" s="5" t="s">
        <v>1630</v>
      </c>
      <c r="F1109" s="4">
        <v>40805</v>
      </c>
      <c r="G1109" s="4" t="s">
        <v>1</v>
      </c>
      <c r="H1109" s="4" t="s">
        <v>1</v>
      </c>
      <c r="I1109" s="3" t="s">
        <v>13</v>
      </c>
      <c r="J1109" s="3" t="s">
        <v>12</v>
      </c>
      <c r="K1109" s="3" t="s">
        <v>63</v>
      </c>
      <c r="L1109" s="3" t="s">
        <v>62</v>
      </c>
      <c r="M1109" s="3" t="s">
        <v>565</v>
      </c>
      <c r="N1109" s="3" t="s">
        <v>22</v>
      </c>
      <c r="O1109" s="3" t="s">
        <v>21</v>
      </c>
      <c r="P1109" s="3" t="s">
        <v>6</v>
      </c>
      <c r="Q1109" s="3" t="s">
        <v>20</v>
      </c>
      <c r="R1109" s="3" t="s">
        <v>4</v>
      </c>
      <c r="S1109" s="3" t="s">
        <v>3</v>
      </c>
      <c r="T1109" s="3" t="s">
        <v>19</v>
      </c>
      <c r="U1109" s="3" t="s">
        <v>1</v>
      </c>
      <c r="V1109" s="3" t="s">
        <v>0</v>
      </c>
      <c r="W1109" s="2">
        <v>31</v>
      </c>
    </row>
    <row r="1110" spans="1:24" hidden="1" x14ac:dyDescent="0.25">
      <c r="A1110" s="8">
        <v>12270</v>
      </c>
      <c r="B1110" s="8" t="s">
        <v>1648</v>
      </c>
      <c r="C1110" s="7" t="s">
        <v>1647</v>
      </c>
      <c r="D1110" s="6" t="s">
        <v>15</v>
      </c>
      <c r="E1110" s="5" t="s">
        <v>1630</v>
      </c>
      <c r="F1110" s="4">
        <v>40805</v>
      </c>
      <c r="G1110" s="4" t="s">
        <v>1</v>
      </c>
      <c r="H1110" s="4" t="s">
        <v>1</v>
      </c>
      <c r="I1110" s="5" t="s">
        <v>93</v>
      </c>
      <c r="J1110" s="18" t="s">
        <v>466</v>
      </c>
      <c r="K1110" s="18" t="s">
        <v>33</v>
      </c>
      <c r="L1110" s="18" t="s">
        <v>33</v>
      </c>
      <c r="M1110" s="18" t="s">
        <v>466</v>
      </c>
      <c r="N1110" s="3" t="s">
        <v>909</v>
      </c>
      <c r="O1110" s="3" t="s">
        <v>464</v>
      </c>
      <c r="P1110" s="3" t="s">
        <v>30</v>
      </c>
      <c r="Q1110" s="5" t="s">
        <v>47</v>
      </c>
      <c r="R1110" s="3" t="s">
        <v>4</v>
      </c>
      <c r="S1110" s="3" t="s">
        <v>3</v>
      </c>
      <c r="T1110" s="3" t="s">
        <v>2</v>
      </c>
      <c r="U1110" s="3" t="s">
        <v>1</v>
      </c>
      <c r="V1110" s="3" t="s">
        <v>0</v>
      </c>
      <c r="W1110" s="2">
        <v>31</v>
      </c>
    </row>
    <row r="1111" spans="1:24" s="9" customFormat="1" hidden="1" x14ac:dyDescent="0.25">
      <c r="A1111" s="17">
        <v>10361</v>
      </c>
      <c r="B1111" s="17" t="s">
        <v>1646</v>
      </c>
      <c r="C1111" s="16" t="s">
        <v>1645</v>
      </c>
      <c r="D1111" s="15" t="s">
        <v>15</v>
      </c>
      <c r="E1111" s="14" t="s">
        <v>1644</v>
      </c>
      <c r="F1111" s="13">
        <v>40513</v>
      </c>
      <c r="G1111" s="13" t="s">
        <v>1</v>
      </c>
      <c r="H1111" s="13" t="s">
        <v>1</v>
      </c>
      <c r="I1111" s="12" t="s">
        <v>13</v>
      </c>
      <c r="J1111" s="12" t="s">
        <v>12</v>
      </c>
      <c r="K1111" s="12" t="s">
        <v>539</v>
      </c>
      <c r="L1111" s="12" t="s">
        <v>538</v>
      </c>
      <c r="M1111" s="12" t="s">
        <v>537</v>
      </c>
      <c r="N1111" s="12" t="s">
        <v>1362</v>
      </c>
      <c r="O1111" s="12" t="s">
        <v>39</v>
      </c>
      <c r="P1111" s="12" t="s">
        <v>72</v>
      </c>
      <c r="Q1111" s="12" t="s">
        <v>20</v>
      </c>
      <c r="R1111" s="12" t="s">
        <v>4</v>
      </c>
      <c r="S1111" s="12" t="s">
        <v>3</v>
      </c>
      <c r="T1111" s="12" t="s">
        <v>1361</v>
      </c>
      <c r="U1111" s="12" t="s">
        <v>1</v>
      </c>
      <c r="V1111" s="12" t="s">
        <v>0</v>
      </c>
      <c r="W1111" s="11">
        <v>34</v>
      </c>
      <c r="X1111" s="10"/>
    </row>
    <row r="1112" spans="1:24" hidden="1" x14ac:dyDescent="0.25">
      <c r="A1112" s="8">
        <v>12273</v>
      </c>
      <c r="B1112" s="8" t="s">
        <v>1643</v>
      </c>
      <c r="C1112" s="7" t="s">
        <v>1642</v>
      </c>
      <c r="D1112" s="6" t="s">
        <v>15</v>
      </c>
      <c r="E1112" s="5" t="s">
        <v>1630</v>
      </c>
      <c r="F1112" s="4">
        <v>40805</v>
      </c>
      <c r="G1112" s="4" t="s">
        <v>1</v>
      </c>
      <c r="H1112" s="4" t="s">
        <v>1</v>
      </c>
      <c r="I1112" s="3" t="s">
        <v>13</v>
      </c>
      <c r="J1112" s="3" t="s">
        <v>12</v>
      </c>
      <c r="K1112" s="3" t="s">
        <v>262</v>
      </c>
      <c r="L1112" s="3" t="s">
        <v>261</v>
      </c>
      <c r="M1112" s="3" t="s">
        <v>329</v>
      </c>
      <c r="N1112" s="3" t="s">
        <v>870</v>
      </c>
      <c r="O1112" s="3" t="s">
        <v>21</v>
      </c>
      <c r="P1112" s="3" t="s">
        <v>6</v>
      </c>
      <c r="Q1112" s="3" t="s">
        <v>20</v>
      </c>
      <c r="R1112" s="3" t="s">
        <v>4</v>
      </c>
      <c r="S1112" s="3" t="s">
        <v>3</v>
      </c>
      <c r="T1112" s="3" t="s">
        <v>2</v>
      </c>
      <c r="U1112" s="3" t="s">
        <v>1</v>
      </c>
      <c r="V1112" s="3" t="s">
        <v>0</v>
      </c>
      <c r="W1112" s="2">
        <v>31</v>
      </c>
    </row>
    <row r="1113" spans="1:24" s="78" customFormat="1" hidden="1" x14ac:dyDescent="0.25">
      <c r="A1113" s="73">
        <v>10936</v>
      </c>
      <c r="B1113" s="73" t="s">
        <v>1641</v>
      </c>
      <c r="C1113" s="87" t="s">
        <v>1640</v>
      </c>
      <c r="D1113" s="88" t="s">
        <v>15</v>
      </c>
      <c r="E1113" s="89" t="s">
        <v>1639</v>
      </c>
      <c r="F1113" s="90">
        <v>40578</v>
      </c>
      <c r="G1113" s="90" t="s">
        <v>1</v>
      </c>
      <c r="H1113" s="90" t="s">
        <v>1</v>
      </c>
      <c r="I1113" s="92" t="s">
        <v>13</v>
      </c>
      <c r="J1113" s="92" t="s">
        <v>12</v>
      </c>
      <c r="K1113" s="92" t="s">
        <v>539</v>
      </c>
      <c r="L1113" s="92" t="s">
        <v>538</v>
      </c>
      <c r="M1113" s="92" t="s">
        <v>537</v>
      </c>
      <c r="N1113" s="92" t="s">
        <v>1638</v>
      </c>
      <c r="O1113" s="92" t="s">
        <v>1637</v>
      </c>
      <c r="P1113" s="92" t="s">
        <v>72</v>
      </c>
      <c r="Q1113" s="92" t="s">
        <v>20</v>
      </c>
      <c r="R1113" s="92" t="s">
        <v>4</v>
      </c>
      <c r="S1113" s="92" t="s">
        <v>3</v>
      </c>
      <c r="T1113" s="92" t="s">
        <v>2</v>
      </c>
      <c r="U1113" s="92" t="s">
        <v>1</v>
      </c>
      <c r="V1113" s="92" t="s">
        <v>0</v>
      </c>
      <c r="W1113" s="93">
        <v>32</v>
      </c>
    </row>
    <row r="1114" spans="1:24" hidden="1" x14ac:dyDescent="0.25">
      <c r="A1114" s="8">
        <v>12285</v>
      </c>
      <c r="B1114" s="8" t="s">
        <v>1636</v>
      </c>
      <c r="C1114" s="7" t="s">
        <v>1635</v>
      </c>
      <c r="D1114" s="6" t="s">
        <v>15</v>
      </c>
      <c r="E1114" s="5" t="s">
        <v>1630</v>
      </c>
      <c r="F1114" s="4">
        <v>40805</v>
      </c>
      <c r="G1114" s="4" t="s">
        <v>1</v>
      </c>
      <c r="H1114" s="4" t="s">
        <v>1</v>
      </c>
      <c r="I1114" s="3" t="s">
        <v>13</v>
      </c>
      <c r="J1114" s="3" t="s">
        <v>133</v>
      </c>
      <c r="K1114" s="3" t="s">
        <v>63</v>
      </c>
      <c r="L1114" s="3" t="s">
        <v>1634</v>
      </c>
      <c r="M1114" s="3" t="s">
        <v>1633</v>
      </c>
      <c r="N1114" s="3" t="s">
        <v>198</v>
      </c>
      <c r="O1114" s="3" t="s">
        <v>184</v>
      </c>
      <c r="P1114" s="3" t="s">
        <v>6</v>
      </c>
      <c r="Q1114" s="3" t="s">
        <v>20</v>
      </c>
      <c r="R1114" s="3" t="s">
        <v>4</v>
      </c>
      <c r="S1114" s="3" t="s">
        <v>3</v>
      </c>
      <c r="T1114" s="3" t="s">
        <v>2</v>
      </c>
      <c r="U1114" s="3" t="s">
        <v>1</v>
      </c>
      <c r="V1114" s="3" t="s">
        <v>0</v>
      </c>
      <c r="W1114" s="2">
        <v>33</v>
      </c>
    </row>
    <row r="1115" spans="1:24" hidden="1" x14ac:dyDescent="0.25">
      <c r="A1115" s="8">
        <v>12336</v>
      </c>
      <c r="B1115" s="8" t="s">
        <v>1632</v>
      </c>
      <c r="C1115" s="7" t="s">
        <v>1631</v>
      </c>
      <c r="D1115" s="6" t="s">
        <v>15</v>
      </c>
      <c r="E1115" s="5" t="s">
        <v>1630</v>
      </c>
      <c r="F1115" s="4">
        <v>40805</v>
      </c>
      <c r="G1115" s="4" t="s">
        <v>1</v>
      </c>
      <c r="H1115" s="4" t="s">
        <v>1</v>
      </c>
      <c r="I1115" s="3" t="s">
        <v>13</v>
      </c>
      <c r="J1115" s="3" t="s">
        <v>12</v>
      </c>
      <c r="K1115" s="3" t="s">
        <v>262</v>
      </c>
      <c r="L1115" s="3" t="s">
        <v>261</v>
      </c>
      <c r="M1115" s="3" t="s">
        <v>260</v>
      </c>
      <c r="N1115" s="3" t="s">
        <v>1629</v>
      </c>
      <c r="O1115" s="3" t="s">
        <v>7</v>
      </c>
      <c r="P1115" s="3" t="s">
        <v>6</v>
      </c>
      <c r="Q1115" s="3" t="s">
        <v>5</v>
      </c>
      <c r="R1115" s="3" t="s">
        <v>4</v>
      </c>
      <c r="S1115" s="3" t="s">
        <v>3</v>
      </c>
      <c r="T1115" s="3" t="s">
        <v>2</v>
      </c>
      <c r="U1115" s="3" t="s">
        <v>1</v>
      </c>
      <c r="V1115" s="3" t="s">
        <v>0</v>
      </c>
      <c r="W1115" s="2">
        <v>33</v>
      </c>
    </row>
    <row r="1116" spans="1:24" hidden="1" x14ac:dyDescent="0.25">
      <c r="A1116" s="8">
        <v>11830</v>
      </c>
      <c r="B1116" s="8" t="s">
        <v>1628</v>
      </c>
      <c r="C1116" s="7" t="s">
        <v>1627</v>
      </c>
      <c r="D1116" s="6" t="s">
        <v>15</v>
      </c>
      <c r="E1116" s="5" t="s">
        <v>1089</v>
      </c>
      <c r="F1116" s="4">
        <v>40721</v>
      </c>
      <c r="G1116" s="4" t="s">
        <v>1</v>
      </c>
      <c r="H1116" s="4" t="s">
        <v>1</v>
      </c>
      <c r="I1116" s="3" t="s">
        <v>13</v>
      </c>
      <c r="J1116" s="3" t="s">
        <v>12</v>
      </c>
      <c r="K1116" s="3" t="s">
        <v>539</v>
      </c>
      <c r="L1116" s="3" t="s">
        <v>538</v>
      </c>
      <c r="M1116" s="3" t="s">
        <v>537</v>
      </c>
      <c r="N1116" s="3" t="s">
        <v>628</v>
      </c>
      <c r="O1116" s="3" t="s">
        <v>59</v>
      </c>
      <c r="P1116" s="3" t="s">
        <v>72</v>
      </c>
      <c r="Q1116" s="3" t="s">
        <v>5</v>
      </c>
      <c r="R1116" s="3" t="s">
        <v>4</v>
      </c>
      <c r="S1116" s="3" t="s">
        <v>3</v>
      </c>
      <c r="T1116" s="3" t="s">
        <v>2</v>
      </c>
      <c r="U1116" s="3" t="s">
        <v>1</v>
      </c>
      <c r="V1116" s="3" t="s">
        <v>0</v>
      </c>
      <c r="W1116" s="2">
        <v>31</v>
      </c>
    </row>
    <row r="1117" spans="1:24" hidden="1" x14ac:dyDescent="0.25">
      <c r="A1117" s="8">
        <v>12348</v>
      </c>
      <c r="B1117" s="8" t="s">
        <v>1626</v>
      </c>
      <c r="C1117" s="7" t="s">
        <v>1625</v>
      </c>
      <c r="D1117" s="6" t="s">
        <v>15</v>
      </c>
      <c r="E1117" s="5" t="s">
        <v>1506</v>
      </c>
      <c r="F1117" s="4">
        <v>40809</v>
      </c>
      <c r="G1117" s="4" t="s">
        <v>1</v>
      </c>
      <c r="H1117" s="4" t="s">
        <v>1</v>
      </c>
      <c r="I1117" s="3" t="s">
        <v>13</v>
      </c>
      <c r="J1117" s="3" t="s">
        <v>133</v>
      </c>
      <c r="K1117" s="3" t="s">
        <v>11</v>
      </c>
      <c r="L1117" s="3" t="s">
        <v>10</v>
      </c>
      <c r="M1117" s="3" t="s">
        <v>290</v>
      </c>
      <c r="N1117" s="3" t="s">
        <v>1624</v>
      </c>
      <c r="O1117" s="3" t="s">
        <v>128</v>
      </c>
      <c r="P1117" s="3" t="s">
        <v>6</v>
      </c>
      <c r="Q1117" s="3" t="s">
        <v>5</v>
      </c>
      <c r="R1117" s="3" t="s">
        <v>4</v>
      </c>
      <c r="S1117" s="3" t="s">
        <v>3</v>
      </c>
      <c r="T1117" s="3" t="s">
        <v>2</v>
      </c>
      <c r="U1117" s="3" t="s">
        <v>1</v>
      </c>
      <c r="V1117" s="3" t="s">
        <v>0</v>
      </c>
      <c r="W1117" s="2">
        <v>34</v>
      </c>
    </row>
    <row r="1118" spans="1:24" hidden="1" x14ac:dyDescent="0.25">
      <c r="A1118" s="8">
        <v>12154</v>
      </c>
      <c r="B1118" s="8" t="s">
        <v>1623</v>
      </c>
      <c r="C1118" s="7" t="s">
        <v>1622</v>
      </c>
      <c r="D1118" s="6" t="s">
        <v>15</v>
      </c>
      <c r="E1118" s="5" t="s">
        <v>421</v>
      </c>
      <c r="F1118" s="4">
        <v>40798</v>
      </c>
      <c r="G1118" s="4" t="s">
        <v>1</v>
      </c>
      <c r="H1118" s="4" t="s">
        <v>1</v>
      </c>
      <c r="I1118" s="3" t="s">
        <v>13</v>
      </c>
      <c r="J1118" s="3" t="s">
        <v>12</v>
      </c>
      <c r="K1118" s="3" t="s">
        <v>539</v>
      </c>
      <c r="L1118" s="3" t="s">
        <v>538</v>
      </c>
      <c r="M1118" s="3" t="s">
        <v>537</v>
      </c>
      <c r="N1118" s="3" t="s">
        <v>870</v>
      </c>
      <c r="O1118" s="3" t="s">
        <v>21</v>
      </c>
      <c r="P1118" s="3" t="s">
        <v>72</v>
      </c>
      <c r="Q1118" s="3" t="s">
        <v>20</v>
      </c>
      <c r="R1118" s="3" t="s">
        <v>4</v>
      </c>
      <c r="S1118" s="3" t="s">
        <v>3</v>
      </c>
      <c r="T1118" s="3" t="s">
        <v>2</v>
      </c>
      <c r="U1118" s="3" t="s">
        <v>1</v>
      </c>
      <c r="V1118" s="3" t="s">
        <v>0</v>
      </c>
      <c r="W1118" s="2">
        <v>32</v>
      </c>
    </row>
    <row r="1119" spans="1:24" s="9" customFormat="1" hidden="1" x14ac:dyDescent="0.25">
      <c r="A1119" s="17">
        <v>12387</v>
      </c>
      <c r="B1119" s="17" t="s">
        <v>1621</v>
      </c>
      <c r="C1119" s="16" t="s">
        <v>1620</v>
      </c>
      <c r="D1119" s="15" t="s">
        <v>15</v>
      </c>
      <c r="E1119" s="14" t="s">
        <v>1506</v>
      </c>
      <c r="F1119" s="13">
        <v>40809</v>
      </c>
      <c r="G1119" s="13" t="s">
        <v>1</v>
      </c>
      <c r="H1119" s="13" t="s">
        <v>1</v>
      </c>
      <c r="I1119" s="12" t="s">
        <v>13</v>
      </c>
      <c r="J1119" s="12" t="s">
        <v>12</v>
      </c>
      <c r="K1119" s="12" t="s">
        <v>539</v>
      </c>
      <c r="L1119" s="12" t="s">
        <v>538</v>
      </c>
      <c r="M1119" s="12" t="s">
        <v>537</v>
      </c>
      <c r="N1119" s="12" t="s">
        <v>1619</v>
      </c>
      <c r="O1119" s="12" t="s">
        <v>67</v>
      </c>
      <c r="P1119" s="12" t="s">
        <v>72</v>
      </c>
      <c r="Q1119" s="12" t="s">
        <v>5</v>
      </c>
      <c r="R1119" s="12" t="s">
        <v>4</v>
      </c>
      <c r="S1119" s="12" t="s">
        <v>3</v>
      </c>
      <c r="T1119" s="12" t="s">
        <v>2</v>
      </c>
      <c r="U1119" s="12" t="s">
        <v>1</v>
      </c>
      <c r="V1119" s="12" t="s">
        <v>0</v>
      </c>
      <c r="W1119" s="11">
        <v>36</v>
      </c>
    </row>
    <row r="1120" spans="1:24" hidden="1" x14ac:dyDescent="0.25">
      <c r="A1120" s="8">
        <v>12372</v>
      </c>
      <c r="B1120" s="8" t="s">
        <v>1618</v>
      </c>
      <c r="C1120" s="7" t="s">
        <v>1617</v>
      </c>
      <c r="D1120" s="6" t="s">
        <v>15</v>
      </c>
      <c r="E1120" s="5" t="s">
        <v>1506</v>
      </c>
      <c r="F1120" s="4">
        <v>40809</v>
      </c>
      <c r="G1120" s="4" t="s">
        <v>1</v>
      </c>
      <c r="H1120" s="4" t="s">
        <v>1</v>
      </c>
      <c r="I1120" s="3" t="s">
        <v>13</v>
      </c>
      <c r="J1120" s="3" t="s">
        <v>133</v>
      </c>
      <c r="K1120" s="3" t="s">
        <v>11</v>
      </c>
      <c r="L1120" s="3" t="s">
        <v>10</v>
      </c>
      <c r="M1120" s="3" t="s">
        <v>290</v>
      </c>
      <c r="N1120" s="3" t="s">
        <v>185</v>
      </c>
      <c r="O1120" s="3" t="s">
        <v>184</v>
      </c>
      <c r="P1120" s="3" t="s">
        <v>6</v>
      </c>
      <c r="Q1120" s="3" t="s">
        <v>20</v>
      </c>
      <c r="R1120" s="3" t="s">
        <v>4</v>
      </c>
      <c r="S1120" s="3" t="s">
        <v>3</v>
      </c>
      <c r="T1120" s="3" t="s">
        <v>2</v>
      </c>
      <c r="U1120" s="3" t="s">
        <v>1</v>
      </c>
      <c r="V1120" s="3" t="s">
        <v>0</v>
      </c>
      <c r="W1120" s="2">
        <v>31</v>
      </c>
    </row>
    <row r="1121" spans="1:23" s="9" customFormat="1" hidden="1" x14ac:dyDescent="0.25">
      <c r="A1121" s="17">
        <v>12447</v>
      </c>
      <c r="B1121" s="17" t="s">
        <v>1616</v>
      </c>
      <c r="C1121" s="16" t="s">
        <v>1615</v>
      </c>
      <c r="D1121" s="15" t="s">
        <v>15</v>
      </c>
      <c r="E1121" s="14" t="s">
        <v>154</v>
      </c>
      <c r="F1121" s="13">
        <v>40812</v>
      </c>
      <c r="G1121" s="13" t="s">
        <v>1</v>
      </c>
      <c r="H1121" s="13" t="s">
        <v>1</v>
      </c>
      <c r="I1121" s="12" t="s">
        <v>13</v>
      </c>
      <c r="J1121" s="12" t="s">
        <v>12</v>
      </c>
      <c r="K1121" s="12" t="s">
        <v>539</v>
      </c>
      <c r="L1121" s="12" t="s">
        <v>538</v>
      </c>
      <c r="M1121" s="12" t="s">
        <v>537</v>
      </c>
      <c r="N1121" s="12" t="s">
        <v>1614</v>
      </c>
      <c r="O1121" s="12" t="s">
        <v>67</v>
      </c>
      <c r="P1121" s="12" t="s">
        <v>72</v>
      </c>
      <c r="Q1121" s="12" t="s">
        <v>5</v>
      </c>
      <c r="R1121" s="12" t="s">
        <v>4</v>
      </c>
      <c r="S1121" s="12" t="s">
        <v>3</v>
      </c>
      <c r="T1121" s="12" t="s">
        <v>2</v>
      </c>
      <c r="U1121" s="12" t="s">
        <v>1</v>
      </c>
      <c r="V1121" s="12" t="s">
        <v>0</v>
      </c>
      <c r="W1121" s="11">
        <v>34</v>
      </c>
    </row>
    <row r="1122" spans="1:23" s="9" customFormat="1" hidden="1" x14ac:dyDescent="0.25">
      <c r="A1122" s="17">
        <v>12484</v>
      </c>
      <c r="B1122" s="17" t="s">
        <v>1613</v>
      </c>
      <c r="C1122" s="16" t="s">
        <v>1612</v>
      </c>
      <c r="D1122" s="15" t="s">
        <v>15</v>
      </c>
      <c r="E1122" s="14" t="s">
        <v>154</v>
      </c>
      <c r="F1122" s="13">
        <v>40812</v>
      </c>
      <c r="G1122" s="13" t="s">
        <v>1</v>
      </c>
      <c r="H1122" s="13" t="s">
        <v>1</v>
      </c>
      <c r="I1122" s="12" t="s">
        <v>13</v>
      </c>
      <c r="J1122" s="12" t="s">
        <v>12</v>
      </c>
      <c r="K1122" s="12" t="s">
        <v>539</v>
      </c>
      <c r="L1122" s="12" t="s">
        <v>538</v>
      </c>
      <c r="M1122" s="12" t="s">
        <v>537</v>
      </c>
      <c r="N1122" s="12" t="s">
        <v>1611</v>
      </c>
      <c r="O1122" s="12" t="s">
        <v>258</v>
      </c>
      <c r="P1122" s="12" t="s">
        <v>72</v>
      </c>
      <c r="Q1122" s="12" t="s">
        <v>5</v>
      </c>
      <c r="R1122" s="12" t="s">
        <v>4</v>
      </c>
      <c r="S1122" s="12" t="s">
        <v>3</v>
      </c>
      <c r="T1122" s="12" t="s">
        <v>2</v>
      </c>
      <c r="U1122" s="12" t="s">
        <v>1</v>
      </c>
      <c r="V1122" s="12" t="s">
        <v>0</v>
      </c>
      <c r="W1122" s="11">
        <v>32</v>
      </c>
    </row>
    <row r="1123" spans="1:23" s="78" customFormat="1" hidden="1" x14ac:dyDescent="0.25">
      <c r="A1123" s="73">
        <v>12969</v>
      </c>
      <c r="B1123" s="73" t="s">
        <v>1610</v>
      </c>
      <c r="C1123" s="102" t="s">
        <v>1609</v>
      </c>
      <c r="D1123" s="88" t="s">
        <v>15</v>
      </c>
      <c r="E1123" s="91" t="s">
        <v>1369</v>
      </c>
      <c r="F1123" s="90">
        <v>40840</v>
      </c>
      <c r="G1123" s="90" t="s">
        <v>1</v>
      </c>
      <c r="H1123" s="90" t="s">
        <v>1</v>
      </c>
      <c r="I1123" s="92" t="s">
        <v>13</v>
      </c>
      <c r="J1123" s="92" t="s">
        <v>12</v>
      </c>
      <c r="K1123" s="92" t="s">
        <v>539</v>
      </c>
      <c r="L1123" s="92" t="s">
        <v>538</v>
      </c>
      <c r="M1123" s="92" t="s">
        <v>537</v>
      </c>
      <c r="N1123" s="92" t="s">
        <v>606</v>
      </c>
      <c r="O1123" s="92" t="s">
        <v>59</v>
      </c>
      <c r="P1123" s="92" t="s">
        <v>72</v>
      </c>
      <c r="Q1123" s="92" t="s">
        <v>5</v>
      </c>
      <c r="R1123" s="92" t="s">
        <v>4</v>
      </c>
      <c r="S1123" s="92" t="s">
        <v>3</v>
      </c>
      <c r="T1123" s="92" t="s">
        <v>2</v>
      </c>
      <c r="U1123" s="92" t="s">
        <v>1</v>
      </c>
      <c r="V1123" s="92" t="s">
        <v>0</v>
      </c>
      <c r="W1123" s="93">
        <v>36</v>
      </c>
    </row>
    <row r="1124" spans="1:23" hidden="1" x14ac:dyDescent="0.25">
      <c r="A1124" s="8">
        <v>12418</v>
      </c>
      <c r="B1124" s="8" t="s">
        <v>1608</v>
      </c>
      <c r="C1124" s="35" t="s">
        <v>1607</v>
      </c>
      <c r="D1124" s="6" t="s">
        <v>15</v>
      </c>
      <c r="E1124" s="8" t="s">
        <v>154</v>
      </c>
      <c r="F1124" s="4">
        <v>40812</v>
      </c>
      <c r="G1124" s="4" t="s">
        <v>1</v>
      </c>
      <c r="H1124" s="4" t="s">
        <v>1</v>
      </c>
      <c r="I1124" s="3" t="s">
        <v>13</v>
      </c>
      <c r="J1124" s="3" t="s">
        <v>12</v>
      </c>
      <c r="K1124" s="3" t="s">
        <v>63</v>
      </c>
      <c r="L1124" s="3" t="s">
        <v>1469</v>
      </c>
      <c r="M1124" s="3" t="s">
        <v>1468</v>
      </c>
      <c r="N1124" s="3" t="s">
        <v>628</v>
      </c>
      <c r="O1124" s="3" t="s">
        <v>59</v>
      </c>
      <c r="P1124" s="3" t="s">
        <v>6</v>
      </c>
      <c r="Q1124" s="3" t="s">
        <v>5</v>
      </c>
      <c r="R1124" s="3" t="s">
        <v>4</v>
      </c>
      <c r="S1124" s="3" t="s">
        <v>3</v>
      </c>
      <c r="T1124" s="3" t="s">
        <v>2</v>
      </c>
      <c r="U1124" s="3" t="s">
        <v>1</v>
      </c>
      <c r="V1124" s="3" t="s">
        <v>0</v>
      </c>
      <c r="W1124" s="2">
        <v>32</v>
      </c>
    </row>
    <row r="1125" spans="1:23" hidden="1" x14ac:dyDescent="0.25">
      <c r="A1125" s="8">
        <v>12435</v>
      </c>
      <c r="B1125" s="8" t="s">
        <v>1606</v>
      </c>
      <c r="C1125" s="7" t="s">
        <v>1605</v>
      </c>
      <c r="D1125" s="6" t="s">
        <v>15</v>
      </c>
      <c r="E1125" s="5" t="s">
        <v>154</v>
      </c>
      <c r="F1125" s="4">
        <v>40812</v>
      </c>
      <c r="G1125" s="4" t="s">
        <v>1</v>
      </c>
      <c r="H1125" s="4" t="s">
        <v>1</v>
      </c>
      <c r="I1125" s="3" t="s">
        <v>13</v>
      </c>
      <c r="J1125" s="3" t="s">
        <v>12</v>
      </c>
      <c r="K1125" s="3" t="s">
        <v>63</v>
      </c>
      <c r="L1125" s="3" t="s">
        <v>62</v>
      </c>
      <c r="M1125" s="3" t="s">
        <v>61</v>
      </c>
      <c r="N1125" s="3" t="s">
        <v>1078</v>
      </c>
      <c r="O1125" s="3" t="s">
        <v>29</v>
      </c>
      <c r="P1125" s="3" t="s">
        <v>6</v>
      </c>
      <c r="Q1125" s="3" t="s">
        <v>20</v>
      </c>
      <c r="R1125" s="3" t="s">
        <v>4</v>
      </c>
      <c r="S1125" s="3" t="s">
        <v>3</v>
      </c>
      <c r="T1125" s="3" t="s">
        <v>1077</v>
      </c>
      <c r="U1125" s="3" t="s">
        <v>1</v>
      </c>
      <c r="V1125" s="3" t="s">
        <v>0</v>
      </c>
      <c r="W1125" s="2">
        <v>31</v>
      </c>
    </row>
    <row r="1126" spans="1:23" s="78" customFormat="1" hidden="1" x14ac:dyDescent="0.25">
      <c r="A1126" s="73">
        <v>12444</v>
      </c>
      <c r="B1126" s="73" t="s">
        <v>1604</v>
      </c>
      <c r="C1126" s="87" t="s">
        <v>1603</v>
      </c>
      <c r="D1126" s="88" t="s">
        <v>15</v>
      </c>
      <c r="E1126" s="89" t="s">
        <v>154</v>
      </c>
      <c r="F1126" s="90">
        <v>40812</v>
      </c>
      <c r="G1126" s="90" t="s">
        <v>1</v>
      </c>
      <c r="H1126" s="90" t="s">
        <v>1</v>
      </c>
      <c r="I1126" s="89" t="s">
        <v>365</v>
      </c>
      <c r="J1126" s="89" t="s">
        <v>1601</v>
      </c>
      <c r="K1126" s="89" t="s">
        <v>33</v>
      </c>
      <c r="L1126" s="89" t="s">
        <v>33</v>
      </c>
      <c r="M1126" s="89" t="s">
        <v>1601</v>
      </c>
      <c r="N1126" s="89" t="s">
        <v>1602</v>
      </c>
      <c r="O1126" s="89" t="s">
        <v>1601</v>
      </c>
      <c r="P1126" s="89" t="s">
        <v>30</v>
      </c>
      <c r="Q1126" s="89" t="s">
        <v>121</v>
      </c>
      <c r="R1126" s="92" t="s">
        <v>4</v>
      </c>
      <c r="S1126" s="92" t="s">
        <v>3</v>
      </c>
      <c r="T1126" s="92" t="s">
        <v>2</v>
      </c>
      <c r="U1126" s="92" t="s">
        <v>1</v>
      </c>
      <c r="V1126" s="92" t="s">
        <v>18</v>
      </c>
      <c r="W1126" s="93">
        <v>33</v>
      </c>
    </row>
    <row r="1127" spans="1:23" s="99" customFormat="1" hidden="1" x14ac:dyDescent="0.25">
      <c r="A1127" s="97" t="s">
        <v>1600</v>
      </c>
      <c r="B1127" s="97" t="s">
        <v>1600</v>
      </c>
      <c r="C1127" s="121" t="s">
        <v>1599</v>
      </c>
      <c r="D1127" s="122" t="s">
        <v>15</v>
      </c>
      <c r="E1127" s="123" t="s">
        <v>1598</v>
      </c>
      <c r="F1127" s="124">
        <v>40955</v>
      </c>
      <c r="G1127" s="124" t="s">
        <v>1</v>
      </c>
      <c r="H1127" s="124" t="s">
        <v>1</v>
      </c>
      <c r="I1127" s="125" t="s">
        <v>13</v>
      </c>
      <c r="J1127" s="125" t="s">
        <v>12</v>
      </c>
      <c r="K1127" s="125" t="s">
        <v>539</v>
      </c>
      <c r="L1127" s="125" t="s">
        <v>538</v>
      </c>
      <c r="M1127" s="125" t="s">
        <v>537</v>
      </c>
      <c r="N1127" s="125" t="s">
        <v>716</v>
      </c>
      <c r="O1127" s="125" t="s">
        <v>59</v>
      </c>
      <c r="P1127" s="125" t="s">
        <v>72</v>
      </c>
      <c r="Q1127" s="125" t="s">
        <v>5</v>
      </c>
      <c r="R1127" s="125" t="s">
        <v>4</v>
      </c>
      <c r="S1127" s="125" t="s">
        <v>3</v>
      </c>
      <c r="T1127" s="125" t="s">
        <v>2</v>
      </c>
      <c r="U1127" s="125" t="s">
        <v>1</v>
      </c>
      <c r="V1127" s="125" t="s">
        <v>0</v>
      </c>
      <c r="W1127" s="126">
        <v>33</v>
      </c>
    </row>
    <row r="1128" spans="1:23" hidden="1" x14ac:dyDescent="0.25">
      <c r="A1128" s="8">
        <v>12452</v>
      </c>
      <c r="B1128" s="8" t="s">
        <v>1597</v>
      </c>
      <c r="C1128" s="7" t="s">
        <v>1596</v>
      </c>
      <c r="D1128" s="6" t="s">
        <v>15</v>
      </c>
      <c r="E1128" s="5" t="s">
        <v>154</v>
      </c>
      <c r="F1128" s="4">
        <v>40812</v>
      </c>
      <c r="G1128" s="4" t="s">
        <v>1</v>
      </c>
      <c r="H1128" s="4" t="s">
        <v>1</v>
      </c>
      <c r="I1128" s="3" t="s">
        <v>13</v>
      </c>
      <c r="J1128" s="3" t="s">
        <v>12</v>
      </c>
      <c r="K1128" s="3" t="s">
        <v>132</v>
      </c>
      <c r="L1128" s="3" t="s">
        <v>218</v>
      </c>
      <c r="M1128" s="3" t="s">
        <v>575</v>
      </c>
      <c r="N1128" s="3" t="s">
        <v>1595</v>
      </c>
      <c r="O1128" s="3" t="s">
        <v>59</v>
      </c>
      <c r="P1128" s="3" t="s">
        <v>6</v>
      </c>
      <c r="Q1128" s="3" t="s">
        <v>5</v>
      </c>
      <c r="R1128" s="3" t="s">
        <v>4</v>
      </c>
      <c r="S1128" s="3" t="s">
        <v>3</v>
      </c>
      <c r="T1128" s="3" t="s">
        <v>2</v>
      </c>
      <c r="U1128" s="3" t="s">
        <v>1</v>
      </c>
      <c r="V1128" s="3" t="s">
        <v>0</v>
      </c>
      <c r="W1128" s="2">
        <v>31</v>
      </c>
    </row>
    <row r="1129" spans="1:23" hidden="1" x14ac:dyDescent="0.25">
      <c r="A1129" s="8">
        <v>246</v>
      </c>
      <c r="B1129" s="8" t="s">
        <v>1594</v>
      </c>
      <c r="C1129" s="7" t="s">
        <v>1593</v>
      </c>
      <c r="D1129" s="6" t="s">
        <v>15</v>
      </c>
      <c r="E1129" s="5" t="s">
        <v>304</v>
      </c>
      <c r="F1129" s="4">
        <v>37704</v>
      </c>
      <c r="G1129" s="4" t="s">
        <v>1</v>
      </c>
      <c r="H1129" s="4" t="s">
        <v>1</v>
      </c>
      <c r="I1129" s="3" t="s">
        <v>13</v>
      </c>
      <c r="J1129" s="3" t="s">
        <v>12</v>
      </c>
      <c r="K1129" s="3" t="s">
        <v>283</v>
      </c>
      <c r="L1129" s="3" t="s">
        <v>282</v>
      </c>
      <c r="M1129" s="3" t="s">
        <v>281</v>
      </c>
      <c r="N1129" s="3" t="s">
        <v>1592</v>
      </c>
      <c r="O1129" s="3" t="s">
        <v>100</v>
      </c>
      <c r="P1129" s="3" t="s">
        <v>72</v>
      </c>
      <c r="Q1129" s="3" t="s">
        <v>20</v>
      </c>
      <c r="R1129" s="3" t="s">
        <v>4</v>
      </c>
      <c r="S1129" s="3" t="s">
        <v>3</v>
      </c>
      <c r="T1129" s="3" t="s">
        <v>2</v>
      </c>
      <c r="U1129" s="3" t="s">
        <v>1</v>
      </c>
      <c r="V1129" s="3" t="s">
        <v>0</v>
      </c>
      <c r="W1129" s="2">
        <v>42</v>
      </c>
    </row>
    <row r="1130" spans="1:23" hidden="1" x14ac:dyDescent="0.25">
      <c r="A1130" s="8">
        <v>330</v>
      </c>
      <c r="B1130" s="8" t="s">
        <v>1591</v>
      </c>
      <c r="C1130" s="7" t="s">
        <v>1590</v>
      </c>
      <c r="D1130" s="6" t="s">
        <v>15</v>
      </c>
      <c r="E1130" s="5" t="s">
        <v>301</v>
      </c>
      <c r="F1130" s="4">
        <v>37725</v>
      </c>
      <c r="G1130" s="4" t="s">
        <v>1</v>
      </c>
      <c r="H1130" s="4" t="s">
        <v>1</v>
      </c>
      <c r="I1130" s="3" t="s">
        <v>13</v>
      </c>
      <c r="J1130" s="3" t="s">
        <v>12</v>
      </c>
      <c r="K1130" s="3" t="s">
        <v>283</v>
      </c>
      <c r="L1130" s="3" t="s">
        <v>282</v>
      </c>
      <c r="M1130" s="3" t="s">
        <v>281</v>
      </c>
      <c r="N1130" s="3" t="s">
        <v>1589</v>
      </c>
      <c r="O1130" s="3" t="s">
        <v>100</v>
      </c>
      <c r="P1130" s="3" t="s">
        <v>72</v>
      </c>
      <c r="Q1130" s="3" t="s">
        <v>20</v>
      </c>
      <c r="R1130" s="3" t="s">
        <v>4</v>
      </c>
      <c r="S1130" s="3" t="s">
        <v>3</v>
      </c>
      <c r="T1130" s="3" t="s">
        <v>2</v>
      </c>
      <c r="U1130" s="3" t="s">
        <v>1</v>
      </c>
      <c r="V1130" s="3" t="s">
        <v>0</v>
      </c>
      <c r="W1130" s="2">
        <v>41</v>
      </c>
    </row>
    <row r="1131" spans="1:23" hidden="1" x14ac:dyDescent="0.25">
      <c r="A1131" s="8">
        <v>1037</v>
      </c>
      <c r="B1131" s="8" t="s">
        <v>1588</v>
      </c>
      <c r="C1131" s="7" t="s">
        <v>1587</v>
      </c>
      <c r="D1131" s="6" t="s">
        <v>15</v>
      </c>
      <c r="E1131" s="5" t="s">
        <v>1586</v>
      </c>
      <c r="F1131" s="4">
        <v>37879</v>
      </c>
      <c r="G1131" s="4" t="s">
        <v>1</v>
      </c>
      <c r="H1131" s="4" t="s">
        <v>1</v>
      </c>
      <c r="I1131" s="3" t="s">
        <v>13</v>
      </c>
      <c r="J1131" s="3" t="s">
        <v>12</v>
      </c>
      <c r="K1131" s="3" t="s">
        <v>283</v>
      </c>
      <c r="L1131" s="3" t="s">
        <v>282</v>
      </c>
      <c r="M1131" s="3" t="s">
        <v>281</v>
      </c>
      <c r="N1131" s="3" t="s">
        <v>1412</v>
      </c>
      <c r="O1131" s="3" t="s">
        <v>100</v>
      </c>
      <c r="P1131" s="3" t="s">
        <v>72</v>
      </c>
      <c r="Q1131" s="3" t="s">
        <v>20</v>
      </c>
      <c r="R1131" s="3" t="s">
        <v>4</v>
      </c>
      <c r="S1131" s="3" t="s">
        <v>3</v>
      </c>
      <c r="T1131" s="3" t="s">
        <v>2</v>
      </c>
      <c r="U1131" s="3" t="s">
        <v>1</v>
      </c>
      <c r="V1131" s="3" t="s">
        <v>0</v>
      </c>
      <c r="W1131" s="2">
        <v>39</v>
      </c>
    </row>
    <row r="1132" spans="1:23" hidden="1" x14ac:dyDescent="0.25">
      <c r="A1132" s="8">
        <v>12470</v>
      </c>
      <c r="B1132" s="8" t="s">
        <v>1585</v>
      </c>
      <c r="C1132" s="7" t="s">
        <v>1584</v>
      </c>
      <c r="D1132" s="6" t="s">
        <v>15</v>
      </c>
      <c r="E1132" s="5" t="s">
        <v>154</v>
      </c>
      <c r="F1132" s="4">
        <v>40812</v>
      </c>
      <c r="G1132" s="4" t="s">
        <v>1</v>
      </c>
      <c r="H1132" s="4" t="s">
        <v>1</v>
      </c>
      <c r="I1132" s="3" t="s">
        <v>13</v>
      </c>
      <c r="J1132" s="3" t="s">
        <v>12</v>
      </c>
      <c r="K1132" s="3" t="s">
        <v>758</v>
      </c>
      <c r="L1132" s="3" t="s">
        <v>757</v>
      </c>
      <c r="M1132" s="3" t="s">
        <v>756</v>
      </c>
      <c r="N1132" s="3" t="s">
        <v>628</v>
      </c>
      <c r="O1132" s="3" t="s">
        <v>59</v>
      </c>
      <c r="P1132" s="3" t="s">
        <v>6</v>
      </c>
      <c r="Q1132" s="3" t="s">
        <v>5</v>
      </c>
      <c r="R1132" s="3" t="s">
        <v>4</v>
      </c>
      <c r="S1132" s="3" t="s">
        <v>3</v>
      </c>
      <c r="T1132" s="3" t="s">
        <v>2</v>
      </c>
      <c r="U1132" s="3" t="s">
        <v>1</v>
      </c>
      <c r="V1132" s="3" t="s">
        <v>0</v>
      </c>
      <c r="W1132" s="2">
        <v>33</v>
      </c>
    </row>
    <row r="1133" spans="1:23" hidden="1" x14ac:dyDescent="0.25">
      <c r="A1133" s="8">
        <v>1265</v>
      </c>
      <c r="B1133" s="8" t="s">
        <v>1583</v>
      </c>
      <c r="C1133" s="46" t="s">
        <v>1582</v>
      </c>
      <c r="D1133" s="45" t="s">
        <v>15</v>
      </c>
      <c r="E1133" s="5" t="s">
        <v>1581</v>
      </c>
      <c r="F1133" s="4">
        <v>37921</v>
      </c>
      <c r="G1133" s="4" t="s">
        <v>1</v>
      </c>
      <c r="H1133" s="4" t="s">
        <v>1</v>
      </c>
      <c r="I1133" s="3" t="s">
        <v>13</v>
      </c>
      <c r="J1133" s="3" t="s">
        <v>12</v>
      </c>
      <c r="K1133" s="3" t="s">
        <v>283</v>
      </c>
      <c r="L1133" s="3" t="s">
        <v>282</v>
      </c>
      <c r="M1133" s="3" t="s">
        <v>281</v>
      </c>
      <c r="N1133" s="3" t="s">
        <v>136</v>
      </c>
      <c r="O1133" s="3" t="s">
        <v>100</v>
      </c>
      <c r="P1133" s="3" t="s">
        <v>72</v>
      </c>
      <c r="Q1133" s="3" t="s">
        <v>20</v>
      </c>
      <c r="R1133" s="3" t="s">
        <v>4</v>
      </c>
      <c r="S1133" s="3" t="s">
        <v>3</v>
      </c>
      <c r="T1133" s="3" t="s">
        <v>2</v>
      </c>
      <c r="U1133" s="3" t="s">
        <v>1</v>
      </c>
      <c r="V1133" s="3" t="s">
        <v>0</v>
      </c>
      <c r="W1133" s="2">
        <v>40</v>
      </c>
    </row>
    <row r="1134" spans="1:23" hidden="1" x14ac:dyDescent="0.25">
      <c r="A1134" s="8">
        <v>4401</v>
      </c>
      <c r="B1134" s="8" t="s">
        <v>1580</v>
      </c>
      <c r="C1134" s="7" t="s">
        <v>1579</v>
      </c>
      <c r="D1134" s="6" t="s">
        <v>15</v>
      </c>
      <c r="E1134" s="5" t="s">
        <v>1578</v>
      </c>
      <c r="F1134" s="4">
        <v>38754</v>
      </c>
      <c r="G1134" s="4" t="s">
        <v>1</v>
      </c>
      <c r="H1134" s="4" t="s">
        <v>1</v>
      </c>
      <c r="I1134" s="3" t="s">
        <v>13</v>
      </c>
      <c r="J1134" s="3" t="s">
        <v>12</v>
      </c>
      <c r="K1134" s="3" t="s">
        <v>283</v>
      </c>
      <c r="L1134" s="3" t="s">
        <v>282</v>
      </c>
      <c r="M1134" s="3" t="s">
        <v>281</v>
      </c>
      <c r="N1134" s="3" t="s">
        <v>1401</v>
      </c>
      <c r="O1134" s="3" t="s">
        <v>100</v>
      </c>
      <c r="P1134" s="3" t="s">
        <v>72</v>
      </c>
      <c r="Q1134" s="3" t="s">
        <v>20</v>
      </c>
      <c r="R1134" s="3" t="s">
        <v>4</v>
      </c>
      <c r="S1134" s="3" t="s">
        <v>3</v>
      </c>
      <c r="T1134" s="3" t="s">
        <v>2</v>
      </c>
      <c r="U1134" s="3" t="s">
        <v>1</v>
      </c>
      <c r="V1134" s="3" t="s">
        <v>0</v>
      </c>
      <c r="W1134" s="2">
        <v>39</v>
      </c>
    </row>
    <row r="1135" spans="1:23" hidden="1" x14ac:dyDescent="0.25">
      <c r="A1135" s="8">
        <v>5962</v>
      </c>
      <c r="B1135" s="8" t="s">
        <v>1577</v>
      </c>
      <c r="C1135" s="7" t="s">
        <v>1576</v>
      </c>
      <c r="D1135" s="6" t="s">
        <v>15</v>
      </c>
      <c r="E1135" s="5" t="s">
        <v>248</v>
      </c>
      <c r="F1135" s="4">
        <v>39129</v>
      </c>
      <c r="G1135" s="4" t="s">
        <v>1</v>
      </c>
      <c r="H1135" s="4" t="s">
        <v>1</v>
      </c>
      <c r="I1135" s="3" t="s">
        <v>13</v>
      </c>
      <c r="J1135" s="3" t="s">
        <v>12</v>
      </c>
      <c r="K1135" s="3" t="s">
        <v>283</v>
      </c>
      <c r="L1135" s="3" t="s">
        <v>282</v>
      </c>
      <c r="M1135" s="3" t="s">
        <v>281</v>
      </c>
      <c r="N1135" s="3" t="s">
        <v>1575</v>
      </c>
      <c r="O1135" s="3" t="s">
        <v>100</v>
      </c>
      <c r="P1135" s="3" t="s">
        <v>72</v>
      </c>
      <c r="Q1135" s="3" t="s">
        <v>20</v>
      </c>
      <c r="R1135" s="3" t="s">
        <v>4</v>
      </c>
      <c r="S1135" s="3" t="s">
        <v>3</v>
      </c>
      <c r="T1135" s="3" t="s">
        <v>2</v>
      </c>
      <c r="U1135" s="3" t="s">
        <v>1</v>
      </c>
      <c r="V1135" s="3" t="s">
        <v>0</v>
      </c>
      <c r="W1135" s="2">
        <v>41</v>
      </c>
    </row>
    <row r="1136" spans="1:23" hidden="1" x14ac:dyDescent="0.25">
      <c r="A1136" s="8">
        <v>12483</v>
      </c>
      <c r="B1136" s="8" t="s">
        <v>1574</v>
      </c>
      <c r="C1136" s="19" t="s">
        <v>1573</v>
      </c>
      <c r="D1136" s="6" t="s">
        <v>15</v>
      </c>
      <c r="E1136" s="18" t="s">
        <v>154</v>
      </c>
      <c r="F1136" s="4">
        <v>40812</v>
      </c>
      <c r="G1136" s="4" t="s">
        <v>1</v>
      </c>
      <c r="H1136" s="4" t="s">
        <v>1</v>
      </c>
      <c r="I1136" s="3" t="s">
        <v>13</v>
      </c>
      <c r="J1136" s="3" t="s">
        <v>12</v>
      </c>
      <c r="K1136" s="3" t="s">
        <v>283</v>
      </c>
      <c r="L1136" s="3" t="s">
        <v>282</v>
      </c>
      <c r="M1136" s="3" t="s">
        <v>698</v>
      </c>
      <c r="N1136" s="3" t="s">
        <v>1412</v>
      </c>
      <c r="O1136" s="3" t="s">
        <v>100</v>
      </c>
      <c r="P1136" s="3" t="s">
        <v>6</v>
      </c>
      <c r="Q1136" s="3" t="s">
        <v>20</v>
      </c>
      <c r="R1136" s="3" t="s">
        <v>4</v>
      </c>
      <c r="S1136" s="3" t="s">
        <v>3</v>
      </c>
      <c r="T1136" s="3" t="s">
        <v>2</v>
      </c>
      <c r="U1136" s="3" t="s">
        <v>1</v>
      </c>
      <c r="V1136" s="3" t="s">
        <v>0</v>
      </c>
      <c r="W1136" s="2">
        <v>35</v>
      </c>
    </row>
    <row r="1137" spans="1:23" s="78" customFormat="1" hidden="1" x14ac:dyDescent="0.25">
      <c r="A1137" s="73">
        <v>6149</v>
      </c>
      <c r="B1137" s="73" t="s">
        <v>1572</v>
      </c>
      <c r="C1137" s="87" t="s">
        <v>1571</v>
      </c>
      <c r="D1137" s="88" t="s">
        <v>15</v>
      </c>
      <c r="E1137" s="89" t="s">
        <v>768</v>
      </c>
      <c r="F1137" s="90">
        <v>39157</v>
      </c>
      <c r="G1137" s="90" t="s">
        <v>1</v>
      </c>
      <c r="H1137" s="90" t="s">
        <v>1</v>
      </c>
      <c r="I1137" s="92" t="s">
        <v>13</v>
      </c>
      <c r="J1137" s="92" t="s">
        <v>12</v>
      </c>
      <c r="K1137" s="92" t="s">
        <v>283</v>
      </c>
      <c r="L1137" s="92" t="s">
        <v>282</v>
      </c>
      <c r="M1137" s="92" t="s">
        <v>281</v>
      </c>
      <c r="N1137" s="92" t="s">
        <v>1275</v>
      </c>
      <c r="O1137" s="92" t="s">
        <v>100</v>
      </c>
      <c r="P1137" s="92" t="s">
        <v>72</v>
      </c>
      <c r="Q1137" s="92" t="s">
        <v>20</v>
      </c>
      <c r="R1137" s="92" t="s">
        <v>4</v>
      </c>
      <c r="S1137" s="92" t="s">
        <v>3</v>
      </c>
      <c r="T1137" s="92" t="s">
        <v>2</v>
      </c>
      <c r="U1137" s="92" t="s">
        <v>1</v>
      </c>
      <c r="V1137" s="92" t="s">
        <v>0</v>
      </c>
      <c r="W1137" s="93">
        <v>38</v>
      </c>
    </row>
    <row r="1138" spans="1:23" hidden="1" x14ac:dyDescent="0.25">
      <c r="A1138" s="8">
        <v>12485</v>
      </c>
      <c r="B1138" s="8" t="s">
        <v>1570</v>
      </c>
      <c r="C1138" s="7" t="s">
        <v>1569</v>
      </c>
      <c r="D1138" s="6" t="s">
        <v>15</v>
      </c>
      <c r="E1138" s="5" t="s">
        <v>154</v>
      </c>
      <c r="F1138" s="4">
        <v>40812</v>
      </c>
      <c r="G1138" s="4" t="s">
        <v>1</v>
      </c>
      <c r="H1138" s="4" t="s">
        <v>1</v>
      </c>
      <c r="I1138" s="3" t="s">
        <v>13</v>
      </c>
      <c r="J1138" s="3" t="s">
        <v>12</v>
      </c>
      <c r="K1138" s="3" t="s">
        <v>539</v>
      </c>
      <c r="L1138" s="3" t="s">
        <v>1568</v>
      </c>
      <c r="M1138" s="3" t="s">
        <v>1567</v>
      </c>
      <c r="N1138" s="3" t="s">
        <v>628</v>
      </c>
      <c r="O1138" s="3" t="s">
        <v>59</v>
      </c>
      <c r="P1138" s="3" t="s">
        <v>6</v>
      </c>
      <c r="Q1138" s="3" t="s">
        <v>5</v>
      </c>
      <c r="R1138" s="3" t="s">
        <v>4</v>
      </c>
      <c r="S1138" s="3" t="s">
        <v>3</v>
      </c>
      <c r="T1138" s="3" t="s">
        <v>2</v>
      </c>
      <c r="U1138" s="3" t="s">
        <v>1</v>
      </c>
      <c r="V1138" s="3" t="s">
        <v>0</v>
      </c>
      <c r="W1138" s="2">
        <v>30</v>
      </c>
    </row>
    <row r="1139" spans="1:23" hidden="1" x14ac:dyDescent="0.25">
      <c r="A1139" s="8">
        <v>12499</v>
      </c>
      <c r="B1139" s="8" t="s">
        <v>1566</v>
      </c>
      <c r="C1139" s="7" t="s">
        <v>1565</v>
      </c>
      <c r="D1139" s="6" t="s">
        <v>15</v>
      </c>
      <c r="E1139" s="5" t="s">
        <v>154</v>
      </c>
      <c r="F1139" s="4">
        <v>40812</v>
      </c>
      <c r="G1139" s="4" t="s">
        <v>1</v>
      </c>
      <c r="H1139" s="4" t="s">
        <v>1</v>
      </c>
      <c r="I1139" s="3" t="s">
        <v>13</v>
      </c>
      <c r="J1139" s="3" t="s">
        <v>12</v>
      </c>
      <c r="K1139" s="3" t="s">
        <v>63</v>
      </c>
      <c r="L1139" s="3" t="s">
        <v>1469</v>
      </c>
      <c r="M1139" s="3" t="s">
        <v>1468</v>
      </c>
      <c r="N1139" s="3" t="s">
        <v>22</v>
      </c>
      <c r="O1139" s="3" t="s">
        <v>21</v>
      </c>
      <c r="P1139" s="3" t="s">
        <v>6</v>
      </c>
      <c r="Q1139" s="3" t="s">
        <v>20</v>
      </c>
      <c r="R1139" s="3" t="s">
        <v>4</v>
      </c>
      <c r="S1139" s="3" t="s">
        <v>3</v>
      </c>
      <c r="T1139" s="3" t="s">
        <v>19</v>
      </c>
      <c r="U1139" s="3" t="s">
        <v>1</v>
      </c>
      <c r="V1139" s="3" t="s">
        <v>0</v>
      </c>
      <c r="W1139" s="2">
        <v>32</v>
      </c>
    </row>
    <row r="1140" spans="1:23" hidden="1" x14ac:dyDescent="0.25">
      <c r="A1140" s="8">
        <v>12500</v>
      </c>
      <c r="B1140" s="8" t="s">
        <v>1564</v>
      </c>
      <c r="C1140" s="7" t="s">
        <v>1563</v>
      </c>
      <c r="D1140" s="6" t="s">
        <v>15</v>
      </c>
      <c r="E1140" s="5" t="s">
        <v>154</v>
      </c>
      <c r="F1140" s="4">
        <v>40812</v>
      </c>
      <c r="G1140" s="4" t="s">
        <v>1</v>
      </c>
      <c r="H1140" s="4" t="s">
        <v>1</v>
      </c>
      <c r="I1140" s="18" t="s">
        <v>100</v>
      </c>
      <c r="J1140" s="18" t="s">
        <v>124</v>
      </c>
      <c r="K1140" s="18" t="s">
        <v>33</v>
      </c>
      <c r="L1140" s="18" t="s">
        <v>33</v>
      </c>
      <c r="M1140" s="18" t="s">
        <v>124</v>
      </c>
      <c r="N1140" s="18" t="s">
        <v>123</v>
      </c>
      <c r="O1140" s="18" t="s">
        <v>122</v>
      </c>
      <c r="P1140" s="5" t="s">
        <v>1</v>
      </c>
      <c r="Q1140" s="5" t="s">
        <v>121</v>
      </c>
      <c r="R1140" s="3" t="s">
        <v>4</v>
      </c>
      <c r="S1140" s="3" t="s">
        <v>3</v>
      </c>
      <c r="T1140" s="3" t="s">
        <v>2</v>
      </c>
      <c r="U1140" s="3" t="s">
        <v>1</v>
      </c>
      <c r="V1140" s="3" t="s">
        <v>0</v>
      </c>
      <c r="W1140" s="2">
        <v>31</v>
      </c>
    </row>
    <row r="1141" spans="1:23" hidden="1" x14ac:dyDescent="0.25">
      <c r="A1141" s="8">
        <v>12506</v>
      </c>
      <c r="B1141" s="8" t="s">
        <v>1562</v>
      </c>
      <c r="C1141" s="7" t="s">
        <v>1561</v>
      </c>
      <c r="D1141" s="6" t="s">
        <v>15</v>
      </c>
      <c r="E1141" s="5" t="s">
        <v>154</v>
      </c>
      <c r="F1141" s="4">
        <v>40812</v>
      </c>
      <c r="G1141" s="4" t="s">
        <v>1</v>
      </c>
      <c r="H1141" s="4" t="s">
        <v>1</v>
      </c>
      <c r="I1141" s="3" t="s">
        <v>145</v>
      </c>
      <c r="J1141" s="3" t="s">
        <v>12</v>
      </c>
      <c r="K1141" s="3" t="s">
        <v>262</v>
      </c>
      <c r="L1141" s="3" t="s">
        <v>261</v>
      </c>
      <c r="M1141" s="3" t="s">
        <v>329</v>
      </c>
      <c r="N1141" s="3" t="s">
        <v>771</v>
      </c>
      <c r="O1141" s="3" t="s">
        <v>771</v>
      </c>
      <c r="P1141" s="3" t="s">
        <v>6</v>
      </c>
      <c r="Q1141" s="3" t="s">
        <v>20</v>
      </c>
      <c r="R1141" s="3" t="s">
        <v>4</v>
      </c>
      <c r="S1141" s="3" t="s">
        <v>3</v>
      </c>
      <c r="T1141" s="3" t="s">
        <v>2</v>
      </c>
      <c r="U1141" s="3" t="s">
        <v>1</v>
      </c>
      <c r="V1141" s="3" t="s">
        <v>0</v>
      </c>
      <c r="W1141" s="2">
        <v>31</v>
      </c>
    </row>
    <row r="1142" spans="1:23" hidden="1" x14ac:dyDescent="0.25">
      <c r="A1142" s="8">
        <v>12508</v>
      </c>
      <c r="B1142" s="8" t="s">
        <v>1560</v>
      </c>
      <c r="C1142" s="7" t="s">
        <v>1559</v>
      </c>
      <c r="D1142" s="6" t="s">
        <v>15</v>
      </c>
      <c r="E1142" s="5" t="s">
        <v>154</v>
      </c>
      <c r="F1142" s="4">
        <v>40812</v>
      </c>
      <c r="G1142" s="4" t="s">
        <v>1</v>
      </c>
      <c r="H1142" s="4" t="s">
        <v>1</v>
      </c>
      <c r="I1142" s="3" t="s">
        <v>13</v>
      </c>
      <c r="J1142" s="3" t="s">
        <v>12</v>
      </c>
      <c r="K1142" s="3" t="s">
        <v>11</v>
      </c>
      <c r="L1142" s="3" t="s">
        <v>10</v>
      </c>
      <c r="M1142" s="3" t="s">
        <v>9</v>
      </c>
      <c r="N1142" s="3" t="s">
        <v>870</v>
      </c>
      <c r="O1142" s="3" t="s">
        <v>21</v>
      </c>
      <c r="P1142" s="3" t="s">
        <v>6</v>
      </c>
      <c r="Q1142" s="3" t="s">
        <v>20</v>
      </c>
      <c r="R1142" s="3" t="s">
        <v>4</v>
      </c>
      <c r="S1142" s="3" t="s">
        <v>3</v>
      </c>
      <c r="T1142" s="3" t="s">
        <v>2</v>
      </c>
      <c r="U1142" s="3" t="s">
        <v>1</v>
      </c>
      <c r="V1142" s="3" t="s">
        <v>0</v>
      </c>
      <c r="W1142" s="2">
        <v>32</v>
      </c>
    </row>
    <row r="1143" spans="1:23" hidden="1" x14ac:dyDescent="0.25">
      <c r="A1143" s="8">
        <v>12509</v>
      </c>
      <c r="B1143" s="8" t="s">
        <v>1558</v>
      </c>
      <c r="C1143" s="7" t="s">
        <v>206</v>
      </c>
      <c r="D1143" s="6" t="s">
        <v>15</v>
      </c>
      <c r="E1143" s="5" t="s">
        <v>154</v>
      </c>
      <c r="F1143" s="4">
        <v>40812</v>
      </c>
      <c r="G1143" s="4" t="s">
        <v>1</v>
      </c>
      <c r="H1143" s="4" t="s">
        <v>1</v>
      </c>
      <c r="I1143" s="3" t="s">
        <v>13</v>
      </c>
      <c r="J1143" s="3" t="s">
        <v>12</v>
      </c>
      <c r="K1143" s="3" t="s">
        <v>63</v>
      </c>
      <c r="L1143" s="3" t="s">
        <v>62</v>
      </c>
      <c r="M1143" s="3" t="s">
        <v>61</v>
      </c>
      <c r="N1143" s="3" t="s">
        <v>1557</v>
      </c>
      <c r="O1143" s="3" t="s">
        <v>258</v>
      </c>
      <c r="P1143" s="3" t="s">
        <v>6</v>
      </c>
      <c r="Q1143" s="3" t="s">
        <v>5</v>
      </c>
      <c r="R1143" s="3" t="s">
        <v>4</v>
      </c>
      <c r="S1143" s="3" t="s">
        <v>3</v>
      </c>
      <c r="T1143" s="3" t="s">
        <v>2</v>
      </c>
      <c r="U1143" s="3" t="s">
        <v>1</v>
      </c>
      <c r="V1143" s="3" t="s">
        <v>0</v>
      </c>
      <c r="W1143" s="2">
        <v>31</v>
      </c>
    </row>
    <row r="1144" spans="1:23" s="78" customFormat="1" hidden="1" x14ac:dyDescent="0.25">
      <c r="A1144" s="120">
        <v>12514</v>
      </c>
      <c r="B1144" s="73" t="s">
        <v>1556</v>
      </c>
      <c r="C1144" s="87" t="s">
        <v>1555</v>
      </c>
      <c r="D1144" s="88" t="s">
        <v>15</v>
      </c>
      <c r="E1144" s="89" t="s">
        <v>154</v>
      </c>
      <c r="F1144" s="90">
        <v>40812</v>
      </c>
      <c r="G1144" s="90" t="s">
        <v>1</v>
      </c>
      <c r="H1144" s="90" t="s">
        <v>1</v>
      </c>
      <c r="I1144" s="89" t="s">
        <v>100</v>
      </c>
      <c r="J1144" s="89" t="s">
        <v>738</v>
      </c>
      <c r="K1144" s="89" t="s">
        <v>33</v>
      </c>
      <c r="L1144" s="89" t="s">
        <v>33</v>
      </c>
      <c r="M1144" s="89" t="s">
        <v>739</v>
      </c>
      <c r="N1144" s="89" t="s">
        <v>738</v>
      </c>
      <c r="O1144" s="89" t="s">
        <v>122</v>
      </c>
      <c r="P1144" s="89" t="s">
        <v>30</v>
      </c>
      <c r="Q1144" s="89" t="s">
        <v>121</v>
      </c>
      <c r="R1144" s="92" t="s">
        <v>4</v>
      </c>
      <c r="S1144" s="92" t="s">
        <v>3</v>
      </c>
      <c r="T1144" s="92" t="s">
        <v>2</v>
      </c>
      <c r="U1144" s="92" t="s">
        <v>1</v>
      </c>
      <c r="V1144" s="92" t="s">
        <v>0</v>
      </c>
      <c r="W1144" s="93">
        <v>32</v>
      </c>
    </row>
    <row r="1145" spans="1:23" hidden="1" x14ac:dyDescent="0.25">
      <c r="A1145" s="8">
        <v>12521</v>
      </c>
      <c r="B1145" s="8" t="s">
        <v>1554</v>
      </c>
      <c r="C1145" s="7" t="s">
        <v>1553</v>
      </c>
      <c r="D1145" s="6" t="s">
        <v>15</v>
      </c>
      <c r="E1145" s="5" t="s">
        <v>154</v>
      </c>
      <c r="F1145" s="4">
        <v>40812</v>
      </c>
      <c r="G1145" s="4" t="s">
        <v>1</v>
      </c>
      <c r="H1145" s="4" t="s">
        <v>1</v>
      </c>
      <c r="I1145" s="3" t="s">
        <v>13</v>
      </c>
      <c r="J1145" s="3" t="s">
        <v>12</v>
      </c>
      <c r="K1145" s="3" t="s">
        <v>132</v>
      </c>
      <c r="L1145" s="3" t="s">
        <v>400</v>
      </c>
      <c r="M1145" s="3" t="s">
        <v>399</v>
      </c>
      <c r="N1145" s="3" t="s">
        <v>1552</v>
      </c>
      <c r="O1145" s="3" t="s">
        <v>59</v>
      </c>
      <c r="P1145" s="3" t="s">
        <v>6</v>
      </c>
      <c r="Q1145" s="3" t="s">
        <v>5</v>
      </c>
      <c r="R1145" s="3" t="s">
        <v>4</v>
      </c>
      <c r="S1145" s="3" t="s">
        <v>3</v>
      </c>
      <c r="T1145" s="3" t="s">
        <v>2</v>
      </c>
      <c r="U1145" s="3" t="s">
        <v>1</v>
      </c>
      <c r="V1145" s="3" t="s">
        <v>0</v>
      </c>
      <c r="W1145" s="2">
        <v>32</v>
      </c>
    </row>
    <row r="1146" spans="1:23" s="9" customFormat="1" hidden="1" x14ac:dyDescent="0.25">
      <c r="A1146" s="17">
        <v>8771</v>
      </c>
      <c r="B1146" s="17" t="s">
        <v>1551</v>
      </c>
      <c r="C1146" s="16" t="s">
        <v>1550</v>
      </c>
      <c r="D1146" s="15" t="s">
        <v>15</v>
      </c>
      <c r="E1146" s="14" t="s">
        <v>222</v>
      </c>
      <c r="F1146" s="13">
        <v>39931</v>
      </c>
      <c r="G1146" s="13" t="s">
        <v>1</v>
      </c>
      <c r="H1146" s="13" t="s">
        <v>1</v>
      </c>
      <c r="I1146" s="12" t="s">
        <v>13</v>
      </c>
      <c r="J1146" s="12" t="s">
        <v>12</v>
      </c>
      <c r="K1146" s="12" t="s">
        <v>283</v>
      </c>
      <c r="L1146" s="12" t="s">
        <v>282</v>
      </c>
      <c r="M1146" s="12" t="s">
        <v>281</v>
      </c>
      <c r="N1146" s="12" t="s">
        <v>1362</v>
      </c>
      <c r="O1146" s="12" t="s">
        <v>39</v>
      </c>
      <c r="P1146" s="12" t="s">
        <v>72</v>
      </c>
      <c r="Q1146" s="12" t="s">
        <v>20</v>
      </c>
      <c r="R1146" s="12" t="s">
        <v>4</v>
      </c>
      <c r="S1146" s="12" t="s">
        <v>3</v>
      </c>
      <c r="T1146" s="12" t="s">
        <v>1361</v>
      </c>
      <c r="U1146" s="12" t="s">
        <v>1</v>
      </c>
      <c r="V1146" s="12" t="s">
        <v>0</v>
      </c>
      <c r="W1146" s="11">
        <v>35</v>
      </c>
    </row>
    <row r="1147" spans="1:23" hidden="1" x14ac:dyDescent="0.25">
      <c r="A1147" s="8">
        <v>12530</v>
      </c>
      <c r="B1147" s="8" t="s">
        <v>1549</v>
      </c>
      <c r="C1147" s="7" t="s">
        <v>1548</v>
      </c>
      <c r="D1147" s="6" t="s">
        <v>15</v>
      </c>
      <c r="E1147" s="5" t="s">
        <v>154</v>
      </c>
      <c r="F1147" s="4">
        <v>40812</v>
      </c>
      <c r="G1147" s="4" t="s">
        <v>1</v>
      </c>
      <c r="H1147" s="4" t="s">
        <v>1</v>
      </c>
      <c r="I1147" s="3" t="s">
        <v>13</v>
      </c>
      <c r="J1147" s="3" t="s">
        <v>133</v>
      </c>
      <c r="K1147" s="3" t="s">
        <v>132</v>
      </c>
      <c r="L1147" s="3" t="s">
        <v>218</v>
      </c>
      <c r="M1147" s="3" t="s">
        <v>217</v>
      </c>
      <c r="N1147" s="3" t="s">
        <v>198</v>
      </c>
      <c r="O1147" s="3" t="s">
        <v>184</v>
      </c>
      <c r="P1147" s="3" t="s">
        <v>6</v>
      </c>
      <c r="Q1147" s="3" t="s">
        <v>20</v>
      </c>
      <c r="R1147" s="3" t="s">
        <v>4</v>
      </c>
      <c r="S1147" s="3" t="s">
        <v>3</v>
      </c>
      <c r="T1147" s="3" t="s">
        <v>2</v>
      </c>
      <c r="U1147" s="3" t="s">
        <v>1</v>
      </c>
      <c r="V1147" s="3" t="s">
        <v>0</v>
      </c>
      <c r="W1147" s="2">
        <v>33</v>
      </c>
    </row>
    <row r="1148" spans="1:23" hidden="1" x14ac:dyDescent="0.25">
      <c r="A1148" s="8">
        <v>12536</v>
      </c>
      <c r="B1148" s="8" t="s">
        <v>1547</v>
      </c>
      <c r="C1148" s="7" t="s">
        <v>1546</v>
      </c>
      <c r="D1148" s="6" t="s">
        <v>15</v>
      </c>
      <c r="E1148" s="5" t="s">
        <v>154</v>
      </c>
      <c r="F1148" s="4">
        <v>40812</v>
      </c>
      <c r="G1148" s="4" t="s">
        <v>1</v>
      </c>
      <c r="H1148" s="4" t="s">
        <v>1</v>
      </c>
      <c r="I1148" s="3" t="s">
        <v>13</v>
      </c>
      <c r="J1148" s="3" t="s">
        <v>133</v>
      </c>
      <c r="K1148" s="3" t="s">
        <v>262</v>
      </c>
      <c r="L1148" s="3" t="s">
        <v>262</v>
      </c>
      <c r="M1148" s="3" t="s">
        <v>277</v>
      </c>
      <c r="N1148" s="3" t="s">
        <v>1545</v>
      </c>
      <c r="O1148" s="3" t="s">
        <v>453</v>
      </c>
      <c r="P1148" s="3" t="s">
        <v>6</v>
      </c>
      <c r="Q1148" s="3" t="s">
        <v>5</v>
      </c>
      <c r="R1148" s="3" t="s">
        <v>4</v>
      </c>
      <c r="S1148" s="3" t="s">
        <v>3</v>
      </c>
      <c r="T1148" s="3" t="s">
        <v>2</v>
      </c>
      <c r="U1148" s="3" t="s">
        <v>1</v>
      </c>
      <c r="V1148" s="3" t="s">
        <v>0</v>
      </c>
      <c r="W1148" s="2">
        <v>34</v>
      </c>
    </row>
    <row r="1149" spans="1:23" hidden="1" x14ac:dyDescent="0.25">
      <c r="A1149" s="8">
        <v>12538</v>
      </c>
      <c r="B1149" s="8" t="s">
        <v>1544</v>
      </c>
      <c r="C1149" s="7" t="s">
        <v>1543</v>
      </c>
      <c r="D1149" s="6" t="s">
        <v>15</v>
      </c>
      <c r="E1149" s="5" t="s">
        <v>154</v>
      </c>
      <c r="F1149" s="4">
        <v>40812</v>
      </c>
      <c r="G1149" s="4" t="s">
        <v>1</v>
      </c>
      <c r="H1149" s="4" t="s">
        <v>1</v>
      </c>
      <c r="I1149" s="3" t="s">
        <v>13</v>
      </c>
      <c r="J1149" s="3" t="s">
        <v>12</v>
      </c>
      <c r="K1149" s="3" t="s">
        <v>758</v>
      </c>
      <c r="L1149" s="3" t="s">
        <v>757</v>
      </c>
      <c r="M1149" s="3" t="s">
        <v>756</v>
      </c>
      <c r="N1149" s="3" t="s">
        <v>272</v>
      </c>
      <c r="O1149" s="3" t="s">
        <v>59</v>
      </c>
      <c r="P1149" s="3" t="s">
        <v>6</v>
      </c>
      <c r="Q1149" s="3" t="s">
        <v>5</v>
      </c>
      <c r="R1149" s="3" t="s">
        <v>4</v>
      </c>
      <c r="S1149" s="3" t="s">
        <v>3</v>
      </c>
      <c r="T1149" s="3" t="s">
        <v>2</v>
      </c>
      <c r="U1149" s="3" t="s">
        <v>1</v>
      </c>
      <c r="V1149" s="3" t="s">
        <v>0</v>
      </c>
      <c r="W1149" s="2">
        <v>31</v>
      </c>
    </row>
    <row r="1150" spans="1:23" hidden="1" x14ac:dyDescent="0.25">
      <c r="A1150" s="8">
        <v>12549</v>
      </c>
      <c r="B1150" s="8" t="s">
        <v>1542</v>
      </c>
      <c r="C1150" s="7" t="s">
        <v>1541</v>
      </c>
      <c r="D1150" s="6" t="s">
        <v>15</v>
      </c>
      <c r="E1150" s="5" t="s">
        <v>154</v>
      </c>
      <c r="F1150" s="4">
        <v>40812</v>
      </c>
      <c r="G1150" s="4" t="s">
        <v>1</v>
      </c>
      <c r="H1150" s="4" t="s">
        <v>1</v>
      </c>
      <c r="I1150" s="3" t="s">
        <v>13</v>
      </c>
      <c r="J1150" s="3" t="s">
        <v>12</v>
      </c>
      <c r="K1150" s="3" t="s">
        <v>187</v>
      </c>
      <c r="L1150" s="3" t="s">
        <v>229</v>
      </c>
      <c r="M1150" s="3" t="s">
        <v>228</v>
      </c>
      <c r="N1150" s="3" t="s">
        <v>1028</v>
      </c>
      <c r="O1150" s="3" t="s">
        <v>67</v>
      </c>
      <c r="P1150" s="3" t="s">
        <v>6</v>
      </c>
      <c r="Q1150" s="3" t="s">
        <v>5</v>
      </c>
      <c r="R1150" s="3" t="s">
        <v>4</v>
      </c>
      <c r="S1150" s="3" t="s">
        <v>3</v>
      </c>
      <c r="T1150" s="3" t="s">
        <v>2</v>
      </c>
      <c r="U1150" s="3" t="s">
        <v>1</v>
      </c>
      <c r="V1150" s="3" t="s">
        <v>0</v>
      </c>
      <c r="W1150" s="2">
        <v>37</v>
      </c>
    </row>
    <row r="1151" spans="1:23" hidden="1" x14ac:dyDescent="0.25">
      <c r="A1151" s="8">
        <v>12556</v>
      </c>
      <c r="B1151" s="8" t="s">
        <v>1540</v>
      </c>
      <c r="C1151" s="7" t="s">
        <v>1539</v>
      </c>
      <c r="D1151" s="6" t="s">
        <v>15</v>
      </c>
      <c r="E1151" s="5" t="s">
        <v>154</v>
      </c>
      <c r="F1151" s="4">
        <v>40812</v>
      </c>
      <c r="G1151" s="4" t="s">
        <v>1</v>
      </c>
      <c r="H1151" s="4" t="s">
        <v>1</v>
      </c>
      <c r="I1151" s="3" t="s">
        <v>13</v>
      </c>
      <c r="J1151" s="3" t="s">
        <v>12</v>
      </c>
      <c r="K1151" s="3" t="s">
        <v>283</v>
      </c>
      <c r="L1151" s="3" t="s">
        <v>282</v>
      </c>
      <c r="M1151" s="3" t="s">
        <v>281</v>
      </c>
      <c r="N1151" s="3" t="s">
        <v>22</v>
      </c>
      <c r="O1151" s="3" t="s">
        <v>21</v>
      </c>
      <c r="P1151" s="3" t="s">
        <v>6</v>
      </c>
      <c r="Q1151" s="3" t="s">
        <v>20</v>
      </c>
      <c r="R1151" s="3" t="s">
        <v>4</v>
      </c>
      <c r="S1151" s="3" t="s">
        <v>3</v>
      </c>
      <c r="T1151" s="3" t="s">
        <v>19</v>
      </c>
      <c r="U1151" s="3" t="s">
        <v>1</v>
      </c>
      <c r="V1151" s="3" t="s">
        <v>0</v>
      </c>
      <c r="W1151" s="2">
        <v>32</v>
      </c>
    </row>
    <row r="1152" spans="1:23" hidden="1" x14ac:dyDescent="0.25">
      <c r="A1152" s="8">
        <v>12562</v>
      </c>
      <c r="B1152" s="8" t="s">
        <v>1538</v>
      </c>
      <c r="C1152" s="7" t="s">
        <v>1537</v>
      </c>
      <c r="D1152" s="6" t="s">
        <v>15</v>
      </c>
      <c r="E1152" s="5" t="s">
        <v>154</v>
      </c>
      <c r="F1152" s="4">
        <v>40812</v>
      </c>
      <c r="G1152" s="4" t="s">
        <v>1</v>
      </c>
      <c r="H1152" s="4" t="s">
        <v>1</v>
      </c>
      <c r="I1152" s="3" t="s">
        <v>13</v>
      </c>
      <c r="J1152" s="3" t="s">
        <v>12</v>
      </c>
      <c r="K1152" s="3" t="s">
        <v>11</v>
      </c>
      <c r="L1152" s="3" t="s">
        <v>10</v>
      </c>
      <c r="M1152" s="3" t="s">
        <v>9</v>
      </c>
      <c r="N1152" s="3" t="s">
        <v>606</v>
      </c>
      <c r="O1152" s="3" t="s">
        <v>59</v>
      </c>
      <c r="P1152" s="3" t="s">
        <v>6</v>
      </c>
      <c r="Q1152" s="3" t="s">
        <v>5</v>
      </c>
      <c r="R1152" s="3" t="s">
        <v>4</v>
      </c>
      <c r="S1152" s="3" t="s">
        <v>3</v>
      </c>
      <c r="T1152" s="3" t="s">
        <v>2</v>
      </c>
      <c r="U1152" s="3" t="s">
        <v>1</v>
      </c>
      <c r="V1152" s="3" t="s">
        <v>0</v>
      </c>
      <c r="W1152" s="2">
        <v>33</v>
      </c>
    </row>
    <row r="1153" spans="1:23" hidden="1" x14ac:dyDescent="0.25">
      <c r="A1153" s="8">
        <v>12564</v>
      </c>
      <c r="B1153" s="8" t="s">
        <v>1536</v>
      </c>
      <c r="C1153" s="7" t="s">
        <v>1535</v>
      </c>
      <c r="D1153" s="6" t="s">
        <v>15</v>
      </c>
      <c r="E1153" s="8" t="s">
        <v>154</v>
      </c>
      <c r="F1153" s="4">
        <v>40812</v>
      </c>
      <c r="G1153" s="4" t="s">
        <v>1</v>
      </c>
      <c r="H1153" s="4" t="s">
        <v>1</v>
      </c>
      <c r="I1153" s="5" t="s">
        <v>365</v>
      </c>
      <c r="J1153" s="5" t="s">
        <v>813</v>
      </c>
      <c r="K1153" s="5" t="s">
        <v>33</v>
      </c>
      <c r="L1153" s="5" t="s">
        <v>33</v>
      </c>
      <c r="M1153" s="5" t="s">
        <v>812</v>
      </c>
      <c r="N1153" s="5" t="s">
        <v>811</v>
      </c>
      <c r="O1153" s="5" t="s">
        <v>812</v>
      </c>
      <c r="P1153" s="5" t="s">
        <v>30</v>
      </c>
      <c r="Q1153" s="5" t="s">
        <v>121</v>
      </c>
      <c r="R1153" s="3" t="s">
        <v>4</v>
      </c>
      <c r="S1153" s="3" t="s">
        <v>3</v>
      </c>
      <c r="T1153" s="3" t="s">
        <v>29</v>
      </c>
      <c r="U1153" s="3" t="s">
        <v>1</v>
      </c>
      <c r="V1153" s="3" t="s">
        <v>0</v>
      </c>
      <c r="W1153" s="2">
        <v>33</v>
      </c>
    </row>
    <row r="1154" spans="1:23" hidden="1" x14ac:dyDescent="0.25">
      <c r="A1154" s="8">
        <v>12568</v>
      </c>
      <c r="B1154" s="8" t="s">
        <v>1534</v>
      </c>
      <c r="C1154" s="7" t="s">
        <v>1533</v>
      </c>
      <c r="D1154" s="6" t="s">
        <v>15</v>
      </c>
      <c r="E1154" s="5" t="s">
        <v>154</v>
      </c>
      <c r="F1154" s="4">
        <v>40812</v>
      </c>
      <c r="G1154" s="4" t="s">
        <v>1</v>
      </c>
      <c r="H1154" s="4" t="s">
        <v>1</v>
      </c>
      <c r="I1154" s="3" t="s">
        <v>13</v>
      </c>
      <c r="J1154" s="3" t="s">
        <v>133</v>
      </c>
      <c r="K1154" s="3" t="s">
        <v>187</v>
      </c>
      <c r="L1154" s="3" t="s">
        <v>187</v>
      </c>
      <c r="M1154" s="3" t="s">
        <v>186</v>
      </c>
      <c r="N1154" s="3" t="s">
        <v>870</v>
      </c>
      <c r="O1154" s="3" t="s">
        <v>21</v>
      </c>
      <c r="P1154" s="3" t="s">
        <v>6</v>
      </c>
      <c r="Q1154" s="3" t="s">
        <v>20</v>
      </c>
      <c r="R1154" s="3" t="s">
        <v>4</v>
      </c>
      <c r="S1154" s="3" t="s">
        <v>3</v>
      </c>
      <c r="T1154" s="3" t="s">
        <v>2</v>
      </c>
      <c r="U1154" s="3" t="s">
        <v>1</v>
      </c>
      <c r="V1154" s="3" t="s">
        <v>0</v>
      </c>
      <c r="W1154" s="2">
        <v>37</v>
      </c>
    </row>
    <row r="1155" spans="1:23" hidden="1" x14ac:dyDescent="0.25">
      <c r="A1155" s="8">
        <v>12569</v>
      </c>
      <c r="B1155" s="8" t="s">
        <v>1532</v>
      </c>
      <c r="C1155" s="7" t="s">
        <v>1531</v>
      </c>
      <c r="D1155" s="6" t="s">
        <v>15</v>
      </c>
      <c r="E1155" s="5" t="s">
        <v>154</v>
      </c>
      <c r="F1155" s="4">
        <v>40812</v>
      </c>
      <c r="G1155" s="4" t="s">
        <v>1</v>
      </c>
      <c r="H1155" s="4" t="s">
        <v>1</v>
      </c>
      <c r="I1155" s="3" t="s">
        <v>13</v>
      </c>
      <c r="J1155" s="3" t="s">
        <v>12</v>
      </c>
      <c r="K1155" s="3" t="s">
        <v>11</v>
      </c>
      <c r="L1155" s="3" t="s">
        <v>10</v>
      </c>
      <c r="M1155" s="3" t="s">
        <v>9</v>
      </c>
      <c r="N1155" s="3" t="s">
        <v>1530</v>
      </c>
      <c r="O1155" s="3" t="s">
        <v>258</v>
      </c>
      <c r="P1155" s="3" t="s">
        <v>6</v>
      </c>
      <c r="Q1155" s="3" t="s">
        <v>5</v>
      </c>
      <c r="R1155" s="3" t="s">
        <v>4</v>
      </c>
      <c r="S1155" s="3" t="s">
        <v>3</v>
      </c>
      <c r="T1155" s="3" t="s">
        <v>2</v>
      </c>
      <c r="U1155" s="3" t="s">
        <v>1</v>
      </c>
      <c r="V1155" s="3" t="s">
        <v>0</v>
      </c>
      <c r="W1155" s="2">
        <v>32</v>
      </c>
    </row>
    <row r="1156" spans="1:23" s="78" customFormat="1" hidden="1" x14ac:dyDescent="0.25">
      <c r="A1156" s="73">
        <v>9212</v>
      </c>
      <c r="B1156" s="73" t="s">
        <v>1529</v>
      </c>
      <c r="C1156" s="87" t="s">
        <v>1528</v>
      </c>
      <c r="D1156" s="88" t="s">
        <v>15</v>
      </c>
      <c r="E1156" s="89" t="s">
        <v>491</v>
      </c>
      <c r="F1156" s="90">
        <v>40008</v>
      </c>
      <c r="G1156" s="90" t="s">
        <v>1</v>
      </c>
      <c r="H1156" s="90" t="s">
        <v>1</v>
      </c>
      <c r="I1156" s="92" t="s">
        <v>13</v>
      </c>
      <c r="J1156" s="92" t="s">
        <v>12</v>
      </c>
      <c r="K1156" s="92" t="s">
        <v>283</v>
      </c>
      <c r="L1156" s="92" t="s">
        <v>282</v>
      </c>
      <c r="M1156" s="92" t="s">
        <v>281</v>
      </c>
      <c r="N1156" s="92" t="s">
        <v>22</v>
      </c>
      <c r="O1156" s="92" t="s">
        <v>21</v>
      </c>
      <c r="P1156" s="92" t="s">
        <v>72</v>
      </c>
      <c r="Q1156" s="92" t="s">
        <v>20</v>
      </c>
      <c r="R1156" s="92" t="s">
        <v>4</v>
      </c>
      <c r="S1156" s="92" t="s">
        <v>3</v>
      </c>
      <c r="T1156" s="92" t="s">
        <v>19</v>
      </c>
      <c r="U1156" s="92" t="s">
        <v>1</v>
      </c>
      <c r="V1156" s="92" t="s">
        <v>0</v>
      </c>
      <c r="W1156" s="93">
        <v>34</v>
      </c>
    </row>
    <row r="1157" spans="1:23" hidden="1" x14ac:dyDescent="0.25">
      <c r="A1157" s="8">
        <v>12577</v>
      </c>
      <c r="B1157" s="8" t="s">
        <v>1527</v>
      </c>
      <c r="C1157" s="7" t="s">
        <v>1526</v>
      </c>
      <c r="D1157" s="6" t="s">
        <v>15</v>
      </c>
      <c r="E1157" s="5" t="s">
        <v>154</v>
      </c>
      <c r="F1157" s="4">
        <v>40812</v>
      </c>
      <c r="G1157" s="4" t="s">
        <v>1</v>
      </c>
      <c r="H1157" s="4" t="s">
        <v>1</v>
      </c>
      <c r="I1157" s="3" t="s">
        <v>13</v>
      </c>
      <c r="J1157" s="3" t="s">
        <v>133</v>
      </c>
      <c r="K1157" s="3" t="s">
        <v>879</v>
      </c>
      <c r="L1157" s="3" t="s">
        <v>879</v>
      </c>
      <c r="M1157" s="3" t="s">
        <v>878</v>
      </c>
      <c r="N1157" s="3" t="s">
        <v>1525</v>
      </c>
      <c r="O1157" s="3" t="s">
        <v>100</v>
      </c>
      <c r="P1157" s="3" t="s">
        <v>6</v>
      </c>
      <c r="Q1157" s="3" t="s">
        <v>20</v>
      </c>
      <c r="R1157" s="3" t="s">
        <v>4</v>
      </c>
      <c r="S1157" s="3" t="s">
        <v>3</v>
      </c>
      <c r="T1157" s="3" t="s">
        <v>2</v>
      </c>
      <c r="U1157" s="3" t="s">
        <v>1</v>
      </c>
      <c r="V1157" s="3" t="s">
        <v>0</v>
      </c>
      <c r="W1157" s="2">
        <v>31</v>
      </c>
    </row>
    <row r="1158" spans="1:23" hidden="1" x14ac:dyDescent="0.25">
      <c r="A1158" s="8">
        <v>12580</v>
      </c>
      <c r="B1158" s="8" t="s">
        <v>1524</v>
      </c>
      <c r="C1158" s="19" t="s">
        <v>1523</v>
      </c>
      <c r="D1158" s="6" t="s">
        <v>15</v>
      </c>
      <c r="E1158" s="18" t="s">
        <v>154</v>
      </c>
      <c r="F1158" s="4">
        <v>40812</v>
      </c>
      <c r="G1158" s="4" t="s">
        <v>1</v>
      </c>
      <c r="H1158" s="4" t="s">
        <v>1</v>
      </c>
      <c r="I1158" s="3" t="s">
        <v>13</v>
      </c>
      <c r="J1158" s="3" t="s">
        <v>12</v>
      </c>
      <c r="K1158" s="3" t="s">
        <v>539</v>
      </c>
      <c r="L1158" s="3" t="s">
        <v>538</v>
      </c>
      <c r="M1158" s="3" t="s">
        <v>537</v>
      </c>
      <c r="N1158" s="3" t="s">
        <v>1078</v>
      </c>
      <c r="O1158" s="3" t="s">
        <v>29</v>
      </c>
      <c r="P1158" s="3" t="s">
        <v>6</v>
      </c>
      <c r="Q1158" s="3" t="s">
        <v>20</v>
      </c>
      <c r="R1158" s="3" t="s">
        <v>4</v>
      </c>
      <c r="S1158" s="3" t="s">
        <v>3</v>
      </c>
      <c r="T1158" s="3" t="s">
        <v>1077</v>
      </c>
      <c r="U1158" s="3" t="s">
        <v>1</v>
      </c>
      <c r="V1158" s="3" t="s">
        <v>0</v>
      </c>
      <c r="W1158" s="2">
        <v>38</v>
      </c>
    </row>
    <row r="1159" spans="1:23" hidden="1" x14ac:dyDescent="0.25">
      <c r="A1159" s="8">
        <v>12582</v>
      </c>
      <c r="B1159" s="8" t="s">
        <v>1522</v>
      </c>
      <c r="C1159" s="7" t="s">
        <v>1521</v>
      </c>
      <c r="D1159" s="6" t="s">
        <v>15</v>
      </c>
      <c r="E1159" s="5" t="s">
        <v>1498</v>
      </c>
      <c r="F1159" s="4">
        <v>40816</v>
      </c>
      <c r="G1159" s="4" t="s">
        <v>1</v>
      </c>
      <c r="H1159" s="4" t="s">
        <v>1</v>
      </c>
      <c r="I1159" s="18" t="s">
        <v>100</v>
      </c>
      <c r="J1159" s="18" t="s">
        <v>124</v>
      </c>
      <c r="K1159" s="18" t="s">
        <v>33</v>
      </c>
      <c r="L1159" s="18" t="s">
        <v>33</v>
      </c>
      <c r="M1159" s="18" t="s">
        <v>124</v>
      </c>
      <c r="N1159" s="18" t="s">
        <v>123</v>
      </c>
      <c r="O1159" s="18" t="s">
        <v>122</v>
      </c>
      <c r="P1159" s="5" t="s">
        <v>1</v>
      </c>
      <c r="Q1159" s="5" t="s">
        <v>121</v>
      </c>
      <c r="R1159" s="3" t="s">
        <v>4</v>
      </c>
      <c r="S1159" s="3" t="s">
        <v>3</v>
      </c>
      <c r="T1159" s="3" t="s">
        <v>2</v>
      </c>
      <c r="U1159" s="3" t="s">
        <v>1</v>
      </c>
      <c r="V1159" s="3" t="s">
        <v>0</v>
      </c>
      <c r="W1159" s="2">
        <v>31</v>
      </c>
    </row>
    <row r="1160" spans="1:23" hidden="1" x14ac:dyDescent="0.25">
      <c r="A1160" s="8">
        <v>10329</v>
      </c>
      <c r="B1160" s="8" t="s">
        <v>1520</v>
      </c>
      <c r="C1160" s="7" t="s">
        <v>1519</v>
      </c>
      <c r="D1160" s="6" t="s">
        <v>15</v>
      </c>
      <c r="E1160" s="5" t="s">
        <v>725</v>
      </c>
      <c r="F1160" s="4">
        <v>40511</v>
      </c>
      <c r="G1160" s="4" t="s">
        <v>1</v>
      </c>
      <c r="H1160" s="4" t="s">
        <v>1</v>
      </c>
      <c r="I1160" s="3" t="s">
        <v>13</v>
      </c>
      <c r="J1160" s="3" t="s">
        <v>12</v>
      </c>
      <c r="K1160" s="3" t="s">
        <v>283</v>
      </c>
      <c r="L1160" s="3" t="s">
        <v>282</v>
      </c>
      <c r="M1160" s="3" t="s">
        <v>281</v>
      </c>
      <c r="N1160" s="3" t="s">
        <v>1518</v>
      </c>
      <c r="O1160" s="3" t="s">
        <v>100</v>
      </c>
      <c r="P1160" s="3" t="s">
        <v>72</v>
      </c>
      <c r="Q1160" s="3" t="s">
        <v>20</v>
      </c>
      <c r="R1160" s="3" t="s">
        <v>4</v>
      </c>
      <c r="S1160" s="3" t="s">
        <v>3</v>
      </c>
      <c r="T1160" s="3" t="s">
        <v>2</v>
      </c>
      <c r="U1160" s="3" t="s">
        <v>1</v>
      </c>
      <c r="V1160" s="3" t="s">
        <v>0</v>
      </c>
      <c r="W1160" s="2">
        <v>31</v>
      </c>
    </row>
    <row r="1161" spans="1:23" hidden="1" x14ac:dyDescent="0.25">
      <c r="A1161" s="8">
        <v>10430</v>
      </c>
      <c r="B1161" s="8" t="s">
        <v>1517</v>
      </c>
      <c r="C1161" s="7" t="s">
        <v>1516</v>
      </c>
      <c r="D1161" s="6" t="s">
        <v>15</v>
      </c>
      <c r="E1161" s="5" t="s">
        <v>1515</v>
      </c>
      <c r="F1161" s="4">
        <v>40518</v>
      </c>
      <c r="G1161" s="4" t="s">
        <v>1</v>
      </c>
      <c r="H1161" s="4" t="s">
        <v>1</v>
      </c>
      <c r="I1161" s="3" t="s">
        <v>13</v>
      </c>
      <c r="J1161" s="3" t="s">
        <v>12</v>
      </c>
      <c r="K1161" s="3" t="s">
        <v>283</v>
      </c>
      <c r="L1161" s="3" t="s">
        <v>282</v>
      </c>
      <c r="M1161" s="3" t="s">
        <v>281</v>
      </c>
      <c r="N1161" s="3" t="s">
        <v>902</v>
      </c>
      <c r="O1161" s="3" t="s">
        <v>100</v>
      </c>
      <c r="P1161" s="3" t="s">
        <v>72</v>
      </c>
      <c r="Q1161" s="3" t="s">
        <v>20</v>
      </c>
      <c r="R1161" s="3" t="s">
        <v>4</v>
      </c>
      <c r="S1161" s="3" t="s">
        <v>3</v>
      </c>
      <c r="T1161" s="3" t="s">
        <v>2</v>
      </c>
      <c r="U1161" s="3" t="s">
        <v>1</v>
      </c>
      <c r="V1161" s="3" t="s">
        <v>0</v>
      </c>
      <c r="W1161" s="2">
        <v>32</v>
      </c>
    </row>
    <row r="1162" spans="1:23" hidden="1" x14ac:dyDescent="0.25">
      <c r="A1162" s="8">
        <v>10560</v>
      </c>
      <c r="B1162" s="8" t="s">
        <v>1514</v>
      </c>
      <c r="C1162" s="25" t="s">
        <v>1513</v>
      </c>
      <c r="D1162" s="6" t="s">
        <v>15</v>
      </c>
      <c r="E1162" s="5" t="s">
        <v>1512</v>
      </c>
      <c r="F1162" s="4">
        <v>40542</v>
      </c>
      <c r="G1162" s="4" t="s">
        <v>1</v>
      </c>
      <c r="H1162" s="4" t="s">
        <v>1</v>
      </c>
      <c r="I1162" s="3" t="s">
        <v>13</v>
      </c>
      <c r="J1162" s="3" t="s">
        <v>12</v>
      </c>
      <c r="K1162" s="3" t="s">
        <v>283</v>
      </c>
      <c r="L1162" s="3" t="s">
        <v>282</v>
      </c>
      <c r="M1162" s="3" t="s">
        <v>281</v>
      </c>
      <c r="N1162" s="3" t="s">
        <v>1511</v>
      </c>
      <c r="O1162" s="3" t="s">
        <v>100</v>
      </c>
      <c r="P1162" s="3" t="s">
        <v>72</v>
      </c>
      <c r="Q1162" s="3" t="s">
        <v>20</v>
      </c>
      <c r="R1162" s="3" t="s">
        <v>4</v>
      </c>
      <c r="S1162" s="3" t="s">
        <v>3</v>
      </c>
      <c r="T1162" s="3" t="s">
        <v>2</v>
      </c>
      <c r="U1162" s="3" t="s">
        <v>1</v>
      </c>
      <c r="V1162" s="3" t="s">
        <v>0</v>
      </c>
      <c r="W1162" s="2">
        <v>34</v>
      </c>
    </row>
    <row r="1163" spans="1:23" hidden="1" x14ac:dyDescent="0.25">
      <c r="A1163" s="8">
        <v>12079</v>
      </c>
      <c r="B1163" s="8" t="s">
        <v>1510</v>
      </c>
      <c r="C1163" s="7" t="s">
        <v>1509</v>
      </c>
      <c r="D1163" s="6" t="s">
        <v>15</v>
      </c>
      <c r="E1163" s="5" t="s">
        <v>421</v>
      </c>
      <c r="F1163" s="4">
        <v>40798</v>
      </c>
      <c r="G1163" s="4" t="s">
        <v>1</v>
      </c>
      <c r="H1163" s="4" t="s">
        <v>1</v>
      </c>
      <c r="I1163" s="3" t="s">
        <v>13</v>
      </c>
      <c r="J1163" s="3" t="s">
        <v>12</v>
      </c>
      <c r="K1163" s="3" t="s">
        <v>283</v>
      </c>
      <c r="L1163" s="3" t="s">
        <v>282</v>
      </c>
      <c r="M1163" s="3" t="s">
        <v>281</v>
      </c>
      <c r="N1163" s="3" t="s">
        <v>870</v>
      </c>
      <c r="O1163" s="3" t="s">
        <v>21</v>
      </c>
      <c r="P1163" s="3" t="s">
        <v>72</v>
      </c>
      <c r="Q1163" s="3" t="s">
        <v>20</v>
      </c>
      <c r="R1163" s="3" t="s">
        <v>4</v>
      </c>
      <c r="S1163" s="3" t="s">
        <v>3</v>
      </c>
      <c r="T1163" s="3" t="s">
        <v>2</v>
      </c>
      <c r="U1163" s="3" t="s">
        <v>1</v>
      </c>
      <c r="V1163" s="3" t="s">
        <v>0</v>
      </c>
      <c r="W1163" s="2">
        <v>32</v>
      </c>
    </row>
    <row r="1164" spans="1:23" hidden="1" x14ac:dyDescent="0.25">
      <c r="A1164" s="8">
        <v>12370</v>
      </c>
      <c r="B1164" s="8" t="s">
        <v>1508</v>
      </c>
      <c r="C1164" s="19" t="s">
        <v>1507</v>
      </c>
      <c r="D1164" s="6" t="s">
        <v>15</v>
      </c>
      <c r="E1164" s="18" t="s">
        <v>1506</v>
      </c>
      <c r="F1164" s="4">
        <v>40809</v>
      </c>
      <c r="G1164" s="4" t="s">
        <v>1</v>
      </c>
      <c r="H1164" s="4" t="s">
        <v>1</v>
      </c>
      <c r="I1164" s="3" t="s">
        <v>13</v>
      </c>
      <c r="J1164" s="3" t="s">
        <v>12</v>
      </c>
      <c r="K1164" s="3" t="s">
        <v>283</v>
      </c>
      <c r="L1164" s="3" t="s">
        <v>282</v>
      </c>
      <c r="M1164" s="3" t="s">
        <v>281</v>
      </c>
      <c r="N1164" s="3" t="s">
        <v>1451</v>
      </c>
      <c r="O1164" s="3" t="s">
        <v>100</v>
      </c>
      <c r="P1164" s="3" t="s">
        <v>72</v>
      </c>
      <c r="Q1164" s="3" t="s">
        <v>20</v>
      </c>
      <c r="R1164" s="3" t="s">
        <v>4</v>
      </c>
      <c r="S1164" s="3" t="s">
        <v>3</v>
      </c>
      <c r="T1164" s="3" t="s">
        <v>2</v>
      </c>
      <c r="U1164" s="3" t="s">
        <v>1</v>
      </c>
      <c r="V1164" s="3" t="s">
        <v>0</v>
      </c>
      <c r="W1164" s="2">
        <v>36</v>
      </c>
    </row>
    <row r="1165" spans="1:23" hidden="1" x14ac:dyDescent="0.25">
      <c r="A1165" s="8">
        <v>12615</v>
      </c>
      <c r="B1165" s="8" t="s">
        <v>1505</v>
      </c>
      <c r="C1165" s="19" t="s">
        <v>1504</v>
      </c>
      <c r="D1165" s="6" t="s">
        <v>15</v>
      </c>
      <c r="E1165" s="18" t="s">
        <v>1498</v>
      </c>
      <c r="F1165" s="4">
        <v>40816</v>
      </c>
      <c r="G1165" s="4" t="s">
        <v>1</v>
      </c>
      <c r="H1165" s="4" t="s">
        <v>1</v>
      </c>
      <c r="I1165" s="3" t="s">
        <v>145</v>
      </c>
      <c r="J1165" s="3" t="s">
        <v>34</v>
      </c>
      <c r="K1165" s="3" t="s">
        <v>33</v>
      </c>
      <c r="L1165" s="3" t="s">
        <v>33</v>
      </c>
      <c r="M1165" s="3" t="s">
        <v>1094</v>
      </c>
      <c r="N1165" s="3" t="s">
        <v>1503</v>
      </c>
      <c r="O1165" s="3" t="s">
        <v>1094</v>
      </c>
      <c r="P1165" s="3" t="s">
        <v>6</v>
      </c>
      <c r="Q1165" s="3" t="s">
        <v>47</v>
      </c>
      <c r="R1165" s="3" t="s">
        <v>4</v>
      </c>
      <c r="S1165" s="3" t="s">
        <v>3</v>
      </c>
      <c r="T1165" s="3" t="s">
        <v>2</v>
      </c>
      <c r="U1165" s="3" t="s">
        <v>1</v>
      </c>
      <c r="V1165" s="3" t="s">
        <v>0</v>
      </c>
      <c r="W1165" s="2">
        <v>31</v>
      </c>
    </row>
    <row r="1166" spans="1:23" hidden="1" x14ac:dyDescent="0.25">
      <c r="A1166" s="8">
        <v>12629</v>
      </c>
      <c r="B1166" s="8" t="s">
        <v>1502</v>
      </c>
      <c r="C1166" s="7" t="s">
        <v>1501</v>
      </c>
      <c r="D1166" s="6" t="s">
        <v>15</v>
      </c>
      <c r="E1166" s="5" t="s">
        <v>149</v>
      </c>
      <c r="F1166" s="4">
        <v>40819</v>
      </c>
      <c r="G1166" s="4" t="s">
        <v>1</v>
      </c>
      <c r="H1166" s="4" t="s">
        <v>1</v>
      </c>
      <c r="I1166" s="3" t="s">
        <v>13</v>
      </c>
      <c r="J1166" s="3" t="s">
        <v>133</v>
      </c>
      <c r="K1166" s="3" t="s">
        <v>212</v>
      </c>
      <c r="L1166" s="3" t="s">
        <v>211</v>
      </c>
      <c r="M1166" s="3" t="s">
        <v>210</v>
      </c>
      <c r="N1166" s="3" t="s">
        <v>198</v>
      </c>
      <c r="O1166" s="3" t="s">
        <v>184</v>
      </c>
      <c r="P1166" s="3" t="s">
        <v>6</v>
      </c>
      <c r="Q1166" s="3" t="s">
        <v>20</v>
      </c>
      <c r="R1166" s="3" t="s">
        <v>4</v>
      </c>
      <c r="S1166" s="3" t="s">
        <v>3</v>
      </c>
      <c r="T1166" s="3" t="s">
        <v>2</v>
      </c>
      <c r="U1166" s="3" t="s">
        <v>1</v>
      </c>
      <c r="V1166" s="3" t="s">
        <v>0</v>
      </c>
      <c r="W1166" s="2">
        <v>31</v>
      </c>
    </row>
    <row r="1167" spans="1:23" hidden="1" x14ac:dyDescent="0.25">
      <c r="A1167" s="8">
        <v>12611</v>
      </c>
      <c r="B1167" s="8" t="s">
        <v>1500</v>
      </c>
      <c r="C1167" s="7" t="s">
        <v>1499</v>
      </c>
      <c r="D1167" s="6" t="s">
        <v>15</v>
      </c>
      <c r="E1167" s="5" t="s">
        <v>1498</v>
      </c>
      <c r="F1167" s="4">
        <v>40816</v>
      </c>
      <c r="G1167" s="4" t="s">
        <v>1</v>
      </c>
      <c r="H1167" s="4" t="s">
        <v>1</v>
      </c>
      <c r="I1167" s="3" t="s">
        <v>13</v>
      </c>
      <c r="J1167" s="3" t="s">
        <v>12</v>
      </c>
      <c r="K1167" s="3" t="s">
        <v>283</v>
      </c>
      <c r="L1167" s="3" t="s">
        <v>282</v>
      </c>
      <c r="M1167" s="3" t="s">
        <v>281</v>
      </c>
      <c r="N1167" s="3" t="s">
        <v>898</v>
      </c>
      <c r="O1167" s="3" t="s">
        <v>100</v>
      </c>
      <c r="P1167" s="3" t="s">
        <v>72</v>
      </c>
      <c r="Q1167" s="3" t="s">
        <v>20</v>
      </c>
      <c r="R1167" s="3" t="s">
        <v>4</v>
      </c>
      <c r="S1167" s="3" t="s">
        <v>3</v>
      </c>
      <c r="T1167" s="3" t="s">
        <v>2</v>
      </c>
      <c r="U1167" s="3" t="s">
        <v>1</v>
      </c>
      <c r="V1167" s="3" t="s">
        <v>0</v>
      </c>
      <c r="W1167" s="2">
        <v>32</v>
      </c>
    </row>
    <row r="1168" spans="1:23" hidden="1" x14ac:dyDescent="0.25">
      <c r="A1168" s="8">
        <v>12922</v>
      </c>
      <c r="B1168" s="8" t="s">
        <v>1497</v>
      </c>
      <c r="C1168" s="7" t="s">
        <v>1496</v>
      </c>
      <c r="D1168" s="6" t="s">
        <v>15</v>
      </c>
      <c r="E1168" s="5" t="s">
        <v>118</v>
      </c>
      <c r="F1168" s="4">
        <v>40833</v>
      </c>
      <c r="G1168" s="4" t="s">
        <v>1</v>
      </c>
      <c r="H1168" s="4" t="s">
        <v>1</v>
      </c>
      <c r="I1168" s="3" t="s">
        <v>13</v>
      </c>
      <c r="J1168" s="3" t="s">
        <v>12</v>
      </c>
      <c r="K1168" s="3" t="s">
        <v>283</v>
      </c>
      <c r="L1168" s="3" t="s">
        <v>282</v>
      </c>
      <c r="M1168" s="3" t="s">
        <v>281</v>
      </c>
      <c r="N1168" s="3" t="s">
        <v>1078</v>
      </c>
      <c r="O1168" s="3" t="s">
        <v>29</v>
      </c>
      <c r="P1168" s="3" t="s">
        <v>72</v>
      </c>
      <c r="Q1168" s="3" t="s">
        <v>20</v>
      </c>
      <c r="R1168" s="3" t="s">
        <v>4</v>
      </c>
      <c r="S1168" s="3" t="s">
        <v>3</v>
      </c>
      <c r="T1168" s="3" t="s">
        <v>1077</v>
      </c>
      <c r="U1168" s="3" t="s">
        <v>1</v>
      </c>
      <c r="V1168" s="3" t="s">
        <v>0</v>
      </c>
      <c r="W1168" s="2">
        <v>36</v>
      </c>
    </row>
    <row r="1169" spans="1:23" hidden="1" x14ac:dyDescent="0.25">
      <c r="A1169" s="8">
        <v>12979</v>
      </c>
      <c r="B1169" s="8" t="s">
        <v>1495</v>
      </c>
      <c r="C1169" s="7" t="s">
        <v>1494</v>
      </c>
      <c r="D1169" s="6" t="s">
        <v>15</v>
      </c>
      <c r="E1169" s="5" t="s">
        <v>1369</v>
      </c>
      <c r="F1169" s="4">
        <v>40840</v>
      </c>
      <c r="G1169" s="4" t="s">
        <v>1</v>
      </c>
      <c r="H1169" s="4" t="s">
        <v>1</v>
      </c>
      <c r="I1169" s="3" t="s">
        <v>13</v>
      </c>
      <c r="J1169" s="3" t="s">
        <v>12</v>
      </c>
      <c r="K1169" s="3" t="s">
        <v>283</v>
      </c>
      <c r="L1169" s="3" t="s">
        <v>282</v>
      </c>
      <c r="M1169" s="3" t="s">
        <v>281</v>
      </c>
      <c r="N1169" s="3" t="s">
        <v>22</v>
      </c>
      <c r="O1169" s="3" t="s">
        <v>21</v>
      </c>
      <c r="P1169" s="3" t="s">
        <v>72</v>
      </c>
      <c r="Q1169" s="3" t="s">
        <v>20</v>
      </c>
      <c r="R1169" s="3" t="s">
        <v>4</v>
      </c>
      <c r="S1169" s="3" t="s">
        <v>3</v>
      </c>
      <c r="T1169" s="3" t="s">
        <v>19</v>
      </c>
      <c r="U1169" s="3" t="s">
        <v>1</v>
      </c>
      <c r="V1169" s="3" t="s">
        <v>0</v>
      </c>
      <c r="W1169" s="2">
        <v>32</v>
      </c>
    </row>
    <row r="1170" spans="1:23" hidden="1" x14ac:dyDescent="0.25">
      <c r="A1170" s="8">
        <v>12665</v>
      </c>
      <c r="B1170" s="8" t="s">
        <v>1493</v>
      </c>
      <c r="C1170" s="7" t="s">
        <v>1492</v>
      </c>
      <c r="D1170" s="6" t="s">
        <v>15</v>
      </c>
      <c r="E1170" s="5" t="s">
        <v>149</v>
      </c>
      <c r="F1170" s="4">
        <v>40819</v>
      </c>
      <c r="G1170" s="4" t="s">
        <v>1</v>
      </c>
      <c r="H1170" s="4" t="s">
        <v>1</v>
      </c>
      <c r="I1170" s="18" t="s">
        <v>100</v>
      </c>
      <c r="J1170" s="18" t="s">
        <v>124</v>
      </c>
      <c r="K1170" s="18" t="s">
        <v>33</v>
      </c>
      <c r="L1170" s="18" t="s">
        <v>33</v>
      </c>
      <c r="M1170" s="18" t="s">
        <v>124</v>
      </c>
      <c r="N1170" s="18" t="s">
        <v>194</v>
      </c>
      <c r="O1170" s="18" t="s">
        <v>122</v>
      </c>
      <c r="P1170" s="5" t="s">
        <v>1</v>
      </c>
      <c r="Q1170" s="5" t="s">
        <v>121</v>
      </c>
      <c r="R1170" s="3" t="s">
        <v>4</v>
      </c>
      <c r="S1170" s="3" t="s">
        <v>3</v>
      </c>
      <c r="T1170" s="3" t="s">
        <v>2</v>
      </c>
      <c r="U1170" s="3" t="s">
        <v>1</v>
      </c>
      <c r="V1170" s="3" t="s">
        <v>0</v>
      </c>
      <c r="W1170" s="2">
        <v>34</v>
      </c>
    </row>
    <row r="1171" spans="1:23" hidden="1" x14ac:dyDescent="0.25">
      <c r="A1171" s="8">
        <v>13592</v>
      </c>
      <c r="B1171" s="8" t="s">
        <v>1491</v>
      </c>
      <c r="C1171" s="7" t="s">
        <v>1490</v>
      </c>
      <c r="D1171" s="6" t="s">
        <v>15</v>
      </c>
      <c r="E1171" s="5" t="s">
        <v>1228</v>
      </c>
      <c r="F1171" s="4">
        <v>40962</v>
      </c>
      <c r="G1171" s="4" t="s">
        <v>1</v>
      </c>
      <c r="H1171" s="4" t="s">
        <v>1</v>
      </c>
      <c r="I1171" s="3" t="s">
        <v>13</v>
      </c>
      <c r="J1171" s="3" t="s">
        <v>12</v>
      </c>
      <c r="K1171" s="3" t="s">
        <v>283</v>
      </c>
      <c r="L1171" s="3" t="s">
        <v>282</v>
      </c>
      <c r="M1171" s="3" t="s">
        <v>281</v>
      </c>
      <c r="N1171" s="3" t="s">
        <v>842</v>
      </c>
      <c r="O1171" s="3" t="s">
        <v>100</v>
      </c>
      <c r="P1171" s="3" t="s">
        <v>72</v>
      </c>
      <c r="Q1171" s="3" t="s">
        <v>20</v>
      </c>
      <c r="R1171" s="3" t="s">
        <v>4</v>
      </c>
      <c r="S1171" s="3" t="s">
        <v>3</v>
      </c>
      <c r="T1171" s="3" t="s">
        <v>2</v>
      </c>
      <c r="U1171" s="3" t="s">
        <v>1</v>
      </c>
      <c r="V1171" s="3" t="s">
        <v>0</v>
      </c>
      <c r="W1171" s="2">
        <v>30</v>
      </c>
    </row>
    <row r="1172" spans="1:23" s="9" customFormat="1" hidden="1" x14ac:dyDescent="0.25">
      <c r="A1172" s="17">
        <v>17432</v>
      </c>
      <c r="B1172" s="17" t="s">
        <v>1489</v>
      </c>
      <c r="C1172" s="16" t="s">
        <v>1488</v>
      </c>
      <c r="D1172" s="15" t="s">
        <v>15</v>
      </c>
      <c r="E1172" s="14" t="s">
        <v>971</v>
      </c>
      <c r="F1172" s="13">
        <v>41778</v>
      </c>
      <c r="G1172" s="13" t="s">
        <v>1</v>
      </c>
      <c r="H1172" s="13" t="s">
        <v>1</v>
      </c>
      <c r="I1172" s="12" t="s">
        <v>13</v>
      </c>
      <c r="J1172" s="12" t="s">
        <v>12</v>
      </c>
      <c r="K1172" s="12" t="s">
        <v>283</v>
      </c>
      <c r="L1172" s="12" t="s">
        <v>282</v>
      </c>
      <c r="M1172" s="12" t="s">
        <v>281</v>
      </c>
      <c r="N1172" s="12" t="s">
        <v>1487</v>
      </c>
      <c r="O1172" s="12" t="s">
        <v>100</v>
      </c>
      <c r="P1172" s="12" t="s">
        <v>72</v>
      </c>
      <c r="Q1172" s="12" t="s">
        <v>20</v>
      </c>
      <c r="R1172" s="12" t="s">
        <v>4</v>
      </c>
      <c r="S1172" s="12" t="s">
        <v>3</v>
      </c>
      <c r="T1172" s="12" t="s">
        <v>2</v>
      </c>
      <c r="U1172" s="12" t="s">
        <v>1</v>
      </c>
      <c r="V1172" s="12" t="s">
        <v>0</v>
      </c>
      <c r="W1172" s="11">
        <v>29</v>
      </c>
    </row>
    <row r="1173" spans="1:23" hidden="1" x14ac:dyDescent="0.25">
      <c r="A1173" s="8">
        <v>12692</v>
      </c>
      <c r="B1173" s="8" t="s">
        <v>1486</v>
      </c>
      <c r="C1173" s="7" t="s">
        <v>1485</v>
      </c>
      <c r="D1173" s="6" t="s">
        <v>15</v>
      </c>
      <c r="E1173" s="5" t="s">
        <v>149</v>
      </c>
      <c r="F1173" s="4">
        <v>40819</v>
      </c>
      <c r="G1173" s="4" t="s">
        <v>1</v>
      </c>
      <c r="H1173" s="4" t="s">
        <v>1</v>
      </c>
      <c r="I1173" s="18" t="s">
        <v>100</v>
      </c>
      <c r="J1173" s="18" t="s">
        <v>124</v>
      </c>
      <c r="K1173" s="18" t="s">
        <v>33</v>
      </c>
      <c r="L1173" s="18" t="s">
        <v>33</v>
      </c>
      <c r="M1173" s="18" t="s">
        <v>124</v>
      </c>
      <c r="N1173" s="18" t="s">
        <v>194</v>
      </c>
      <c r="O1173" s="18" t="s">
        <v>122</v>
      </c>
      <c r="P1173" s="5" t="s">
        <v>1</v>
      </c>
      <c r="Q1173" s="5" t="s">
        <v>121</v>
      </c>
      <c r="R1173" s="3" t="s">
        <v>4</v>
      </c>
      <c r="S1173" s="3" t="s">
        <v>3</v>
      </c>
      <c r="T1173" s="3" t="s">
        <v>2</v>
      </c>
      <c r="U1173" s="3" t="s">
        <v>1</v>
      </c>
      <c r="V1173" s="3" t="s">
        <v>0</v>
      </c>
      <c r="W1173" s="2">
        <v>33</v>
      </c>
    </row>
    <row r="1174" spans="1:23" hidden="1" x14ac:dyDescent="0.25">
      <c r="A1174" s="8">
        <v>12698</v>
      </c>
      <c r="B1174" s="8" t="s">
        <v>1484</v>
      </c>
      <c r="C1174" s="7" t="s">
        <v>1483</v>
      </c>
      <c r="D1174" s="6" t="s">
        <v>15</v>
      </c>
      <c r="E1174" s="5" t="s">
        <v>149</v>
      </c>
      <c r="F1174" s="4">
        <v>40819</v>
      </c>
      <c r="G1174" s="4" t="s">
        <v>1</v>
      </c>
      <c r="H1174" s="4" t="s">
        <v>1</v>
      </c>
      <c r="I1174" s="3" t="s">
        <v>13</v>
      </c>
      <c r="J1174" s="3" t="s">
        <v>12</v>
      </c>
      <c r="K1174" s="3" t="s">
        <v>262</v>
      </c>
      <c r="L1174" s="3" t="s">
        <v>261</v>
      </c>
      <c r="M1174" s="3" t="s">
        <v>260</v>
      </c>
      <c r="N1174" s="3" t="s">
        <v>1482</v>
      </c>
      <c r="O1174" s="3" t="s">
        <v>258</v>
      </c>
      <c r="P1174" s="3" t="s">
        <v>6</v>
      </c>
      <c r="Q1174" s="3" t="s">
        <v>5</v>
      </c>
      <c r="R1174" s="3" t="s">
        <v>4</v>
      </c>
      <c r="S1174" s="3" t="s">
        <v>3</v>
      </c>
      <c r="T1174" s="3" t="s">
        <v>2</v>
      </c>
      <c r="U1174" s="3" t="s">
        <v>1</v>
      </c>
      <c r="V1174" s="3" t="s">
        <v>18</v>
      </c>
      <c r="W1174" s="2">
        <v>31</v>
      </c>
    </row>
    <row r="1175" spans="1:23" s="9" customFormat="1" hidden="1" x14ac:dyDescent="0.25">
      <c r="A1175" s="17">
        <v>18974</v>
      </c>
      <c r="B1175" s="17" t="s">
        <v>1481</v>
      </c>
      <c r="C1175" s="16" t="s">
        <v>1480</v>
      </c>
      <c r="D1175" s="15" t="s">
        <v>15</v>
      </c>
      <c r="E1175" s="14" t="s">
        <v>899</v>
      </c>
      <c r="F1175" s="13">
        <v>42214</v>
      </c>
      <c r="G1175" s="13" t="s">
        <v>1</v>
      </c>
      <c r="H1175" s="13" t="s">
        <v>1</v>
      </c>
      <c r="I1175" s="12" t="s">
        <v>13</v>
      </c>
      <c r="J1175" s="12" t="s">
        <v>12</v>
      </c>
      <c r="K1175" s="12" t="s">
        <v>283</v>
      </c>
      <c r="L1175" s="12" t="s">
        <v>282</v>
      </c>
      <c r="M1175" s="12" t="s">
        <v>281</v>
      </c>
      <c r="N1175" s="12" t="s">
        <v>1479</v>
      </c>
      <c r="O1175" s="12" t="s">
        <v>100</v>
      </c>
      <c r="P1175" s="12" t="s">
        <v>72</v>
      </c>
      <c r="Q1175" s="12" t="s">
        <v>20</v>
      </c>
      <c r="R1175" s="12" t="s">
        <v>4</v>
      </c>
      <c r="S1175" s="12" t="s">
        <v>3</v>
      </c>
      <c r="T1175" s="12" t="s">
        <v>2</v>
      </c>
      <c r="U1175" s="12" t="s">
        <v>1</v>
      </c>
      <c r="V1175" s="12" t="s">
        <v>0</v>
      </c>
      <c r="W1175" s="11">
        <v>28</v>
      </c>
    </row>
    <row r="1176" spans="1:23" hidden="1" x14ac:dyDescent="0.25">
      <c r="A1176" s="8">
        <v>20914</v>
      </c>
      <c r="B1176" s="8" t="s">
        <v>1478</v>
      </c>
      <c r="C1176" s="7" t="s">
        <v>1477</v>
      </c>
      <c r="D1176" s="6" t="s">
        <v>15</v>
      </c>
      <c r="E1176" s="5" t="s">
        <v>676</v>
      </c>
      <c r="F1176" s="4">
        <v>42660</v>
      </c>
      <c r="G1176" s="4" t="s">
        <v>1</v>
      </c>
      <c r="H1176" s="4" t="s">
        <v>1</v>
      </c>
      <c r="I1176" s="3" t="s">
        <v>13</v>
      </c>
      <c r="J1176" s="3" t="s">
        <v>12</v>
      </c>
      <c r="K1176" s="3" t="s">
        <v>283</v>
      </c>
      <c r="L1176" s="3" t="s">
        <v>282</v>
      </c>
      <c r="M1176" s="3" t="s">
        <v>281</v>
      </c>
      <c r="N1176" s="3" t="s">
        <v>1476</v>
      </c>
      <c r="O1176" s="3" t="s">
        <v>100</v>
      </c>
      <c r="P1176" s="3" t="s">
        <v>72</v>
      </c>
      <c r="Q1176" s="3" t="s">
        <v>20</v>
      </c>
      <c r="R1176" s="3" t="s">
        <v>4</v>
      </c>
      <c r="S1176" s="3" t="s">
        <v>3</v>
      </c>
      <c r="T1176" s="3" t="s">
        <v>2</v>
      </c>
      <c r="U1176" s="3" t="s">
        <v>1</v>
      </c>
      <c r="V1176" s="3" t="s">
        <v>18</v>
      </c>
      <c r="W1176" s="2">
        <v>26</v>
      </c>
    </row>
    <row r="1177" spans="1:23" hidden="1" x14ac:dyDescent="0.25">
      <c r="A1177" s="8">
        <v>22753</v>
      </c>
      <c r="B1177" s="8" t="s">
        <v>1475</v>
      </c>
      <c r="C1177" s="19" t="s">
        <v>1474</v>
      </c>
      <c r="D1177" s="6" t="s">
        <v>15</v>
      </c>
      <c r="E1177" s="18" t="s">
        <v>1473</v>
      </c>
      <c r="F1177" s="4">
        <v>43255</v>
      </c>
      <c r="G1177" s="4" t="s">
        <v>1</v>
      </c>
      <c r="H1177" s="4" t="s">
        <v>1</v>
      </c>
      <c r="I1177" s="3" t="s">
        <v>13</v>
      </c>
      <c r="J1177" s="3" t="s">
        <v>12</v>
      </c>
      <c r="K1177" s="3" t="s">
        <v>283</v>
      </c>
      <c r="L1177" s="3" t="s">
        <v>282</v>
      </c>
      <c r="M1177" s="3" t="s">
        <v>281</v>
      </c>
      <c r="N1177" s="3" t="s">
        <v>1472</v>
      </c>
      <c r="O1177" s="3" t="s">
        <v>100</v>
      </c>
      <c r="P1177" s="3" t="s">
        <v>72</v>
      </c>
      <c r="Q1177" s="3" t="s">
        <v>20</v>
      </c>
      <c r="R1177" s="3" t="s">
        <v>4</v>
      </c>
      <c r="S1177" s="3" t="s">
        <v>3</v>
      </c>
      <c r="T1177" s="3" t="s">
        <v>2</v>
      </c>
      <c r="U1177" s="3" t="s">
        <v>1</v>
      </c>
      <c r="V1177" s="3" t="s">
        <v>0</v>
      </c>
      <c r="W1177" s="2">
        <v>25</v>
      </c>
    </row>
    <row r="1178" spans="1:23" hidden="1" x14ac:dyDescent="0.25">
      <c r="A1178" s="8">
        <v>12728</v>
      </c>
      <c r="B1178" s="8" t="s">
        <v>1471</v>
      </c>
      <c r="C1178" s="7" t="s">
        <v>1470</v>
      </c>
      <c r="D1178" s="6" t="s">
        <v>15</v>
      </c>
      <c r="E1178" s="5" t="s">
        <v>149</v>
      </c>
      <c r="F1178" s="4">
        <v>40819</v>
      </c>
      <c r="G1178" s="4" t="s">
        <v>1</v>
      </c>
      <c r="H1178" s="4" t="s">
        <v>1</v>
      </c>
      <c r="I1178" s="3" t="s">
        <v>13</v>
      </c>
      <c r="J1178" s="3" t="s">
        <v>12</v>
      </c>
      <c r="K1178" s="3" t="s">
        <v>63</v>
      </c>
      <c r="L1178" s="3" t="s">
        <v>1469</v>
      </c>
      <c r="M1178" s="3" t="s">
        <v>1468</v>
      </c>
      <c r="N1178" s="3" t="s">
        <v>606</v>
      </c>
      <c r="O1178" s="3" t="s">
        <v>59</v>
      </c>
      <c r="P1178" s="3" t="s">
        <v>6</v>
      </c>
      <c r="Q1178" s="3" t="s">
        <v>5</v>
      </c>
      <c r="R1178" s="3" t="s">
        <v>4</v>
      </c>
      <c r="S1178" s="3" t="s">
        <v>3</v>
      </c>
      <c r="T1178" s="3" t="s">
        <v>2</v>
      </c>
      <c r="U1178" s="3" t="s">
        <v>1</v>
      </c>
      <c r="V1178" s="3" t="s">
        <v>0</v>
      </c>
      <c r="W1178" s="2">
        <v>30</v>
      </c>
    </row>
    <row r="1179" spans="1:23" hidden="1" x14ac:dyDescent="0.25">
      <c r="A1179" s="8">
        <v>12731</v>
      </c>
      <c r="B1179" s="8" t="s">
        <v>1467</v>
      </c>
      <c r="C1179" s="7" t="s">
        <v>1466</v>
      </c>
      <c r="D1179" s="6" t="s">
        <v>15</v>
      </c>
      <c r="E1179" s="5" t="s">
        <v>149</v>
      </c>
      <c r="F1179" s="4">
        <v>40819</v>
      </c>
      <c r="G1179" s="4" t="s">
        <v>1</v>
      </c>
      <c r="H1179" s="4" t="s">
        <v>1</v>
      </c>
      <c r="I1179" s="3" t="s">
        <v>13</v>
      </c>
      <c r="J1179" s="3" t="s">
        <v>12</v>
      </c>
      <c r="K1179" s="3" t="s">
        <v>283</v>
      </c>
      <c r="L1179" s="3" t="s">
        <v>282</v>
      </c>
      <c r="M1179" s="3" t="s">
        <v>281</v>
      </c>
      <c r="N1179" s="3" t="s">
        <v>1463</v>
      </c>
      <c r="O1179" s="3" t="s">
        <v>100</v>
      </c>
      <c r="P1179" s="3" t="s">
        <v>6</v>
      </c>
      <c r="Q1179" s="3" t="s">
        <v>20</v>
      </c>
      <c r="R1179" s="3" t="s">
        <v>4</v>
      </c>
      <c r="S1179" s="3" t="s">
        <v>3</v>
      </c>
      <c r="T1179" s="3" t="s">
        <v>2</v>
      </c>
      <c r="U1179" s="3" t="s">
        <v>1</v>
      </c>
      <c r="V1179" s="3" t="s">
        <v>0</v>
      </c>
      <c r="W1179" s="2">
        <v>32</v>
      </c>
    </row>
    <row r="1180" spans="1:23" hidden="1" x14ac:dyDescent="0.25">
      <c r="A1180" s="8" t="s">
        <v>1465</v>
      </c>
      <c r="B1180" s="8" t="s">
        <v>1465</v>
      </c>
      <c r="C1180" s="7" t="s">
        <v>1464</v>
      </c>
      <c r="D1180" s="6" t="s">
        <v>15</v>
      </c>
      <c r="E1180" s="5" t="s">
        <v>293</v>
      </c>
      <c r="F1180" s="4">
        <v>40847</v>
      </c>
      <c r="G1180" s="4" t="s">
        <v>1</v>
      </c>
      <c r="H1180" s="4" t="s">
        <v>1</v>
      </c>
      <c r="I1180" s="3" t="s">
        <v>13</v>
      </c>
      <c r="J1180" s="3" t="s">
        <v>12</v>
      </c>
      <c r="K1180" s="3" t="s">
        <v>283</v>
      </c>
      <c r="L1180" s="3" t="s">
        <v>282</v>
      </c>
      <c r="M1180" s="3" t="s">
        <v>281</v>
      </c>
      <c r="N1180" s="3" t="s">
        <v>1463</v>
      </c>
      <c r="O1180" s="3" t="s">
        <v>100</v>
      </c>
      <c r="P1180" s="3" t="s">
        <v>72</v>
      </c>
      <c r="Q1180" s="3" t="s">
        <v>20</v>
      </c>
      <c r="R1180" s="3" t="s">
        <v>4</v>
      </c>
      <c r="S1180" s="3" t="s">
        <v>3</v>
      </c>
      <c r="T1180" s="3" t="s">
        <v>2</v>
      </c>
      <c r="U1180" s="3" t="s">
        <v>1</v>
      </c>
      <c r="V1180" s="3" t="s">
        <v>0</v>
      </c>
      <c r="W1180" s="2">
        <v>33</v>
      </c>
    </row>
    <row r="1181" spans="1:23" hidden="1" x14ac:dyDescent="0.25">
      <c r="A1181" s="8">
        <v>410</v>
      </c>
      <c r="B1181" s="8" t="s">
        <v>1462</v>
      </c>
      <c r="C1181" s="7" t="s">
        <v>1461</v>
      </c>
      <c r="D1181" s="6" t="s">
        <v>15</v>
      </c>
      <c r="E1181" s="5" t="s">
        <v>1379</v>
      </c>
      <c r="F1181" s="4">
        <v>37739</v>
      </c>
      <c r="G1181" s="4" t="s">
        <v>1</v>
      </c>
      <c r="H1181" s="4" t="s">
        <v>1</v>
      </c>
      <c r="I1181" s="3" t="s">
        <v>13</v>
      </c>
      <c r="J1181" s="3" t="s">
        <v>12</v>
      </c>
      <c r="K1181" s="3" t="s">
        <v>283</v>
      </c>
      <c r="L1181" s="3" t="s">
        <v>282</v>
      </c>
      <c r="M1181" s="3" t="s">
        <v>698</v>
      </c>
      <c r="N1181" s="3" t="s">
        <v>1362</v>
      </c>
      <c r="O1181" s="3" t="s">
        <v>39</v>
      </c>
      <c r="P1181" s="3" t="s">
        <v>72</v>
      </c>
      <c r="Q1181" s="3" t="s">
        <v>20</v>
      </c>
      <c r="R1181" s="3" t="s">
        <v>4</v>
      </c>
      <c r="S1181" s="3" t="s">
        <v>3</v>
      </c>
      <c r="T1181" s="3" t="s">
        <v>1361</v>
      </c>
      <c r="U1181" s="3" t="s">
        <v>1</v>
      </c>
      <c r="V1181" s="3" t="s">
        <v>0</v>
      </c>
      <c r="W1181" s="2">
        <v>43</v>
      </c>
    </row>
    <row r="1182" spans="1:23" hidden="1" x14ac:dyDescent="0.25">
      <c r="A1182" s="8">
        <v>10583</v>
      </c>
      <c r="B1182" s="8" t="s">
        <v>1460</v>
      </c>
      <c r="C1182" s="7" t="s">
        <v>1459</v>
      </c>
      <c r="D1182" s="6" t="s">
        <v>15</v>
      </c>
      <c r="E1182" s="5" t="s">
        <v>445</v>
      </c>
      <c r="F1182" s="4">
        <v>40544</v>
      </c>
      <c r="G1182" s="4" t="s">
        <v>1</v>
      </c>
      <c r="H1182" s="4" t="s">
        <v>1</v>
      </c>
      <c r="I1182" s="3" t="s">
        <v>13</v>
      </c>
      <c r="J1182" s="3" t="s">
        <v>12</v>
      </c>
      <c r="K1182" s="3" t="s">
        <v>283</v>
      </c>
      <c r="L1182" s="3" t="s">
        <v>282</v>
      </c>
      <c r="M1182" s="3" t="s">
        <v>698</v>
      </c>
      <c r="N1182" s="3" t="s">
        <v>1078</v>
      </c>
      <c r="O1182" s="3" t="s">
        <v>29</v>
      </c>
      <c r="P1182" s="3" t="s">
        <v>72</v>
      </c>
      <c r="Q1182" s="3" t="s">
        <v>20</v>
      </c>
      <c r="R1182" s="3" t="s">
        <v>4</v>
      </c>
      <c r="S1182" s="3" t="s">
        <v>3</v>
      </c>
      <c r="T1182" s="3" t="s">
        <v>1077</v>
      </c>
      <c r="U1182" s="3" t="s">
        <v>1</v>
      </c>
      <c r="V1182" s="3" t="s">
        <v>0</v>
      </c>
      <c r="W1182" s="2">
        <v>36</v>
      </c>
    </row>
    <row r="1183" spans="1:23" hidden="1" x14ac:dyDescent="0.25">
      <c r="A1183" s="8">
        <v>12746</v>
      </c>
      <c r="B1183" s="8" t="s">
        <v>1458</v>
      </c>
      <c r="C1183" s="7" t="s">
        <v>1457</v>
      </c>
      <c r="D1183" s="6" t="s">
        <v>15</v>
      </c>
      <c r="E1183" s="5" t="s">
        <v>149</v>
      </c>
      <c r="F1183" s="4">
        <v>40819</v>
      </c>
      <c r="G1183" s="4" t="s">
        <v>1</v>
      </c>
      <c r="H1183" s="4" t="s">
        <v>1</v>
      </c>
      <c r="I1183" s="3" t="s">
        <v>13</v>
      </c>
      <c r="J1183" s="3" t="s">
        <v>12</v>
      </c>
      <c r="K1183" s="3" t="s">
        <v>63</v>
      </c>
      <c r="L1183" s="3" t="s">
        <v>81</v>
      </c>
      <c r="M1183" s="3" t="s">
        <v>80</v>
      </c>
      <c r="N1183" s="3" t="s">
        <v>1422</v>
      </c>
      <c r="O1183" s="3" t="s">
        <v>59</v>
      </c>
      <c r="P1183" s="3" t="s">
        <v>6</v>
      </c>
      <c r="Q1183" s="3" t="s">
        <v>5</v>
      </c>
      <c r="R1183" s="3" t="s">
        <v>4</v>
      </c>
      <c r="S1183" s="3" t="s">
        <v>3</v>
      </c>
      <c r="T1183" s="3" t="s">
        <v>2</v>
      </c>
      <c r="U1183" s="3" t="s">
        <v>1</v>
      </c>
      <c r="V1183" s="3" t="s">
        <v>0</v>
      </c>
      <c r="W1183" s="2">
        <v>31</v>
      </c>
    </row>
    <row r="1184" spans="1:23" hidden="1" x14ac:dyDescent="0.25">
      <c r="A1184" s="8">
        <v>12748</v>
      </c>
      <c r="B1184" s="8" t="s">
        <v>1456</v>
      </c>
      <c r="C1184" s="7" t="s">
        <v>1455</v>
      </c>
      <c r="D1184" s="6" t="s">
        <v>15</v>
      </c>
      <c r="E1184" s="5" t="s">
        <v>149</v>
      </c>
      <c r="F1184" s="4">
        <v>40819</v>
      </c>
      <c r="G1184" s="4" t="s">
        <v>1</v>
      </c>
      <c r="H1184" s="4" t="s">
        <v>1</v>
      </c>
      <c r="I1184" s="3" t="s">
        <v>145</v>
      </c>
      <c r="J1184" s="3" t="s">
        <v>34</v>
      </c>
      <c r="K1184" s="3" t="s">
        <v>33</v>
      </c>
      <c r="L1184" s="3" t="s">
        <v>33</v>
      </c>
      <c r="M1184" s="3" t="s">
        <v>161</v>
      </c>
      <c r="N1184" s="3" t="s">
        <v>1454</v>
      </c>
      <c r="O1184" s="3" t="s">
        <v>100</v>
      </c>
      <c r="P1184" s="3" t="s">
        <v>72</v>
      </c>
      <c r="Q1184" s="3" t="s">
        <v>20</v>
      </c>
      <c r="R1184" s="3" t="s">
        <v>4</v>
      </c>
      <c r="S1184" s="3" t="s">
        <v>3</v>
      </c>
      <c r="T1184" s="3" t="s">
        <v>2</v>
      </c>
      <c r="U1184" s="3" t="s">
        <v>1</v>
      </c>
      <c r="V1184" s="3" t="s">
        <v>0</v>
      </c>
      <c r="W1184" s="2">
        <v>39</v>
      </c>
    </row>
    <row r="1185" spans="1:24" hidden="1" x14ac:dyDescent="0.25">
      <c r="A1185" s="8">
        <v>10604</v>
      </c>
      <c r="B1185" s="8" t="s">
        <v>1453</v>
      </c>
      <c r="C1185" s="7" t="s">
        <v>1452</v>
      </c>
      <c r="D1185" s="6" t="s">
        <v>15</v>
      </c>
      <c r="E1185" s="5" t="s">
        <v>445</v>
      </c>
      <c r="F1185" s="4">
        <v>40544</v>
      </c>
      <c r="G1185" s="4" t="s">
        <v>1</v>
      </c>
      <c r="H1185" s="4" t="s">
        <v>1</v>
      </c>
      <c r="I1185" s="3" t="s">
        <v>13</v>
      </c>
      <c r="J1185" s="3" t="s">
        <v>12</v>
      </c>
      <c r="K1185" s="3" t="s">
        <v>283</v>
      </c>
      <c r="L1185" s="3" t="s">
        <v>282</v>
      </c>
      <c r="M1185" s="3" t="s">
        <v>698</v>
      </c>
      <c r="N1185" s="3" t="s">
        <v>1451</v>
      </c>
      <c r="O1185" s="3" t="s">
        <v>100</v>
      </c>
      <c r="P1185" s="3" t="s">
        <v>72</v>
      </c>
      <c r="Q1185" s="3" t="s">
        <v>20</v>
      </c>
      <c r="R1185" s="3" t="s">
        <v>4</v>
      </c>
      <c r="S1185" s="3" t="s">
        <v>3</v>
      </c>
      <c r="T1185" s="3" t="s">
        <v>2</v>
      </c>
      <c r="U1185" s="3" t="s">
        <v>1</v>
      </c>
      <c r="V1185" s="3" t="s">
        <v>0</v>
      </c>
      <c r="W1185" s="2">
        <v>34</v>
      </c>
    </row>
    <row r="1186" spans="1:24" hidden="1" x14ac:dyDescent="0.25">
      <c r="A1186" s="8">
        <v>12764</v>
      </c>
      <c r="B1186" s="8" t="s">
        <v>1450</v>
      </c>
      <c r="C1186" s="7" t="s">
        <v>1449</v>
      </c>
      <c r="D1186" s="6" t="s">
        <v>15</v>
      </c>
      <c r="E1186" s="5" t="s">
        <v>149</v>
      </c>
      <c r="F1186" s="4">
        <v>40819</v>
      </c>
      <c r="G1186" s="4" t="s">
        <v>1</v>
      </c>
      <c r="H1186" s="4" t="s">
        <v>1</v>
      </c>
      <c r="I1186" s="18" t="s">
        <v>100</v>
      </c>
      <c r="J1186" s="18" t="s">
        <v>124</v>
      </c>
      <c r="K1186" s="18" t="s">
        <v>33</v>
      </c>
      <c r="L1186" s="18" t="s">
        <v>33</v>
      </c>
      <c r="M1186" s="18" t="s">
        <v>124</v>
      </c>
      <c r="N1186" s="18" t="s">
        <v>194</v>
      </c>
      <c r="O1186" s="18" t="s">
        <v>122</v>
      </c>
      <c r="P1186" s="5" t="s">
        <v>1</v>
      </c>
      <c r="Q1186" s="5" t="s">
        <v>121</v>
      </c>
      <c r="R1186" s="3" t="s">
        <v>4</v>
      </c>
      <c r="S1186" s="3" t="s">
        <v>3</v>
      </c>
      <c r="T1186" s="3" t="s">
        <v>2</v>
      </c>
      <c r="U1186" s="3" t="s">
        <v>1</v>
      </c>
      <c r="V1186" s="3" t="s">
        <v>0</v>
      </c>
      <c r="W1186" s="2">
        <v>31</v>
      </c>
    </row>
    <row r="1187" spans="1:24" hidden="1" x14ac:dyDescent="0.25">
      <c r="A1187" s="8">
        <v>12766</v>
      </c>
      <c r="B1187" s="8" t="s">
        <v>1448</v>
      </c>
      <c r="C1187" s="7" t="s">
        <v>1447</v>
      </c>
      <c r="D1187" s="6" t="s">
        <v>15</v>
      </c>
      <c r="E1187" s="5" t="s">
        <v>149</v>
      </c>
      <c r="F1187" s="4">
        <v>40819</v>
      </c>
      <c r="G1187" s="4" t="s">
        <v>1</v>
      </c>
      <c r="H1187" s="4" t="s">
        <v>1</v>
      </c>
      <c r="I1187" s="3" t="s">
        <v>13</v>
      </c>
      <c r="J1187" s="3" t="s">
        <v>12</v>
      </c>
      <c r="K1187" s="3" t="s">
        <v>11</v>
      </c>
      <c r="L1187" s="3" t="s">
        <v>10</v>
      </c>
      <c r="M1187" s="3" t="s">
        <v>9</v>
      </c>
      <c r="N1187" s="3" t="s">
        <v>1446</v>
      </c>
      <c r="O1187" s="3" t="s">
        <v>258</v>
      </c>
      <c r="P1187" s="3" t="s">
        <v>6</v>
      </c>
      <c r="Q1187" s="3" t="s">
        <v>5</v>
      </c>
      <c r="R1187" s="3" t="s">
        <v>4</v>
      </c>
      <c r="S1187" s="3" t="s">
        <v>3</v>
      </c>
      <c r="T1187" s="3" t="s">
        <v>2</v>
      </c>
      <c r="U1187" s="3" t="s">
        <v>1</v>
      </c>
      <c r="V1187" s="3" t="s">
        <v>0</v>
      </c>
      <c r="W1187" s="2">
        <v>35</v>
      </c>
    </row>
    <row r="1188" spans="1:24" hidden="1" x14ac:dyDescent="0.25">
      <c r="A1188" s="8">
        <v>12769</v>
      </c>
      <c r="B1188" s="8" t="s">
        <v>1445</v>
      </c>
      <c r="C1188" s="7" t="s">
        <v>1444</v>
      </c>
      <c r="D1188" s="6" t="s">
        <v>15</v>
      </c>
      <c r="E1188" s="5" t="s">
        <v>149</v>
      </c>
      <c r="F1188" s="4">
        <v>40819</v>
      </c>
      <c r="G1188" s="4" t="s">
        <v>1</v>
      </c>
      <c r="H1188" s="4" t="s">
        <v>1</v>
      </c>
      <c r="I1188" s="3" t="s">
        <v>13</v>
      </c>
      <c r="J1188" s="3" t="s">
        <v>12</v>
      </c>
      <c r="K1188" s="3" t="s">
        <v>539</v>
      </c>
      <c r="L1188" s="3" t="s">
        <v>538</v>
      </c>
      <c r="M1188" s="3" t="s">
        <v>537</v>
      </c>
      <c r="N1188" s="3" t="s">
        <v>68</v>
      </c>
      <c r="O1188" s="3" t="s">
        <v>67</v>
      </c>
      <c r="P1188" s="3" t="s">
        <v>6</v>
      </c>
      <c r="Q1188" s="3" t="s">
        <v>5</v>
      </c>
      <c r="R1188" s="3" t="s">
        <v>4</v>
      </c>
      <c r="S1188" s="3" t="s">
        <v>3</v>
      </c>
      <c r="T1188" s="3" t="s">
        <v>2</v>
      </c>
      <c r="U1188" s="3" t="s">
        <v>1</v>
      </c>
      <c r="V1188" s="3" t="s">
        <v>0</v>
      </c>
      <c r="W1188" s="2">
        <v>32</v>
      </c>
    </row>
    <row r="1189" spans="1:24" hidden="1" x14ac:dyDescent="0.25">
      <c r="A1189" s="8">
        <v>12779</v>
      </c>
      <c r="B1189" s="8" t="s">
        <v>1443</v>
      </c>
      <c r="C1189" s="7" t="s">
        <v>1442</v>
      </c>
      <c r="D1189" s="6" t="s">
        <v>15</v>
      </c>
      <c r="E1189" s="5" t="s">
        <v>149</v>
      </c>
      <c r="F1189" s="4">
        <v>40819</v>
      </c>
      <c r="G1189" s="4" t="s">
        <v>1</v>
      </c>
      <c r="H1189" s="4" t="s">
        <v>1</v>
      </c>
      <c r="I1189" s="3" t="s">
        <v>13</v>
      </c>
      <c r="J1189" s="3" t="s">
        <v>34</v>
      </c>
      <c r="K1189" s="3" t="s">
        <v>33</v>
      </c>
      <c r="L1189" s="3" t="s">
        <v>33</v>
      </c>
      <c r="M1189" s="3" t="s">
        <v>102</v>
      </c>
      <c r="N1189" s="3" t="s">
        <v>152</v>
      </c>
      <c r="O1189" s="3" t="s">
        <v>29</v>
      </c>
      <c r="P1189" s="3" t="s">
        <v>6</v>
      </c>
      <c r="Q1189" s="3" t="s">
        <v>20</v>
      </c>
      <c r="R1189" s="3" t="s">
        <v>4</v>
      </c>
      <c r="S1189" s="3" t="s">
        <v>3</v>
      </c>
      <c r="T1189" s="3" t="s">
        <v>29</v>
      </c>
      <c r="U1189" s="3" t="s">
        <v>1</v>
      </c>
      <c r="V1189" s="3" t="s">
        <v>0</v>
      </c>
      <c r="W1189" s="2">
        <v>31</v>
      </c>
    </row>
    <row r="1190" spans="1:24" hidden="1" x14ac:dyDescent="0.25">
      <c r="A1190" s="8">
        <v>12782</v>
      </c>
      <c r="B1190" s="8" t="s">
        <v>1441</v>
      </c>
      <c r="C1190" s="7" t="s">
        <v>1440</v>
      </c>
      <c r="D1190" s="6" t="s">
        <v>15</v>
      </c>
      <c r="E1190" s="5" t="s">
        <v>149</v>
      </c>
      <c r="F1190" s="4">
        <v>40819</v>
      </c>
      <c r="G1190" s="4" t="s">
        <v>1</v>
      </c>
      <c r="H1190" s="4" t="s">
        <v>1</v>
      </c>
      <c r="I1190" s="3" t="s">
        <v>13</v>
      </c>
      <c r="J1190" s="3" t="s">
        <v>12</v>
      </c>
      <c r="K1190" s="3" t="s">
        <v>25</v>
      </c>
      <c r="L1190" s="3" t="s">
        <v>24</v>
      </c>
      <c r="M1190" s="3" t="s">
        <v>23</v>
      </c>
      <c r="N1190" s="3" t="s">
        <v>606</v>
      </c>
      <c r="O1190" s="3" t="s">
        <v>59</v>
      </c>
      <c r="P1190" s="3" t="s">
        <v>6</v>
      </c>
      <c r="Q1190" s="3" t="s">
        <v>5</v>
      </c>
      <c r="R1190" s="3" t="s">
        <v>4</v>
      </c>
      <c r="S1190" s="3" t="s">
        <v>3</v>
      </c>
      <c r="T1190" s="3" t="s">
        <v>2</v>
      </c>
      <c r="U1190" s="3" t="s">
        <v>1</v>
      </c>
      <c r="V1190" s="3" t="s">
        <v>0</v>
      </c>
      <c r="W1190" s="2">
        <v>31</v>
      </c>
    </row>
    <row r="1191" spans="1:24" hidden="1" x14ac:dyDescent="0.25">
      <c r="A1191" s="8">
        <v>10804</v>
      </c>
      <c r="B1191" s="8" t="s">
        <v>1439</v>
      </c>
      <c r="C1191" s="7" t="s">
        <v>1438</v>
      </c>
      <c r="D1191" s="6" t="s">
        <v>15</v>
      </c>
      <c r="E1191" s="5" t="s">
        <v>1437</v>
      </c>
      <c r="F1191" s="4">
        <v>40567</v>
      </c>
      <c r="G1191" s="4" t="s">
        <v>1</v>
      </c>
      <c r="H1191" s="4" t="s">
        <v>1</v>
      </c>
      <c r="I1191" s="3" t="s">
        <v>13</v>
      </c>
      <c r="J1191" s="3" t="s">
        <v>12</v>
      </c>
      <c r="K1191" s="3" t="s">
        <v>283</v>
      </c>
      <c r="L1191" s="3" t="s">
        <v>282</v>
      </c>
      <c r="M1191" s="3" t="s">
        <v>698</v>
      </c>
      <c r="N1191" s="3" t="s">
        <v>22</v>
      </c>
      <c r="O1191" s="3" t="s">
        <v>21</v>
      </c>
      <c r="P1191" s="3" t="s">
        <v>72</v>
      </c>
      <c r="Q1191" s="3" t="s">
        <v>20</v>
      </c>
      <c r="R1191" s="3" t="s">
        <v>4</v>
      </c>
      <c r="S1191" s="3" t="s">
        <v>3</v>
      </c>
      <c r="T1191" s="3" t="s">
        <v>19</v>
      </c>
      <c r="U1191" s="3" t="s">
        <v>1</v>
      </c>
      <c r="V1191" s="3" t="s">
        <v>0</v>
      </c>
      <c r="W1191" s="2">
        <v>34</v>
      </c>
    </row>
    <row r="1192" spans="1:24" hidden="1" x14ac:dyDescent="0.25">
      <c r="A1192" s="8">
        <v>11007</v>
      </c>
      <c r="B1192" s="8" t="s">
        <v>1436</v>
      </c>
      <c r="C1192" s="7" t="s">
        <v>1435</v>
      </c>
      <c r="D1192" s="6" t="s">
        <v>15</v>
      </c>
      <c r="E1192" s="5" t="s">
        <v>1434</v>
      </c>
      <c r="F1192" s="4">
        <v>40585</v>
      </c>
      <c r="G1192" s="4" t="s">
        <v>1</v>
      </c>
      <c r="H1192" s="4" t="s">
        <v>1</v>
      </c>
      <c r="I1192" s="3" t="s">
        <v>13</v>
      </c>
      <c r="J1192" s="3" t="s">
        <v>12</v>
      </c>
      <c r="K1192" s="3" t="s">
        <v>283</v>
      </c>
      <c r="L1192" s="3" t="s">
        <v>282</v>
      </c>
      <c r="M1192" s="3" t="s">
        <v>698</v>
      </c>
      <c r="N1192" s="3" t="s">
        <v>22</v>
      </c>
      <c r="O1192" s="3" t="s">
        <v>21</v>
      </c>
      <c r="P1192" s="3" t="s">
        <v>72</v>
      </c>
      <c r="Q1192" s="3" t="s">
        <v>20</v>
      </c>
      <c r="R1192" s="3" t="s">
        <v>4</v>
      </c>
      <c r="S1192" s="3" t="s">
        <v>3</v>
      </c>
      <c r="T1192" s="3" t="s">
        <v>19</v>
      </c>
      <c r="U1192" s="3" t="s">
        <v>1</v>
      </c>
      <c r="V1192" s="3" t="s">
        <v>0</v>
      </c>
      <c r="W1192" s="2">
        <v>32</v>
      </c>
    </row>
    <row r="1193" spans="1:24" hidden="1" x14ac:dyDescent="0.25">
      <c r="A1193" s="8">
        <v>12801</v>
      </c>
      <c r="B1193" s="8" t="s">
        <v>1433</v>
      </c>
      <c r="C1193" s="7" t="s">
        <v>1432</v>
      </c>
      <c r="D1193" s="6" t="s">
        <v>15</v>
      </c>
      <c r="E1193" s="5" t="s">
        <v>335</v>
      </c>
      <c r="F1193" s="4">
        <v>40826</v>
      </c>
      <c r="G1193" s="4" t="s">
        <v>1</v>
      </c>
      <c r="H1193" s="4" t="s">
        <v>1</v>
      </c>
      <c r="I1193" s="18" t="s">
        <v>100</v>
      </c>
      <c r="J1193" s="18" t="s">
        <v>124</v>
      </c>
      <c r="K1193" s="18" t="s">
        <v>33</v>
      </c>
      <c r="L1193" s="18" t="s">
        <v>33</v>
      </c>
      <c r="M1193" s="18" t="s">
        <v>124</v>
      </c>
      <c r="N1193" s="18" t="s">
        <v>123</v>
      </c>
      <c r="O1193" s="18" t="s">
        <v>122</v>
      </c>
      <c r="P1193" s="5" t="s">
        <v>1</v>
      </c>
      <c r="Q1193" s="5" t="s">
        <v>121</v>
      </c>
      <c r="R1193" s="3" t="s">
        <v>4</v>
      </c>
      <c r="S1193" s="3" t="s">
        <v>3</v>
      </c>
      <c r="T1193" s="3" t="s">
        <v>29</v>
      </c>
      <c r="U1193" s="3" t="s">
        <v>1</v>
      </c>
      <c r="V1193" s="3" t="s">
        <v>0</v>
      </c>
      <c r="W1193" s="2">
        <v>31</v>
      </c>
    </row>
    <row r="1194" spans="1:24" s="9" customFormat="1" hidden="1" x14ac:dyDescent="0.25">
      <c r="A1194" s="17">
        <v>11053</v>
      </c>
      <c r="B1194" s="17" t="s">
        <v>1431</v>
      </c>
      <c r="C1194" s="16" t="s">
        <v>1430</v>
      </c>
      <c r="D1194" s="15" t="s">
        <v>15</v>
      </c>
      <c r="E1194" s="14" t="s">
        <v>1108</v>
      </c>
      <c r="F1194" s="13">
        <v>40592</v>
      </c>
      <c r="G1194" s="13" t="s">
        <v>1</v>
      </c>
      <c r="H1194" s="13" t="s">
        <v>1</v>
      </c>
      <c r="I1194" s="12" t="s">
        <v>13</v>
      </c>
      <c r="J1194" s="12" t="s">
        <v>12</v>
      </c>
      <c r="K1194" s="12" t="s">
        <v>283</v>
      </c>
      <c r="L1194" s="12" t="s">
        <v>282</v>
      </c>
      <c r="M1194" s="12" t="s">
        <v>698</v>
      </c>
      <c r="N1194" s="12" t="s">
        <v>870</v>
      </c>
      <c r="O1194" s="12" t="s">
        <v>21</v>
      </c>
      <c r="P1194" s="12" t="s">
        <v>72</v>
      </c>
      <c r="Q1194" s="12" t="s">
        <v>20</v>
      </c>
      <c r="R1194" s="12" t="s">
        <v>4</v>
      </c>
      <c r="S1194" s="12" t="s">
        <v>3</v>
      </c>
      <c r="T1194" s="12" t="s">
        <v>2</v>
      </c>
      <c r="U1194" s="12" t="s">
        <v>1</v>
      </c>
      <c r="V1194" s="12" t="s">
        <v>0</v>
      </c>
      <c r="W1194" s="11">
        <v>33</v>
      </c>
      <c r="X1194" s="10"/>
    </row>
    <row r="1195" spans="1:24" hidden="1" x14ac:dyDescent="0.25">
      <c r="A1195" s="8">
        <v>12813</v>
      </c>
      <c r="B1195" s="8" t="s">
        <v>1429</v>
      </c>
      <c r="C1195" s="7" t="s">
        <v>1428</v>
      </c>
      <c r="D1195" s="6" t="s">
        <v>15</v>
      </c>
      <c r="E1195" s="5" t="s">
        <v>335</v>
      </c>
      <c r="F1195" s="4">
        <v>40826</v>
      </c>
      <c r="G1195" s="4" t="s">
        <v>1</v>
      </c>
      <c r="H1195" s="4" t="s">
        <v>1</v>
      </c>
      <c r="I1195" s="3" t="s">
        <v>13</v>
      </c>
      <c r="J1195" s="3" t="s">
        <v>12</v>
      </c>
      <c r="K1195" s="3" t="s">
        <v>187</v>
      </c>
      <c r="L1195" s="3" t="s">
        <v>229</v>
      </c>
      <c r="M1195" s="3" t="s">
        <v>228</v>
      </c>
      <c r="N1195" s="3" t="s">
        <v>1078</v>
      </c>
      <c r="O1195" s="3" t="s">
        <v>29</v>
      </c>
      <c r="P1195" s="3" t="s">
        <v>6</v>
      </c>
      <c r="Q1195" s="3" t="s">
        <v>20</v>
      </c>
      <c r="R1195" s="3" t="s">
        <v>4</v>
      </c>
      <c r="S1195" s="3" t="s">
        <v>3</v>
      </c>
      <c r="T1195" s="3" t="s">
        <v>1077</v>
      </c>
      <c r="U1195" s="3" t="s">
        <v>1</v>
      </c>
      <c r="V1195" s="3" t="s">
        <v>18</v>
      </c>
      <c r="W1195" s="2">
        <v>31</v>
      </c>
    </row>
    <row r="1196" spans="1:24" hidden="1" x14ac:dyDescent="0.25">
      <c r="A1196" s="8">
        <v>11106</v>
      </c>
      <c r="B1196" s="8" t="s">
        <v>1427</v>
      </c>
      <c r="C1196" s="7" t="s">
        <v>1426</v>
      </c>
      <c r="D1196" s="6" t="s">
        <v>15</v>
      </c>
      <c r="E1196" s="5" t="s">
        <v>722</v>
      </c>
      <c r="F1196" s="4">
        <v>40603</v>
      </c>
      <c r="G1196" s="4" t="s">
        <v>1</v>
      </c>
      <c r="H1196" s="4" t="s">
        <v>1</v>
      </c>
      <c r="I1196" s="3" t="s">
        <v>13</v>
      </c>
      <c r="J1196" s="3" t="s">
        <v>12</v>
      </c>
      <c r="K1196" s="3" t="s">
        <v>283</v>
      </c>
      <c r="L1196" s="3" t="s">
        <v>282</v>
      </c>
      <c r="M1196" s="3" t="s">
        <v>698</v>
      </c>
      <c r="N1196" s="3" t="s">
        <v>1425</v>
      </c>
      <c r="O1196" s="3" t="s">
        <v>100</v>
      </c>
      <c r="P1196" s="3" t="s">
        <v>72</v>
      </c>
      <c r="Q1196" s="3" t="s">
        <v>20</v>
      </c>
      <c r="R1196" s="3" t="s">
        <v>4</v>
      </c>
      <c r="S1196" s="3" t="s">
        <v>3</v>
      </c>
      <c r="T1196" s="3" t="s">
        <v>2</v>
      </c>
      <c r="U1196" s="3" t="s">
        <v>1</v>
      </c>
      <c r="V1196" s="3" t="s">
        <v>0</v>
      </c>
      <c r="W1196" s="2">
        <v>32</v>
      </c>
    </row>
    <row r="1197" spans="1:24" hidden="1" x14ac:dyDescent="0.25">
      <c r="A1197" s="8">
        <v>12842</v>
      </c>
      <c r="B1197" s="8" t="s">
        <v>1424</v>
      </c>
      <c r="C1197" s="7" t="s">
        <v>1423</v>
      </c>
      <c r="D1197" s="6" t="s">
        <v>15</v>
      </c>
      <c r="E1197" s="5" t="s">
        <v>118</v>
      </c>
      <c r="F1197" s="4">
        <v>40833</v>
      </c>
      <c r="G1197" s="4" t="s">
        <v>1</v>
      </c>
      <c r="H1197" s="4" t="s">
        <v>1</v>
      </c>
      <c r="I1197" s="3" t="s">
        <v>13</v>
      </c>
      <c r="J1197" s="3" t="s">
        <v>12</v>
      </c>
      <c r="K1197" s="3" t="s">
        <v>63</v>
      </c>
      <c r="L1197" s="3" t="s">
        <v>81</v>
      </c>
      <c r="M1197" s="3" t="s">
        <v>173</v>
      </c>
      <c r="N1197" s="3" t="s">
        <v>1422</v>
      </c>
      <c r="O1197" s="3" t="s">
        <v>59</v>
      </c>
      <c r="P1197" s="3" t="s">
        <v>6</v>
      </c>
      <c r="Q1197" s="3" t="s">
        <v>5</v>
      </c>
      <c r="R1197" s="3" t="s">
        <v>4</v>
      </c>
      <c r="S1197" s="3" t="s">
        <v>3</v>
      </c>
      <c r="T1197" s="3" t="s">
        <v>2</v>
      </c>
      <c r="U1197" s="3" t="s">
        <v>1</v>
      </c>
      <c r="V1197" s="3" t="s">
        <v>0</v>
      </c>
      <c r="W1197" s="2">
        <v>33</v>
      </c>
    </row>
    <row r="1198" spans="1:24" hidden="1" x14ac:dyDescent="0.25">
      <c r="A1198" s="8">
        <v>11696</v>
      </c>
      <c r="B1198" s="8" t="s">
        <v>1421</v>
      </c>
      <c r="C1198" s="7" t="s">
        <v>1420</v>
      </c>
      <c r="D1198" s="6" t="s">
        <v>15</v>
      </c>
      <c r="E1198" s="5" t="s">
        <v>424</v>
      </c>
      <c r="F1198" s="4">
        <v>40714</v>
      </c>
      <c r="G1198" s="4" t="s">
        <v>1</v>
      </c>
      <c r="H1198" s="4" t="s">
        <v>1</v>
      </c>
      <c r="I1198" s="3" t="s">
        <v>13</v>
      </c>
      <c r="J1198" s="3" t="s">
        <v>12</v>
      </c>
      <c r="K1198" s="3" t="s">
        <v>283</v>
      </c>
      <c r="L1198" s="3" t="s">
        <v>282</v>
      </c>
      <c r="M1198" s="3" t="s">
        <v>698</v>
      </c>
      <c r="N1198" s="3" t="s">
        <v>136</v>
      </c>
      <c r="O1198" s="3" t="s">
        <v>100</v>
      </c>
      <c r="P1198" s="3" t="s">
        <v>72</v>
      </c>
      <c r="Q1198" s="3" t="s">
        <v>20</v>
      </c>
      <c r="R1198" s="3" t="s">
        <v>4</v>
      </c>
      <c r="S1198" s="3" t="s">
        <v>3</v>
      </c>
      <c r="T1198" s="3" t="s">
        <v>2</v>
      </c>
      <c r="U1198" s="3" t="s">
        <v>1</v>
      </c>
      <c r="V1198" s="3" t="s">
        <v>0</v>
      </c>
      <c r="W1198" s="2">
        <v>31</v>
      </c>
    </row>
    <row r="1199" spans="1:24" hidden="1" x14ac:dyDescent="0.25">
      <c r="A1199" s="8">
        <v>12858</v>
      </c>
      <c r="B1199" s="8" t="s">
        <v>1419</v>
      </c>
      <c r="C1199" s="7" t="s">
        <v>1418</v>
      </c>
      <c r="D1199" s="6" t="s">
        <v>15</v>
      </c>
      <c r="E1199" s="5" t="s">
        <v>118</v>
      </c>
      <c r="F1199" s="4">
        <v>40833</v>
      </c>
      <c r="G1199" s="4" t="s">
        <v>1</v>
      </c>
      <c r="H1199" s="4" t="s">
        <v>1</v>
      </c>
      <c r="I1199" s="3" t="s">
        <v>13</v>
      </c>
      <c r="J1199" s="3" t="s">
        <v>12</v>
      </c>
      <c r="K1199" s="3" t="s">
        <v>187</v>
      </c>
      <c r="L1199" s="3" t="s">
        <v>229</v>
      </c>
      <c r="M1199" s="3" t="s">
        <v>228</v>
      </c>
      <c r="N1199" s="3" t="s">
        <v>1417</v>
      </c>
      <c r="O1199" s="3" t="s">
        <v>258</v>
      </c>
      <c r="P1199" s="3" t="s">
        <v>6</v>
      </c>
      <c r="Q1199" s="3" t="s">
        <v>5</v>
      </c>
      <c r="R1199" s="3" t="s">
        <v>4</v>
      </c>
      <c r="S1199" s="3" t="s">
        <v>3</v>
      </c>
      <c r="T1199" s="3" t="s">
        <v>2</v>
      </c>
      <c r="U1199" s="3" t="s">
        <v>1</v>
      </c>
      <c r="V1199" s="3" t="s">
        <v>0</v>
      </c>
      <c r="W1199" s="2">
        <v>31</v>
      </c>
    </row>
    <row r="1200" spans="1:24" s="9" customFormat="1" hidden="1" x14ac:dyDescent="0.25">
      <c r="A1200" s="17">
        <v>12859</v>
      </c>
      <c r="B1200" s="17" t="s">
        <v>1416</v>
      </c>
      <c r="C1200" s="16" t="s">
        <v>1415</v>
      </c>
      <c r="D1200" s="15" t="s">
        <v>15</v>
      </c>
      <c r="E1200" s="14" t="s">
        <v>118</v>
      </c>
      <c r="F1200" s="13">
        <v>40833</v>
      </c>
      <c r="G1200" s="13" t="s">
        <v>1</v>
      </c>
      <c r="H1200" s="13" t="s">
        <v>1</v>
      </c>
      <c r="I1200" s="12" t="s">
        <v>145</v>
      </c>
      <c r="J1200" s="12" t="s">
        <v>133</v>
      </c>
      <c r="K1200" s="12" t="s">
        <v>879</v>
      </c>
      <c r="L1200" s="12" t="s">
        <v>879</v>
      </c>
      <c r="M1200" s="12" t="s">
        <v>878</v>
      </c>
      <c r="N1200" s="12" t="s">
        <v>289</v>
      </c>
      <c r="O1200" s="12" t="s">
        <v>288</v>
      </c>
      <c r="P1200" s="12" t="s">
        <v>72</v>
      </c>
      <c r="Q1200" s="12" t="s">
        <v>47</v>
      </c>
      <c r="R1200" s="12" t="s">
        <v>4</v>
      </c>
      <c r="S1200" s="12" t="s">
        <v>3</v>
      </c>
      <c r="T1200" s="12" t="s">
        <v>2</v>
      </c>
      <c r="U1200" s="12" t="s">
        <v>1</v>
      </c>
      <c r="V1200" s="12" t="s">
        <v>0</v>
      </c>
      <c r="W1200" s="11">
        <v>31</v>
      </c>
      <c r="X1200" s="10"/>
    </row>
    <row r="1201" spans="1:23" hidden="1" x14ac:dyDescent="0.25">
      <c r="A1201" s="8">
        <v>12092</v>
      </c>
      <c r="B1201" s="8" t="s">
        <v>1414</v>
      </c>
      <c r="C1201" s="7" t="s">
        <v>1413</v>
      </c>
      <c r="D1201" s="6" t="s">
        <v>15</v>
      </c>
      <c r="E1201" s="5" t="s">
        <v>421</v>
      </c>
      <c r="F1201" s="4">
        <v>40798</v>
      </c>
      <c r="G1201" s="4" t="s">
        <v>1</v>
      </c>
      <c r="H1201" s="4" t="s">
        <v>1</v>
      </c>
      <c r="I1201" s="3" t="s">
        <v>13</v>
      </c>
      <c r="J1201" s="3" t="s">
        <v>12</v>
      </c>
      <c r="K1201" s="3" t="s">
        <v>283</v>
      </c>
      <c r="L1201" s="3" t="s">
        <v>282</v>
      </c>
      <c r="M1201" s="3" t="s">
        <v>698</v>
      </c>
      <c r="N1201" s="3" t="s">
        <v>1412</v>
      </c>
      <c r="O1201" s="3" t="s">
        <v>100</v>
      </c>
      <c r="P1201" s="3" t="s">
        <v>72</v>
      </c>
      <c r="Q1201" s="3" t="s">
        <v>20</v>
      </c>
      <c r="R1201" s="3" t="s">
        <v>4</v>
      </c>
      <c r="S1201" s="3" t="s">
        <v>3</v>
      </c>
      <c r="T1201" s="3" t="s">
        <v>2</v>
      </c>
      <c r="U1201" s="3" t="s">
        <v>1</v>
      </c>
      <c r="V1201" s="3" t="s">
        <v>0</v>
      </c>
      <c r="W1201" s="2">
        <v>34</v>
      </c>
    </row>
    <row r="1202" spans="1:23" hidden="1" x14ac:dyDescent="0.25">
      <c r="A1202" s="8">
        <v>12878</v>
      </c>
      <c r="B1202" s="8" t="s">
        <v>1411</v>
      </c>
      <c r="C1202" s="7" t="s">
        <v>1410</v>
      </c>
      <c r="D1202" s="6" t="s">
        <v>15</v>
      </c>
      <c r="E1202" s="5" t="s">
        <v>118</v>
      </c>
      <c r="F1202" s="4">
        <v>40833</v>
      </c>
      <c r="G1202" s="4" t="s">
        <v>1</v>
      </c>
      <c r="H1202" s="4" t="s">
        <v>1</v>
      </c>
      <c r="I1202" s="3" t="s">
        <v>13</v>
      </c>
      <c r="J1202" s="3" t="s">
        <v>133</v>
      </c>
      <c r="K1202" s="3" t="s">
        <v>187</v>
      </c>
      <c r="L1202" s="3" t="s">
        <v>187</v>
      </c>
      <c r="M1202" s="3" t="s">
        <v>186</v>
      </c>
      <c r="N1202" s="3" t="s">
        <v>1409</v>
      </c>
      <c r="O1202" s="3" t="s">
        <v>128</v>
      </c>
      <c r="P1202" s="3" t="s">
        <v>6</v>
      </c>
      <c r="Q1202" s="3" t="s">
        <v>5</v>
      </c>
      <c r="R1202" s="3" t="s">
        <v>4</v>
      </c>
      <c r="S1202" s="3" t="s">
        <v>3</v>
      </c>
      <c r="T1202" s="3" t="s">
        <v>2</v>
      </c>
      <c r="U1202" s="3" t="s">
        <v>1</v>
      </c>
      <c r="V1202" s="3" t="s">
        <v>0</v>
      </c>
      <c r="W1202" s="2">
        <v>31</v>
      </c>
    </row>
    <row r="1203" spans="1:23" hidden="1" x14ac:dyDescent="0.25">
      <c r="A1203" s="8">
        <v>12879</v>
      </c>
      <c r="B1203" s="8" t="s">
        <v>1408</v>
      </c>
      <c r="C1203" s="7" t="s">
        <v>1407</v>
      </c>
      <c r="D1203" s="6" t="s">
        <v>15</v>
      </c>
      <c r="E1203" s="5" t="s">
        <v>118</v>
      </c>
      <c r="F1203" s="4">
        <v>40833</v>
      </c>
      <c r="G1203" s="4" t="s">
        <v>1</v>
      </c>
      <c r="H1203" s="4" t="s">
        <v>1</v>
      </c>
      <c r="I1203" s="3" t="s">
        <v>13</v>
      </c>
      <c r="J1203" s="3" t="s">
        <v>12</v>
      </c>
      <c r="K1203" s="3" t="s">
        <v>262</v>
      </c>
      <c r="L1203" s="3" t="s">
        <v>261</v>
      </c>
      <c r="M1203" s="3" t="s">
        <v>260</v>
      </c>
      <c r="N1203" s="3" t="s">
        <v>1028</v>
      </c>
      <c r="O1203" s="3" t="s">
        <v>67</v>
      </c>
      <c r="P1203" s="3" t="s">
        <v>6</v>
      </c>
      <c r="Q1203" s="3" t="s">
        <v>5</v>
      </c>
      <c r="R1203" s="3" t="s">
        <v>4</v>
      </c>
      <c r="S1203" s="3" t="s">
        <v>3</v>
      </c>
      <c r="T1203" s="3" t="s">
        <v>2</v>
      </c>
      <c r="U1203" s="3" t="s">
        <v>1</v>
      </c>
      <c r="V1203" s="3" t="s">
        <v>0</v>
      </c>
      <c r="W1203" s="2">
        <v>32</v>
      </c>
    </row>
    <row r="1204" spans="1:23" hidden="1" x14ac:dyDescent="0.25">
      <c r="A1204" s="8">
        <v>12883</v>
      </c>
      <c r="B1204" s="8" t="s">
        <v>1406</v>
      </c>
      <c r="C1204" s="19" t="s">
        <v>1405</v>
      </c>
      <c r="D1204" s="6" t="s">
        <v>15</v>
      </c>
      <c r="E1204" s="18" t="s">
        <v>118</v>
      </c>
      <c r="F1204" s="4">
        <v>40833</v>
      </c>
      <c r="G1204" s="4" t="s">
        <v>1</v>
      </c>
      <c r="H1204" s="4" t="s">
        <v>1</v>
      </c>
      <c r="I1204" s="3" t="s">
        <v>13</v>
      </c>
      <c r="J1204" s="3" t="s">
        <v>12</v>
      </c>
      <c r="K1204" s="3" t="s">
        <v>262</v>
      </c>
      <c r="L1204" s="3" t="s">
        <v>261</v>
      </c>
      <c r="M1204" s="3" t="s">
        <v>329</v>
      </c>
      <c r="N1204" s="3" t="s">
        <v>272</v>
      </c>
      <c r="O1204" s="3" t="s">
        <v>59</v>
      </c>
      <c r="P1204" s="3" t="s">
        <v>6</v>
      </c>
      <c r="Q1204" s="3" t="s">
        <v>5</v>
      </c>
      <c r="R1204" s="3" t="s">
        <v>4</v>
      </c>
      <c r="S1204" s="3" t="s">
        <v>3</v>
      </c>
      <c r="T1204" s="3" t="s">
        <v>2</v>
      </c>
      <c r="U1204" s="3" t="s">
        <v>1</v>
      </c>
      <c r="V1204" s="3" t="s">
        <v>0</v>
      </c>
      <c r="W1204" s="2">
        <v>32</v>
      </c>
    </row>
    <row r="1205" spans="1:23" s="9" customFormat="1" hidden="1" x14ac:dyDescent="0.25">
      <c r="A1205" s="17">
        <v>17230</v>
      </c>
      <c r="B1205" s="17" t="s">
        <v>1404</v>
      </c>
      <c r="C1205" s="16" t="s">
        <v>1403</v>
      </c>
      <c r="D1205" s="15" t="s">
        <v>15</v>
      </c>
      <c r="E1205" s="14" t="s">
        <v>1402</v>
      </c>
      <c r="F1205" s="13">
        <v>41764</v>
      </c>
      <c r="G1205" s="13" t="s">
        <v>1</v>
      </c>
      <c r="H1205" s="13" t="s">
        <v>1</v>
      </c>
      <c r="I1205" s="12" t="s">
        <v>13</v>
      </c>
      <c r="J1205" s="12" t="s">
        <v>12</v>
      </c>
      <c r="K1205" s="12" t="s">
        <v>283</v>
      </c>
      <c r="L1205" s="12" t="s">
        <v>282</v>
      </c>
      <c r="M1205" s="12" t="s">
        <v>698</v>
      </c>
      <c r="N1205" s="12" t="s">
        <v>1401</v>
      </c>
      <c r="O1205" s="12" t="s">
        <v>100</v>
      </c>
      <c r="P1205" s="12" t="s">
        <v>72</v>
      </c>
      <c r="Q1205" s="12" t="s">
        <v>20</v>
      </c>
      <c r="R1205" s="12" t="s">
        <v>4</v>
      </c>
      <c r="S1205" s="12" t="s">
        <v>3</v>
      </c>
      <c r="T1205" s="12" t="s">
        <v>2</v>
      </c>
      <c r="U1205" s="12" t="s">
        <v>1</v>
      </c>
      <c r="V1205" s="12" t="s">
        <v>0</v>
      </c>
      <c r="W1205" s="11">
        <v>28</v>
      </c>
    </row>
    <row r="1206" spans="1:23" hidden="1" x14ac:dyDescent="0.25">
      <c r="A1206" s="8">
        <v>12914</v>
      </c>
      <c r="B1206" s="8" t="s">
        <v>1400</v>
      </c>
      <c r="C1206" s="7" t="s">
        <v>1399</v>
      </c>
      <c r="D1206" s="6" t="s">
        <v>15</v>
      </c>
      <c r="E1206" s="5" t="s">
        <v>118</v>
      </c>
      <c r="F1206" s="4">
        <v>40833</v>
      </c>
      <c r="G1206" s="4" t="s">
        <v>1</v>
      </c>
      <c r="H1206" s="4" t="s">
        <v>1</v>
      </c>
      <c r="I1206" s="3" t="s">
        <v>145</v>
      </c>
      <c r="J1206" s="3" t="s">
        <v>34</v>
      </c>
      <c r="K1206" s="3" t="s">
        <v>33</v>
      </c>
      <c r="L1206" s="3" t="s">
        <v>33</v>
      </c>
      <c r="M1206" s="3" t="s">
        <v>1398</v>
      </c>
      <c r="N1206" s="3" t="s">
        <v>143</v>
      </c>
      <c r="O1206" s="3" t="s">
        <v>142</v>
      </c>
      <c r="P1206" s="3" t="s">
        <v>30</v>
      </c>
      <c r="Q1206" s="3" t="s">
        <v>47</v>
      </c>
      <c r="R1206" s="3" t="s">
        <v>4</v>
      </c>
      <c r="S1206" s="3" t="s">
        <v>3</v>
      </c>
      <c r="T1206" s="3" t="s">
        <v>2</v>
      </c>
      <c r="U1206" s="3" t="s">
        <v>1</v>
      </c>
      <c r="V1206" s="3" t="s">
        <v>0</v>
      </c>
      <c r="W1206" s="2">
        <v>31</v>
      </c>
    </row>
    <row r="1207" spans="1:23" s="78" customFormat="1" hidden="1" x14ac:dyDescent="0.25">
      <c r="A1207" s="73">
        <v>1651</v>
      </c>
      <c r="B1207" s="73" t="s">
        <v>1397</v>
      </c>
      <c r="C1207" s="87" t="s">
        <v>1396</v>
      </c>
      <c r="D1207" s="108" t="s">
        <v>15</v>
      </c>
      <c r="E1207" s="89" t="s">
        <v>343</v>
      </c>
      <c r="F1207" s="90">
        <v>38061</v>
      </c>
      <c r="G1207" s="90" t="s">
        <v>1</v>
      </c>
      <c r="H1207" s="90" t="s">
        <v>1</v>
      </c>
      <c r="I1207" s="90" t="s">
        <v>13</v>
      </c>
      <c r="J1207" s="89" t="s">
        <v>357</v>
      </c>
      <c r="K1207" s="89" t="s">
        <v>33</v>
      </c>
      <c r="L1207" s="89" t="s">
        <v>33</v>
      </c>
      <c r="M1207" s="89" t="s">
        <v>357</v>
      </c>
      <c r="N1207" s="89" t="s">
        <v>1395</v>
      </c>
      <c r="O1207" s="89" t="s">
        <v>1386</v>
      </c>
      <c r="P1207" s="89" t="s">
        <v>30</v>
      </c>
      <c r="Q1207" s="89" t="s">
        <v>20</v>
      </c>
      <c r="R1207" s="92" t="s">
        <v>4</v>
      </c>
      <c r="S1207" s="92" t="s">
        <v>3</v>
      </c>
      <c r="T1207" s="92" t="s">
        <v>1394</v>
      </c>
      <c r="U1207" s="92" t="s">
        <v>1</v>
      </c>
      <c r="V1207" s="92" t="s">
        <v>18</v>
      </c>
      <c r="W1207" s="93">
        <v>42</v>
      </c>
    </row>
    <row r="1208" spans="1:23" hidden="1" x14ac:dyDescent="0.25">
      <c r="A1208" s="8">
        <v>12923</v>
      </c>
      <c r="B1208" s="8" t="s">
        <v>1393</v>
      </c>
      <c r="C1208" s="7" t="s">
        <v>1392</v>
      </c>
      <c r="D1208" s="6" t="s">
        <v>15</v>
      </c>
      <c r="E1208" s="5" t="s">
        <v>118</v>
      </c>
      <c r="F1208" s="4">
        <v>40833</v>
      </c>
      <c r="G1208" s="4" t="s">
        <v>1</v>
      </c>
      <c r="H1208" s="4" t="s">
        <v>1</v>
      </c>
      <c r="I1208" s="3" t="s">
        <v>13</v>
      </c>
      <c r="J1208" s="3" t="s">
        <v>12</v>
      </c>
      <c r="K1208" s="3" t="s">
        <v>262</v>
      </c>
      <c r="L1208" s="3" t="s">
        <v>261</v>
      </c>
      <c r="M1208" s="3" t="s">
        <v>329</v>
      </c>
      <c r="N1208" s="3" t="s">
        <v>788</v>
      </c>
      <c r="O1208" s="3" t="s">
        <v>7</v>
      </c>
      <c r="P1208" s="3" t="s">
        <v>6</v>
      </c>
      <c r="Q1208" s="3" t="s">
        <v>5</v>
      </c>
      <c r="R1208" s="3" t="s">
        <v>4</v>
      </c>
      <c r="S1208" s="3" t="s">
        <v>3</v>
      </c>
      <c r="T1208" s="3" t="s">
        <v>2</v>
      </c>
      <c r="U1208" s="3" t="s">
        <v>1</v>
      </c>
      <c r="V1208" s="3" t="s">
        <v>0</v>
      </c>
      <c r="W1208" s="2">
        <v>32</v>
      </c>
    </row>
    <row r="1209" spans="1:23" s="9" customFormat="1" hidden="1" x14ac:dyDescent="0.25">
      <c r="A1209" s="17">
        <v>12930</v>
      </c>
      <c r="B1209" s="17" t="s">
        <v>1391</v>
      </c>
      <c r="C1209" s="16" t="s">
        <v>1390</v>
      </c>
      <c r="D1209" s="15" t="s">
        <v>15</v>
      </c>
      <c r="E1209" s="14" t="s">
        <v>118</v>
      </c>
      <c r="F1209" s="13">
        <v>40833</v>
      </c>
      <c r="G1209" s="13" t="s">
        <v>1</v>
      </c>
      <c r="H1209" s="13" t="s">
        <v>1</v>
      </c>
      <c r="I1209" s="12" t="s">
        <v>145</v>
      </c>
      <c r="J1209" s="12" t="s">
        <v>12</v>
      </c>
      <c r="K1209" s="12" t="s">
        <v>262</v>
      </c>
      <c r="L1209" s="12" t="s">
        <v>261</v>
      </c>
      <c r="M1209" s="12" t="s">
        <v>329</v>
      </c>
      <c r="N1209" s="12" t="s">
        <v>771</v>
      </c>
      <c r="O1209" s="12" t="s">
        <v>771</v>
      </c>
      <c r="P1209" s="12" t="s">
        <v>72</v>
      </c>
      <c r="Q1209" s="12" t="s">
        <v>20</v>
      </c>
      <c r="R1209" s="12" t="s">
        <v>4</v>
      </c>
      <c r="S1209" s="12" t="s">
        <v>3</v>
      </c>
      <c r="T1209" s="12" t="s">
        <v>2</v>
      </c>
      <c r="U1209" s="12" t="s">
        <v>1</v>
      </c>
      <c r="V1209" s="12" t="s">
        <v>0</v>
      </c>
      <c r="W1209" s="11">
        <v>32</v>
      </c>
    </row>
    <row r="1210" spans="1:23" hidden="1" x14ac:dyDescent="0.25">
      <c r="A1210" s="8">
        <v>27106</v>
      </c>
      <c r="B1210" s="29" t="s">
        <v>1389</v>
      </c>
      <c r="C1210" s="7" t="s">
        <v>1388</v>
      </c>
      <c r="D1210" s="6" t="s">
        <v>15</v>
      </c>
      <c r="E1210" s="5" t="s">
        <v>343</v>
      </c>
      <c r="F1210" s="4">
        <v>44384</v>
      </c>
      <c r="G1210" s="4" t="s">
        <v>1</v>
      </c>
      <c r="H1210" s="4" t="s">
        <v>1</v>
      </c>
      <c r="I1210" s="5" t="s">
        <v>13</v>
      </c>
      <c r="J1210" s="5" t="s">
        <v>357</v>
      </c>
      <c r="K1210" s="5" t="s">
        <v>33</v>
      </c>
      <c r="L1210" s="5" t="s">
        <v>33</v>
      </c>
      <c r="M1210" s="5" t="s">
        <v>357</v>
      </c>
      <c r="N1210" s="5" t="s">
        <v>1387</v>
      </c>
      <c r="O1210" s="5" t="s">
        <v>1386</v>
      </c>
      <c r="P1210" s="5" t="s">
        <v>30</v>
      </c>
      <c r="Q1210" s="5" t="s">
        <v>20</v>
      </c>
      <c r="R1210" s="3" t="s">
        <v>4</v>
      </c>
      <c r="S1210" s="3" t="s">
        <v>3</v>
      </c>
      <c r="T1210" s="3" t="s">
        <v>354</v>
      </c>
      <c r="U1210" s="3" t="s">
        <v>1</v>
      </c>
      <c r="V1210" s="3" t="s">
        <v>18</v>
      </c>
      <c r="W1210" s="2">
        <v>43</v>
      </c>
    </row>
    <row r="1211" spans="1:23" hidden="1" x14ac:dyDescent="0.25">
      <c r="A1211" s="8">
        <v>332</v>
      </c>
      <c r="B1211" s="8" t="s">
        <v>1385</v>
      </c>
      <c r="C1211" s="7" t="s">
        <v>1384</v>
      </c>
      <c r="D1211" s="6" t="s">
        <v>15</v>
      </c>
      <c r="E1211" s="5" t="s">
        <v>301</v>
      </c>
      <c r="F1211" s="4">
        <v>37725</v>
      </c>
      <c r="G1211" s="4" t="s">
        <v>1</v>
      </c>
      <c r="H1211" s="4" t="s">
        <v>1</v>
      </c>
      <c r="I1211" s="3" t="s">
        <v>13</v>
      </c>
      <c r="J1211" s="3" t="s">
        <v>34</v>
      </c>
      <c r="K1211" s="3" t="s">
        <v>33</v>
      </c>
      <c r="L1211" s="3" t="s">
        <v>33</v>
      </c>
      <c r="M1211" s="3" t="s">
        <v>1318</v>
      </c>
      <c r="N1211" s="3" t="s">
        <v>1317</v>
      </c>
      <c r="O1211" s="3" t="s">
        <v>29</v>
      </c>
      <c r="P1211" s="3" t="s">
        <v>30</v>
      </c>
      <c r="Q1211" s="3" t="s">
        <v>20</v>
      </c>
      <c r="R1211" s="3" t="s">
        <v>4</v>
      </c>
      <c r="S1211" s="3" t="s">
        <v>3</v>
      </c>
      <c r="T1211" s="3" t="s">
        <v>29</v>
      </c>
      <c r="U1211" s="3" t="s">
        <v>1</v>
      </c>
      <c r="V1211" s="3" t="s">
        <v>0</v>
      </c>
      <c r="W1211" s="2">
        <v>40</v>
      </c>
    </row>
    <row r="1212" spans="1:23" hidden="1" x14ac:dyDescent="0.25">
      <c r="A1212" s="8">
        <v>12950</v>
      </c>
      <c r="B1212" s="8" t="s">
        <v>1383</v>
      </c>
      <c r="C1212" s="7" t="s">
        <v>1382</v>
      </c>
      <c r="D1212" s="6" t="s">
        <v>15</v>
      </c>
      <c r="E1212" s="5" t="s">
        <v>118</v>
      </c>
      <c r="F1212" s="4">
        <v>40833</v>
      </c>
      <c r="G1212" s="4" t="s">
        <v>1</v>
      </c>
      <c r="H1212" s="4" t="s">
        <v>1</v>
      </c>
      <c r="I1212" s="3" t="s">
        <v>145</v>
      </c>
      <c r="J1212" s="3" t="s">
        <v>12</v>
      </c>
      <c r="K1212" s="3" t="s">
        <v>187</v>
      </c>
      <c r="L1212" s="3" t="s">
        <v>229</v>
      </c>
      <c r="M1212" s="3" t="s">
        <v>228</v>
      </c>
      <c r="N1212" s="3" t="s">
        <v>1196</v>
      </c>
      <c r="O1212" s="3" t="s">
        <v>21</v>
      </c>
      <c r="P1212" s="3" t="s">
        <v>6</v>
      </c>
      <c r="Q1212" s="3" t="s">
        <v>20</v>
      </c>
      <c r="R1212" s="3" t="s">
        <v>4</v>
      </c>
      <c r="S1212" s="3" t="s">
        <v>3</v>
      </c>
      <c r="T1212" s="3" t="s">
        <v>19</v>
      </c>
      <c r="U1212" s="3" t="s">
        <v>1</v>
      </c>
      <c r="V1212" s="3" t="s">
        <v>0</v>
      </c>
      <c r="W1212" s="2">
        <v>32</v>
      </c>
    </row>
    <row r="1213" spans="1:23" hidden="1" x14ac:dyDescent="0.25">
      <c r="A1213" s="8">
        <v>421</v>
      </c>
      <c r="B1213" s="8" t="s">
        <v>1381</v>
      </c>
      <c r="C1213" s="7" t="s">
        <v>1380</v>
      </c>
      <c r="D1213" s="6" t="s">
        <v>15</v>
      </c>
      <c r="E1213" s="5" t="s">
        <v>1379</v>
      </c>
      <c r="F1213" s="4">
        <v>37739</v>
      </c>
      <c r="G1213" s="4" t="s">
        <v>1</v>
      </c>
      <c r="H1213" s="4" t="s">
        <v>1</v>
      </c>
      <c r="I1213" s="3" t="s">
        <v>13</v>
      </c>
      <c r="J1213" s="3" t="s">
        <v>34</v>
      </c>
      <c r="K1213" s="3" t="s">
        <v>33</v>
      </c>
      <c r="L1213" s="3" t="s">
        <v>33</v>
      </c>
      <c r="M1213" s="3" t="s">
        <v>1318</v>
      </c>
      <c r="N1213" s="3" t="s">
        <v>1317</v>
      </c>
      <c r="O1213" s="3" t="s">
        <v>29</v>
      </c>
      <c r="P1213" s="3" t="s">
        <v>30</v>
      </c>
      <c r="Q1213" s="3" t="s">
        <v>20</v>
      </c>
      <c r="R1213" s="3" t="s">
        <v>4</v>
      </c>
      <c r="S1213" s="3" t="s">
        <v>3</v>
      </c>
      <c r="T1213" s="3" t="s">
        <v>29</v>
      </c>
      <c r="U1213" s="3" t="s">
        <v>1</v>
      </c>
      <c r="V1213" s="3" t="s">
        <v>0</v>
      </c>
      <c r="W1213" s="2">
        <v>42</v>
      </c>
    </row>
    <row r="1214" spans="1:23" hidden="1" x14ac:dyDescent="0.25">
      <c r="A1214" s="8">
        <v>12972</v>
      </c>
      <c r="B1214" s="8" t="s">
        <v>1378</v>
      </c>
      <c r="C1214" s="7" t="s">
        <v>1377</v>
      </c>
      <c r="D1214" s="6" t="s">
        <v>15</v>
      </c>
      <c r="E1214" s="5" t="s">
        <v>1369</v>
      </c>
      <c r="F1214" s="4">
        <v>40840</v>
      </c>
      <c r="G1214" s="4" t="s">
        <v>1</v>
      </c>
      <c r="H1214" s="4" t="s">
        <v>1</v>
      </c>
      <c r="I1214" s="3" t="s">
        <v>13</v>
      </c>
      <c r="J1214" s="3" t="s">
        <v>12</v>
      </c>
      <c r="K1214" s="3" t="s">
        <v>11</v>
      </c>
      <c r="L1214" s="3" t="s">
        <v>10</v>
      </c>
      <c r="M1214" s="3" t="s">
        <v>9</v>
      </c>
      <c r="N1214" s="3" t="s">
        <v>68</v>
      </c>
      <c r="O1214" s="3" t="s">
        <v>67</v>
      </c>
      <c r="P1214" s="3" t="s">
        <v>6</v>
      </c>
      <c r="Q1214" s="3" t="s">
        <v>5</v>
      </c>
      <c r="R1214" s="3" t="s">
        <v>4</v>
      </c>
      <c r="S1214" s="3" t="s">
        <v>3</v>
      </c>
      <c r="T1214" s="3" t="s">
        <v>2</v>
      </c>
      <c r="U1214" s="3" t="s">
        <v>1</v>
      </c>
      <c r="V1214" s="3" t="s">
        <v>0</v>
      </c>
      <c r="W1214" s="2">
        <v>32</v>
      </c>
    </row>
    <row r="1215" spans="1:23" hidden="1" x14ac:dyDescent="0.25">
      <c r="A1215" s="8">
        <v>5432</v>
      </c>
      <c r="B1215" s="8" t="s">
        <v>1376</v>
      </c>
      <c r="C1215" s="7" t="s">
        <v>1375</v>
      </c>
      <c r="D1215" s="6" t="s">
        <v>15</v>
      </c>
      <c r="E1215" s="5" t="s">
        <v>44</v>
      </c>
      <c r="F1215" s="4">
        <v>38991</v>
      </c>
      <c r="G1215" s="4" t="s">
        <v>1</v>
      </c>
      <c r="H1215" s="4" t="s">
        <v>1</v>
      </c>
      <c r="I1215" s="3" t="s">
        <v>13</v>
      </c>
      <c r="J1215" s="3" t="s">
        <v>34</v>
      </c>
      <c r="K1215" s="3" t="s">
        <v>33</v>
      </c>
      <c r="L1215" s="3" t="s">
        <v>33</v>
      </c>
      <c r="M1215" s="3" t="s">
        <v>1318</v>
      </c>
      <c r="N1215" s="3" t="s">
        <v>1317</v>
      </c>
      <c r="O1215" s="3" t="s">
        <v>29</v>
      </c>
      <c r="P1215" s="3" t="s">
        <v>30</v>
      </c>
      <c r="Q1215" s="3" t="s">
        <v>20</v>
      </c>
      <c r="R1215" s="3" t="s">
        <v>4</v>
      </c>
      <c r="S1215" s="3" t="s">
        <v>3</v>
      </c>
      <c r="T1215" s="3" t="s">
        <v>29</v>
      </c>
      <c r="U1215" s="3" t="s">
        <v>1</v>
      </c>
      <c r="V1215" s="3" t="s">
        <v>18</v>
      </c>
      <c r="W1215" s="2">
        <v>39</v>
      </c>
    </row>
    <row r="1216" spans="1:23" hidden="1" x14ac:dyDescent="0.25">
      <c r="A1216" s="8">
        <v>12981</v>
      </c>
      <c r="B1216" s="8" t="s">
        <v>1374</v>
      </c>
      <c r="C1216" s="19" t="s">
        <v>1373</v>
      </c>
      <c r="D1216" s="6" t="s">
        <v>15</v>
      </c>
      <c r="E1216" s="18" t="s">
        <v>1369</v>
      </c>
      <c r="F1216" s="4">
        <v>40840</v>
      </c>
      <c r="G1216" s="4" t="s">
        <v>1</v>
      </c>
      <c r="H1216" s="4" t="s">
        <v>1</v>
      </c>
      <c r="I1216" s="3" t="s">
        <v>13</v>
      </c>
      <c r="J1216" s="3" t="s">
        <v>12</v>
      </c>
      <c r="K1216" s="3" t="s">
        <v>758</v>
      </c>
      <c r="L1216" s="3" t="s">
        <v>757</v>
      </c>
      <c r="M1216" s="3" t="s">
        <v>756</v>
      </c>
      <c r="N1216" s="3" t="s">
        <v>1372</v>
      </c>
      <c r="O1216" s="3" t="s">
        <v>59</v>
      </c>
      <c r="P1216" s="3" t="s">
        <v>6</v>
      </c>
      <c r="Q1216" s="3" t="s">
        <v>5</v>
      </c>
      <c r="R1216" s="3" t="s">
        <v>4</v>
      </c>
      <c r="S1216" s="3" t="s">
        <v>3</v>
      </c>
      <c r="T1216" s="3" t="s">
        <v>2</v>
      </c>
      <c r="U1216" s="3" t="s">
        <v>1</v>
      </c>
      <c r="V1216" s="3" t="s">
        <v>0</v>
      </c>
      <c r="W1216" s="2">
        <v>33</v>
      </c>
    </row>
    <row r="1217" spans="1:24" hidden="1" x14ac:dyDescent="0.25">
      <c r="A1217" s="8">
        <v>12986</v>
      </c>
      <c r="B1217" s="8" t="s">
        <v>1371</v>
      </c>
      <c r="C1217" s="7" t="s">
        <v>1370</v>
      </c>
      <c r="D1217" s="6" t="s">
        <v>15</v>
      </c>
      <c r="E1217" s="5" t="s">
        <v>1369</v>
      </c>
      <c r="F1217" s="4">
        <v>40840</v>
      </c>
      <c r="G1217" s="4" t="s">
        <v>1</v>
      </c>
      <c r="H1217" s="4" t="s">
        <v>1</v>
      </c>
      <c r="I1217" s="18" t="s">
        <v>100</v>
      </c>
      <c r="J1217" s="18" t="s">
        <v>124</v>
      </c>
      <c r="K1217" s="18" t="s">
        <v>33</v>
      </c>
      <c r="L1217" s="18" t="s">
        <v>33</v>
      </c>
      <c r="M1217" s="18" t="s">
        <v>124</v>
      </c>
      <c r="N1217" s="18" t="s">
        <v>194</v>
      </c>
      <c r="O1217" s="18" t="s">
        <v>122</v>
      </c>
      <c r="P1217" s="5" t="s">
        <v>1</v>
      </c>
      <c r="Q1217" s="5" t="s">
        <v>121</v>
      </c>
      <c r="R1217" s="3" t="s">
        <v>4</v>
      </c>
      <c r="S1217" s="3" t="s">
        <v>3</v>
      </c>
      <c r="T1217" s="3" t="s">
        <v>2</v>
      </c>
      <c r="U1217" s="3" t="s">
        <v>1</v>
      </c>
      <c r="V1217" s="3" t="s">
        <v>0</v>
      </c>
      <c r="W1217" s="2">
        <v>31</v>
      </c>
    </row>
    <row r="1218" spans="1:24" hidden="1" x14ac:dyDescent="0.25">
      <c r="A1218" s="8">
        <v>13005</v>
      </c>
      <c r="B1218" s="8" t="s">
        <v>1368</v>
      </c>
      <c r="C1218" s="7" t="s">
        <v>1367</v>
      </c>
      <c r="D1218" s="6" t="s">
        <v>15</v>
      </c>
      <c r="E1218" s="5" t="s">
        <v>1356</v>
      </c>
      <c r="F1218" s="4">
        <v>40844</v>
      </c>
      <c r="G1218" s="4" t="s">
        <v>1</v>
      </c>
      <c r="H1218" s="4" t="s">
        <v>1</v>
      </c>
      <c r="I1218" s="18" t="s">
        <v>100</v>
      </c>
      <c r="J1218" s="18" t="s">
        <v>124</v>
      </c>
      <c r="K1218" s="18" t="s">
        <v>33</v>
      </c>
      <c r="L1218" s="18" t="s">
        <v>33</v>
      </c>
      <c r="M1218" s="18" t="s">
        <v>124</v>
      </c>
      <c r="N1218" s="18" t="s">
        <v>123</v>
      </c>
      <c r="O1218" s="18" t="s">
        <v>122</v>
      </c>
      <c r="P1218" s="5" t="s">
        <v>1</v>
      </c>
      <c r="Q1218" s="5" t="s">
        <v>121</v>
      </c>
      <c r="R1218" s="3" t="s">
        <v>4</v>
      </c>
      <c r="S1218" s="3" t="s">
        <v>3</v>
      </c>
      <c r="T1218" s="3" t="s">
        <v>19</v>
      </c>
      <c r="U1218" s="3" t="s">
        <v>1</v>
      </c>
      <c r="V1218" s="3" t="s">
        <v>0</v>
      </c>
      <c r="W1218" s="2">
        <v>31</v>
      </c>
    </row>
    <row r="1219" spans="1:24" s="9" customFormat="1" hidden="1" x14ac:dyDescent="0.25">
      <c r="A1219" s="17">
        <v>13027</v>
      </c>
      <c r="B1219" s="17" t="s">
        <v>1366</v>
      </c>
      <c r="C1219" s="16" t="s">
        <v>1365</v>
      </c>
      <c r="D1219" s="15" t="s">
        <v>15</v>
      </c>
      <c r="E1219" s="14" t="s">
        <v>1356</v>
      </c>
      <c r="F1219" s="13">
        <v>40844</v>
      </c>
      <c r="G1219" s="13" t="s">
        <v>1</v>
      </c>
      <c r="H1219" s="13" t="s">
        <v>1</v>
      </c>
      <c r="I1219" s="12" t="s">
        <v>145</v>
      </c>
      <c r="J1219" s="12" t="s">
        <v>34</v>
      </c>
      <c r="K1219" s="12" t="s">
        <v>33</v>
      </c>
      <c r="L1219" s="12" t="s">
        <v>33</v>
      </c>
      <c r="M1219" s="12" t="s">
        <v>242</v>
      </c>
      <c r="N1219" s="12" t="s">
        <v>241</v>
      </c>
      <c r="O1219" s="12" t="s">
        <v>240</v>
      </c>
      <c r="P1219" s="12" t="s">
        <v>30</v>
      </c>
      <c r="Q1219" s="12" t="s">
        <v>47</v>
      </c>
      <c r="R1219" s="12" t="s">
        <v>4</v>
      </c>
      <c r="S1219" s="12" t="s">
        <v>3</v>
      </c>
      <c r="T1219" s="12" t="s">
        <v>2</v>
      </c>
      <c r="U1219" s="12" t="s">
        <v>1</v>
      </c>
      <c r="V1219" s="12" t="s">
        <v>0</v>
      </c>
      <c r="W1219" s="11">
        <v>31</v>
      </c>
      <c r="X1219" s="10"/>
    </row>
    <row r="1220" spans="1:24" hidden="1" x14ac:dyDescent="0.25">
      <c r="A1220" s="8">
        <v>13041</v>
      </c>
      <c r="B1220" s="8" t="s">
        <v>1364</v>
      </c>
      <c r="C1220" s="7" t="s">
        <v>1363</v>
      </c>
      <c r="D1220" s="6" t="s">
        <v>15</v>
      </c>
      <c r="E1220" s="5" t="s">
        <v>1356</v>
      </c>
      <c r="F1220" s="4">
        <v>40844</v>
      </c>
      <c r="G1220" s="4" t="s">
        <v>1</v>
      </c>
      <c r="H1220" s="4" t="s">
        <v>1</v>
      </c>
      <c r="I1220" s="3" t="s">
        <v>13</v>
      </c>
      <c r="J1220" s="3" t="s">
        <v>12</v>
      </c>
      <c r="K1220" s="3" t="s">
        <v>63</v>
      </c>
      <c r="L1220" s="3" t="s">
        <v>138</v>
      </c>
      <c r="M1220" s="3" t="s">
        <v>137</v>
      </c>
      <c r="N1220" s="3" t="s">
        <v>1362</v>
      </c>
      <c r="O1220" s="3" t="s">
        <v>39</v>
      </c>
      <c r="P1220" s="3" t="s">
        <v>6</v>
      </c>
      <c r="Q1220" s="3" t="s">
        <v>20</v>
      </c>
      <c r="R1220" s="3" t="s">
        <v>4</v>
      </c>
      <c r="S1220" s="3" t="s">
        <v>3</v>
      </c>
      <c r="T1220" s="3" t="s">
        <v>1361</v>
      </c>
      <c r="U1220" s="3" t="s">
        <v>1</v>
      </c>
      <c r="V1220" s="3" t="s">
        <v>0</v>
      </c>
      <c r="W1220" s="2">
        <v>33</v>
      </c>
    </row>
    <row r="1221" spans="1:24" hidden="1" x14ac:dyDescent="0.25">
      <c r="A1221" s="8">
        <v>5546</v>
      </c>
      <c r="B1221" s="8" t="s">
        <v>1360</v>
      </c>
      <c r="C1221" s="7" t="s">
        <v>1359</v>
      </c>
      <c r="D1221" s="6" t="s">
        <v>15</v>
      </c>
      <c r="E1221" s="5" t="s">
        <v>41</v>
      </c>
      <c r="F1221" s="4">
        <v>39052</v>
      </c>
      <c r="G1221" s="4" t="s">
        <v>1</v>
      </c>
      <c r="H1221" s="4" t="s">
        <v>1</v>
      </c>
      <c r="I1221" s="3" t="s">
        <v>13</v>
      </c>
      <c r="J1221" s="3" t="s">
        <v>34</v>
      </c>
      <c r="K1221" s="3" t="s">
        <v>33</v>
      </c>
      <c r="L1221" s="3" t="s">
        <v>33</v>
      </c>
      <c r="M1221" s="3" t="s">
        <v>1318</v>
      </c>
      <c r="N1221" s="3" t="s">
        <v>1317</v>
      </c>
      <c r="O1221" s="3" t="s">
        <v>29</v>
      </c>
      <c r="P1221" s="3" t="s">
        <v>30</v>
      </c>
      <c r="Q1221" s="3" t="s">
        <v>20</v>
      </c>
      <c r="R1221" s="3" t="s">
        <v>4</v>
      </c>
      <c r="S1221" s="3" t="s">
        <v>3</v>
      </c>
      <c r="T1221" s="3" t="s">
        <v>29</v>
      </c>
      <c r="U1221" s="3" t="s">
        <v>1</v>
      </c>
      <c r="V1221" s="3" t="s">
        <v>18</v>
      </c>
      <c r="W1221" s="2">
        <v>41</v>
      </c>
    </row>
    <row r="1222" spans="1:24" hidden="1" x14ac:dyDescent="0.25">
      <c r="A1222" s="8">
        <v>13052</v>
      </c>
      <c r="B1222" s="8" t="s">
        <v>1358</v>
      </c>
      <c r="C1222" s="19" t="s">
        <v>1357</v>
      </c>
      <c r="D1222" s="6" t="s">
        <v>15</v>
      </c>
      <c r="E1222" s="5" t="s">
        <v>1356</v>
      </c>
      <c r="F1222" s="4">
        <v>40844</v>
      </c>
      <c r="G1222" s="4" t="s">
        <v>1</v>
      </c>
      <c r="H1222" s="4" t="s">
        <v>1</v>
      </c>
      <c r="I1222" s="3" t="s">
        <v>145</v>
      </c>
      <c r="J1222" s="3" t="s">
        <v>12</v>
      </c>
      <c r="K1222" s="3" t="s">
        <v>283</v>
      </c>
      <c r="L1222" s="3" t="s">
        <v>282</v>
      </c>
      <c r="M1222" s="3" t="s">
        <v>281</v>
      </c>
      <c r="N1222" s="3" t="s">
        <v>1355</v>
      </c>
      <c r="O1222" s="3" t="s">
        <v>100</v>
      </c>
      <c r="P1222" s="3" t="s">
        <v>6</v>
      </c>
      <c r="Q1222" s="3" t="s">
        <v>20</v>
      </c>
      <c r="R1222" s="3" t="s">
        <v>4</v>
      </c>
      <c r="S1222" s="3" t="s">
        <v>3</v>
      </c>
      <c r="T1222" s="3" t="s">
        <v>2</v>
      </c>
      <c r="U1222" s="3" t="s">
        <v>1</v>
      </c>
      <c r="V1222" s="3" t="s">
        <v>0</v>
      </c>
      <c r="W1222" s="2">
        <v>32</v>
      </c>
    </row>
    <row r="1223" spans="1:24" s="9" customFormat="1" hidden="1" x14ac:dyDescent="0.25">
      <c r="A1223" s="17">
        <v>13059</v>
      </c>
      <c r="B1223" s="17" t="s">
        <v>1354</v>
      </c>
      <c r="C1223" s="16" t="s">
        <v>1353</v>
      </c>
      <c r="D1223" s="15" t="s">
        <v>15</v>
      </c>
      <c r="E1223" s="14" t="s">
        <v>1352</v>
      </c>
      <c r="F1223" s="13">
        <v>40847</v>
      </c>
      <c r="G1223" s="13" t="s">
        <v>1</v>
      </c>
      <c r="H1223" s="13" t="s">
        <v>1</v>
      </c>
      <c r="I1223" s="14" t="s">
        <v>50</v>
      </c>
      <c r="J1223" s="14" t="s">
        <v>370</v>
      </c>
      <c r="K1223" s="14" t="s">
        <v>33</v>
      </c>
      <c r="L1223" s="14" t="s">
        <v>33</v>
      </c>
      <c r="M1223" s="14" t="s">
        <v>370</v>
      </c>
      <c r="N1223" s="14" t="s">
        <v>1351</v>
      </c>
      <c r="O1223" s="14" t="s">
        <v>368</v>
      </c>
      <c r="P1223" s="14" t="s">
        <v>30</v>
      </c>
      <c r="Q1223" s="14" t="s">
        <v>47</v>
      </c>
      <c r="R1223" s="12" t="s">
        <v>4</v>
      </c>
      <c r="S1223" s="12" t="s">
        <v>3</v>
      </c>
      <c r="T1223" s="12" t="s">
        <v>38</v>
      </c>
      <c r="U1223" s="12" t="s">
        <v>1</v>
      </c>
      <c r="V1223" s="12" t="s">
        <v>18</v>
      </c>
      <c r="W1223" s="11">
        <v>36</v>
      </c>
      <c r="X1223" s="10"/>
    </row>
    <row r="1224" spans="1:24" hidden="1" x14ac:dyDescent="0.25">
      <c r="A1224" s="8">
        <v>13060</v>
      </c>
      <c r="B1224" s="8" t="s">
        <v>1350</v>
      </c>
      <c r="C1224" s="7" t="s">
        <v>1349</v>
      </c>
      <c r="D1224" s="6" t="s">
        <v>15</v>
      </c>
      <c r="E1224" s="5" t="s">
        <v>1348</v>
      </c>
      <c r="F1224" s="4">
        <v>40848</v>
      </c>
      <c r="G1224" s="4" t="s">
        <v>1</v>
      </c>
      <c r="H1224" s="4" t="s">
        <v>1</v>
      </c>
      <c r="I1224" s="18" t="s">
        <v>50</v>
      </c>
      <c r="J1224" s="5" t="s">
        <v>370</v>
      </c>
      <c r="K1224" s="18" t="s">
        <v>33</v>
      </c>
      <c r="L1224" s="18" t="s">
        <v>33</v>
      </c>
      <c r="M1224" s="5" t="s">
        <v>370</v>
      </c>
      <c r="N1224" s="5" t="s">
        <v>374</v>
      </c>
      <c r="O1224" s="18" t="s">
        <v>368</v>
      </c>
      <c r="P1224" s="18" t="s">
        <v>30</v>
      </c>
      <c r="Q1224" s="5" t="s">
        <v>47</v>
      </c>
      <c r="R1224" s="3" t="s">
        <v>4</v>
      </c>
      <c r="S1224" s="3" t="s">
        <v>3</v>
      </c>
      <c r="T1224" s="3" t="s">
        <v>1347</v>
      </c>
      <c r="U1224" s="3" t="s">
        <v>1</v>
      </c>
      <c r="V1224" s="3" t="s">
        <v>0</v>
      </c>
      <c r="W1224" s="2">
        <v>35</v>
      </c>
      <c r="X1224" s="20"/>
    </row>
    <row r="1225" spans="1:24" hidden="1" x14ac:dyDescent="0.25">
      <c r="A1225" s="8">
        <v>13063</v>
      </c>
      <c r="B1225" s="8" t="s">
        <v>1346</v>
      </c>
      <c r="C1225" s="19" t="s">
        <v>1345</v>
      </c>
      <c r="D1225" s="6" t="s">
        <v>15</v>
      </c>
      <c r="E1225" s="18" t="s">
        <v>332</v>
      </c>
      <c r="F1225" s="4">
        <v>40854</v>
      </c>
      <c r="G1225" s="4" t="s">
        <v>1</v>
      </c>
      <c r="H1225" s="4" t="s">
        <v>1</v>
      </c>
      <c r="I1225" s="5" t="s">
        <v>93</v>
      </c>
      <c r="J1225" s="18" t="s">
        <v>466</v>
      </c>
      <c r="K1225" s="18" t="s">
        <v>33</v>
      </c>
      <c r="L1225" s="18" t="s">
        <v>33</v>
      </c>
      <c r="M1225" s="18" t="s">
        <v>466</v>
      </c>
      <c r="N1225" s="3" t="s">
        <v>930</v>
      </c>
      <c r="O1225" s="3" t="s">
        <v>464</v>
      </c>
      <c r="P1225" s="3" t="s">
        <v>72</v>
      </c>
      <c r="Q1225" s="3" t="s">
        <v>47</v>
      </c>
      <c r="R1225" s="3" t="s">
        <v>4</v>
      </c>
      <c r="S1225" s="3" t="s">
        <v>3</v>
      </c>
      <c r="T1225" s="3" t="s">
        <v>2</v>
      </c>
      <c r="U1225" s="3" t="s">
        <v>1</v>
      </c>
      <c r="V1225" s="3" t="s">
        <v>18</v>
      </c>
      <c r="W1225" s="2">
        <v>36</v>
      </c>
    </row>
    <row r="1226" spans="1:24" hidden="1" x14ac:dyDescent="0.25">
      <c r="A1226" s="8">
        <v>5824</v>
      </c>
      <c r="B1226" s="8" t="s">
        <v>1344</v>
      </c>
      <c r="C1226" s="7" t="s">
        <v>1343</v>
      </c>
      <c r="D1226" s="6" t="s">
        <v>15</v>
      </c>
      <c r="E1226" s="5" t="s">
        <v>251</v>
      </c>
      <c r="F1226" s="4">
        <v>39114</v>
      </c>
      <c r="G1226" s="4" t="s">
        <v>1</v>
      </c>
      <c r="H1226" s="4" t="s">
        <v>1</v>
      </c>
      <c r="I1226" s="3" t="s">
        <v>13</v>
      </c>
      <c r="J1226" s="3" t="s">
        <v>34</v>
      </c>
      <c r="K1226" s="3" t="s">
        <v>33</v>
      </c>
      <c r="L1226" s="3" t="s">
        <v>33</v>
      </c>
      <c r="M1226" s="3" t="s">
        <v>1318</v>
      </c>
      <c r="N1226" s="3" t="s">
        <v>1317</v>
      </c>
      <c r="O1226" s="3" t="s">
        <v>39</v>
      </c>
      <c r="P1226" s="3" t="s">
        <v>30</v>
      </c>
      <c r="Q1226" s="3" t="s">
        <v>20</v>
      </c>
      <c r="R1226" s="3" t="s">
        <v>4</v>
      </c>
      <c r="S1226" s="3" t="s">
        <v>3</v>
      </c>
      <c r="T1226" s="3" t="s">
        <v>38</v>
      </c>
      <c r="U1226" s="3" t="s">
        <v>1</v>
      </c>
      <c r="V1226" s="3" t="s">
        <v>18</v>
      </c>
      <c r="W1226" s="2">
        <v>41</v>
      </c>
    </row>
    <row r="1227" spans="1:24" hidden="1" x14ac:dyDescent="0.25">
      <c r="A1227" s="8">
        <v>6137</v>
      </c>
      <c r="B1227" s="8" t="s">
        <v>1342</v>
      </c>
      <c r="C1227" s="7" t="s">
        <v>1341</v>
      </c>
      <c r="D1227" s="6" t="s">
        <v>15</v>
      </c>
      <c r="E1227" s="5" t="s">
        <v>768</v>
      </c>
      <c r="F1227" s="4">
        <v>39157</v>
      </c>
      <c r="G1227" s="4" t="s">
        <v>1</v>
      </c>
      <c r="H1227" s="4" t="s">
        <v>1</v>
      </c>
      <c r="I1227" s="3" t="s">
        <v>13</v>
      </c>
      <c r="J1227" s="3" t="s">
        <v>34</v>
      </c>
      <c r="K1227" s="3" t="s">
        <v>33</v>
      </c>
      <c r="L1227" s="3" t="s">
        <v>33</v>
      </c>
      <c r="M1227" s="3" t="s">
        <v>1318</v>
      </c>
      <c r="N1227" s="3" t="s">
        <v>1317</v>
      </c>
      <c r="O1227" s="3" t="s">
        <v>39</v>
      </c>
      <c r="P1227" s="3" t="s">
        <v>30</v>
      </c>
      <c r="Q1227" s="3" t="s">
        <v>20</v>
      </c>
      <c r="R1227" s="3" t="s">
        <v>4</v>
      </c>
      <c r="S1227" s="3" t="s">
        <v>3</v>
      </c>
      <c r="T1227" s="3" t="s">
        <v>38</v>
      </c>
      <c r="U1227" s="3" t="s">
        <v>1</v>
      </c>
      <c r="V1227" s="3" t="s">
        <v>0</v>
      </c>
      <c r="W1227" s="2">
        <v>38</v>
      </c>
    </row>
    <row r="1228" spans="1:24" hidden="1" x14ac:dyDescent="0.25">
      <c r="A1228" s="8">
        <v>8685</v>
      </c>
      <c r="B1228" s="8" t="s">
        <v>1340</v>
      </c>
      <c r="C1228" s="19" t="s">
        <v>1339</v>
      </c>
      <c r="D1228" s="6" t="s">
        <v>15</v>
      </c>
      <c r="E1228" s="18" t="s">
        <v>1338</v>
      </c>
      <c r="F1228" s="4">
        <v>39888</v>
      </c>
      <c r="G1228" s="4" t="s">
        <v>1</v>
      </c>
      <c r="H1228" s="4" t="s">
        <v>1</v>
      </c>
      <c r="I1228" s="3" t="s">
        <v>13</v>
      </c>
      <c r="J1228" s="3" t="s">
        <v>34</v>
      </c>
      <c r="K1228" s="3" t="s">
        <v>33</v>
      </c>
      <c r="L1228" s="3" t="s">
        <v>33</v>
      </c>
      <c r="M1228" s="3" t="s">
        <v>1318</v>
      </c>
      <c r="N1228" s="3" t="s">
        <v>1317</v>
      </c>
      <c r="O1228" s="3" t="s">
        <v>100</v>
      </c>
      <c r="P1228" s="3" t="s">
        <v>30</v>
      </c>
      <c r="Q1228" s="3" t="s">
        <v>20</v>
      </c>
      <c r="R1228" s="3" t="s">
        <v>4</v>
      </c>
      <c r="S1228" s="3" t="s">
        <v>3</v>
      </c>
      <c r="T1228" s="3" t="s">
        <v>29</v>
      </c>
      <c r="U1228" s="3" t="s">
        <v>1</v>
      </c>
      <c r="V1228" s="3" t="s">
        <v>0</v>
      </c>
      <c r="W1228" s="2">
        <v>34</v>
      </c>
    </row>
    <row r="1229" spans="1:24" s="9" customFormat="1" hidden="1" x14ac:dyDescent="0.25">
      <c r="A1229" s="17">
        <v>13113</v>
      </c>
      <c r="B1229" s="17" t="s">
        <v>1337</v>
      </c>
      <c r="C1229" s="24" t="s">
        <v>1336</v>
      </c>
      <c r="D1229" s="15" t="s">
        <v>15</v>
      </c>
      <c r="E1229" s="22" t="s">
        <v>1335</v>
      </c>
      <c r="F1229" s="13">
        <v>40868</v>
      </c>
      <c r="G1229" s="13" t="s">
        <v>1</v>
      </c>
      <c r="H1229" s="13" t="s">
        <v>1</v>
      </c>
      <c r="I1229" s="14" t="s">
        <v>50</v>
      </c>
      <c r="J1229" s="14" t="s">
        <v>1334</v>
      </c>
      <c r="K1229" s="14" t="s">
        <v>33</v>
      </c>
      <c r="L1229" s="14" t="s">
        <v>33</v>
      </c>
      <c r="M1229" s="14" t="s">
        <v>1333</v>
      </c>
      <c r="N1229" s="22" t="s">
        <v>348</v>
      </c>
      <c r="O1229" s="22" t="s">
        <v>368</v>
      </c>
      <c r="P1229" s="12" t="s">
        <v>30</v>
      </c>
      <c r="Q1229" s="14" t="s">
        <v>47</v>
      </c>
      <c r="R1229" s="12" t="s">
        <v>4</v>
      </c>
      <c r="S1229" s="12" t="s">
        <v>3</v>
      </c>
      <c r="T1229" s="12" t="s">
        <v>346</v>
      </c>
      <c r="U1229" s="12" t="s">
        <v>1</v>
      </c>
      <c r="V1229" s="12" t="s">
        <v>18</v>
      </c>
      <c r="W1229" s="11">
        <v>37</v>
      </c>
      <c r="X1229" s="10"/>
    </row>
    <row r="1230" spans="1:24" hidden="1" x14ac:dyDescent="0.25">
      <c r="A1230" s="8">
        <v>13135</v>
      </c>
      <c r="B1230" s="8" t="s">
        <v>1332</v>
      </c>
      <c r="C1230" s="7" t="s">
        <v>1331</v>
      </c>
      <c r="D1230" s="6" t="s">
        <v>15</v>
      </c>
      <c r="E1230" s="5" t="s">
        <v>1330</v>
      </c>
      <c r="F1230" s="4">
        <v>40882</v>
      </c>
      <c r="G1230" s="4" t="s">
        <v>1</v>
      </c>
      <c r="H1230" s="4" t="s">
        <v>1</v>
      </c>
      <c r="I1230" s="3" t="s">
        <v>13</v>
      </c>
      <c r="J1230" s="3" t="s">
        <v>12</v>
      </c>
      <c r="K1230" s="3" t="s">
        <v>262</v>
      </c>
      <c r="L1230" s="3" t="s">
        <v>261</v>
      </c>
      <c r="M1230" s="3" t="s">
        <v>329</v>
      </c>
      <c r="N1230" s="3" t="s">
        <v>320</v>
      </c>
      <c r="O1230" s="3" t="s">
        <v>59</v>
      </c>
      <c r="P1230" s="3" t="s">
        <v>6</v>
      </c>
      <c r="Q1230" s="3" t="s">
        <v>5</v>
      </c>
      <c r="R1230" s="3" t="s">
        <v>4</v>
      </c>
      <c r="S1230" s="3" t="s">
        <v>3</v>
      </c>
      <c r="T1230" s="3" t="s">
        <v>2</v>
      </c>
      <c r="U1230" s="3" t="s">
        <v>1</v>
      </c>
      <c r="V1230" s="3" t="s">
        <v>0</v>
      </c>
      <c r="W1230" s="2">
        <v>33</v>
      </c>
    </row>
    <row r="1231" spans="1:24" hidden="1" x14ac:dyDescent="0.25">
      <c r="A1231" s="8">
        <v>13138</v>
      </c>
      <c r="B1231" s="8" t="s">
        <v>1329</v>
      </c>
      <c r="C1231" s="28" t="s">
        <v>1328</v>
      </c>
      <c r="D1231" s="6" t="s">
        <v>15</v>
      </c>
      <c r="E1231" s="18" t="s">
        <v>1327</v>
      </c>
      <c r="F1231" s="4">
        <v>40882</v>
      </c>
      <c r="G1231" s="4" t="s">
        <v>1</v>
      </c>
      <c r="H1231" s="4" t="s">
        <v>1</v>
      </c>
      <c r="I1231" s="5" t="s">
        <v>365</v>
      </c>
      <c r="J1231" s="5" t="s">
        <v>918</v>
      </c>
      <c r="K1231" s="5" t="s">
        <v>33</v>
      </c>
      <c r="L1231" s="5" t="s">
        <v>33</v>
      </c>
      <c r="M1231" s="5" t="s">
        <v>918</v>
      </c>
      <c r="N1231" s="5" t="s">
        <v>989</v>
      </c>
      <c r="O1231" s="5" t="s">
        <v>988</v>
      </c>
      <c r="P1231" s="5" t="s">
        <v>6</v>
      </c>
      <c r="Q1231" s="5" t="s">
        <v>121</v>
      </c>
      <c r="R1231" s="3" t="s">
        <v>4</v>
      </c>
      <c r="S1231" s="3" t="s">
        <v>3</v>
      </c>
      <c r="T1231" s="3" t="s">
        <v>365</v>
      </c>
      <c r="U1231" s="3" t="s">
        <v>1</v>
      </c>
      <c r="V1231" s="3" t="s">
        <v>18</v>
      </c>
      <c r="W1231" s="2">
        <v>33</v>
      </c>
    </row>
    <row r="1232" spans="1:24" hidden="1" x14ac:dyDescent="0.25">
      <c r="A1232" s="8">
        <v>13139</v>
      </c>
      <c r="B1232" s="8" t="s">
        <v>1326</v>
      </c>
      <c r="C1232" s="19" t="s">
        <v>1325</v>
      </c>
      <c r="D1232" s="6" t="s">
        <v>15</v>
      </c>
      <c r="E1232" s="18" t="s">
        <v>1324</v>
      </c>
      <c r="F1232" s="4">
        <v>40883</v>
      </c>
      <c r="G1232" s="4" t="s">
        <v>1</v>
      </c>
      <c r="H1232" s="4" t="s">
        <v>1</v>
      </c>
      <c r="I1232" s="18" t="s">
        <v>50</v>
      </c>
      <c r="J1232" s="5" t="s">
        <v>734</v>
      </c>
      <c r="K1232" s="18" t="s">
        <v>33</v>
      </c>
      <c r="L1232" s="18" t="s">
        <v>33</v>
      </c>
      <c r="M1232" s="5" t="s">
        <v>1072</v>
      </c>
      <c r="N1232" s="18" t="s">
        <v>1323</v>
      </c>
      <c r="O1232" s="5" t="s">
        <v>734</v>
      </c>
      <c r="P1232" s="5" t="s">
        <v>72</v>
      </c>
      <c r="Q1232" s="5" t="s">
        <v>47</v>
      </c>
      <c r="R1232" s="3" t="s">
        <v>4</v>
      </c>
      <c r="S1232" s="3" t="s">
        <v>3</v>
      </c>
      <c r="T1232" s="3" t="s">
        <v>29</v>
      </c>
      <c r="U1232" s="3" t="s">
        <v>1</v>
      </c>
      <c r="V1232" s="3" t="s">
        <v>18</v>
      </c>
      <c r="W1232" s="2">
        <v>33</v>
      </c>
      <c r="X1232" s="20"/>
    </row>
    <row r="1233" spans="1:24" hidden="1" x14ac:dyDescent="0.25">
      <c r="A1233" s="8">
        <v>10640</v>
      </c>
      <c r="B1233" s="8" t="s">
        <v>1322</v>
      </c>
      <c r="C1233" s="7" t="s">
        <v>1321</v>
      </c>
      <c r="D1233" s="6" t="s">
        <v>15</v>
      </c>
      <c r="E1233" s="5" t="s">
        <v>442</v>
      </c>
      <c r="F1233" s="4">
        <v>40549</v>
      </c>
      <c r="G1233" s="4" t="s">
        <v>1</v>
      </c>
      <c r="H1233" s="4" t="s">
        <v>1</v>
      </c>
      <c r="I1233" s="3" t="s">
        <v>13</v>
      </c>
      <c r="J1233" s="3" t="s">
        <v>34</v>
      </c>
      <c r="K1233" s="3" t="s">
        <v>33</v>
      </c>
      <c r="L1233" s="3" t="s">
        <v>33</v>
      </c>
      <c r="M1233" s="3" t="s">
        <v>1318</v>
      </c>
      <c r="N1233" s="3" t="s">
        <v>1317</v>
      </c>
      <c r="O1233" s="3" t="s">
        <v>100</v>
      </c>
      <c r="P1233" s="3" t="s">
        <v>30</v>
      </c>
      <c r="Q1233" s="3" t="s">
        <v>20</v>
      </c>
      <c r="R1233" s="3" t="s">
        <v>4</v>
      </c>
      <c r="S1233" s="3" t="s">
        <v>3</v>
      </c>
      <c r="T1233" s="3" t="s">
        <v>19</v>
      </c>
      <c r="U1233" s="3" t="s">
        <v>1</v>
      </c>
      <c r="V1233" s="3" t="s">
        <v>0</v>
      </c>
      <c r="W1233" s="2">
        <v>31</v>
      </c>
    </row>
    <row r="1234" spans="1:24" hidden="1" x14ac:dyDescent="0.25">
      <c r="A1234" s="8">
        <v>10848</v>
      </c>
      <c r="B1234" s="8" t="s">
        <v>1320</v>
      </c>
      <c r="C1234" s="35" t="s">
        <v>279</v>
      </c>
      <c r="D1234" s="6" t="s">
        <v>15</v>
      </c>
      <c r="E1234" s="8" t="s">
        <v>1319</v>
      </c>
      <c r="F1234" s="4">
        <v>40572</v>
      </c>
      <c r="G1234" s="4" t="s">
        <v>1</v>
      </c>
      <c r="H1234" s="4" t="s">
        <v>1</v>
      </c>
      <c r="I1234" s="3" t="s">
        <v>13</v>
      </c>
      <c r="J1234" s="3" t="s">
        <v>34</v>
      </c>
      <c r="K1234" s="3" t="s">
        <v>33</v>
      </c>
      <c r="L1234" s="3" t="s">
        <v>33</v>
      </c>
      <c r="M1234" s="3" t="s">
        <v>1318</v>
      </c>
      <c r="N1234" s="3" t="s">
        <v>1317</v>
      </c>
      <c r="O1234" s="3" t="s">
        <v>100</v>
      </c>
      <c r="P1234" s="3" t="s">
        <v>30</v>
      </c>
      <c r="Q1234" s="3" t="s">
        <v>20</v>
      </c>
      <c r="R1234" s="3" t="s">
        <v>4</v>
      </c>
      <c r="S1234" s="3" t="s">
        <v>3</v>
      </c>
      <c r="T1234" s="3" t="s">
        <v>29</v>
      </c>
      <c r="U1234" s="3" t="s">
        <v>1</v>
      </c>
      <c r="V1234" s="3" t="s">
        <v>0</v>
      </c>
      <c r="W1234" s="2">
        <v>33</v>
      </c>
    </row>
    <row r="1235" spans="1:24" hidden="1" x14ac:dyDescent="0.25">
      <c r="A1235" s="8">
        <v>13194</v>
      </c>
      <c r="B1235" s="8" t="s">
        <v>1316</v>
      </c>
      <c r="C1235" s="7" t="s">
        <v>1315</v>
      </c>
      <c r="D1235" s="6" t="s">
        <v>15</v>
      </c>
      <c r="E1235" s="5" t="s">
        <v>1314</v>
      </c>
      <c r="F1235" s="4">
        <v>40904</v>
      </c>
      <c r="G1235" s="4" t="s">
        <v>1</v>
      </c>
      <c r="H1235" s="4" t="s">
        <v>1</v>
      </c>
      <c r="I1235" s="3" t="s">
        <v>13</v>
      </c>
      <c r="J1235" s="3" t="s">
        <v>12</v>
      </c>
      <c r="K1235" s="3" t="s">
        <v>482</v>
      </c>
      <c r="L1235" s="3" t="s">
        <v>481</v>
      </c>
      <c r="M1235" s="3" t="s">
        <v>480</v>
      </c>
      <c r="N1235" s="3" t="s">
        <v>1313</v>
      </c>
      <c r="O1235" s="3" t="s">
        <v>7</v>
      </c>
      <c r="P1235" s="3" t="s">
        <v>6</v>
      </c>
      <c r="Q1235" s="3" t="s">
        <v>5</v>
      </c>
      <c r="R1235" s="3" t="s">
        <v>4</v>
      </c>
      <c r="S1235" s="3" t="s">
        <v>3</v>
      </c>
      <c r="T1235" s="3" t="s">
        <v>2</v>
      </c>
      <c r="U1235" s="3" t="s">
        <v>1</v>
      </c>
      <c r="V1235" s="3" t="s">
        <v>0</v>
      </c>
      <c r="W1235" s="2">
        <v>32</v>
      </c>
    </row>
    <row r="1236" spans="1:24" hidden="1" x14ac:dyDescent="0.25">
      <c r="A1236" s="8">
        <v>13249</v>
      </c>
      <c r="B1236" s="8" t="s">
        <v>1312</v>
      </c>
      <c r="C1236" s="7" t="s">
        <v>1311</v>
      </c>
      <c r="D1236" s="6" t="s">
        <v>15</v>
      </c>
      <c r="E1236" s="5" t="s">
        <v>1306</v>
      </c>
      <c r="F1236" s="4">
        <v>40917</v>
      </c>
      <c r="G1236" s="4" t="s">
        <v>1</v>
      </c>
      <c r="H1236" s="4" t="s">
        <v>1</v>
      </c>
      <c r="I1236" s="3" t="s">
        <v>13</v>
      </c>
      <c r="J1236" s="3" t="s">
        <v>133</v>
      </c>
      <c r="K1236" s="3" t="s">
        <v>11</v>
      </c>
      <c r="L1236" s="3" t="s">
        <v>10</v>
      </c>
      <c r="M1236" s="3" t="s">
        <v>290</v>
      </c>
      <c r="N1236" s="3" t="s">
        <v>198</v>
      </c>
      <c r="O1236" s="3" t="s">
        <v>184</v>
      </c>
      <c r="P1236" s="3" t="s">
        <v>6</v>
      </c>
      <c r="Q1236" s="3" t="s">
        <v>20</v>
      </c>
      <c r="R1236" s="3" t="s">
        <v>4</v>
      </c>
      <c r="S1236" s="3" t="s">
        <v>3</v>
      </c>
      <c r="T1236" s="3" t="s">
        <v>2</v>
      </c>
      <c r="U1236" s="3" t="s">
        <v>1</v>
      </c>
      <c r="V1236" s="3" t="s">
        <v>0</v>
      </c>
      <c r="W1236" s="2">
        <v>32</v>
      </c>
    </row>
    <row r="1237" spans="1:24" hidden="1" x14ac:dyDescent="0.25">
      <c r="A1237" s="8">
        <v>13251</v>
      </c>
      <c r="B1237" s="8" t="s">
        <v>1310</v>
      </c>
      <c r="C1237" s="7" t="s">
        <v>1309</v>
      </c>
      <c r="D1237" s="6" t="s">
        <v>15</v>
      </c>
      <c r="E1237" s="5" t="s">
        <v>1306</v>
      </c>
      <c r="F1237" s="4">
        <v>40917</v>
      </c>
      <c r="G1237" s="4" t="s">
        <v>1</v>
      </c>
      <c r="H1237" s="4" t="s">
        <v>1</v>
      </c>
      <c r="I1237" s="3" t="s">
        <v>13</v>
      </c>
      <c r="J1237" s="3" t="s">
        <v>12</v>
      </c>
      <c r="K1237" s="3" t="s">
        <v>758</v>
      </c>
      <c r="L1237" s="3" t="s">
        <v>757</v>
      </c>
      <c r="M1237" s="3" t="s">
        <v>756</v>
      </c>
      <c r="N1237" s="3" t="s">
        <v>320</v>
      </c>
      <c r="O1237" s="3" t="s">
        <v>59</v>
      </c>
      <c r="P1237" s="3" t="s">
        <v>6</v>
      </c>
      <c r="Q1237" s="3" t="s">
        <v>5</v>
      </c>
      <c r="R1237" s="3" t="s">
        <v>4</v>
      </c>
      <c r="S1237" s="3" t="s">
        <v>3</v>
      </c>
      <c r="T1237" s="3" t="s">
        <v>2</v>
      </c>
      <c r="U1237" s="3" t="s">
        <v>1</v>
      </c>
      <c r="V1237" s="3" t="s">
        <v>0</v>
      </c>
      <c r="W1237" s="2">
        <v>31</v>
      </c>
    </row>
    <row r="1238" spans="1:24" hidden="1" x14ac:dyDescent="0.25">
      <c r="A1238" s="8">
        <v>13268</v>
      </c>
      <c r="B1238" s="8" t="s">
        <v>1308</v>
      </c>
      <c r="C1238" s="7" t="s">
        <v>1307</v>
      </c>
      <c r="D1238" s="6" t="s">
        <v>15</v>
      </c>
      <c r="E1238" s="5" t="s">
        <v>1306</v>
      </c>
      <c r="F1238" s="4">
        <v>40917</v>
      </c>
      <c r="G1238" s="4" t="s">
        <v>1</v>
      </c>
      <c r="H1238" s="4" t="s">
        <v>1</v>
      </c>
      <c r="I1238" s="3" t="s">
        <v>13</v>
      </c>
      <c r="J1238" s="3" t="s">
        <v>133</v>
      </c>
      <c r="K1238" s="3" t="s">
        <v>132</v>
      </c>
      <c r="L1238" s="3" t="s">
        <v>218</v>
      </c>
      <c r="M1238" s="3" t="s">
        <v>217</v>
      </c>
      <c r="N1238" s="3" t="s">
        <v>198</v>
      </c>
      <c r="O1238" s="3" t="s">
        <v>184</v>
      </c>
      <c r="P1238" s="3" t="s">
        <v>6</v>
      </c>
      <c r="Q1238" s="3" t="s">
        <v>20</v>
      </c>
      <c r="R1238" s="3" t="s">
        <v>4</v>
      </c>
      <c r="S1238" s="3" t="s">
        <v>3</v>
      </c>
      <c r="T1238" s="3" t="s">
        <v>2</v>
      </c>
      <c r="U1238" s="3" t="s">
        <v>1</v>
      </c>
      <c r="V1238" s="3" t="s">
        <v>0</v>
      </c>
      <c r="W1238" s="2">
        <v>35</v>
      </c>
    </row>
    <row r="1239" spans="1:24" hidden="1" x14ac:dyDescent="0.25">
      <c r="A1239" s="8">
        <v>5428</v>
      </c>
      <c r="B1239" s="8" t="s">
        <v>1305</v>
      </c>
      <c r="C1239" s="7" t="s">
        <v>1304</v>
      </c>
      <c r="D1239" s="6" t="s">
        <v>15</v>
      </c>
      <c r="E1239" s="5" t="s">
        <v>44</v>
      </c>
      <c r="F1239" s="4">
        <v>38991</v>
      </c>
      <c r="G1239" s="4" t="s">
        <v>1</v>
      </c>
      <c r="H1239" s="4" t="s">
        <v>1</v>
      </c>
      <c r="I1239" s="3" t="s">
        <v>13</v>
      </c>
      <c r="J1239" s="3" t="s">
        <v>133</v>
      </c>
      <c r="K1239" s="3" t="s">
        <v>1182</v>
      </c>
      <c r="L1239" s="3" t="s">
        <v>1182</v>
      </c>
      <c r="M1239" s="3" t="s">
        <v>1232</v>
      </c>
      <c r="N1239" s="3" t="s">
        <v>1303</v>
      </c>
      <c r="O1239" s="3" t="s">
        <v>128</v>
      </c>
      <c r="P1239" s="3" t="s">
        <v>30</v>
      </c>
      <c r="Q1239" s="3" t="s">
        <v>5</v>
      </c>
      <c r="R1239" s="3" t="s">
        <v>4</v>
      </c>
      <c r="S1239" s="3" t="s">
        <v>3</v>
      </c>
      <c r="T1239" s="3" t="s">
        <v>2</v>
      </c>
      <c r="U1239" s="3" t="s">
        <v>1</v>
      </c>
      <c r="V1239" s="3" t="s">
        <v>0</v>
      </c>
      <c r="W1239" s="2">
        <v>40</v>
      </c>
    </row>
    <row r="1240" spans="1:24" hidden="1" x14ac:dyDescent="0.25">
      <c r="A1240" s="8">
        <v>13287</v>
      </c>
      <c r="B1240" s="8" t="s">
        <v>1302</v>
      </c>
      <c r="C1240" s="19" t="s">
        <v>1301</v>
      </c>
      <c r="D1240" s="6" t="s">
        <v>15</v>
      </c>
      <c r="E1240" s="18" t="s">
        <v>1300</v>
      </c>
      <c r="F1240" s="4">
        <v>40924</v>
      </c>
      <c r="G1240" s="4" t="s">
        <v>1</v>
      </c>
      <c r="H1240" s="4" t="s">
        <v>1</v>
      </c>
      <c r="I1240" s="3" t="s">
        <v>13</v>
      </c>
      <c r="J1240" s="3" t="s">
        <v>12</v>
      </c>
      <c r="K1240" s="3" t="s">
        <v>11</v>
      </c>
      <c r="L1240" s="3" t="s">
        <v>10</v>
      </c>
      <c r="M1240" s="3" t="s">
        <v>9</v>
      </c>
      <c r="N1240" s="3" t="s">
        <v>1299</v>
      </c>
      <c r="O1240" s="3" t="s">
        <v>67</v>
      </c>
      <c r="P1240" s="3" t="s">
        <v>6</v>
      </c>
      <c r="Q1240" s="3" t="s">
        <v>5</v>
      </c>
      <c r="R1240" s="3" t="s">
        <v>4</v>
      </c>
      <c r="S1240" s="3" t="s">
        <v>3</v>
      </c>
      <c r="T1240" s="3" t="s">
        <v>2</v>
      </c>
      <c r="U1240" s="3" t="s">
        <v>1</v>
      </c>
      <c r="V1240" s="3" t="s">
        <v>0</v>
      </c>
      <c r="W1240" s="2">
        <v>31</v>
      </c>
    </row>
    <row r="1241" spans="1:24" s="9" customFormat="1" hidden="1" x14ac:dyDescent="0.25">
      <c r="A1241" s="17">
        <v>13330</v>
      </c>
      <c r="B1241" s="17" t="s">
        <v>1298</v>
      </c>
      <c r="C1241" s="24" t="s">
        <v>1297</v>
      </c>
      <c r="D1241" s="15" t="s">
        <v>15</v>
      </c>
      <c r="E1241" s="22" t="s">
        <v>1278</v>
      </c>
      <c r="F1241" s="13">
        <v>40924</v>
      </c>
      <c r="G1241" s="13" t="s">
        <v>1</v>
      </c>
      <c r="H1241" s="13" t="s">
        <v>1</v>
      </c>
      <c r="I1241" s="14" t="s">
        <v>93</v>
      </c>
      <c r="J1241" s="12" t="s">
        <v>92</v>
      </c>
      <c r="K1241" s="12" t="s">
        <v>33</v>
      </c>
      <c r="L1241" s="12" t="s">
        <v>33</v>
      </c>
      <c r="M1241" s="12" t="s">
        <v>91</v>
      </c>
      <c r="N1241" s="12" t="s">
        <v>90</v>
      </c>
      <c r="O1241" s="12" t="s">
        <v>89</v>
      </c>
      <c r="P1241" s="12" t="s">
        <v>72</v>
      </c>
      <c r="Q1241" s="12" t="s">
        <v>20</v>
      </c>
      <c r="R1241" s="12" t="s">
        <v>4</v>
      </c>
      <c r="S1241" s="12" t="s">
        <v>3</v>
      </c>
      <c r="T1241" s="12" t="s">
        <v>88</v>
      </c>
      <c r="U1241" s="12" t="s">
        <v>1</v>
      </c>
      <c r="V1241" s="12" t="s">
        <v>18</v>
      </c>
      <c r="W1241" s="11">
        <v>37</v>
      </c>
      <c r="X1241" s="10"/>
    </row>
    <row r="1242" spans="1:24" hidden="1" x14ac:dyDescent="0.25">
      <c r="A1242" s="8">
        <v>13331</v>
      </c>
      <c r="B1242" s="8" t="s">
        <v>1296</v>
      </c>
      <c r="C1242" s="19" t="s">
        <v>1295</v>
      </c>
      <c r="D1242" s="6" t="s">
        <v>15</v>
      </c>
      <c r="E1242" s="18" t="s">
        <v>1278</v>
      </c>
      <c r="F1242" s="4">
        <v>40924</v>
      </c>
      <c r="G1242" s="4" t="s">
        <v>1</v>
      </c>
      <c r="H1242" s="4" t="s">
        <v>1</v>
      </c>
      <c r="I1242" s="5" t="s">
        <v>93</v>
      </c>
      <c r="J1242" s="5" t="s">
        <v>92</v>
      </c>
      <c r="K1242" s="5" t="s">
        <v>33</v>
      </c>
      <c r="L1242" s="5" t="s">
        <v>33</v>
      </c>
      <c r="M1242" s="3" t="s">
        <v>91</v>
      </c>
      <c r="N1242" s="3" t="s">
        <v>90</v>
      </c>
      <c r="O1242" s="3" t="s">
        <v>89</v>
      </c>
      <c r="P1242" s="3" t="s">
        <v>6</v>
      </c>
      <c r="Q1242" s="3" t="s">
        <v>20</v>
      </c>
      <c r="R1242" s="3" t="s">
        <v>4</v>
      </c>
      <c r="S1242" s="3" t="s">
        <v>3</v>
      </c>
      <c r="T1242" s="3" t="s">
        <v>88</v>
      </c>
      <c r="U1242" s="3" t="s">
        <v>1</v>
      </c>
      <c r="V1242" s="3" t="s">
        <v>18</v>
      </c>
      <c r="W1242" s="2">
        <v>35</v>
      </c>
    </row>
    <row r="1243" spans="1:24" hidden="1" x14ac:dyDescent="0.25">
      <c r="A1243" s="8">
        <v>13335</v>
      </c>
      <c r="B1243" s="8" t="s">
        <v>1294</v>
      </c>
      <c r="C1243" s="19" t="s">
        <v>1293</v>
      </c>
      <c r="D1243" s="6" t="s">
        <v>15</v>
      </c>
      <c r="E1243" s="18" t="s">
        <v>1278</v>
      </c>
      <c r="F1243" s="4">
        <v>40924</v>
      </c>
      <c r="G1243" s="4" t="s">
        <v>1</v>
      </c>
      <c r="H1243" s="4" t="s">
        <v>1</v>
      </c>
      <c r="I1243" s="5" t="s">
        <v>93</v>
      </c>
      <c r="J1243" s="5" t="s">
        <v>92</v>
      </c>
      <c r="K1243" s="5" t="s">
        <v>33</v>
      </c>
      <c r="L1243" s="5" t="s">
        <v>33</v>
      </c>
      <c r="M1243" s="5" t="s">
        <v>1050</v>
      </c>
      <c r="N1243" s="5" t="s">
        <v>1051</v>
      </c>
      <c r="O1243" s="5" t="s">
        <v>1050</v>
      </c>
      <c r="P1243" s="5" t="s">
        <v>72</v>
      </c>
      <c r="Q1243" s="5" t="s">
        <v>47</v>
      </c>
      <c r="R1243" s="3" t="s">
        <v>4</v>
      </c>
      <c r="S1243" s="3" t="s">
        <v>3</v>
      </c>
      <c r="T1243" s="3" t="s">
        <v>88</v>
      </c>
      <c r="U1243" s="3" t="s">
        <v>1</v>
      </c>
      <c r="V1243" s="3" t="s">
        <v>18</v>
      </c>
      <c r="W1243" s="2">
        <v>34</v>
      </c>
    </row>
    <row r="1244" spans="1:24" s="78" customFormat="1" hidden="1" x14ac:dyDescent="0.25">
      <c r="A1244" s="73">
        <v>13338</v>
      </c>
      <c r="B1244" s="73" t="s">
        <v>1292</v>
      </c>
      <c r="C1244" s="102" t="s">
        <v>1291</v>
      </c>
      <c r="D1244" s="88" t="s">
        <v>15</v>
      </c>
      <c r="E1244" s="91" t="s">
        <v>1278</v>
      </c>
      <c r="F1244" s="90">
        <v>40924</v>
      </c>
      <c r="G1244" s="90" t="s">
        <v>1</v>
      </c>
      <c r="H1244" s="90" t="s">
        <v>1</v>
      </c>
      <c r="I1244" s="89" t="s">
        <v>93</v>
      </c>
      <c r="J1244" s="89" t="s">
        <v>92</v>
      </c>
      <c r="K1244" s="89" t="s">
        <v>33</v>
      </c>
      <c r="L1244" s="89" t="s">
        <v>33</v>
      </c>
      <c r="M1244" s="92" t="s">
        <v>449</v>
      </c>
      <c r="N1244" s="92" t="s">
        <v>498</v>
      </c>
      <c r="O1244" s="92" t="s">
        <v>394</v>
      </c>
      <c r="P1244" s="92" t="s">
        <v>30</v>
      </c>
      <c r="Q1244" s="92" t="s">
        <v>47</v>
      </c>
      <c r="R1244" s="92" t="s">
        <v>4</v>
      </c>
      <c r="S1244" s="92" t="s">
        <v>3</v>
      </c>
      <c r="T1244" s="92" t="s">
        <v>88</v>
      </c>
      <c r="U1244" s="92" t="s">
        <v>1</v>
      </c>
      <c r="V1244" s="92" t="s">
        <v>18</v>
      </c>
      <c r="W1244" s="93">
        <v>35</v>
      </c>
    </row>
    <row r="1245" spans="1:24" hidden="1" x14ac:dyDescent="0.25">
      <c r="A1245" s="8">
        <v>13341</v>
      </c>
      <c r="B1245" s="8" t="s">
        <v>1290</v>
      </c>
      <c r="C1245" s="19" t="s">
        <v>1289</v>
      </c>
      <c r="D1245" s="6" t="s">
        <v>15</v>
      </c>
      <c r="E1245" s="18" t="s">
        <v>1278</v>
      </c>
      <c r="F1245" s="4">
        <v>40924</v>
      </c>
      <c r="G1245" s="4" t="s">
        <v>1</v>
      </c>
      <c r="H1245" s="4" t="s">
        <v>1</v>
      </c>
      <c r="I1245" s="5" t="s">
        <v>93</v>
      </c>
      <c r="J1245" s="3" t="s">
        <v>92</v>
      </c>
      <c r="K1245" s="3" t="s">
        <v>33</v>
      </c>
      <c r="L1245" s="3" t="s">
        <v>33</v>
      </c>
      <c r="M1245" s="3" t="s">
        <v>91</v>
      </c>
      <c r="N1245" s="3" t="s">
        <v>90</v>
      </c>
      <c r="O1245" s="3" t="s">
        <v>89</v>
      </c>
      <c r="P1245" s="3" t="s">
        <v>72</v>
      </c>
      <c r="Q1245" s="3" t="s">
        <v>20</v>
      </c>
      <c r="R1245" s="3" t="s">
        <v>4</v>
      </c>
      <c r="S1245" s="3" t="s">
        <v>3</v>
      </c>
      <c r="T1245" s="3" t="s">
        <v>88</v>
      </c>
      <c r="U1245" s="3" t="s">
        <v>1</v>
      </c>
      <c r="V1245" s="3" t="s">
        <v>18</v>
      </c>
      <c r="W1245" s="2">
        <v>34</v>
      </c>
    </row>
    <row r="1246" spans="1:24" hidden="1" x14ac:dyDescent="0.25">
      <c r="A1246" s="8">
        <v>13344</v>
      </c>
      <c r="B1246" s="8" t="s">
        <v>1288</v>
      </c>
      <c r="C1246" s="19" t="s">
        <v>1287</v>
      </c>
      <c r="D1246" s="6" t="s">
        <v>15</v>
      </c>
      <c r="E1246" s="18" t="s">
        <v>1278</v>
      </c>
      <c r="F1246" s="4">
        <v>40924</v>
      </c>
      <c r="G1246" s="4" t="s">
        <v>1</v>
      </c>
      <c r="H1246" s="4" t="s">
        <v>1</v>
      </c>
      <c r="I1246" s="5" t="s">
        <v>93</v>
      </c>
      <c r="J1246" s="5" t="s">
        <v>92</v>
      </c>
      <c r="K1246" s="3" t="s">
        <v>33</v>
      </c>
      <c r="L1246" s="3" t="s">
        <v>33</v>
      </c>
      <c r="M1246" s="5" t="s">
        <v>91</v>
      </c>
      <c r="N1246" s="3" t="s">
        <v>90</v>
      </c>
      <c r="O1246" s="3" t="s">
        <v>89</v>
      </c>
      <c r="P1246" s="3" t="s">
        <v>6</v>
      </c>
      <c r="Q1246" s="3" t="s">
        <v>20</v>
      </c>
      <c r="R1246" s="3" t="s">
        <v>4</v>
      </c>
      <c r="S1246" s="3" t="s">
        <v>3</v>
      </c>
      <c r="T1246" s="3" t="s">
        <v>88</v>
      </c>
      <c r="U1246" s="3" t="s">
        <v>1</v>
      </c>
      <c r="V1246" s="3" t="s">
        <v>18</v>
      </c>
      <c r="W1246" s="2">
        <v>35</v>
      </c>
    </row>
    <row r="1247" spans="1:24" hidden="1" x14ac:dyDescent="0.25">
      <c r="A1247" s="8">
        <v>13346</v>
      </c>
      <c r="B1247" s="8" t="s">
        <v>1286</v>
      </c>
      <c r="C1247" s="19" t="s">
        <v>1285</v>
      </c>
      <c r="D1247" s="6" t="s">
        <v>15</v>
      </c>
      <c r="E1247" s="18" t="s">
        <v>1278</v>
      </c>
      <c r="F1247" s="4">
        <v>40924</v>
      </c>
      <c r="G1247" s="4" t="s">
        <v>1</v>
      </c>
      <c r="H1247" s="4" t="s">
        <v>1</v>
      </c>
      <c r="I1247" s="5" t="s">
        <v>93</v>
      </c>
      <c r="J1247" s="3" t="s">
        <v>92</v>
      </c>
      <c r="K1247" s="3" t="s">
        <v>33</v>
      </c>
      <c r="L1247" s="3" t="s">
        <v>33</v>
      </c>
      <c r="M1247" s="3" t="s">
        <v>91</v>
      </c>
      <c r="N1247" s="5" t="s">
        <v>1284</v>
      </c>
      <c r="O1247" s="5" t="s">
        <v>368</v>
      </c>
      <c r="P1247" s="5" t="s">
        <v>30</v>
      </c>
      <c r="Q1247" s="5" t="s">
        <v>47</v>
      </c>
      <c r="R1247" s="3" t="s">
        <v>4</v>
      </c>
      <c r="S1247" s="3" t="s">
        <v>3</v>
      </c>
      <c r="T1247" s="3" t="s">
        <v>38</v>
      </c>
      <c r="U1247" s="3" t="s">
        <v>1</v>
      </c>
      <c r="V1247" s="3" t="s">
        <v>18</v>
      </c>
      <c r="W1247" s="2">
        <v>40</v>
      </c>
    </row>
    <row r="1248" spans="1:24" s="9" customFormat="1" hidden="1" x14ac:dyDescent="0.25">
      <c r="A1248" s="17">
        <v>13349</v>
      </c>
      <c r="B1248" s="17" t="s">
        <v>1283</v>
      </c>
      <c r="C1248" s="24" t="s">
        <v>1282</v>
      </c>
      <c r="D1248" s="15" t="s">
        <v>15</v>
      </c>
      <c r="E1248" s="22" t="s">
        <v>1278</v>
      </c>
      <c r="F1248" s="13">
        <v>40924</v>
      </c>
      <c r="G1248" s="13" t="s">
        <v>1</v>
      </c>
      <c r="H1248" s="13" t="s">
        <v>1</v>
      </c>
      <c r="I1248" s="22" t="s">
        <v>93</v>
      </c>
      <c r="J1248" s="14" t="s">
        <v>92</v>
      </c>
      <c r="K1248" s="14" t="s">
        <v>33</v>
      </c>
      <c r="L1248" s="14" t="s">
        <v>33</v>
      </c>
      <c r="M1248" s="14" t="s">
        <v>394</v>
      </c>
      <c r="N1248" s="14" t="s">
        <v>1281</v>
      </c>
      <c r="O1248" s="14" t="s">
        <v>394</v>
      </c>
      <c r="P1248" s="14" t="s">
        <v>30</v>
      </c>
      <c r="Q1248" s="14" t="s">
        <v>47</v>
      </c>
      <c r="R1248" s="12" t="s">
        <v>4</v>
      </c>
      <c r="S1248" s="12" t="s">
        <v>3</v>
      </c>
      <c r="T1248" s="12" t="s">
        <v>88</v>
      </c>
      <c r="U1248" s="12" t="s">
        <v>1</v>
      </c>
      <c r="V1248" s="12" t="s">
        <v>18</v>
      </c>
      <c r="W1248" s="11">
        <v>31</v>
      </c>
      <c r="X1248" s="10"/>
    </row>
    <row r="1249" spans="1:24" hidden="1" x14ac:dyDescent="0.25">
      <c r="A1249" s="8">
        <v>13353</v>
      </c>
      <c r="B1249" s="8" t="s">
        <v>1280</v>
      </c>
      <c r="C1249" s="28" t="s">
        <v>1279</v>
      </c>
      <c r="D1249" s="6" t="s">
        <v>15</v>
      </c>
      <c r="E1249" s="18" t="s">
        <v>1278</v>
      </c>
      <c r="F1249" s="4">
        <v>40924</v>
      </c>
      <c r="G1249" s="4" t="s">
        <v>1</v>
      </c>
      <c r="H1249" s="4" t="s">
        <v>1</v>
      </c>
      <c r="I1249" s="5" t="s">
        <v>365</v>
      </c>
      <c r="J1249" s="5" t="s">
        <v>918</v>
      </c>
      <c r="K1249" s="5" t="s">
        <v>33</v>
      </c>
      <c r="L1249" s="5" t="s">
        <v>33</v>
      </c>
      <c r="M1249" s="5" t="s">
        <v>918</v>
      </c>
      <c r="N1249" s="5" t="s">
        <v>989</v>
      </c>
      <c r="O1249" s="5" t="s">
        <v>988</v>
      </c>
      <c r="P1249" s="18" t="s">
        <v>72</v>
      </c>
      <c r="Q1249" s="5" t="s">
        <v>121</v>
      </c>
      <c r="R1249" s="3" t="s">
        <v>4</v>
      </c>
      <c r="S1249" s="3" t="s">
        <v>3</v>
      </c>
      <c r="T1249" s="3" t="s">
        <v>365</v>
      </c>
      <c r="U1249" s="3" t="s">
        <v>1</v>
      </c>
      <c r="V1249" s="3" t="s">
        <v>18</v>
      </c>
      <c r="W1249" s="2">
        <v>39</v>
      </c>
    </row>
    <row r="1250" spans="1:24" hidden="1" x14ac:dyDescent="0.25">
      <c r="A1250" s="8">
        <v>13369</v>
      </c>
      <c r="B1250" s="8" t="s">
        <v>1277</v>
      </c>
      <c r="C1250" s="7" t="s">
        <v>1276</v>
      </c>
      <c r="D1250" s="6" t="s">
        <v>15</v>
      </c>
      <c r="E1250" s="5" t="s">
        <v>1272</v>
      </c>
      <c r="F1250" s="4">
        <v>40932</v>
      </c>
      <c r="G1250" s="4" t="s">
        <v>1</v>
      </c>
      <c r="H1250" s="4" t="s">
        <v>1</v>
      </c>
      <c r="I1250" s="3" t="s">
        <v>13</v>
      </c>
      <c r="J1250" s="3" t="s">
        <v>12</v>
      </c>
      <c r="K1250" s="3" t="s">
        <v>283</v>
      </c>
      <c r="L1250" s="3" t="s">
        <v>282</v>
      </c>
      <c r="M1250" s="3" t="s">
        <v>281</v>
      </c>
      <c r="N1250" s="3" t="s">
        <v>1275</v>
      </c>
      <c r="O1250" s="3" t="s">
        <v>100</v>
      </c>
      <c r="P1250" s="3" t="s">
        <v>6</v>
      </c>
      <c r="Q1250" s="3" t="s">
        <v>20</v>
      </c>
      <c r="R1250" s="3" t="s">
        <v>4</v>
      </c>
      <c r="S1250" s="3" t="s">
        <v>3</v>
      </c>
      <c r="T1250" s="3" t="s">
        <v>2</v>
      </c>
      <c r="U1250" s="3" t="s">
        <v>1</v>
      </c>
      <c r="V1250" s="3" t="s">
        <v>0</v>
      </c>
      <c r="W1250" s="2">
        <v>34</v>
      </c>
    </row>
    <row r="1251" spans="1:24" hidden="1" x14ac:dyDescent="0.25">
      <c r="A1251" s="8">
        <v>13376</v>
      </c>
      <c r="B1251" s="8" t="s">
        <v>1274</v>
      </c>
      <c r="C1251" s="7" t="s">
        <v>1273</v>
      </c>
      <c r="D1251" s="6" t="s">
        <v>15</v>
      </c>
      <c r="E1251" s="5" t="s">
        <v>1272</v>
      </c>
      <c r="F1251" s="4">
        <v>40932</v>
      </c>
      <c r="G1251" s="4" t="s">
        <v>1</v>
      </c>
      <c r="H1251" s="4" t="s">
        <v>1</v>
      </c>
      <c r="I1251" s="3" t="s">
        <v>13</v>
      </c>
      <c r="J1251" s="3" t="s">
        <v>12</v>
      </c>
      <c r="K1251" s="3" t="s">
        <v>262</v>
      </c>
      <c r="L1251" s="3" t="s">
        <v>261</v>
      </c>
      <c r="M1251" s="3" t="s">
        <v>260</v>
      </c>
      <c r="N1251" s="3" t="s">
        <v>8</v>
      </c>
      <c r="O1251" s="3" t="s">
        <v>7</v>
      </c>
      <c r="P1251" s="3" t="s">
        <v>6</v>
      </c>
      <c r="Q1251" s="3" t="s">
        <v>5</v>
      </c>
      <c r="R1251" s="3" t="s">
        <v>4</v>
      </c>
      <c r="S1251" s="3" t="s">
        <v>3</v>
      </c>
      <c r="T1251" s="3" t="s">
        <v>2</v>
      </c>
      <c r="U1251" s="3" t="s">
        <v>1</v>
      </c>
      <c r="V1251" s="3" t="s">
        <v>0</v>
      </c>
      <c r="W1251" s="2">
        <v>32</v>
      </c>
    </row>
    <row r="1252" spans="1:24" hidden="1" x14ac:dyDescent="0.25">
      <c r="A1252" s="8">
        <v>13418</v>
      </c>
      <c r="B1252" s="8" t="s">
        <v>1271</v>
      </c>
      <c r="C1252" s="19" t="s">
        <v>1270</v>
      </c>
      <c r="D1252" s="6" t="s">
        <v>15</v>
      </c>
      <c r="E1252" s="18" t="s">
        <v>1259</v>
      </c>
      <c r="F1252" s="4">
        <v>40932</v>
      </c>
      <c r="G1252" s="4" t="s">
        <v>1</v>
      </c>
      <c r="H1252" s="4" t="s">
        <v>1</v>
      </c>
      <c r="I1252" s="5" t="s">
        <v>93</v>
      </c>
      <c r="J1252" s="5" t="s">
        <v>89</v>
      </c>
      <c r="K1252" s="18" t="s">
        <v>33</v>
      </c>
      <c r="L1252" s="18" t="s">
        <v>33</v>
      </c>
      <c r="M1252" s="5" t="s">
        <v>1216</v>
      </c>
      <c r="N1252" s="5" t="s">
        <v>1216</v>
      </c>
      <c r="O1252" s="5" t="s">
        <v>89</v>
      </c>
      <c r="P1252" s="5" t="s">
        <v>6</v>
      </c>
      <c r="Q1252" s="5" t="s">
        <v>20</v>
      </c>
      <c r="R1252" s="3" t="s">
        <v>4</v>
      </c>
      <c r="S1252" s="3" t="s">
        <v>3</v>
      </c>
      <c r="T1252" s="3" t="s">
        <v>88</v>
      </c>
      <c r="U1252" s="3" t="s">
        <v>1</v>
      </c>
      <c r="V1252" s="3" t="s">
        <v>18</v>
      </c>
      <c r="W1252" s="2">
        <v>31</v>
      </c>
    </row>
    <row r="1253" spans="1:24" hidden="1" x14ac:dyDescent="0.25">
      <c r="A1253" s="8">
        <v>13422</v>
      </c>
      <c r="B1253" s="8" t="s">
        <v>1269</v>
      </c>
      <c r="C1253" s="19" t="s">
        <v>1268</v>
      </c>
      <c r="D1253" s="6" t="s">
        <v>15</v>
      </c>
      <c r="E1253" s="18" t="s">
        <v>1259</v>
      </c>
      <c r="F1253" s="4">
        <v>40932</v>
      </c>
      <c r="G1253" s="4" t="s">
        <v>1</v>
      </c>
      <c r="H1253" s="4" t="s">
        <v>1</v>
      </c>
      <c r="I1253" s="5" t="s">
        <v>93</v>
      </c>
      <c r="J1253" s="5" t="s">
        <v>92</v>
      </c>
      <c r="K1253" s="5" t="s">
        <v>33</v>
      </c>
      <c r="L1253" s="5" t="s">
        <v>33</v>
      </c>
      <c r="M1253" s="5" t="s">
        <v>1050</v>
      </c>
      <c r="N1253" s="5" t="s">
        <v>1051</v>
      </c>
      <c r="O1253" s="5" t="s">
        <v>1050</v>
      </c>
      <c r="P1253" s="5" t="s">
        <v>6</v>
      </c>
      <c r="Q1253" s="5" t="s">
        <v>47</v>
      </c>
      <c r="R1253" s="3" t="s">
        <v>4</v>
      </c>
      <c r="S1253" s="3" t="s">
        <v>3</v>
      </c>
      <c r="T1253" s="3" t="s">
        <v>88</v>
      </c>
      <c r="U1253" s="3" t="s">
        <v>1</v>
      </c>
      <c r="V1253" s="3" t="s">
        <v>18</v>
      </c>
      <c r="W1253" s="2">
        <v>38</v>
      </c>
    </row>
    <row r="1254" spans="1:24" hidden="1" x14ac:dyDescent="0.25">
      <c r="A1254" s="8">
        <v>13423</v>
      </c>
      <c r="B1254" s="8" t="s">
        <v>1267</v>
      </c>
      <c r="C1254" s="19" t="s">
        <v>1266</v>
      </c>
      <c r="D1254" s="6" t="s">
        <v>15</v>
      </c>
      <c r="E1254" s="18" t="s">
        <v>1259</v>
      </c>
      <c r="F1254" s="4">
        <v>40932</v>
      </c>
      <c r="G1254" s="4" t="s">
        <v>1</v>
      </c>
      <c r="H1254" s="4" t="s">
        <v>1</v>
      </c>
      <c r="I1254" s="5" t="s">
        <v>93</v>
      </c>
      <c r="J1254" s="5" t="s">
        <v>89</v>
      </c>
      <c r="K1254" s="18" t="s">
        <v>33</v>
      </c>
      <c r="L1254" s="18" t="s">
        <v>33</v>
      </c>
      <c r="M1254" s="5" t="s">
        <v>1216</v>
      </c>
      <c r="N1254" s="5" t="s">
        <v>1216</v>
      </c>
      <c r="O1254" s="5" t="s">
        <v>89</v>
      </c>
      <c r="P1254" s="5" t="s">
        <v>6</v>
      </c>
      <c r="Q1254" s="5" t="s">
        <v>20</v>
      </c>
      <c r="R1254" s="3" t="s">
        <v>4</v>
      </c>
      <c r="S1254" s="3" t="s">
        <v>3</v>
      </c>
      <c r="T1254" s="3" t="s">
        <v>88</v>
      </c>
      <c r="U1254" s="3" t="s">
        <v>1</v>
      </c>
      <c r="V1254" s="3" t="s">
        <v>18</v>
      </c>
      <c r="W1254" s="2">
        <v>38</v>
      </c>
    </row>
    <row r="1255" spans="1:24" hidden="1" x14ac:dyDescent="0.25">
      <c r="A1255" s="8">
        <v>13424</v>
      </c>
      <c r="B1255" s="8" t="s">
        <v>1265</v>
      </c>
      <c r="C1255" s="19" t="s">
        <v>1264</v>
      </c>
      <c r="D1255" s="6" t="s">
        <v>15</v>
      </c>
      <c r="E1255" s="18" t="s">
        <v>1259</v>
      </c>
      <c r="F1255" s="4">
        <v>40932</v>
      </c>
      <c r="G1255" s="4" t="s">
        <v>1</v>
      </c>
      <c r="H1255" s="4" t="s">
        <v>1</v>
      </c>
      <c r="I1255" s="5" t="s">
        <v>93</v>
      </c>
      <c r="J1255" s="5" t="s">
        <v>89</v>
      </c>
      <c r="K1255" s="5" t="s">
        <v>33</v>
      </c>
      <c r="L1255" s="5" t="s">
        <v>33</v>
      </c>
      <c r="M1255" s="5" t="s">
        <v>1216</v>
      </c>
      <c r="N1255" s="5" t="s">
        <v>1216</v>
      </c>
      <c r="O1255" s="5" t="s">
        <v>89</v>
      </c>
      <c r="P1255" s="5" t="s">
        <v>72</v>
      </c>
      <c r="Q1255" s="5" t="s">
        <v>20</v>
      </c>
      <c r="R1255" s="3" t="s">
        <v>4</v>
      </c>
      <c r="S1255" s="3" t="s">
        <v>3</v>
      </c>
      <c r="T1255" s="3" t="s">
        <v>88</v>
      </c>
      <c r="U1255" s="3" t="s">
        <v>1</v>
      </c>
      <c r="V1255" s="3" t="s">
        <v>18</v>
      </c>
      <c r="W1255" s="2">
        <v>37</v>
      </c>
    </row>
    <row r="1256" spans="1:24" hidden="1" x14ac:dyDescent="0.25">
      <c r="A1256" s="8">
        <v>13425</v>
      </c>
      <c r="B1256" s="8" t="s">
        <v>1263</v>
      </c>
      <c r="C1256" s="19" t="s">
        <v>1262</v>
      </c>
      <c r="D1256" s="6" t="s">
        <v>15</v>
      </c>
      <c r="E1256" s="18" t="s">
        <v>1259</v>
      </c>
      <c r="F1256" s="4">
        <v>40932</v>
      </c>
      <c r="G1256" s="4" t="s">
        <v>1</v>
      </c>
      <c r="H1256" s="4" t="s">
        <v>1</v>
      </c>
      <c r="I1256" s="5" t="s">
        <v>93</v>
      </c>
      <c r="J1256" s="5" t="s">
        <v>89</v>
      </c>
      <c r="K1256" s="18" t="s">
        <v>33</v>
      </c>
      <c r="L1256" s="18" t="s">
        <v>33</v>
      </c>
      <c r="M1256" s="5" t="s">
        <v>936</v>
      </c>
      <c r="N1256" s="5" t="s">
        <v>935</v>
      </c>
      <c r="O1256" s="5" t="s">
        <v>934</v>
      </c>
      <c r="P1256" s="5" t="s">
        <v>30</v>
      </c>
      <c r="Q1256" s="5" t="s">
        <v>47</v>
      </c>
      <c r="R1256" s="3" t="s">
        <v>4</v>
      </c>
      <c r="S1256" s="3" t="s">
        <v>3</v>
      </c>
      <c r="T1256" s="3" t="s">
        <v>88</v>
      </c>
      <c r="U1256" s="3" t="s">
        <v>1</v>
      </c>
      <c r="V1256" s="3" t="s">
        <v>18</v>
      </c>
      <c r="W1256" s="2">
        <v>32</v>
      </c>
    </row>
    <row r="1257" spans="1:24" s="9" customFormat="1" hidden="1" x14ac:dyDescent="0.25">
      <c r="A1257" s="17">
        <v>13429</v>
      </c>
      <c r="B1257" s="17" t="s">
        <v>1261</v>
      </c>
      <c r="C1257" s="24" t="s">
        <v>1260</v>
      </c>
      <c r="D1257" s="15" t="s">
        <v>15</v>
      </c>
      <c r="E1257" s="22" t="s">
        <v>1259</v>
      </c>
      <c r="F1257" s="13">
        <v>40932</v>
      </c>
      <c r="G1257" s="13" t="s">
        <v>1</v>
      </c>
      <c r="H1257" s="13" t="s">
        <v>1</v>
      </c>
      <c r="I1257" s="14" t="s">
        <v>93</v>
      </c>
      <c r="J1257" s="14" t="s">
        <v>866</v>
      </c>
      <c r="K1257" s="14" t="s">
        <v>33</v>
      </c>
      <c r="L1257" s="14" t="s">
        <v>33</v>
      </c>
      <c r="M1257" s="14" t="s">
        <v>866</v>
      </c>
      <c r="N1257" s="14" t="s">
        <v>1258</v>
      </c>
      <c r="O1257" s="14" t="s">
        <v>387</v>
      </c>
      <c r="P1257" s="14" t="s">
        <v>30</v>
      </c>
      <c r="Q1257" s="14" t="s">
        <v>47</v>
      </c>
      <c r="R1257" s="12" t="s">
        <v>4</v>
      </c>
      <c r="S1257" s="12" t="s">
        <v>3</v>
      </c>
      <c r="T1257" s="12" t="s">
        <v>88</v>
      </c>
      <c r="U1257" s="12" t="s">
        <v>1</v>
      </c>
      <c r="V1257" s="12" t="s">
        <v>18</v>
      </c>
      <c r="W1257" s="11">
        <v>32</v>
      </c>
      <c r="X1257" s="10"/>
    </row>
    <row r="1258" spans="1:24" hidden="1" x14ac:dyDescent="0.25">
      <c r="A1258" s="8">
        <v>13437</v>
      </c>
      <c r="B1258" s="8" t="s">
        <v>1257</v>
      </c>
      <c r="C1258" s="7" t="s">
        <v>1256</v>
      </c>
      <c r="D1258" s="6" t="s">
        <v>15</v>
      </c>
      <c r="E1258" s="5" t="s">
        <v>1255</v>
      </c>
      <c r="F1258" s="4">
        <v>40938</v>
      </c>
      <c r="G1258" s="4" t="s">
        <v>1</v>
      </c>
      <c r="H1258" s="4" t="s">
        <v>1</v>
      </c>
      <c r="I1258" s="5" t="s">
        <v>93</v>
      </c>
      <c r="J1258" s="5" t="s">
        <v>89</v>
      </c>
      <c r="K1258" s="18" t="s">
        <v>33</v>
      </c>
      <c r="L1258" s="18" t="s">
        <v>33</v>
      </c>
      <c r="M1258" s="5" t="s">
        <v>1212</v>
      </c>
      <c r="N1258" s="5" t="s">
        <v>1211</v>
      </c>
      <c r="O1258" s="5" t="s">
        <v>387</v>
      </c>
      <c r="P1258" s="5" t="s">
        <v>30</v>
      </c>
      <c r="Q1258" s="5" t="s">
        <v>47</v>
      </c>
      <c r="R1258" s="3" t="s">
        <v>4</v>
      </c>
      <c r="S1258" s="3" t="s">
        <v>3</v>
      </c>
      <c r="T1258" s="3" t="s">
        <v>88</v>
      </c>
      <c r="U1258" s="3" t="s">
        <v>1</v>
      </c>
      <c r="V1258" s="3" t="s">
        <v>18</v>
      </c>
      <c r="W1258" s="2">
        <v>34</v>
      </c>
    </row>
    <row r="1259" spans="1:24" hidden="1" x14ac:dyDescent="0.25">
      <c r="A1259" s="8">
        <v>13439</v>
      </c>
      <c r="B1259" s="8" t="s">
        <v>1254</v>
      </c>
      <c r="C1259" s="7" t="s">
        <v>1253</v>
      </c>
      <c r="D1259" s="6" t="s">
        <v>15</v>
      </c>
      <c r="E1259" s="5" t="s">
        <v>1250</v>
      </c>
      <c r="F1259" s="4">
        <v>40938</v>
      </c>
      <c r="G1259" s="4" t="s">
        <v>1</v>
      </c>
      <c r="H1259" s="4" t="s">
        <v>1</v>
      </c>
      <c r="I1259" s="3" t="s">
        <v>13</v>
      </c>
      <c r="J1259" s="3" t="s">
        <v>12</v>
      </c>
      <c r="K1259" s="3" t="s">
        <v>262</v>
      </c>
      <c r="L1259" s="3" t="s">
        <v>261</v>
      </c>
      <c r="M1259" s="3" t="s">
        <v>260</v>
      </c>
      <c r="N1259" s="3" t="s">
        <v>68</v>
      </c>
      <c r="O1259" s="3" t="s">
        <v>67</v>
      </c>
      <c r="P1259" s="3" t="s">
        <v>6</v>
      </c>
      <c r="Q1259" s="3" t="s">
        <v>5</v>
      </c>
      <c r="R1259" s="3" t="s">
        <v>4</v>
      </c>
      <c r="S1259" s="3" t="s">
        <v>3</v>
      </c>
      <c r="T1259" s="3" t="s">
        <v>2</v>
      </c>
      <c r="U1259" s="3" t="s">
        <v>1</v>
      </c>
      <c r="V1259" s="3" t="s">
        <v>18</v>
      </c>
      <c r="W1259" s="2">
        <v>32</v>
      </c>
    </row>
    <row r="1260" spans="1:24" hidden="1" x14ac:dyDescent="0.25">
      <c r="A1260" s="8">
        <v>13451</v>
      </c>
      <c r="B1260" s="8" t="s">
        <v>1252</v>
      </c>
      <c r="C1260" s="7" t="s">
        <v>1251</v>
      </c>
      <c r="D1260" s="6" t="s">
        <v>15</v>
      </c>
      <c r="E1260" s="5" t="s">
        <v>1250</v>
      </c>
      <c r="F1260" s="4">
        <v>40938</v>
      </c>
      <c r="G1260" s="4" t="s">
        <v>1</v>
      </c>
      <c r="H1260" s="4" t="s">
        <v>1</v>
      </c>
      <c r="I1260" s="18" t="s">
        <v>100</v>
      </c>
      <c r="J1260" s="18" t="s">
        <v>124</v>
      </c>
      <c r="K1260" s="18" t="s">
        <v>33</v>
      </c>
      <c r="L1260" s="18" t="s">
        <v>33</v>
      </c>
      <c r="M1260" s="18" t="s">
        <v>124</v>
      </c>
      <c r="N1260" s="18" t="s">
        <v>123</v>
      </c>
      <c r="O1260" s="18" t="s">
        <v>122</v>
      </c>
      <c r="P1260" s="5" t="s">
        <v>1</v>
      </c>
      <c r="Q1260" s="5" t="s">
        <v>121</v>
      </c>
      <c r="R1260" s="3" t="s">
        <v>4</v>
      </c>
      <c r="S1260" s="3" t="s">
        <v>3</v>
      </c>
      <c r="T1260" s="3" t="s">
        <v>2</v>
      </c>
      <c r="U1260" s="3" t="s">
        <v>1</v>
      </c>
      <c r="V1260" s="3" t="s">
        <v>0</v>
      </c>
      <c r="W1260" s="2">
        <v>31</v>
      </c>
    </row>
    <row r="1261" spans="1:24" hidden="1" x14ac:dyDescent="0.25">
      <c r="A1261" s="8">
        <v>5892</v>
      </c>
      <c r="B1261" s="8" t="s">
        <v>1249</v>
      </c>
      <c r="C1261" s="7" t="s">
        <v>1248</v>
      </c>
      <c r="D1261" s="6" t="s">
        <v>15</v>
      </c>
      <c r="E1261" s="5" t="s">
        <v>248</v>
      </c>
      <c r="F1261" s="4">
        <v>39129</v>
      </c>
      <c r="G1261" s="4" t="s">
        <v>1</v>
      </c>
      <c r="H1261" s="4" t="s">
        <v>1</v>
      </c>
      <c r="I1261" s="3" t="s">
        <v>13</v>
      </c>
      <c r="J1261" s="3" t="s">
        <v>133</v>
      </c>
      <c r="K1261" s="3" t="s">
        <v>1182</v>
      </c>
      <c r="L1261" s="3" t="s">
        <v>1182</v>
      </c>
      <c r="M1261" s="3" t="s">
        <v>1232</v>
      </c>
      <c r="N1261" s="3" t="s">
        <v>29</v>
      </c>
      <c r="O1261" s="3" t="s">
        <v>29</v>
      </c>
      <c r="P1261" s="3" t="s">
        <v>30</v>
      </c>
      <c r="Q1261" s="3" t="s">
        <v>20</v>
      </c>
      <c r="R1261" s="3" t="s">
        <v>4</v>
      </c>
      <c r="S1261" s="3" t="s">
        <v>3</v>
      </c>
      <c r="T1261" s="3" t="s">
        <v>29</v>
      </c>
      <c r="U1261" s="3" t="s">
        <v>1</v>
      </c>
      <c r="V1261" s="3" t="s">
        <v>0</v>
      </c>
      <c r="W1261" s="2">
        <v>41</v>
      </c>
    </row>
    <row r="1262" spans="1:24" s="9" customFormat="1" hidden="1" x14ac:dyDescent="0.25">
      <c r="A1262" s="17">
        <v>13490</v>
      </c>
      <c r="B1262" s="17" t="s">
        <v>1247</v>
      </c>
      <c r="C1262" s="24" t="s">
        <v>1246</v>
      </c>
      <c r="D1262" s="15" t="s">
        <v>15</v>
      </c>
      <c r="E1262" s="22" t="s">
        <v>1242</v>
      </c>
      <c r="F1262" s="13">
        <v>40945</v>
      </c>
      <c r="G1262" s="13" t="s">
        <v>1</v>
      </c>
      <c r="H1262" s="13" t="s">
        <v>1</v>
      </c>
      <c r="I1262" s="12" t="s">
        <v>145</v>
      </c>
      <c r="J1262" s="12" t="s">
        <v>12</v>
      </c>
      <c r="K1262" s="12" t="s">
        <v>33</v>
      </c>
      <c r="L1262" s="12" t="s">
        <v>33</v>
      </c>
      <c r="M1262" s="12" t="s">
        <v>691</v>
      </c>
      <c r="N1262" s="12" t="s">
        <v>1245</v>
      </c>
      <c r="O1262" s="12" t="s">
        <v>171</v>
      </c>
      <c r="P1262" s="12" t="s">
        <v>30</v>
      </c>
      <c r="Q1262" s="12" t="s">
        <v>20</v>
      </c>
      <c r="R1262" s="12" t="s">
        <v>4</v>
      </c>
      <c r="S1262" s="12" t="s">
        <v>3</v>
      </c>
      <c r="T1262" s="12" t="s">
        <v>2</v>
      </c>
      <c r="U1262" s="12" t="s">
        <v>1</v>
      </c>
      <c r="V1262" s="12" t="s">
        <v>0</v>
      </c>
      <c r="W1262" s="11">
        <v>33</v>
      </c>
      <c r="X1262" s="10"/>
    </row>
    <row r="1263" spans="1:24" s="9" customFormat="1" hidden="1" x14ac:dyDescent="0.25">
      <c r="A1263" s="17">
        <v>13504</v>
      </c>
      <c r="B1263" s="17" t="s">
        <v>1244</v>
      </c>
      <c r="C1263" s="24" t="s">
        <v>1243</v>
      </c>
      <c r="D1263" s="15" t="s">
        <v>15</v>
      </c>
      <c r="E1263" s="22" t="s">
        <v>1242</v>
      </c>
      <c r="F1263" s="13">
        <v>40945</v>
      </c>
      <c r="G1263" s="13" t="s">
        <v>1</v>
      </c>
      <c r="H1263" s="13" t="s">
        <v>1</v>
      </c>
      <c r="I1263" s="12" t="s">
        <v>145</v>
      </c>
      <c r="J1263" s="12" t="s">
        <v>133</v>
      </c>
      <c r="K1263" s="12" t="s">
        <v>25</v>
      </c>
      <c r="L1263" s="12" t="s">
        <v>1241</v>
      </c>
      <c r="M1263" s="12" t="s">
        <v>1240</v>
      </c>
      <c r="N1263" s="12" t="s">
        <v>209</v>
      </c>
      <c r="O1263" s="12" t="s">
        <v>208</v>
      </c>
      <c r="P1263" s="12" t="s">
        <v>72</v>
      </c>
      <c r="Q1263" s="12" t="s">
        <v>47</v>
      </c>
      <c r="R1263" s="12" t="s">
        <v>4</v>
      </c>
      <c r="S1263" s="12" t="s">
        <v>3</v>
      </c>
      <c r="T1263" s="12" t="s">
        <v>2</v>
      </c>
      <c r="U1263" s="12" t="s">
        <v>1</v>
      </c>
      <c r="V1263" s="12" t="s">
        <v>0</v>
      </c>
      <c r="W1263" s="11">
        <v>32</v>
      </c>
      <c r="X1263" s="10"/>
    </row>
    <row r="1264" spans="1:24" hidden="1" x14ac:dyDescent="0.25">
      <c r="A1264" s="8">
        <v>9689</v>
      </c>
      <c r="B1264" s="8" t="s">
        <v>1239</v>
      </c>
      <c r="C1264" s="7" t="s">
        <v>1238</v>
      </c>
      <c r="D1264" s="6" t="s">
        <v>15</v>
      </c>
      <c r="E1264" s="5" t="s">
        <v>1237</v>
      </c>
      <c r="F1264" s="4">
        <v>40297</v>
      </c>
      <c r="G1264" s="4" t="s">
        <v>1</v>
      </c>
      <c r="H1264" s="4" t="s">
        <v>1</v>
      </c>
      <c r="I1264" s="3" t="s">
        <v>13</v>
      </c>
      <c r="J1264" s="3" t="s">
        <v>133</v>
      </c>
      <c r="K1264" s="3" t="s">
        <v>1182</v>
      </c>
      <c r="L1264" s="3" t="s">
        <v>1182</v>
      </c>
      <c r="M1264" s="3" t="s">
        <v>1232</v>
      </c>
      <c r="N1264" s="3" t="s">
        <v>1236</v>
      </c>
      <c r="O1264" s="3" t="s">
        <v>453</v>
      </c>
      <c r="P1264" s="3" t="s">
        <v>30</v>
      </c>
      <c r="Q1264" s="3" t="s">
        <v>5</v>
      </c>
      <c r="R1264" s="3" t="s">
        <v>4</v>
      </c>
      <c r="S1264" s="3" t="s">
        <v>3</v>
      </c>
      <c r="T1264" s="3" t="s">
        <v>2</v>
      </c>
      <c r="U1264" s="3" t="s">
        <v>1</v>
      </c>
      <c r="V1264" s="3" t="s">
        <v>0</v>
      </c>
      <c r="W1264" s="2">
        <v>34</v>
      </c>
    </row>
    <row r="1265" spans="1:24" hidden="1" x14ac:dyDescent="0.25">
      <c r="A1265" s="8">
        <v>11913</v>
      </c>
      <c r="B1265" s="8" t="s">
        <v>1235</v>
      </c>
      <c r="C1265" s="19" t="s">
        <v>1234</v>
      </c>
      <c r="D1265" s="6" t="s">
        <v>15</v>
      </c>
      <c r="E1265" s="18" t="s">
        <v>1233</v>
      </c>
      <c r="F1265" s="4">
        <v>40770</v>
      </c>
      <c r="G1265" s="4" t="s">
        <v>1</v>
      </c>
      <c r="H1265" s="4" t="s">
        <v>1</v>
      </c>
      <c r="I1265" s="3" t="s">
        <v>13</v>
      </c>
      <c r="J1265" s="3" t="s">
        <v>133</v>
      </c>
      <c r="K1265" s="3" t="s">
        <v>153</v>
      </c>
      <c r="L1265" s="3" t="s">
        <v>1182</v>
      </c>
      <c r="M1265" s="3" t="s">
        <v>1232</v>
      </c>
      <c r="N1265" s="3" t="s">
        <v>1231</v>
      </c>
      <c r="O1265" s="3" t="s">
        <v>1231</v>
      </c>
      <c r="P1265" s="3" t="s">
        <v>30</v>
      </c>
      <c r="Q1265" s="3" t="s">
        <v>5</v>
      </c>
      <c r="R1265" s="3" t="s">
        <v>4</v>
      </c>
      <c r="S1265" s="3" t="s">
        <v>3</v>
      </c>
      <c r="T1265" s="3" t="s">
        <v>2</v>
      </c>
      <c r="U1265" s="3" t="s">
        <v>1</v>
      </c>
      <c r="V1265" s="3" t="s">
        <v>0</v>
      </c>
      <c r="W1265" s="2">
        <v>31</v>
      </c>
    </row>
    <row r="1266" spans="1:24" hidden="1" x14ac:dyDescent="0.25">
      <c r="A1266" s="8">
        <v>13587</v>
      </c>
      <c r="B1266" s="8" t="s">
        <v>1230</v>
      </c>
      <c r="C1266" s="19" t="s">
        <v>1229</v>
      </c>
      <c r="D1266" s="6" t="s">
        <v>15</v>
      </c>
      <c r="E1266" s="18" t="s">
        <v>1228</v>
      </c>
      <c r="F1266" s="4">
        <v>40962</v>
      </c>
      <c r="G1266" s="4" t="s">
        <v>1</v>
      </c>
      <c r="H1266" s="4" t="s">
        <v>1</v>
      </c>
      <c r="I1266" s="3" t="s">
        <v>384</v>
      </c>
      <c r="J1266" s="3" t="s">
        <v>1227</v>
      </c>
      <c r="K1266" s="3" t="s">
        <v>33</v>
      </c>
      <c r="L1266" s="3" t="s">
        <v>33</v>
      </c>
      <c r="M1266" s="3" t="s">
        <v>1227</v>
      </c>
      <c r="N1266" s="3" t="s">
        <v>1226</v>
      </c>
      <c r="O1266" s="3" t="s">
        <v>387</v>
      </c>
      <c r="P1266" s="3" t="s">
        <v>30</v>
      </c>
      <c r="Q1266" s="3" t="s">
        <v>47</v>
      </c>
      <c r="R1266" s="3" t="s">
        <v>4</v>
      </c>
      <c r="S1266" s="3" t="s">
        <v>3</v>
      </c>
      <c r="T1266" s="3" t="s">
        <v>121</v>
      </c>
      <c r="U1266" s="3" t="s">
        <v>1</v>
      </c>
      <c r="V1266" s="3" t="s">
        <v>0</v>
      </c>
      <c r="W1266" s="2">
        <v>30</v>
      </c>
    </row>
    <row r="1267" spans="1:24" hidden="1" x14ac:dyDescent="0.25">
      <c r="A1267" s="8">
        <v>1091</v>
      </c>
      <c r="B1267" s="8" t="s">
        <v>1225</v>
      </c>
      <c r="C1267" s="7" t="s">
        <v>1224</v>
      </c>
      <c r="D1267" s="6" t="s">
        <v>15</v>
      </c>
      <c r="E1267" s="5" t="s">
        <v>56</v>
      </c>
      <c r="F1267" s="4">
        <v>37887</v>
      </c>
      <c r="G1267" s="4" t="s">
        <v>1</v>
      </c>
      <c r="H1267" s="4" t="s">
        <v>1</v>
      </c>
      <c r="I1267" s="3" t="s">
        <v>13</v>
      </c>
      <c r="J1267" s="3" t="s">
        <v>12</v>
      </c>
      <c r="K1267" s="3" t="s">
        <v>1182</v>
      </c>
      <c r="L1267" s="3" t="s">
        <v>1182</v>
      </c>
      <c r="M1267" s="3" t="s">
        <v>1181</v>
      </c>
      <c r="N1267" s="3" t="s">
        <v>1223</v>
      </c>
      <c r="O1267" s="3" t="s">
        <v>258</v>
      </c>
      <c r="P1267" s="3" t="s">
        <v>30</v>
      </c>
      <c r="Q1267" s="3" t="s">
        <v>5</v>
      </c>
      <c r="R1267" s="3" t="s">
        <v>4</v>
      </c>
      <c r="S1267" s="3" t="s">
        <v>3</v>
      </c>
      <c r="T1267" s="3" t="s">
        <v>2</v>
      </c>
      <c r="U1267" s="3" t="s">
        <v>1</v>
      </c>
      <c r="V1267" s="3" t="s">
        <v>0</v>
      </c>
      <c r="W1267" s="2">
        <v>40</v>
      </c>
    </row>
    <row r="1268" spans="1:24" s="9" customFormat="1" hidden="1" x14ac:dyDescent="0.25">
      <c r="A1268" s="17">
        <v>13604</v>
      </c>
      <c r="B1268" s="17" t="s">
        <v>1222</v>
      </c>
      <c r="C1268" s="24" t="s">
        <v>1221</v>
      </c>
      <c r="D1268" s="15" t="s">
        <v>15</v>
      </c>
      <c r="E1268" s="22" t="s">
        <v>1220</v>
      </c>
      <c r="F1268" s="13">
        <v>40966</v>
      </c>
      <c r="G1268" s="13" t="s">
        <v>1</v>
      </c>
      <c r="H1268" s="13" t="s">
        <v>1</v>
      </c>
      <c r="I1268" s="12" t="s">
        <v>145</v>
      </c>
      <c r="J1268" s="12" t="s">
        <v>34</v>
      </c>
      <c r="K1268" s="12" t="s">
        <v>33</v>
      </c>
      <c r="L1268" s="12" t="s">
        <v>33</v>
      </c>
      <c r="M1268" s="12" t="s">
        <v>242</v>
      </c>
      <c r="N1268" s="12" t="s">
        <v>241</v>
      </c>
      <c r="O1268" s="12" t="s">
        <v>240</v>
      </c>
      <c r="P1268" s="12" t="s">
        <v>30</v>
      </c>
      <c r="Q1268" s="12" t="s">
        <v>47</v>
      </c>
      <c r="R1268" s="12" t="s">
        <v>4</v>
      </c>
      <c r="S1268" s="12" t="s">
        <v>3</v>
      </c>
      <c r="T1268" s="12" t="s">
        <v>88</v>
      </c>
      <c r="U1268" s="12" t="s">
        <v>1</v>
      </c>
      <c r="V1268" s="12" t="s">
        <v>18</v>
      </c>
      <c r="W1268" s="11">
        <v>31</v>
      </c>
      <c r="X1268" s="10"/>
    </row>
    <row r="1269" spans="1:24" s="9" customFormat="1" hidden="1" x14ac:dyDescent="0.25">
      <c r="A1269" s="17">
        <v>13627</v>
      </c>
      <c r="B1269" s="17" t="s">
        <v>1219</v>
      </c>
      <c r="C1269" s="24" t="s">
        <v>1218</v>
      </c>
      <c r="D1269" s="15" t="s">
        <v>15</v>
      </c>
      <c r="E1269" s="22" t="s">
        <v>1217</v>
      </c>
      <c r="F1269" s="13">
        <v>40973</v>
      </c>
      <c r="G1269" s="13" t="s">
        <v>1</v>
      </c>
      <c r="H1269" s="13" t="s">
        <v>1</v>
      </c>
      <c r="I1269" s="14" t="s">
        <v>93</v>
      </c>
      <c r="J1269" s="14" t="s">
        <v>89</v>
      </c>
      <c r="K1269" s="22" t="s">
        <v>33</v>
      </c>
      <c r="L1269" s="22" t="s">
        <v>33</v>
      </c>
      <c r="M1269" s="14" t="s">
        <v>1216</v>
      </c>
      <c r="N1269" s="14" t="s">
        <v>1216</v>
      </c>
      <c r="O1269" s="14" t="s">
        <v>89</v>
      </c>
      <c r="P1269" s="14" t="s">
        <v>72</v>
      </c>
      <c r="Q1269" s="14" t="s">
        <v>20</v>
      </c>
      <c r="R1269" s="12" t="s">
        <v>4</v>
      </c>
      <c r="S1269" s="12" t="s">
        <v>3</v>
      </c>
      <c r="T1269" s="12" t="s">
        <v>88</v>
      </c>
      <c r="U1269" s="12" t="s">
        <v>1</v>
      </c>
      <c r="V1269" s="12" t="s">
        <v>18</v>
      </c>
      <c r="W1269" s="11">
        <v>32</v>
      </c>
      <c r="X1269" s="10"/>
    </row>
    <row r="1270" spans="1:24" s="9" customFormat="1" hidden="1" x14ac:dyDescent="0.25">
      <c r="A1270" s="17">
        <v>13630</v>
      </c>
      <c r="B1270" s="17" t="s">
        <v>1215</v>
      </c>
      <c r="C1270" s="24" t="s">
        <v>1214</v>
      </c>
      <c r="D1270" s="15" t="s">
        <v>15</v>
      </c>
      <c r="E1270" s="22" t="s">
        <v>1213</v>
      </c>
      <c r="F1270" s="13">
        <v>40974</v>
      </c>
      <c r="G1270" s="13" t="s">
        <v>1</v>
      </c>
      <c r="H1270" s="13" t="s">
        <v>1</v>
      </c>
      <c r="I1270" s="14" t="s">
        <v>93</v>
      </c>
      <c r="J1270" s="14" t="s">
        <v>89</v>
      </c>
      <c r="K1270" s="22" t="s">
        <v>33</v>
      </c>
      <c r="L1270" s="22" t="s">
        <v>33</v>
      </c>
      <c r="M1270" s="14" t="s">
        <v>1212</v>
      </c>
      <c r="N1270" s="14" t="s">
        <v>1211</v>
      </c>
      <c r="O1270" s="14" t="s">
        <v>387</v>
      </c>
      <c r="P1270" s="14" t="s">
        <v>30</v>
      </c>
      <c r="Q1270" s="14" t="s">
        <v>47</v>
      </c>
      <c r="R1270" s="12" t="s">
        <v>4</v>
      </c>
      <c r="S1270" s="12" t="s">
        <v>3</v>
      </c>
      <c r="T1270" s="12" t="s">
        <v>88</v>
      </c>
      <c r="U1270" s="12" t="s">
        <v>1</v>
      </c>
      <c r="V1270" s="12" t="s">
        <v>18</v>
      </c>
      <c r="W1270" s="11">
        <v>32</v>
      </c>
      <c r="X1270" s="10"/>
    </row>
    <row r="1271" spans="1:24" hidden="1" x14ac:dyDescent="0.25">
      <c r="A1271" s="8">
        <v>13636</v>
      </c>
      <c r="B1271" s="8" t="s">
        <v>1210</v>
      </c>
      <c r="C1271" s="19" t="s">
        <v>1209</v>
      </c>
      <c r="D1271" s="6" t="s">
        <v>15</v>
      </c>
      <c r="E1271" s="5" t="s">
        <v>343</v>
      </c>
      <c r="F1271" s="4">
        <v>41015</v>
      </c>
      <c r="G1271" s="4" t="s">
        <v>1</v>
      </c>
      <c r="H1271" s="4" t="s">
        <v>1</v>
      </c>
      <c r="I1271" s="3" t="s">
        <v>145</v>
      </c>
      <c r="J1271" s="3" t="s">
        <v>34</v>
      </c>
      <c r="K1271" s="3" t="s">
        <v>33</v>
      </c>
      <c r="L1271" s="3" t="s">
        <v>33</v>
      </c>
      <c r="M1271" s="3" t="s">
        <v>939</v>
      </c>
      <c r="N1271" s="3" t="s">
        <v>1208</v>
      </c>
      <c r="O1271" s="3" t="s">
        <v>624</v>
      </c>
      <c r="P1271" s="3" t="s">
        <v>30</v>
      </c>
      <c r="Q1271" s="3" t="s">
        <v>47</v>
      </c>
      <c r="R1271" s="3" t="s">
        <v>4</v>
      </c>
      <c r="S1271" s="3" t="s">
        <v>3</v>
      </c>
      <c r="T1271" s="3" t="s">
        <v>338</v>
      </c>
      <c r="U1271" s="3" t="s">
        <v>1</v>
      </c>
      <c r="V1271" s="3" t="s">
        <v>18</v>
      </c>
      <c r="W1271" s="2">
        <v>38</v>
      </c>
    </row>
    <row r="1272" spans="1:24" s="9" customFormat="1" hidden="1" x14ac:dyDescent="0.25">
      <c r="A1272" s="17">
        <v>9133</v>
      </c>
      <c r="B1272" s="17" t="s">
        <v>1207</v>
      </c>
      <c r="C1272" s="16" t="s">
        <v>1206</v>
      </c>
      <c r="D1272" s="15" t="s">
        <v>15</v>
      </c>
      <c r="E1272" s="14" t="s">
        <v>1007</v>
      </c>
      <c r="F1272" s="13">
        <v>40000</v>
      </c>
      <c r="G1272" s="13" t="s">
        <v>1</v>
      </c>
      <c r="H1272" s="13" t="s">
        <v>1</v>
      </c>
      <c r="I1272" s="12" t="s">
        <v>13</v>
      </c>
      <c r="J1272" s="12" t="s">
        <v>12</v>
      </c>
      <c r="K1272" s="12" t="s">
        <v>1182</v>
      </c>
      <c r="L1272" s="12" t="s">
        <v>1182</v>
      </c>
      <c r="M1272" s="12" t="s">
        <v>1181</v>
      </c>
      <c r="N1272" s="12" t="s">
        <v>1205</v>
      </c>
      <c r="O1272" s="12" t="s">
        <v>258</v>
      </c>
      <c r="P1272" s="12" t="s">
        <v>30</v>
      </c>
      <c r="Q1272" s="12" t="s">
        <v>5</v>
      </c>
      <c r="R1272" s="12" t="s">
        <v>4</v>
      </c>
      <c r="S1272" s="12" t="s">
        <v>3</v>
      </c>
      <c r="T1272" s="12" t="s">
        <v>2</v>
      </c>
      <c r="U1272" s="12" t="s">
        <v>1</v>
      </c>
      <c r="V1272" s="12" t="s">
        <v>0</v>
      </c>
      <c r="W1272" s="11">
        <v>35</v>
      </c>
      <c r="X1272" s="10"/>
    </row>
    <row r="1273" spans="1:24" hidden="1" x14ac:dyDescent="0.25">
      <c r="A1273" s="8">
        <v>13647</v>
      </c>
      <c r="B1273" s="8" t="s">
        <v>1204</v>
      </c>
      <c r="C1273" s="19" t="s">
        <v>1203</v>
      </c>
      <c r="D1273" s="6" t="s">
        <v>15</v>
      </c>
      <c r="E1273" s="5" t="s">
        <v>343</v>
      </c>
      <c r="F1273" s="4">
        <v>41155</v>
      </c>
      <c r="G1273" s="4" t="s">
        <v>1</v>
      </c>
      <c r="H1273" s="4" t="s">
        <v>1</v>
      </c>
      <c r="I1273" s="18" t="s">
        <v>93</v>
      </c>
      <c r="J1273" s="5" t="s">
        <v>92</v>
      </c>
      <c r="K1273" s="5" t="s">
        <v>33</v>
      </c>
      <c r="L1273" s="5" t="s">
        <v>33</v>
      </c>
      <c r="M1273" s="5" t="s">
        <v>91</v>
      </c>
      <c r="N1273" s="5" t="s">
        <v>939</v>
      </c>
      <c r="O1273" s="5" t="s">
        <v>624</v>
      </c>
      <c r="P1273" s="3" t="s">
        <v>30</v>
      </c>
      <c r="Q1273" s="5" t="s">
        <v>47</v>
      </c>
      <c r="R1273" s="3" t="s">
        <v>4</v>
      </c>
      <c r="S1273" s="3" t="s">
        <v>3</v>
      </c>
      <c r="T1273" s="3" t="s">
        <v>338</v>
      </c>
      <c r="U1273" s="3" t="s">
        <v>1</v>
      </c>
      <c r="V1273" s="3" t="s">
        <v>18</v>
      </c>
      <c r="W1273" s="2">
        <v>35</v>
      </c>
    </row>
    <row r="1274" spans="1:24" s="9" customFormat="1" hidden="1" x14ac:dyDescent="0.25">
      <c r="A1274" s="17">
        <v>13648</v>
      </c>
      <c r="B1274" s="17" t="s">
        <v>1202</v>
      </c>
      <c r="C1274" s="43" t="s">
        <v>1201</v>
      </c>
      <c r="D1274" s="15" t="s">
        <v>15</v>
      </c>
      <c r="E1274" s="14" t="s">
        <v>343</v>
      </c>
      <c r="F1274" s="13">
        <v>41155</v>
      </c>
      <c r="G1274" s="13" t="s">
        <v>1</v>
      </c>
      <c r="H1274" s="13" t="s">
        <v>1</v>
      </c>
      <c r="I1274" s="14" t="s">
        <v>365</v>
      </c>
      <c r="J1274" s="14" t="s">
        <v>813</v>
      </c>
      <c r="K1274" s="14" t="s">
        <v>33</v>
      </c>
      <c r="L1274" s="14" t="s">
        <v>33</v>
      </c>
      <c r="M1274" s="14" t="s">
        <v>812</v>
      </c>
      <c r="N1274" s="14" t="s">
        <v>939</v>
      </c>
      <c r="O1274" s="14" t="s">
        <v>339</v>
      </c>
      <c r="P1274" s="14" t="s">
        <v>30</v>
      </c>
      <c r="Q1274" s="14" t="s">
        <v>121</v>
      </c>
      <c r="R1274" s="12" t="s">
        <v>4</v>
      </c>
      <c r="S1274" s="12" t="s">
        <v>3</v>
      </c>
      <c r="T1274" s="12" t="s">
        <v>338</v>
      </c>
      <c r="U1274" s="12" t="s">
        <v>1</v>
      </c>
      <c r="V1274" s="12" t="s">
        <v>18</v>
      </c>
      <c r="W1274" s="11">
        <v>39</v>
      </c>
      <c r="X1274" s="10"/>
    </row>
    <row r="1275" spans="1:24" hidden="1" x14ac:dyDescent="0.25">
      <c r="A1275" s="8">
        <v>9961</v>
      </c>
      <c r="B1275" s="8" t="s">
        <v>1200</v>
      </c>
      <c r="C1275" s="7" t="s">
        <v>1199</v>
      </c>
      <c r="D1275" s="6" t="s">
        <v>15</v>
      </c>
      <c r="E1275" s="5" t="s">
        <v>1041</v>
      </c>
      <c r="F1275" s="4">
        <v>40431</v>
      </c>
      <c r="G1275" s="4" t="s">
        <v>1</v>
      </c>
      <c r="H1275" s="4" t="s">
        <v>1</v>
      </c>
      <c r="I1275" s="3" t="s">
        <v>13</v>
      </c>
      <c r="J1275" s="3" t="s">
        <v>12</v>
      </c>
      <c r="K1275" s="3" t="s">
        <v>1182</v>
      </c>
      <c r="L1275" s="3" t="s">
        <v>1182</v>
      </c>
      <c r="M1275" s="3" t="s">
        <v>1181</v>
      </c>
      <c r="N1275" s="3" t="s">
        <v>29</v>
      </c>
      <c r="O1275" s="3" t="s">
        <v>29</v>
      </c>
      <c r="P1275" s="3" t="s">
        <v>30</v>
      </c>
      <c r="Q1275" s="3" t="s">
        <v>20</v>
      </c>
      <c r="R1275" s="3" t="s">
        <v>4</v>
      </c>
      <c r="S1275" s="3" t="s">
        <v>3</v>
      </c>
      <c r="T1275" s="3" t="s">
        <v>29</v>
      </c>
      <c r="U1275" s="3" t="s">
        <v>1</v>
      </c>
      <c r="V1275" s="3" t="s">
        <v>0</v>
      </c>
      <c r="W1275" s="2">
        <v>32</v>
      </c>
    </row>
    <row r="1276" spans="1:24" hidden="1" x14ac:dyDescent="0.25">
      <c r="A1276" s="8">
        <v>13653</v>
      </c>
      <c r="B1276" s="8" t="s">
        <v>1198</v>
      </c>
      <c r="C1276" s="19" t="s">
        <v>1197</v>
      </c>
      <c r="D1276" s="6" t="s">
        <v>15</v>
      </c>
      <c r="E1276" s="18" t="s">
        <v>1193</v>
      </c>
      <c r="F1276" s="4">
        <v>41165</v>
      </c>
      <c r="G1276" s="4" t="s">
        <v>1</v>
      </c>
      <c r="H1276" s="4" t="s">
        <v>1</v>
      </c>
      <c r="I1276" s="3" t="s">
        <v>145</v>
      </c>
      <c r="J1276" s="3" t="s">
        <v>12</v>
      </c>
      <c r="K1276" s="3" t="s">
        <v>63</v>
      </c>
      <c r="L1276" s="3" t="s">
        <v>460</v>
      </c>
      <c r="M1276" s="3" t="s">
        <v>459</v>
      </c>
      <c r="N1276" s="3" t="s">
        <v>1196</v>
      </c>
      <c r="O1276" s="3" t="s">
        <v>21</v>
      </c>
      <c r="P1276" s="3" t="s">
        <v>72</v>
      </c>
      <c r="Q1276" s="3" t="s">
        <v>20</v>
      </c>
      <c r="R1276" s="3" t="s">
        <v>4</v>
      </c>
      <c r="S1276" s="3" t="s">
        <v>3</v>
      </c>
      <c r="T1276" s="3" t="s">
        <v>19</v>
      </c>
      <c r="U1276" s="3" t="s">
        <v>1</v>
      </c>
      <c r="V1276" s="3" t="s">
        <v>0</v>
      </c>
      <c r="W1276" s="2">
        <v>30</v>
      </c>
    </row>
    <row r="1277" spans="1:24" hidden="1" x14ac:dyDescent="0.25">
      <c r="A1277" s="8">
        <v>13654</v>
      </c>
      <c r="B1277" s="8" t="s">
        <v>1195</v>
      </c>
      <c r="C1277" s="7" t="s">
        <v>1194</v>
      </c>
      <c r="D1277" s="6" t="s">
        <v>15</v>
      </c>
      <c r="E1277" s="5" t="s">
        <v>1193</v>
      </c>
      <c r="F1277" s="4">
        <v>41165</v>
      </c>
      <c r="G1277" s="4" t="s">
        <v>1</v>
      </c>
      <c r="H1277" s="4" t="s">
        <v>1</v>
      </c>
      <c r="I1277" s="3" t="s">
        <v>13</v>
      </c>
      <c r="J1277" s="3" t="s">
        <v>12</v>
      </c>
      <c r="K1277" s="3" t="s">
        <v>758</v>
      </c>
      <c r="L1277" s="3" t="s">
        <v>757</v>
      </c>
      <c r="M1277" s="3" t="s">
        <v>756</v>
      </c>
      <c r="N1277" s="3" t="s">
        <v>1192</v>
      </c>
      <c r="O1277" s="3" t="s">
        <v>59</v>
      </c>
      <c r="P1277" s="3" t="s">
        <v>6</v>
      </c>
      <c r="Q1277" s="3" t="s">
        <v>5</v>
      </c>
      <c r="R1277" s="3" t="s">
        <v>4</v>
      </c>
      <c r="S1277" s="3" t="s">
        <v>3</v>
      </c>
      <c r="T1277" s="3" t="s">
        <v>2</v>
      </c>
      <c r="U1277" s="3" t="s">
        <v>1</v>
      </c>
      <c r="V1277" s="3" t="s">
        <v>0</v>
      </c>
      <c r="W1277" s="2">
        <v>30</v>
      </c>
    </row>
    <row r="1278" spans="1:24" hidden="1" x14ac:dyDescent="0.25">
      <c r="A1278" s="8">
        <v>12659</v>
      </c>
      <c r="B1278" s="8" t="s">
        <v>1191</v>
      </c>
      <c r="C1278" s="7" t="s">
        <v>1190</v>
      </c>
      <c r="D1278" s="6" t="s">
        <v>15</v>
      </c>
      <c r="E1278" s="5" t="s">
        <v>149</v>
      </c>
      <c r="F1278" s="4">
        <v>40819</v>
      </c>
      <c r="G1278" s="4" t="s">
        <v>1</v>
      </c>
      <c r="H1278" s="4" t="s">
        <v>1</v>
      </c>
      <c r="I1278" s="3" t="s">
        <v>13</v>
      </c>
      <c r="J1278" s="3" t="s">
        <v>12</v>
      </c>
      <c r="K1278" s="3" t="s">
        <v>1182</v>
      </c>
      <c r="L1278" s="3" t="s">
        <v>1182</v>
      </c>
      <c r="M1278" s="3" t="s">
        <v>1181</v>
      </c>
      <c r="N1278" s="3" t="s">
        <v>710</v>
      </c>
      <c r="O1278" s="3" t="s">
        <v>59</v>
      </c>
      <c r="P1278" s="3" t="s">
        <v>30</v>
      </c>
      <c r="Q1278" s="3" t="s">
        <v>5</v>
      </c>
      <c r="R1278" s="3" t="s">
        <v>4</v>
      </c>
      <c r="S1278" s="3" t="s">
        <v>3</v>
      </c>
      <c r="T1278" s="3" t="s">
        <v>2</v>
      </c>
      <c r="U1278" s="3" t="s">
        <v>1</v>
      </c>
      <c r="V1278" s="3" t="s">
        <v>0</v>
      </c>
      <c r="W1278" s="2">
        <v>31</v>
      </c>
    </row>
    <row r="1279" spans="1:24" hidden="1" x14ac:dyDescent="0.25">
      <c r="A1279" s="8">
        <v>13774</v>
      </c>
      <c r="B1279" s="8" t="s">
        <v>1189</v>
      </c>
      <c r="C1279" s="28" t="s">
        <v>1188</v>
      </c>
      <c r="D1279" s="6" t="s">
        <v>15</v>
      </c>
      <c r="E1279" s="5" t="s">
        <v>1187</v>
      </c>
      <c r="F1279" s="4">
        <v>41198</v>
      </c>
      <c r="G1279" s="27" t="s">
        <v>1</v>
      </c>
      <c r="H1279" s="27" t="s">
        <v>1</v>
      </c>
      <c r="I1279" s="5" t="s">
        <v>342</v>
      </c>
      <c r="J1279" s="5" t="s">
        <v>1186</v>
      </c>
      <c r="K1279" s="18" t="s">
        <v>33</v>
      </c>
      <c r="L1279" s="18" t="s">
        <v>33</v>
      </c>
      <c r="M1279" s="5" t="s">
        <v>1186</v>
      </c>
      <c r="N1279" s="18" t="s">
        <v>1185</v>
      </c>
      <c r="O1279" s="5" t="s">
        <v>342</v>
      </c>
      <c r="P1279" s="5" t="s">
        <v>30</v>
      </c>
      <c r="Q1279" s="5" t="s">
        <v>121</v>
      </c>
      <c r="R1279" s="3" t="s">
        <v>4</v>
      </c>
      <c r="S1279" s="3" t="s">
        <v>3</v>
      </c>
      <c r="T1279" s="5" t="s">
        <v>29</v>
      </c>
      <c r="U1279" s="5" t="s">
        <v>1</v>
      </c>
      <c r="V1279" s="5" t="s">
        <v>0</v>
      </c>
      <c r="W1279" s="2">
        <v>30</v>
      </c>
      <c r="X1279" s="44"/>
    </row>
    <row r="1280" spans="1:24" hidden="1" x14ac:dyDescent="0.25">
      <c r="A1280" s="8">
        <v>21206</v>
      </c>
      <c r="B1280" s="8" t="s">
        <v>1184</v>
      </c>
      <c r="C1280" s="7" t="s">
        <v>1183</v>
      </c>
      <c r="D1280" s="6" t="s">
        <v>15</v>
      </c>
      <c r="E1280" s="5" t="s">
        <v>643</v>
      </c>
      <c r="F1280" s="4">
        <v>42877</v>
      </c>
      <c r="G1280" s="4" t="s">
        <v>1</v>
      </c>
      <c r="H1280" s="4" t="s">
        <v>1</v>
      </c>
      <c r="I1280" s="3" t="s">
        <v>13</v>
      </c>
      <c r="J1280" s="3" t="s">
        <v>12</v>
      </c>
      <c r="K1280" s="3" t="s">
        <v>1182</v>
      </c>
      <c r="L1280" s="3" t="s">
        <v>1182</v>
      </c>
      <c r="M1280" s="3" t="s">
        <v>1181</v>
      </c>
      <c r="N1280" s="3" t="s">
        <v>1180</v>
      </c>
      <c r="O1280" s="3" t="s">
        <v>100</v>
      </c>
      <c r="P1280" s="3" t="s">
        <v>30</v>
      </c>
      <c r="Q1280" s="3" t="s">
        <v>20</v>
      </c>
      <c r="R1280" s="3" t="s">
        <v>4</v>
      </c>
      <c r="S1280" s="3" t="s">
        <v>3</v>
      </c>
      <c r="T1280" s="3" t="s">
        <v>2</v>
      </c>
      <c r="U1280" s="3" t="s">
        <v>1</v>
      </c>
      <c r="V1280" s="3" t="s">
        <v>18</v>
      </c>
      <c r="W1280" s="2">
        <v>28</v>
      </c>
    </row>
    <row r="1281" spans="1:24" hidden="1" x14ac:dyDescent="0.25">
      <c r="A1281" s="8">
        <v>5255</v>
      </c>
      <c r="B1281" s="8" t="s">
        <v>1179</v>
      </c>
      <c r="C1281" s="7" t="s">
        <v>1178</v>
      </c>
      <c r="D1281" s="6" t="s">
        <v>15</v>
      </c>
      <c r="E1281" s="5" t="s">
        <v>1177</v>
      </c>
      <c r="F1281" s="4">
        <v>38961</v>
      </c>
      <c r="G1281" s="4" t="s">
        <v>1</v>
      </c>
      <c r="H1281" s="4" t="s">
        <v>1</v>
      </c>
      <c r="I1281" s="3" t="s">
        <v>13</v>
      </c>
      <c r="J1281" s="3" t="s">
        <v>34</v>
      </c>
      <c r="K1281" s="3" t="s">
        <v>33</v>
      </c>
      <c r="L1281" s="3" t="s">
        <v>33</v>
      </c>
      <c r="M1281" s="3" t="s">
        <v>1131</v>
      </c>
      <c r="N1281" s="3" t="s">
        <v>1131</v>
      </c>
      <c r="O1281" s="3" t="s">
        <v>29</v>
      </c>
      <c r="P1281" s="3" t="s">
        <v>30</v>
      </c>
      <c r="Q1281" s="3" t="s">
        <v>20</v>
      </c>
      <c r="R1281" s="3" t="s">
        <v>4</v>
      </c>
      <c r="S1281" s="3" t="s">
        <v>3</v>
      </c>
      <c r="T1281" s="3" t="s">
        <v>29</v>
      </c>
      <c r="U1281" s="3" t="s">
        <v>1</v>
      </c>
      <c r="V1281" s="3" t="s">
        <v>0</v>
      </c>
      <c r="W1281" s="2">
        <v>39</v>
      </c>
    </row>
    <row r="1282" spans="1:24" hidden="1" x14ac:dyDescent="0.25">
      <c r="A1282" s="8">
        <v>14038</v>
      </c>
      <c r="B1282" s="8" t="s">
        <v>1176</v>
      </c>
      <c r="C1282" s="25" t="s">
        <v>1175</v>
      </c>
      <c r="D1282" s="6" t="s">
        <v>15</v>
      </c>
      <c r="E1282" s="5" t="s">
        <v>1172</v>
      </c>
      <c r="F1282" s="4">
        <v>41302</v>
      </c>
      <c r="G1282" s="4" t="s">
        <v>1</v>
      </c>
      <c r="H1282" s="4" t="s">
        <v>1</v>
      </c>
      <c r="I1282" s="18" t="s">
        <v>93</v>
      </c>
      <c r="J1282" s="5" t="s">
        <v>834</v>
      </c>
      <c r="K1282" s="5" t="s">
        <v>33</v>
      </c>
      <c r="L1282" s="5" t="s">
        <v>33</v>
      </c>
      <c r="M1282" s="3" t="s">
        <v>834</v>
      </c>
      <c r="N1282" s="5" t="s">
        <v>1127</v>
      </c>
      <c r="O1282" s="5" t="s">
        <v>832</v>
      </c>
      <c r="P1282" s="5" t="s">
        <v>30</v>
      </c>
      <c r="Q1282" s="5" t="s">
        <v>47</v>
      </c>
      <c r="R1282" s="3" t="s">
        <v>4</v>
      </c>
      <c r="S1282" s="3" t="s">
        <v>3</v>
      </c>
      <c r="T1282" s="3" t="s">
        <v>88</v>
      </c>
      <c r="U1282" s="3" t="s">
        <v>1</v>
      </c>
      <c r="V1282" s="3" t="s">
        <v>18</v>
      </c>
      <c r="W1282" s="2">
        <v>32</v>
      </c>
    </row>
    <row r="1283" spans="1:24" hidden="1" x14ac:dyDescent="0.25">
      <c r="A1283" s="8">
        <v>14039</v>
      </c>
      <c r="B1283" s="8" t="s">
        <v>1174</v>
      </c>
      <c r="C1283" s="25" t="s">
        <v>1173</v>
      </c>
      <c r="D1283" s="6" t="s">
        <v>15</v>
      </c>
      <c r="E1283" s="5" t="s">
        <v>1172</v>
      </c>
      <c r="F1283" s="4">
        <v>41302</v>
      </c>
      <c r="G1283" s="4" t="s">
        <v>1</v>
      </c>
      <c r="H1283" s="4" t="s">
        <v>1</v>
      </c>
      <c r="I1283" s="18" t="s">
        <v>93</v>
      </c>
      <c r="J1283" s="5" t="s">
        <v>834</v>
      </c>
      <c r="K1283" s="3" t="s">
        <v>33</v>
      </c>
      <c r="L1283" s="3" t="s">
        <v>33</v>
      </c>
      <c r="M1283" s="5" t="s">
        <v>834</v>
      </c>
      <c r="N1283" s="5" t="s">
        <v>1127</v>
      </c>
      <c r="O1283" s="5" t="s">
        <v>832</v>
      </c>
      <c r="P1283" s="5" t="s">
        <v>30</v>
      </c>
      <c r="Q1283" s="5" t="s">
        <v>47</v>
      </c>
      <c r="R1283" s="3" t="s">
        <v>4</v>
      </c>
      <c r="S1283" s="3" t="s">
        <v>3</v>
      </c>
      <c r="T1283" s="3" t="s">
        <v>88</v>
      </c>
      <c r="U1283" s="3" t="s">
        <v>1</v>
      </c>
      <c r="V1283" s="3" t="s">
        <v>18</v>
      </c>
      <c r="W1283" s="2">
        <v>34</v>
      </c>
    </row>
    <row r="1284" spans="1:24" hidden="1" x14ac:dyDescent="0.25">
      <c r="A1284" s="8">
        <v>14091</v>
      </c>
      <c r="B1284" s="8" t="s">
        <v>1171</v>
      </c>
      <c r="C1284" s="25" t="s">
        <v>1170</v>
      </c>
      <c r="D1284" s="6" t="s">
        <v>15</v>
      </c>
      <c r="E1284" s="5" t="s">
        <v>1143</v>
      </c>
      <c r="F1284" s="4">
        <v>41306</v>
      </c>
      <c r="G1284" s="4" t="s">
        <v>1</v>
      </c>
      <c r="H1284" s="4" t="s">
        <v>1</v>
      </c>
      <c r="I1284" s="18" t="s">
        <v>93</v>
      </c>
      <c r="J1284" s="5" t="s">
        <v>834</v>
      </c>
      <c r="K1284" s="5" t="s">
        <v>33</v>
      </c>
      <c r="L1284" s="5" t="s">
        <v>33</v>
      </c>
      <c r="M1284" s="5" t="s">
        <v>834</v>
      </c>
      <c r="N1284" s="3" t="s">
        <v>833</v>
      </c>
      <c r="O1284" s="5" t="s">
        <v>832</v>
      </c>
      <c r="P1284" s="5" t="s">
        <v>30</v>
      </c>
      <c r="Q1284" s="5" t="s">
        <v>47</v>
      </c>
      <c r="R1284" s="3" t="s">
        <v>4</v>
      </c>
      <c r="S1284" s="3" t="s">
        <v>3</v>
      </c>
      <c r="T1284" s="3" t="s">
        <v>2</v>
      </c>
      <c r="U1284" s="3" t="s">
        <v>1</v>
      </c>
      <c r="V1284" s="3" t="s">
        <v>18</v>
      </c>
      <c r="W1284" s="2">
        <v>31</v>
      </c>
    </row>
    <row r="1285" spans="1:24" s="9" customFormat="1" hidden="1" x14ac:dyDescent="0.25">
      <c r="A1285" s="17">
        <v>14093</v>
      </c>
      <c r="B1285" s="17" t="s">
        <v>1169</v>
      </c>
      <c r="C1285" s="23" t="s">
        <v>1168</v>
      </c>
      <c r="D1285" s="15" t="s">
        <v>15</v>
      </c>
      <c r="E1285" s="14" t="s">
        <v>1143</v>
      </c>
      <c r="F1285" s="13">
        <v>41306</v>
      </c>
      <c r="G1285" s="13" t="s">
        <v>1</v>
      </c>
      <c r="H1285" s="13" t="s">
        <v>1</v>
      </c>
      <c r="I1285" s="22" t="s">
        <v>93</v>
      </c>
      <c r="J1285" s="14" t="s">
        <v>89</v>
      </c>
      <c r="K1285" s="14" t="s">
        <v>33</v>
      </c>
      <c r="L1285" s="14" t="s">
        <v>33</v>
      </c>
      <c r="M1285" s="14" t="s">
        <v>1167</v>
      </c>
      <c r="N1285" s="12" t="s">
        <v>1166</v>
      </c>
      <c r="O1285" s="14" t="s">
        <v>934</v>
      </c>
      <c r="P1285" s="14" t="s">
        <v>30</v>
      </c>
      <c r="Q1285" s="14" t="s">
        <v>47</v>
      </c>
      <c r="R1285" s="12" t="s">
        <v>4</v>
      </c>
      <c r="S1285" s="12" t="s">
        <v>3</v>
      </c>
      <c r="T1285" s="12" t="s">
        <v>2</v>
      </c>
      <c r="U1285" s="12" t="s">
        <v>1</v>
      </c>
      <c r="V1285" s="12" t="s">
        <v>18</v>
      </c>
      <c r="W1285" s="11">
        <v>35</v>
      </c>
      <c r="X1285" s="10"/>
    </row>
    <row r="1286" spans="1:24" hidden="1" x14ac:dyDescent="0.25">
      <c r="A1286" s="8">
        <v>14094</v>
      </c>
      <c r="B1286" s="8" t="s">
        <v>1165</v>
      </c>
      <c r="C1286" s="25" t="s">
        <v>1164</v>
      </c>
      <c r="D1286" s="6" t="s">
        <v>15</v>
      </c>
      <c r="E1286" s="5" t="s">
        <v>1143</v>
      </c>
      <c r="F1286" s="4">
        <v>41306</v>
      </c>
      <c r="G1286" s="4" t="s">
        <v>1</v>
      </c>
      <c r="H1286" s="4" t="s">
        <v>1</v>
      </c>
      <c r="I1286" s="18" t="s">
        <v>93</v>
      </c>
      <c r="J1286" s="18" t="s">
        <v>92</v>
      </c>
      <c r="K1286" s="18" t="s">
        <v>33</v>
      </c>
      <c r="L1286" s="18" t="s">
        <v>33</v>
      </c>
      <c r="M1286" s="5" t="s">
        <v>394</v>
      </c>
      <c r="N1286" s="5" t="s">
        <v>1163</v>
      </c>
      <c r="O1286" s="5" t="s">
        <v>394</v>
      </c>
      <c r="P1286" s="5" t="s">
        <v>30</v>
      </c>
      <c r="Q1286" s="5" t="s">
        <v>47</v>
      </c>
      <c r="R1286" s="3" t="s">
        <v>4</v>
      </c>
      <c r="S1286" s="3" t="s">
        <v>3</v>
      </c>
      <c r="T1286" s="3" t="s">
        <v>29</v>
      </c>
      <c r="U1286" s="3" t="s">
        <v>1</v>
      </c>
      <c r="V1286" s="3" t="s">
        <v>18</v>
      </c>
      <c r="W1286" s="2">
        <v>31</v>
      </c>
    </row>
    <row r="1287" spans="1:24" hidden="1" x14ac:dyDescent="0.25">
      <c r="A1287" s="8">
        <v>14100</v>
      </c>
      <c r="B1287" s="8" t="s">
        <v>1162</v>
      </c>
      <c r="C1287" s="25" t="s">
        <v>1161</v>
      </c>
      <c r="D1287" s="6" t="s">
        <v>15</v>
      </c>
      <c r="E1287" s="5" t="s">
        <v>1143</v>
      </c>
      <c r="F1287" s="4">
        <v>41306</v>
      </c>
      <c r="G1287" s="4" t="s">
        <v>1</v>
      </c>
      <c r="H1287" s="4" t="s">
        <v>1</v>
      </c>
      <c r="I1287" s="18" t="s">
        <v>93</v>
      </c>
      <c r="J1287" s="5" t="s">
        <v>866</v>
      </c>
      <c r="K1287" s="5" t="s">
        <v>33</v>
      </c>
      <c r="L1287" s="5" t="s">
        <v>33</v>
      </c>
      <c r="M1287" s="5" t="s">
        <v>866</v>
      </c>
      <c r="N1287" s="5" t="s">
        <v>1160</v>
      </c>
      <c r="O1287" s="5" t="s">
        <v>387</v>
      </c>
      <c r="P1287" s="5" t="s">
        <v>30</v>
      </c>
      <c r="Q1287" s="5" t="s">
        <v>47</v>
      </c>
      <c r="R1287" s="3" t="s">
        <v>4</v>
      </c>
      <c r="S1287" s="3" t="s">
        <v>3</v>
      </c>
      <c r="T1287" s="3" t="s">
        <v>2</v>
      </c>
      <c r="U1287" s="3" t="s">
        <v>1</v>
      </c>
      <c r="V1287" s="3" t="s">
        <v>18</v>
      </c>
      <c r="W1287" s="2">
        <v>33</v>
      </c>
    </row>
    <row r="1288" spans="1:24" hidden="1" x14ac:dyDescent="0.25">
      <c r="A1288" s="8">
        <v>14103</v>
      </c>
      <c r="B1288" s="8" t="s">
        <v>1159</v>
      </c>
      <c r="C1288" s="25" t="s">
        <v>1158</v>
      </c>
      <c r="D1288" s="6" t="s">
        <v>15</v>
      </c>
      <c r="E1288" s="5" t="s">
        <v>1143</v>
      </c>
      <c r="F1288" s="4">
        <v>41306</v>
      </c>
      <c r="G1288" s="4" t="s">
        <v>1</v>
      </c>
      <c r="H1288" s="4" t="s">
        <v>1</v>
      </c>
      <c r="I1288" s="18" t="s">
        <v>93</v>
      </c>
      <c r="J1288" s="5" t="s">
        <v>866</v>
      </c>
      <c r="K1288" s="5" t="s">
        <v>33</v>
      </c>
      <c r="L1288" s="5" t="s">
        <v>33</v>
      </c>
      <c r="M1288" s="5" t="s">
        <v>866</v>
      </c>
      <c r="N1288" s="5" t="s">
        <v>1157</v>
      </c>
      <c r="O1288" s="5" t="s">
        <v>387</v>
      </c>
      <c r="P1288" s="5" t="s">
        <v>30</v>
      </c>
      <c r="Q1288" s="5" t="s">
        <v>47</v>
      </c>
      <c r="R1288" s="3" t="s">
        <v>4</v>
      </c>
      <c r="S1288" s="3" t="s">
        <v>3</v>
      </c>
      <c r="T1288" s="3" t="s">
        <v>2</v>
      </c>
      <c r="U1288" s="3" t="s">
        <v>1</v>
      </c>
      <c r="V1288" s="3" t="s">
        <v>18</v>
      </c>
      <c r="W1288" s="2">
        <v>32</v>
      </c>
    </row>
    <row r="1289" spans="1:24" s="9" customFormat="1" hidden="1" x14ac:dyDescent="0.25">
      <c r="A1289" s="17">
        <v>14105</v>
      </c>
      <c r="B1289" s="17" t="s">
        <v>1156</v>
      </c>
      <c r="C1289" s="23" t="s">
        <v>1155</v>
      </c>
      <c r="D1289" s="15" t="s">
        <v>15</v>
      </c>
      <c r="E1289" s="14" t="s">
        <v>1143</v>
      </c>
      <c r="F1289" s="13">
        <v>41306</v>
      </c>
      <c r="G1289" s="13" t="s">
        <v>1</v>
      </c>
      <c r="H1289" s="13" t="s">
        <v>1</v>
      </c>
      <c r="I1289" s="22" t="s">
        <v>93</v>
      </c>
      <c r="J1289" s="22" t="s">
        <v>92</v>
      </c>
      <c r="K1289" s="22" t="s">
        <v>33</v>
      </c>
      <c r="L1289" s="22" t="s">
        <v>33</v>
      </c>
      <c r="M1289" s="12" t="s">
        <v>91</v>
      </c>
      <c r="N1289" s="12" t="s">
        <v>549</v>
      </c>
      <c r="O1289" s="22" t="s">
        <v>394</v>
      </c>
      <c r="P1289" s="12" t="s">
        <v>30</v>
      </c>
      <c r="Q1289" s="12" t="s">
        <v>47</v>
      </c>
      <c r="R1289" s="12" t="s">
        <v>4</v>
      </c>
      <c r="S1289" s="12" t="s">
        <v>3</v>
      </c>
      <c r="T1289" s="12" t="s">
        <v>2</v>
      </c>
      <c r="U1289" s="12" t="s">
        <v>1</v>
      </c>
      <c r="V1289" s="12" t="s">
        <v>18</v>
      </c>
      <c r="W1289" s="11">
        <v>34</v>
      </c>
      <c r="X1289" s="10"/>
    </row>
    <row r="1290" spans="1:24" hidden="1" x14ac:dyDescent="0.25">
      <c r="A1290" s="8">
        <v>14106</v>
      </c>
      <c r="B1290" s="8" t="s">
        <v>1154</v>
      </c>
      <c r="C1290" s="25" t="s">
        <v>1153</v>
      </c>
      <c r="D1290" s="6" t="s">
        <v>15</v>
      </c>
      <c r="E1290" s="5" t="s">
        <v>1143</v>
      </c>
      <c r="F1290" s="4">
        <v>41306</v>
      </c>
      <c r="G1290" s="4" t="s">
        <v>1</v>
      </c>
      <c r="H1290" s="4" t="s">
        <v>1</v>
      </c>
      <c r="I1290" s="18" t="s">
        <v>93</v>
      </c>
      <c r="J1290" s="18" t="s">
        <v>92</v>
      </c>
      <c r="K1290" s="18" t="s">
        <v>33</v>
      </c>
      <c r="L1290" s="18" t="s">
        <v>33</v>
      </c>
      <c r="M1290" s="3" t="s">
        <v>449</v>
      </c>
      <c r="N1290" s="3" t="s">
        <v>1152</v>
      </c>
      <c r="O1290" s="3" t="s">
        <v>394</v>
      </c>
      <c r="P1290" s="3" t="s">
        <v>6</v>
      </c>
      <c r="Q1290" s="3" t="s">
        <v>47</v>
      </c>
      <c r="R1290" s="3" t="s">
        <v>4</v>
      </c>
      <c r="S1290" s="3" t="s">
        <v>3</v>
      </c>
      <c r="T1290" s="3" t="s">
        <v>2</v>
      </c>
      <c r="U1290" s="3" t="s">
        <v>1</v>
      </c>
      <c r="V1290" s="3" t="s">
        <v>18</v>
      </c>
      <c r="W1290" s="2">
        <v>33</v>
      </c>
    </row>
    <row r="1291" spans="1:24" hidden="1" x14ac:dyDescent="0.25">
      <c r="A1291" s="8">
        <v>14107</v>
      </c>
      <c r="B1291" s="8" t="s">
        <v>1151</v>
      </c>
      <c r="C1291" s="25" t="s">
        <v>1150</v>
      </c>
      <c r="D1291" s="6" t="s">
        <v>15</v>
      </c>
      <c r="E1291" s="5" t="s">
        <v>1143</v>
      </c>
      <c r="F1291" s="4">
        <v>41306</v>
      </c>
      <c r="G1291" s="4" t="s">
        <v>1</v>
      </c>
      <c r="H1291" s="4" t="s">
        <v>1</v>
      </c>
      <c r="I1291" s="18" t="s">
        <v>93</v>
      </c>
      <c r="J1291" s="3" t="s">
        <v>92</v>
      </c>
      <c r="K1291" s="3" t="s">
        <v>33</v>
      </c>
      <c r="L1291" s="3" t="s">
        <v>33</v>
      </c>
      <c r="M1291" s="3" t="s">
        <v>91</v>
      </c>
      <c r="N1291" s="3" t="s">
        <v>1149</v>
      </c>
      <c r="O1291" s="3" t="s">
        <v>89</v>
      </c>
      <c r="P1291" s="3" t="s">
        <v>30</v>
      </c>
      <c r="Q1291" s="3" t="s">
        <v>20</v>
      </c>
      <c r="R1291" s="3" t="s">
        <v>4</v>
      </c>
      <c r="S1291" s="3" t="s">
        <v>3</v>
      </c>
      <c r="T1291" s="3" t="s">
        <v>2</v>
      </c>
      <c r="U1291" s="3" t="s">
        <v>1</v>
      </c>
      <c r="V1291" s="3" t="s">
        <v>18</v>
      </c>
      <c r="W1291" s="2">
        <v>32</v>
      </c>
    </row>
    <row r="1292" spans="1:24" hidden="1" x14ac:dyDescent="0.25">
      <c r="A1292" s="8">
        <v>14110</v>
      </c>
      <c r="B1292" s="8" t="s">
        <v>1148</v>
      </c>
      <c r="C1292" s="25" t="s">
        <v>1147</v>
      </c>
      <c r="D1292" s="6" t="s">
        <v>15</v>
      </c>
      <c r="E1292" s="5" t="s">
        <v>1143</v>
      </c>
      <c r="F1292" s="4">
        <v>41306</v>
      </c>
      <c r="G1292" s="4" t="s">
        <v>1</v>
      </c>
      <c r="H1292" s="4" t="s">
        <v>1</v>
      </c>
      <c r="I1292" s="18" t="s">
        <v>93</v>
      </c>
      <c r="J1292" s="18" t="s">
        <v>92</v>
      </c>
      <c r="K1292" s="18" t="s">
        <v>33</v>
      </c>
      <c r="L1292" s="18" t="s">
        <v>33</v>
      </c>
      <c r="M1292" s="5" t="s">
        <v>394</v>
      </c>
      <c r="N1292" s="3" t="s">
        <v>1146</v>
      </c>
      <c r="O1292" s="3" t="s">
        <v>394</v>
      </c>
      <c r="P1292" s="5" t="s">
        <v>30</v>
      </c>
      <c r="Q1292" s="5" t="s">
        <v>47</v>
      </c>
      <c r="R1292" s="3" t="s">
        <v>4</v>
      </c>
      <c r="S1292" s="3" t="s">
        <v>3</v>
      </c>
      <c r="T1292" s="3" t="s">
        <v>2</v>
      </c>
      <c r="U1292" s="3" t="s">
        <v>1</v>
      </c>
      <c r="V1292" s="3" t="s">
        <v>18</v>
      </c>
      <c r="W1292" s="2">
        <v>34</v>
      </c>
    </row>
    <row r="1293" spans="1:24" s="9" customFormat="1" hidden="1" x14ac:dyDescent="0.25">
      <c r="A1293" s="17">
        <v>14119</v>
      </c>
      <c r="B1293" s="17" t="s">
        <v>1145</v>
      </c>
      <c r="C1293" s="43" t="s">
        <v>1144</v>
      </c>
      <c r="D1293" s="15" t="s">
        <v>15</v>
      </c>
      <c r="E1293" s="14" t="s">
        <v>1143</v>
      </c>
      <c r="F1293" s="13">
        <v>41306</v>
      </c>
      <c r="G1293" s="13" t="s">
        <v>1</v>
      </c>
      <c r="H1293" s="13" t="s">
        <v>1</v>
      </c>
      <c r="I1293" s="14" t="s">
        <v>365</v>
      </c>
      <c r="J1293" s="14" t="s">
        <v>1142</v>
      </c>
      <c r="K1293" s="14" t="s">
        <v>33</v>
      </c>
      <c r="L1293" s="14" t="s">
        <v>33</v>
      </c>
      <c r="M1293" s="14" t="s">
        <v>1142</v>
      </c>
      <c r="N1293" s="14" t="s">
        <v>1141</v>
      </c>
      <c r="O1293" s="14" t="s">
        <v>1140</v>
      </c>
      <c r="P1293" s="14" t="s">
        <v>30</v>
      </c>
      <c r="Q1293" s="14" t="s">
        <v>121</v>
      </c>
      <c r="R1293" s="12" t="s">
        <v>4</v>
      </c>
      <c r="S1293" s="12" t="s">
        <v>3</v>
      </c>
      <c r="T1293" s="12" t="s">
        <v>2</v>
      </c>
      <c r="U1293" s="12" t="s">
        <v>1</v>
      </c>
      <c r="V1293" s="12" t="s">
        <v>18</v>
      </c>
      <c r="W1293" s="11">
        <v>31</v>
      </c>
      <c r="X1293" s="10"/>
    </row>
    <row r="1294" spans="1:24" hidden="1" x14ac:dyDescent="0.25">
      <c r="A1294" s="8">
        <v>14125</v>
      </c>
      <c r="B1294" s="8" t="s">
        <v>1139</v>
      </c>
      <c r="C1294" s="25" t="s">
        <v>1138</v>
      </c>
      <c r="D1294" s="6" t="s">
        <v>15</v>
      </c>
      <c r="E1294" s="5" t="s">
        <v>94</v>
      </c>
      <c r="F1294" s="4">
        <v>41306</v>
      </c>
      <c r="G1294" s="4" t="s">
        <v>1</v>
      </c>
      <c r="H1294" s="4" t="s">
        <v>1</v>
      </c>
      <c r="I1294" s="18" t="s">
        <v>93</v>
      </c>
      <c r="J1294" s="18" t="s">
        <v>92</v>
      </c>
      <c r="K1294" s="5" t="s">
        <v>33</v>
      </c>
      <c r="L1294" s="5" t="s">
        <v>33</v>
      </c>
      <c r="M1294" s="5" t="s">
        <v>91</v>
      </c>
      <c r="N1294" s="5" t="s">
        <v>90</v>
      </c>
      <c r="O1294" s="5" t="s">
        <v>394</v>
      </c>
      <c r="P1294" s="5" t="s">
        <v>72</v>
      </c>
      <c r="Q1294" s="5" t="s">
        <v>20</v>
      </c>
      <c r="R1294" s="3" t="s">
        <v>4</v>
      </c>
      <c r="S1294" s="3" t="s">
        <v>3</v>
      </c>
      <c r="T1294" s="3" t="s">
        <v>88</v>
      </c>
      <c r="U1294" s="3" t="s">
        <v>1</v>
      </c>
      <c r="V1294" s="3" t="s">
        <v>18</v>
      </c>
      <c r="W1294" s="2">
        <v>36</v>
      </c>
    </row>
    <row r="1295" spans="1:24" hidden="1" x14ac:dyDescent="0.25">
      <c r="A1295" s="8">
        <v>14135</v>
      </c>
      <c r="B1295" s="8" t="s">
        <v>1137</v>
      </c>
      <c r="C1295" s="28" t="s">
        <v>1136</v>
      </c>
      <c r="D1295" s="6" t="s">
        <v>15</v>
      </c>
      <c r="E1295" s="5" t="s">
        <v>1135</v>
      </c>
      <c r="F1295" s="4">
        <v>41312</v>
      </c>
      <c r="G1295" s="4" t="s">
        <v>1</v>
      </c>
      <c r="H1295" s="4" t="s">
        <v>1</v>
      </c>
      <c r="I1295" s="5" t="s">
        <v>365</v>
      </c>
      <c r="J1295" s="5" t="s">
        <v>918</v>
      </c>
      <c r="K1295" s="5" t="s">
        <v>33</v>
      </c>
      <c r="L1295" s="5" t="s">
        <v>33</v>
      </c>
      <c r="M1295" s="5" t="s">
        <v>918</v>
      </c>
      <c r="N1295" s="5" t="s">
        <v>989</v>
      </c>
      <c r="O1295" s="5" t="s">
        <v>988</v>
      </c>
      <c r="P1295" s="18" t="s">
        <v>30</v>
      </c>
      <c r="Q1295" s="5" t="s">
        <v>121</v>
      </c>
      <c r="R1295" s="3" t="s">
        <v>4</v>
      </c>
      <c r="S1295" s="3" t="s">
        <v>3</v>
      </c>
      <c r="T1295" s="3" t="s">
        <v>365</v>
      </c>
      <c r="U1295" s="3" t="s">
        <v>1</v>
      </c>
      <c r="V1295" s="3" t="s">
        <v>18</v>
      </c>
      <c r="W1295" s="2">
        <v>31</v>
      </c>
    </row>
    <row r="1296" spans="1:24" hidden="1" x14ac:dyDescent="0.25">
      <c r="A1296" s="8">
        <v>17459</v>
      </c>
      <c r="B1296" s="8" t="s">
        <v>1134</v>
      </c>
      <c r="C1296" s="7" t="s">
        <v>1133</v>
      </c>
      <c r="D1296" s="6" t="s">
        <v>15</v>
      </c>
      <c r="E1296" s="5" t="s">
        <v>1132</v>
      </c>
      <c r="F1296" s="4">
        <v>41778</v>
      </c>
      <c r="G1296" s="4" t="s">
        <v>1</v>
      </c>
      <c r="H1296" s="4" t="s">
        <v>1</v>
      </c>
      <c r="I1296" s="3" t="s">
        <v>13</v>
      </c>
      <c r="J1296" s="3" t="s">
        <v>34</v>
      </c>
      <c r="K1296" s="3" t="s">
        <v>33</v>
      </c>
      <c r="L1296" s="3" t="s">
        <v>33</v>
      </c>
      <c r="M1296" s="3" t="s">
        <v>1131</v>
      </c>
      <c r="N1296" s="3" t="s">
        <v>40</v>
      </c>
      <c r="O1296" s="3" t="s">
        <v>39</v>
      </c>
      <c r="P1296" s="3" t="s">
        <v>30</v>
      </c>
      <c r="Q1296" s="3" t="s">
        <v>20</v>
      </c>
      <c r="R1296" s="3" t="s">
        <v>4</v>
      </c>
      <c r="S1296" s="3" t="s">
        <v>3</v>
      </c>
      <c r="T1296" s="3" t="s">
        <v>346</v>
      </c>
      <c r="U1296" s="3" t="s">
        <v>1</v>
      </c>
      <c r="V1296" s="3" t="s">
        <v>18</v>
      </c>
      <c r="W1296" s="2">
        <v>36</v>
      </c>
    </row>
    <row r="1297" spans="1:24" hidden="1" x14ac:dyDescent="0.25">
      <c r="A1297" s="8">
        <v>14143</v>
      </c>
      <c r="B1297" s="8" t="s">
        <v>1130</v>
      </c>
      <c r="C1297" s="25" t="s">
        <v>1129</v>
      </c>
      <c r="D1297" s="6" t="s">
        <v>15</v>
      </c>
      <c r="E1297" s="5" t="s">
        <v>1128</v>
      </c>
      <c r="F1297" s="4">
        <v>41326</v>
      </c>
      <c r="G1297" s="4" t="s">
        <v>1</v>
      </c>
      <c r="H1297" s="4" t="s">
        <v>1</v>
      </c>
      <c r="I1297" s="18" t="s">
        <v>93</v>
      </c>
      <c r="J1297" s="5" t="s">
        <v>834</v>
      </c>
      <c r="K1297" s="5" t="s">
        <v>33</v>
      </c>
      <c r="L1297" s="5" t="s">
        <v>33</v>
      </c>
      <c r="M1297" s="3" t="s">
        <v>834</v>
      </c>
      <c r="N1297" s="3" t="s">
        <v>1127</v>
      </c>
      <c r="O1297" s="3" t="s">
        <v>832</v>
      </c>
      <c r="P1297" s="3" t="s">
        <v>30</v>
      </c>
      <c r="Q1297" s="3" t="s">
        <v>47</v>
      </c>
      <c r="R1297" s="3" t="s">
        <v>4</v>
      </c>
      <c r="S1297" s="3" t="s">
        <v>3</v>
      </c>
      <c r="T1297" s="3" t="s">
        <v>88</v>
      </c>
      <c r="U1297" s="3" t="s">
        <v>1</v>
      </c>
      <c r="V1297" s="3" t="s">
        <v>18</v>
      </c>
      <c r="W1297" s="2">
        <v>32</v>
      </c>
    </row>
    <row r="1298" spans="1:24" s="9" customFormat="1" hidden="1" x14ac:dyDescent="0.25">
      <c r="A1298" s="17">
        <v>14144</v>
      </c>
      <c r="B1298" s="17" t="s">
        <v>1126</v>
      </c>
      <c r="C1298" s="23" t="s">
        <v>1125</v>
      </c>
      <c r="D1298" s="15" t="s">
        <v>15</v>
      </c>
      <c r="E1298" s="14" t="s">
        <v>1124</v>
      </c>
      <c r="F1298" s="13">
        <v>41347</v>
      </c>
      <c r="G1298" s="13" t="s">
        <v>1</v>
      </c>
      <c r="H1298" s="13" t="s">
        <v>1</v>
      </c>
      <c r="I1298" s="22" t="s">
        <v>93</v>
      </c>
      <c r="J1298" s="14" t="s">
        <v>834</v>
      </c>
      <c r="K1298" s="22" t="s">
        <v>33</v>
      </c>
      <c r="L1298" s="22" t="s">
        <v>33</v>
      </c>
      <c r="M1298" s="14" t="s">
        <v>834</v>
      </c>
      <c r="N1298" s="14" t="s">
        <v>1123</v>
      </c>
      <c r="O1298" s="14" t="s">
        <v>832</v>
      </c>
      <c r="P1298" s="14" t="s">
        <v>30</v>
      </c>
      <c r="Q1298" s="14" t="s">
        <v>47</v>
      </c>
      <c r="R1298" s="12" t="s">
        <v>4</v>
      </c>
      <c r="S1298" s="12" t="s">
        <v>3</v>
      </c>
      <c r="T1298" s="12" t="s">
        <v>88</v>
      </c>
      <c r="U1298" s="12" t="s">
        <v>1</v>
      </c>
      <c r="V1298" s="12" t="s">
        <v>18</v>
      </c>
      <c r="W1298" s="11">
        <v>37</v>
      </c>
      <c r="X1298" s="10"/>
    </row>
    <row r="1299" spans="1:24" hidden="1" x14ac:dyDescent="0.25">
      <c r="A1299" s="8">
        <v>14149</v>
      </c>
      <c r="B1299" s="8" t="s">
        <v>1122</v>
      </c>
      <c r="C1299" s="25" t="s">
        <v>1121</v>
      </c>
      <c r="D1299" s="6" t="s">
        <v>15</v>
      </c>
      <c r="E1299" s="5" t="s">
        <v>1120</v>
      </c>
      <c r="F1299" s="4">
        <v>41354</v>
      </c>
      <c r="G1299" s="4" t="s">
        <v>1</v>
      </c>
      <c r="H1299" s="4" t="s">
        <v>1</v>
      </c>
      <c r="I1299" s="18" t="s">
        <v>93</v>
      </c>
      <c r="J1299" s="5" t="s">
        <v>834</v>
      </c>
      <c r="K1299" s="18" t="s">
        <v>33</v>
      </c>
      <c r="L1299" s="18" t="s">
        <v>33</v>
      </c>
      <c r="M1299" s="5" t="s">
        <v>834</v>
      </c>
      <c r="N1299" s="5" t="s">
        <v>833</v>
      </c>
      <c r="O1299" s="5" t="s">
        <v>832</v>
      </c>
      <c r="P1299" s="5" t="s">
        <v>30</v>
      </c>
      <c r="Q1299" s="5" t="s">
        <v>47</v>
      </c>
      <c r="R1299" s="3" t="s">
        <v>4</v>
      </c>
      <c r="S1299" s="3" t="s">
        <v>3</v>
      </c>
      <c r="T1299" s="3" t="s">
        <v>88</v>
      </c>
      <c r="U1299" s="3" t="s">
        <v>1</v>
      </c>
      <c r="V1299" s="3" t="s">
        <v>18</v>
      </c>
      <c r="W1299" s="2">
        <v>35</v>
      </c>
    </row>
    <row r="1300" spans="1:24" hidden="1" x14ac:dyDescent="0.25">
      <c r="A1300" s="8">
        <v>1139</v>
      </c>
      <c r="B1300" s="8" t="s">
        <v>1119</v>
      </c>
      <c r="C1300" s="7" t="s">
        <v>1118</v>
      </c>
      <c r="D1300" s="6" t="s">
        <v>15</v>
      </c>
      <c r="E1300" s="5" t="s">
        <v>556</v>
      </c>
      <c r="F1300" s="4">
        <v>37900</v>
      </c>
      <c r="G1300" s="4" t="s">
        <v>1</v>
      </c>
      <c r="H1300" s="4" t="s">
        <v>1</v>
      </c>
      <c r="I1300" s="3" t="s">
        <v>13</v>
      </c>
      <c r="J1300" s="3" t="s">
        <v>34</v>
      </c>
      <c r="K1300" s="3" t="s">
        <v>33</v>
      </c>
      <c r="L1300" s="3" t="s">
        <v>33</v>
      </c>
      <c r="M1300" s="3" t="s">
        <v>1117</v>
      </c>
      <c r="N1300" s="3" t="s">
        <v>1116</v>
      </c>
      <c r="O1300" s="3" t="s">
        <v>1115</v>
      </c>
      <c r="P1300" s="3" t="s">
        <v>30</v>
      </c>
      <c r="Q1300" s="3" t="s">
        <v>20</v>
      </c>
      <c r="R1300" s="3" t="s">
        <v>4</v>
      </c>
      <c r="S1300" s="3" t="s">
        <v>3</v>
      </c>
      <c r="T1300" s="3" t="s">
        <v>2</v>
      </c>
      <c r="U1300" s="3" t="s">
        <v>1</v>
      </c>
      <c r="V1300" s="3" t="s">
        <v>0</v>
      </c>
      <c r="W1300" s="2">
        <v>41</v>
      </c>
    </row>
    <row r="1301" spans="1:24" hidden="1" x14ac:dyDescent="0.25">
      <c r="A1301" s="8">
        <v>625</v>
      </c>
      <c r="B1301" s="8" t="s">
        <v>1114</v>
      </c>
      <c r="C1301" s="7" t="s">
        <v>1113</v>
      </c>
      <c r="D1301" s="6" t="s">
        <v>15</v>
      </c>
      <c r="E1301" s="5" t="s">
        <v>97</v>
      </c>
      <c r="F1301" s="4">
        <v>37781</v>
      </c>
      <c r="G1301" s="4" t="s">
        <v>1</v>
      </c>
      <c r="H1301" s="4" t="s">
        <v>1</v>
      </c>
      <c r="I1301" s="3" t="s">
        <v>13</v>
      </c>
      <c r="J1301" s="3" t="s">
        <v>34</v>
      </c>
      <c r="K1301" s="3" t="s">
        <v>33</v>
      </c>
      <c r="L1301" s="3" t="s">
        <v>33</v>
      </c>
      <c r="M1301" s="3" t="s">
        <v>509</v>
      </c>
      <c r="N1301" s="3" t="s">
        <v>40</v>
      </c>
      <c r="O1301" s="3" t="s">
        <v>39</v>
      </c>
      <c r="P1301" s="3" t="s">
        <v>30</v>
      </c>
      <c r="Q1301" s="3" t="s">
        <v>20</v>
      </c>
      <c r="R1301" s="3" t="s">
        <v>4</v>
      </c>
      <c r="S1301" s="3" t="s">
        <v>3</v>
      </c>
      <c r="T1301" s="3" t="s">
        <v>38</v>
      </c>
      <c r="U1301" s="3" t="s">
        <v>1</v>
      </c>
      <c r="V1301" s="3" t="s">
        <v>0</v>
      </c>
      <c r="W1301" s="2">
        <v>41</v>
      </c>
    </row>
    <row r="1302" spans="1:24" hidden="1" x14ac:dyDescent="0.25">
      <c r="A1302" s="8">
        <v>14476</v>
      </c>
      <c r="B1302" s="8" t="s">
        <v>1112</v>
      </c>
      <c r="C1302" s="7" t="s">
        <v>1111</v>
      </c>
      <c r="D1302" s="6" t="s">
        <v>15</v>
      </c>
      <c r="E1302" s="5" t="s">
        <v>1105</v>
      </c>
      <c r="F1302" s="4">
        <v>41393</v>
      </c>
      <c r="G1302" s="4" t="s">
        <v>1</v>
      </c>
      <c r="H1302" s="4" t="s">
        <v>1</v>
      </c>
      <c r="I1302" s="3" t="s">
        <v>13</v>
      </c>
      <c r="J1302" s="3" t="s">
        <v>12</v>
      </c>
      <c r="K1302" s="3" t="s">
        <v>63</v>
      </c>
      <c r="L1302" s="3" t="s">
        <v>81</v>
      </c>
      <c r="M1302" s="3" t="s">
        <v>173</v>
      </c>
      <c r="N1302" s="3" t="s">
        <v>1065</v>
      </c>
      <c r="O1302" s="3" t="s">
        <v>59</v>
      </c>
      <c r="P1302" s="3" t="s">
        <v>6</v>
      </c>
      <c r="Q1302" s="3" t="s">
        <v>5</v>
      </c>
      <c r="R1302" s="3" t="s">
        <v>4</v>
      </c>
      <c r="S1302" s="3" t="s">
        <v>3</v>
      </c>
      <c r="T1302" s="3" t="s">
        <v>2</v>
      </c>
      <c r="U1302" s="3" t="s">
        <v>1</v>
      </c>
      <c r="V1302" s="3" t="s">
        <v>0</v>
      </c>
      <c r="W1302" s="2">
        <v>29</v>
      </c>
    </row>
    <row r="1303" spans="1:24" hidden="1" x14ac:dyDescent="0.25">
      <c r="A1303" s="8">
        <v>11037</v>
      </c>
      <c r="B1303" s="8" t="s">
        <v>1110</v>
      </c>
      <c r="C1303" s="7" t="s">
        <v>1109</v>
      </c>
      <c r="D1303" s="6" t="s">
        <v>15</v>
      </c>
      <c r="E1303" s="5" t="s">
        <v>1108</v>
      </c>
      <c r="F1303" s="4">
        <v>40592</v>
      </c>
      <c r="G1303" s="4" t="s">
        <v>1</v>
      </c>
      <c r="H1303" s="4" t="s">
        <v>1</v>
      </c>
      <c r="I1303" s="3" t="s">
        <v>13</v>
      </c>
      <c r="J1303" s="3" t="s">
        <v>34</v>
      </c>
      <c r="K1303" s="3" t="s">
        <v>33</v>
      </c>
      <c r="L1303" s="3" t="s">
        <v>33</v>
      </c>
      <c r="M1303" s="3" t="s">
        <v>509</v>
      </c>
      <c r="N1303" s="3" t="s">
        <v>241</v>
      </c>
      <c r="O1303" s="3" t="s">
        <v>100</v>
      </c>
      <c r="P1303" s="3" t="s">
        <v>30</v>
      </c>
      <c r="Q1303" s="3" t="s">
        <v>20</v>
      </c>
      <c r="R1303" s="3" t="s">
        <v>4</v>
      </c>
      <c r="S1303" s="3" t="s">
        <v>3</v>
      </c>
      <c r="T1303" s="3" t="s">
        <v>2</v>
      </c>
      <c r="U1303" s="3" t="s">
        <v>1</v>
      </c>
      <c r="V1303" s="3" t="s">
        <v>0</v>
      </c>
      <c r="W1303" s="2">
        <v>32</v>
      </c>
    </row>
    <row r="1304" spans="1:24" hidden="1" x14ac:dyDescent="0.25">
      <c r="A1304" s="8">
        <v>14548</v>
      </c>
      <c r="B1304" s="8" t="s">
        <v>1107</v>
      </c>
      <c r="C1304" s="19" t="s">
        <v>1106</v>
      </c>
      <c r="D1304" s="6" t="s">
        <v>15</v>
      </c>
      <c r="E1304" s="18" t="s">
        <v>1105</v>
      </c>
      <c r="F1304" s="4">
        <v>41393</v>
      </c>
      <c r="G1304" s="4" t="s">
        <v>1</v>
      </c>
      <c r="H1304" s="4" t="s">
        <v>1</v>
      </c>
      <c r="I1304" s="3" t="s">
        <v>13</v>
      </c>
      <c r="J1304" s="3" t="s">
        <v>12</v>
      </c>
      <c r="K1304" s="3" t="s">
        <v>63</v>
      </c>
      <c r="L1304" s="3" t="s">
        <v>81</v>
      </c>
      <c r="M1304" s="3" t="s">
        <v>173</v>
      </c>
      <c r="N1304" s="3" t="s">
        <v>1104</v>
      </c>
      <c r="O1304" s="3" t="s">
        <v>67</v>
      </c>
      <c r="P1304" s="3" t="s">
        <v>6</v>
      </c>
      <c r="Q1304" s="3" t="s">
        <v>5</v>
      </c>
      <c r="R1304" s="3" t="s">
        <v>4</v>
      </c>
      <c r="S1304" s="3" t="s">
        <v>3</v>
      </c>
      <c r="T1304" s="3" t="s">
        <v>2</v>
      </c>
      <c r="U1304" s="3" t="s">
        <v>1</v>
      </c>
      <c r="V1304" s="5" t="s">
        <v>0</v>
      </c>
      <c r="W1304" s="2">
        <v>30</v>
      </c>
    </row>
    <row r="1305" spans="1:24" hidden="1" x14ac:dyDescent="0.25">
      <c r="A1305" s="8">
        <v>14618</v>
      </c>
      <c r="B1305" s="8" t="s">
        <v>1103</v>
      </c>
      <c r="C1305" s="7" t="s">
        <v>1102</v>
      </c>
      <c r="D1305" s="6" t="s">
        <v>15</v>
      </c>
      <c r="E1305" s="5" t="s">
        <v>1101</v>
      </c>
      <c r="F1305" s="4">
        <v>41394</v>
      </c>
      <c r="G1305" s="4" t="s">
        <v>1</v>
      </c>
      <c r="H1305" s="4" t="s">
        <v>1</v>
      </c>
      <c r="I1305" s="3" t="s">
        <v>13</v>
      </c>
      <c r="J1305" s="3" t="s">
        <v>12</v>
      </c>
      <c r="K1305" s="3" t="s">
        <v>187</v>
      </c>
      <c r="L1305" s="3" t="s">
        <v>229</v>
      </c>
      <c r="M1305" s="3" t="s">
        <v>228</v>
      </c>
      <c r="N1305" s="3" t="s">
        <v>1100</v>
      </c>
      <c r="O1305" s="3" t="s">
        <v>59</v>
      </c>
      <c r="P1305" s="3" t="s">
        <v>6</v>
      </c>
      <c r="Q1305" s="3" t="s">
        <v>5</v>
      </c>
      <c r="R1305" s="3" t="s">
        <v>4</v>
      </c>
      <c r="S1305" s="3" t="s">
        <v>3</v>
      </c>
      <c r="T1305" s="3" t="s">
        <v>2</v>
      </c>
      <c r="U1305" s="3" t="s">
        <v>1</v>
      </c>
      <c r="V1305" s="3" t="s">
        <v>0</v>
      </c>
      <c r="W1305" s="2">
        <v>29</v>
      </c>
    </row>
    <row r="1306" spans="1:24" hidden="1" x14ac:dyDescent="0.25">
      <c r="A1306" s="8">
        <v>14675</v>
      </c>
      <c r="B1306" s="8" t="s">
        <v>1099</v>
      </c>
      <c r="C1306" s="7" t="s">
        <v>1098</v>
      </c>
      <c r="D1306" s="6" t="s">
        <v>15</v>
      </c>
      <c r="E1306" s="5" t="s">
        <v>1097</v>
      </c>
      <c r="F1306" s="4">
        <v>41396</v>
      </c>
      <c r="G1306" s="4" t="s">
        <v>1</v>
      </c>
      <c r="H1306" s="4" t="s">
        <v>1</v>
      </c>
      <c r="I1306" s="5" t="s">
        <v>50</v>
      </c>
      <c r="J1306" s="5" t="s">
        <v>49</v>
      </c>
      <c r="K1306" s="5" t="s">
        <v>33</v>
      </c>
      <c r="L1306" s="5" t="s">
        <v>33</v>
      </c>
      <c r="M1306" s="5" t="s">
        <v>49</v>
      </c>
      <c r="N1306" s="5" t="s">
        <v>49</v>
      </c>
      <c r="O1306" s="5" t="s">
        <v>48</v>
      </c>
      <c r="P1306" s="5" t="s">
        <v>72</v>
      </c>
      <c r="Q1306" s="5" t="s">
        <v>47</v>
      </c>
      <c r="R1306" s="3" t="s">
        <v>4</v>
      </c>
      <c r="S1306" s="3" t="s">
        <v>3</v>
      </c>
      <c r="T1306" s="3" t="s">
        <v>2</v>
      </c>
      <c r="U1306" s="3" t="s">
        <v>1</v>
      </c>
      <c r="V1306" s="3" t="s">
        <v>18</v>
      </c>
      <c r="W1306" s="2">
        <v>33</v>
      </c>
      <c r="X1306" s="20"/>
    </row>
    <row r="1307" spans="1:24" hidden="1" x14ac:dyDescent="0.25">
      <c r="A1307" s="8">
        <v>14797</v>
      </c>
      <c r="B1307" s="8" t="s">
        <v>1096</v>
      </c>
      <c r="C1307" s="19" t="s">
        <v>1095</v>
      </c>
      <c r="D1307" s="6" t="s">
        <v>15</v>
      </c>
      <c r="E1307" s="18" t="s">
        <v>1092</v>
      </c>
      <c r="F1307" s="4">
        <v>41400</v>
      </c>
      <c r="G1307" s="4" t="s">
        <v>1</v>
      </c>
      <c r="H1307" s="4" t="s">
        <v>1</v>
      </c>
      <c r="I1307" s="3" t="s">
        <v>145</v>
      </c>
      <c r="J1307" s="3" t="s">
        <v>34</v>
      </c>
      <c r="K1307" s="3" t="s">
        <v>33</v>
      </c>
      <c r="L1307" s="3" t="s">
        <v>33</v>
      </c>
      <c r="M1307" s="3" t="s">
        <v>1094</v>
      </c>
      <c r="N1307" s="3" t="s">
        <v>241</v>
      </c>
      <c r="O1307" s="3" t="s">
        <v>1094</v>
      </c>
      <c r="P1307" s="3" t="s">
        <v>30</v>
      </c>
      <c r="Q1307" s="3" t="s">
        <v>47</v>
      </c>
      <c r="R1307" s="3" t="s">
        <v>4</v>
      </c>
      <c r="S1307" s="3" t="s">
        <v>3</v>
      </c>
      <c r="T1307" s="3" t="s">
        <v>2</v>
      </c>
      <c r="U1307" s="3" t="s">
        <v>1</v>
      </c>
      <c r="V1307" s="3" t="s">
        <v>0</v>
      </c>
      <c r="W1307" s="2">
        <v>29</v>
      </c>
    </row>
    <row r="1308" spans="1:24" hidden="1" x14ac:dyDescent="0.25">
      <c r="A1308" s="8">
        <v>14817</v>
      </c>
      <c r="B1308" s="8" t="s">
        <v>1093</v>
      </c>
      <c r="C1308" s="25" t="s">
        <v>279</v>
      </c>
      <c r="D1308" s="6" t="s">
        <v>15</v>
      </c>
      <c r="E1308" s="5" t="s">
        <v>1092</v>
      </c>
      <c r="F1308" s="4">
        <v>41400</v>
      </c>
      <c r="G1308" s="4" t="s">
        <v>1</v>
      </c>
      <c r="H1308" s="4" t="s">
        <v>1</v>
      </c>
      <c r="I1308" s="3" t="s">
        <v>13</v>
      </c>
      <c r="J1308" s="3" t="s">
        <v>12</v>
      </c>
      <c r="K1308" s="3" t="s">
        <v>63</v>
      </c>
      <c r="L1308" s="3" t="s">
        <v>460</v>
      </c>
      <c r="M1308" s="3" t="s">
        <v>459</v>
      </c>
      <c r="N1308" s="3" t="s">
        <v>762</v>
      </c>
      <c r="O1308" s="3" t="s">
        <v>453</v>
      </c>
      <c r="P1308" s="3" t="s">
        <v>6</v>
      </c>
      <c r="Q1308" s="3" t="s">
        <v>5</v>
      </c>
      <c r="R1308" s="3" t="s">
        <v>4</v>
      </c>
      <c r="S1308" s="3" t="s">
        <v>3</v>
      </c>
      <c r="T1308" s="3" t="s">
        <v>2</v>
      </c>
      <c r="U1308" s="3" t="s">
        <v>1</v>
      </c>
      <c r="V1308" s="3" t="s">
        <v>0</v>
      </c>
      <c r="W1308" s="2">
        <v>29</v>
      </c>
    </row>
    <row r="1309" spans="1:24" hidden="1" x14ac:dyDescent="0.25">
      <c r="A1309" s="8">
        <v>11860</v>
      </c>
      <c r="B1309" s="8" t="s">
        <v>1091</v>
      </c>
      <c r="C1309" s="7" t="s">
        <v>1090</v>
      </c>
      <c r="D1309" s="6" t="s">
        <v>15</v>
      </c>
      <c r="E1309" s="5" t="s">
        <v>1089</v>
      </c>
      <c r="F1309" s="4">
        <v>40721</v>
      </c>
      <c r="G1309" s="4" t="s">
        <v>1</v>
      </c>
      <c r="H1309" s="4" t="s">
        <v>1</v>
      </c>
      <c r="I1309" s="3" t="s">
        <v>13</v>
      </c>
      <c r="J1309" s="3" t="s">
        <v>34</v>
      </c>
      <c r="K1309" s="3" t="s">
        <v>33</v>
      </c>
      <c r="L1309" s="3" t="s">
        <v>33</v>
      </c>
      <c r="M1309" s="3" t="s">
        <v>509</v>
      </c>
      <c r="N1309" s="3" t="s">
        <v>241</v>
      </c>
      <c r="O1309" s="3" t="s">
        <v>100</v>
      </c>
      <c r="P1309" s="3" t="s">
        <v>72</v>
      </c>
      <c r="Q1309" s="3" t="s">
        <v>20</v>
      </c>
      <c r="R1309" s="3" t="s">
        <v>4</v>
      </c>
      <c r="S1309" s="3" t="s">
        <v>3</v>
      </c>
      <c r="T1309" s="3" t="s">
        <v>2</v>
      </c>
      <c r="U1309" s="3" t="s">
        <v>1</v>
      </c>
      <c r="V1309" s="3" t="s">
        <v>0</v>
      </c>
      <c r="W1309" s="2">
        <v>31</v>
      </c>
    </row>
    <row r="1310" spans="1:24" hidden="1" x14ac:dyDescent="0.25">
      <c r="A1310" s="8">
        <v>15931</v>
      </c>
      <c r="B1310" s="8" t="s">
        <v>1088</v>
      </c>
      <c r="C1310" s="7" t="s">
        <v>1087</v>
      </c>
      <c r="D1310" s="6" t="s">
        <v>15</v>
      </c>
      <c r="E1310" s="5" t="s">
        <v>1086</v>
      </c>
      <c r="F1310" s="4">
        <v>41557</v>
      </c>
      <c r="G1310" s="4" t="s">
        <v>1</v>
      </c>
      <c r="H1310" s="4" t="s">
        <v>1</v>
      </c>
      <c r="I1310" s="3" t="s">
        <v>13</v>
      </c>
      <c r="J1310" s="3" t="s">
        <v>34</v>
      </c>
      <c r="K1310" s="3" t="s">
        <v>33</v>
      </c>
      <c r="L1310" s="3" t="s">
        <v>33</v>
      </c>
      <c r="M1310" s="3" t="s">
        <v>509</v>
      </c>
      <c r="N1310" s="3" t="s">
        <v>241</v>
      </c>
      <c r="O1310" s="3" t="s">
        <v>100</v>
      </c>
      <c r="P1310" s="3" t="s">
        <v>30</v>
      </c>
      <c r="Q1310" s="3" t="s">
        <v>20</v>
      </c>
      <c r="R1310" s="3" t="s">
        <v>4</v>
      </c>
      <c r="S1310" s="3" t="s">
        <v>3</v>
      </c>
      <c r="T1310" s="3" t="s">
        <v>2</v>
      </c>
      <c r="U1310" s="3" t="s">
        <v>1</v>
      </c>
      <c r="V1310" s="3" t="s">
        <v>0</v>
      </c>
      <c r="W1310" s="2">
        <v>29</v>
      </c>
    </row>
    <row r="1311" spans="1:24" hidden="1" x14ac:dyDescent="0.25">
      <c r="A1311" s="8">
        <v>15197</v>
      </c>
      <c r="B1311" s="8" t="s">
        <v>1085</v>
      </c>
      <c r="C1311" s="7" t="s">
        <v>1084</v>
      </c>
      <c r="D1311" s="6" t="s">
        <v>15</v>
      </c>
      <c r="E1311" s="5" t="s">
        <v>1083</v>
      </c>
      <c r="F1311" s="4">
        <v>41435</v>
      </c>
      <c r="G1311" s="4" t="s">
        <v>1</v>
      </c>
      <c r="H1311" s="4" t="s">
        <v>1</v>
      </c>
      <c r="I1311" s="3" t="s">
        <v>13</v>
      </c>
      <c r="J1311" s="3" t="s">
        <v>133</v>
      </c>
      <c r="K1311" s="3" t="s">
        <v>187</v>
      </c>
      <c r="L1311" s="3" t="s">
        <v>187</v>
      </c>
      <c r="M1311" s="3" t="s">
        <v>186</v>
      </c>
      <c r="N1311" s="3" t="s">
        <v>198</v>
      </c>
      <c r="O1311" s="3" t="s">
        <v>184</v>
      </c>
      <c r="P1311" s="3" t="s">
        <v>6</v>
      </c>
      <c r="Q1311" s="3" t="s">
        <v>20</v>
      </c>
      <c r="R1311" s="3" t="s">
        <v>4</v>
      </c>
      <c r="S1311" s="3" t="s">
        <v>3</v>
      </c>
      <c r="T1311" s="3" t="s">
        <v>2</v>
      </c>
      <c r="U1311" s="3" t="s">
        <v>1</v>
      </c>
      <c r="V1311" s="3" t="s">
        <v>0</v>
      </c>
      <c r="W1311" s="2">
        <v>30</v>
      </c>
    </row>
    <row r="1312" spans="1:24" s="78" customFormat="1" hidden="1" x14ac:dyDescent="0.25">
      <c r="A1312" s="73">
        <v>15247</v>
      </c>
      <c r="B1312" s="73" t="s">
        <v>1082</v>
      </c>
      <c r="C1312" s="87" t="s">
        <v>1081</v>
      </c>
      <c r="D1312" s="88" t="s">
        <v>15</v>
      </c>
      <c r="E1312" s="89" t="s">
        <v>1018</v>
      </c>
      <c r="F1312" s="90">
        <v>41438</v>
      </c>
      <c r="G1312" s="90" t="s">
        <v>1</v>
      </c>
      <c r="H1312" s="90" t="s">
        <v>1</v>
      </c>
      <c r="I1312" s="89" t="s">
        <v>50</v>
      </c>
      <c r="J1312" s="89" t="s">
        <v>75</v>
      </c>
      <c r="K1312" s="89" t="s">
        <v>33</v>
      </c>
      <c r="L1312" s="89" t="s">
        <v>33</v>
      </c>
      <c r="M1312" s="91" t="s">
        <v>75</v>
      </c>
      <c r="N1312" s="103" t="s">
        <v>74</v>
      </c>
      <c r="O1312" s="89" t="s">
        <v>73</v>
      </c>
      <c r="P1312" s="89" t="s">
        <v>72</v>
      </c>
      <c r="Q1312" s="89" t="s">
        <v>47</v>
      </c>
      <c r="R1312" s="92" t="s">
        <v>4</v>
      </c>
      <c r="S1312" s="92" t="s">
        <v>3</v>
      </c>
      <c r="T1312" s="92" t="s">
        <v>2</v>
      </c>
      <c r="U1312" s="92" t="s">
        <v>1</v>
      </c>
      <c r="V1312" s="92" t="s">
        <v>18</v>
      </c>
      <c r="W1312" s="93">
        <v>34</v>
      </c>
      <c r="X1312" s="94"/>
    </row>
    <row r="1313" spans="1:24" hidden="1" x14ac:dyDescent="0.25">
      <c r="A1313" s="8">
        <v>15250</v>
      </c>
      <c r="B1313" s="8" t="s">
        <v>1080</v>
      </c>
      <c r="C1313" s="19" t="s">
        <v>1079</v>
      </c>
      <c r="D1313" s="6" t="s">
        <v>15</v>
      </c>
      <c r="E1313" s="18" t="s">
        <v>1018</v>
      </c>
      <c r="F1313" s="4">
        <v>41438</v>
      </c>
      <c r="G1313" s="4" t="s">
        <v>1</v>
      </c>
      <c r="H1313" s="4" t="s">
        <v>1</v>
      </c>
      <c r="I1313" s="3" t="s">
        <v>13</v>
      </c>
      <c r="J1313" s="3" t="s">
        <v>12</v>
      </c>
      <c r="K1313" s="3" t="s">
        <v>482</v>
      </c>
      <c r="L1313" s="3" t="s">
        <v>481</v>
      </c>
      <c r="M1313" s="3" t="s">
        <v>480</v>
      </c>
      <c r="N1313" s="3" t="s">
        <v>1078</v>
      </c>
      <c r="O1313" s="3" t="s">
        <v>29</v>
      </c>
      <c r="P1313" s="3" t="s">
        <v>6</v>
      </c>
      <c r="Q1313" s="3" t="s">
        <v>20</v>
      </c>
      <c r="R1313" s="3" t="s">
        <v>4</v>
      </c>
      <c r="S1313" s="3" t="s">
        <v>3</v>
      </c>
      <c r="T1313" s="3" t="s">
        <v>1077</v>
      </c>
      <c r="U1313" s="3" t="s">
        <v>1</v>
      </c>
      <c r="V1313" s="3" t="s">
        <v>0</v>
      </c>
      <c r="W1313" s="2">
        <v>29</v>
      </c>
    </row>
    <row r="1314" spans="1:24" hidden="1" x14ac:dyDescent="0.25">
      <c r="A1314" s="8">
        <v>20205</v>
      </c>
      <c r="B1314" s="8" t="s">
        <v>1076</v>
      </c>
      <c r="C1314" s="7" t="s">
        <v>1075</v>
      </c>
      <c r="D1314" s="6" t="s">
        <v>15</v>
      </c>
      <c r="E1314" s="5" t="s">
        <v>743</v>
      </c>
      <c r="F1314" s="4">
        <v>42604</v>
      </c>
      <c r="G1314" s="4" t="s">
        <v>1</v>
      </c>
      <c r="H1314" s="4" t="s">
        <v>1</v>
      </c>
      <c r="I1314" s="3" t="s">
        <v>13</v>
      </c>
      <c r="J1314" s="3" t="s">
        <v>34</v>
      </c>
      <c r="K1314" s="3" t="s">
        <v>33</v>
      </c>
      <c r="L1314" s="3" t="s">
        <v>33</v>
      </c>
      <c r="M1314" s="3" t="s">
        <v>509</v>
      </c>
      <c r="N1314" s="3" t="s">
        <v>377</v>
      </c>
      <c r="O1314" s="3" t="s">
        <v>29</v>
      </c>
      <c r="P1314" s="3" t="s">
        <v>30</v>
      </c>
      <c r="Q1314" s="3" t="s">
        <v>20</v>
      </c>
      <c r="R1314" s="3" t="s">
        <v>4</v>
      </c>
      <c r="S1314" s="3" t="s">
        <v>3</v>
      </c>
      <c r="T1314" s="3" t="s">
        <v>29</v>
      </c>
      <c r="U1314" s="3" t="s">
        <v>1</v>
      </c>
      <c r="V1314" s="3" t="s">
        <v>18</v>
      </c>
      <c r="W1314" s="2">
        <v>31</v>
      </c>
    </row>
    <row r="1315" spans="1:24" hidden="1" x14ac:dyDescent="0.25">
      <c r="A1315" s="8">
        <v>15274</v>
      </c>
      <c r="B1315" s="8" t="s">
        <v>1074</v>
      </c>
      <c r="C1315" s="7" t="s">
        <v>1073</v>
      </c>
      <c r="D1315" s="6" t="s">
        <v>15</v>
      </c>
      <c r="E1315" s="5" t="s">
        <v>1018</v>
      </c>
      <c r="F1315" s="4">
        <v>41438</v>
      </c>
      <c r="G1315" s="4" t="s">
        <v>1</v>
      </c>
      <c r="H1315" s="4" t="s">
        <v>1</v>
      </c>
      <c r="I1315" s="5" t="s">
        <v>50</v>
      </c>
      <c r="J1315" s="5" t="s">
        <v>734</v>
      </c>
      <c r="K1315" s="5" t="s">
        <v>33</v>
      </c>
      <c r="L1315" s="5" t="s">
        <v>33</v>
      </c>
      <c r="M1315" s="5" t="s">
        <v>1072</v>
      </c>
      <c r="N1315" s="5" t="s">
        <v>1071</v>
      </c>
      <c r="O1315" s="5" t="s">
        <v>734</v>
      </c>
      <c r="P1315" s="5" t="s">
        <v>72</v>
      </c>
      <c r="Q1315" s="5" t="s">
        <v>47</v>
      </c>
      <c r="R1315" s="3" t="s">
        <v>4</v>
      </c>
      <c r="S1315" s="3" t="s">
        <v>3</v>
      </c>
      <c r="T1315" s="3" t="s">
        <v>2</v>
      </c>
      <c r="U1315" s="3" t="s">
        <v>1</v>
      </c>
      <c r="V1315" s="3" t="s">
        <v>18</v>
      </c>
      <c r="W1315" s="2">
        <v>38</v>
      </c>
      <c r="X1315" s="20"/>
    </row>
    <row r="1316" spans="1:24" hidden="1" x14ac:dyDescent="0.25">
      <c r="A1316" s="8">
        <v>15337</v>
      </c>
      <c r="B1316" s="8" t="s">
        <v>1070</v>
      </c>
      <c r="C1316" s="25" t="s">
        <v>1069</v>
      </c>
      <c r="D1316" s="6" t="s">
        <v>15</v>
      </c>
      <c r="E1316" s="5" t="s">
        <v>1066</v>
      </c>
      <c r="F1316" s="4">
        <v>41442</v>
      </c>
      <c r="G1316" s="4" t="s">
        <v>1</v>
      </c>
      <c r="H1316" s="4" t="s">
        <v>1</v>
      </c>
      <c r="I1316" s="3" t="s">
        <v>13</v>
      </c>
      <c r="J1316" s="3" t="s">
        <v>12</v>
      </c>
      <c r="K1316" s="3" t="s">
        <v>11</v>
      </c>
      <c r="L1316" s="3" t="s">
        <v>10</v>
      </c>
      <c r="M1316" s="3" t="s">
        <v>9</v>
      </c>
      <c r="N1316" s="3" t="s">
        <v>628</v>
      </c>
      <c r="O1316" s="3" t="s">
        <v>59</v>
      </c>
      <c r="P1316" s="3" t="s">
        <v>6</v>
      </c>
      <c r="Q1316" s="3" t="s">
        <v>5</v>
      </c>
      <c r="R1316" s="3" t="s">
        <v>4</v>
      </c>
      <c r="S1316" s="3" t="s">
        <v>3</v>
      </c>
      <c r="T1316" s="3" t="s">
        <v>2</v>
      </c>
      <c r="U1316" s="3" t="s">
        <v>1</v>
      </c>
      <c r="V1316" s="3" t="s">
        <v>0</v>
      </c>
      <c r="W1316" s="2">
        <v>29</v>
      </c>
    </row>
    <row r="1317" spans="1:24" hidden="1" x14ac:dyDescent="0.25">
      <c r="A1317" s="8">
        <v>15339</v>
      </c>
      <c r="B1317" s="8" t="s">
        <v>1068</v>
      </c>
      <c r="C1317" s="25" t="s">
        <v>1067</v>
      </c>
      <c r="D1317" s="6" t="s">
        <v>15</v>
      </c>
      <c r="E1317" s="5" t="s">
        <v>1066</v>
      </c>
      <c r="F1317" s="4">
        <v>41442</v>
      </c>
      <c r="G1317" s="4" t="s">
        <v>1</v>
      </c>
      <c r="H1317" s="4" t="s">
        <v>1</v>
      </c>
      <c r="I1317" s="3" t="s">
        <v>13</v>
      </c>
      <c r="J1317" s="3" t="s">
        <v>12</v>
      </c>
      <c r="K1317" s="3" t="s">
        <v>63</v>
      </c>
      <c r="L1317" s="3" t="s">
        <v>81</v>
      </c>
      <c r="M1317" s="3" t="s">
        <v>80</v>
      </c>
      <c r="N1317" s="3" t="s">
        <v>1065</v>
      </c>
      <c r="O1317" s="3" t="s">
        <v>59</v>
      </c>
      <c r="P1317" s="3" t="s">
        <v>6</v>
      </c>
      <c r="Q1317" s="3" t="s">
        <v>5</v>
      </c>
      <c r="R1317" s="3" t="s">
        <v>4</v>
      </c>
      <c r="S1317" s="3" t="s">
        <v>3</v>
      </c>
      <c r="T1317" s="3" t="s">
        <v>2</v>
      </c>
      <c r="U1317" s="3" t="s">
        <v>1</v>
      </c>
      <c r="V1317" s="3" t="s">
        <v>0</v>
      </c>
      <c r="W1317" s="2">
        <v>30</v>
      </c>
    </row>
    <row r="1318" spans="1:24" hidden="1" x14ac:dyDescent="0.25">
      <c r="A1318" s="8">
        <v>25111</v>
      </c>
      <c r="B1318" s="8" t="s">
        <v>1064</v>
      </c>
      <c r="C1318" s="19" t="s">
        <v>1063</v>
      </c>
      <c r="D1318" s="6" t="s">
        <v>15</v>
      </c>
      <c r="E1318" s="18" t="s">
        <v>1062</v>
      </c>
      <c r="F1318" s="4">
        <v>43826</v>
      </c>
      <c r="G1318" s="4" t="s">
        <v>1</v>
      </c>
      <c r="H1318" s="4" t="s">
        <v>1</v>
      </c>
      <c r="I1318" s="3" t="s">
        <v>13</v>
      </c>
      <c r="J1318" s="3" t="s">
        <v>34</v>
      </c>
      <c r="K1318" s="3" t="s">
        <v>33</v>
      </c>
      <c r="L1318" s="3" t="s">
        <v>33</v>
      </c>
      <c r="M1318" s="3" t="s">
        <v>509</v>
      </c>
      <c r="N1318" s="3" t="s">
        <v>1061</v>
      </c>
      <c r="O1318" s="3" t="s">
        <v>100</v>
      </c>
      <c r="P1318" s="3" t="s">
        <v>30</v>
      </c>
      <c r="Q1318" s="3" t="s">
        <v>20</v>
      </c>
      <c r="R1318" s="3" t="s">
        <v>4</v>
      </c>
      <c r="S1318" s="3" t="s">
        <v>3</v>
      </c>
      <c r="T1318" s="3" t="s">
        <v>2</v>
      </c>
      <c r="U1318" s="3" t="s">
        <v>1</v>
      </c>
      <c r="V1318" s="3" t="s">
        <v>18</v>
      </c>
      <c r="W1318" s="2">
        <v>27</v>
      </c>
    </row>
    <row r="1319" spans="1:24" s="78" customFormat="1" hidden="1" x14ac:dyDescent="0.25">
      <c r="A1319" s="73">
        <v>15479</v>
      </c>
      <c r="B1319" s="73" t="s">
        <v>1060</v>
      </c>
      <c r="C1319" s="87" t="s">
        <v>1059</v>
      </c>
      <c r="D1319" s="88" t="s">
        <v>15</v>
      </c>
      <c r="E1319" s="89" t="s">
        <v>1056</v>
      </c>
      <c r="F1319" s="90">
        <v>41449</v>
      </c>
      <c r="G1319" s="90" t="s">
        <v>1</v>
      </c>
      <c r="H1319" s="90" t="s">
        <v>1</v>
      </c>
      <c r="I1319" s="91" t="s">
        <v>93</v>
      </c>
      <c r="J1319" s="91" t="s">
        <v>92</v>
      </c>
      <c r="K1319" s="91" t="s">
        <v>33</v>
      </c>
      <c r="L1319" s="91" t="s">
        <v>33</v>
      </c>
      <c r="M1319" s="89" t="s">
        <v>1050</v>
      </c>
      <c r="N1319" s="89" t="s">
        <v>1055</v>
      </c>
      <c r="O1319" s="89" t="s">
        <v>1050</v>
      </c>
      <c r="P1319" s="89" t="s">
        <v>30</v>
      </c>
      <c r="Q1319" s="89" t="s">
        <v>47</v>
      </c>
      <c r="R1319" s="92" t="s">
        <v>4</v>
      </c>
      <c r="S1319" s="92" t="s">
        <v>3</v>
      </c>
      <c r="T1319" s="92" t="s">
        <v>2</v>
      </c>
      <c r="U1319" s="92" t="s">
        <v>1</v>
      </c>
      <c r="V1319" s="92" t="s">
        <v>18</v>
      </c>
      <c r="W1319" s="93">
        <v>33</v>
      </c>
    </row>
    <row r="1320" spans="1:24" hidden="1" x14ac:dyDescent="0.25">
      <c r="A1320" s="8">
        <v>15487</v>
      </c>
      <c r="B1320" s="8" t="s">
        <v>1058</v>
      </c>
      <c r="C1320" s="7" t="s">
        <v>1057</v>
      </c>
      <c r="D1320" s="6" t="s">
        <v>15</v>
      </c>
      <c r="E1320" s="5" t="s">
        <v>1056</v>
      </c>
      <c r="F1320" s="4">
        <v>41449</v>
      </c>
      <c r="G1320" s="4" t="s">
        <v>1</v>
      </c>
      <c r="H1320" s="4" t="s">
        <v>1</v>
      </c>
      <c r="I1320" s="18" t="s">
        <v>93</v>
      </c>
      <c r="J1320" s="18" t="s">
        <v>92</v>
      </c>
      <c r="K1320" s="18" t="s">
        <v>33</v>
      </c>
      <c r="L1320" s="18" t="s">
        <v>33</v>
      </c>
      <c r="M1320" s="5" t="s">
        <v>1050</v>
      </c>
      <c r="N1320" s="5" t="s">
        <v>1055</v>
      </c>
      <c r="O1320" s="5" t="s">
        <v>1050</v>
      </c>
      <c r="P1320" s="5" t="s">
        <v>30</v>
      </c>
      <c r="Q1320" s="5" t="s">
        <v>47</v>
      </c>
      <c r="R1320" s="3" t="s">
        <v>4</v>
      </c>
      <c r="S1320" s="3" t="s">
        <v>3</v>
      </c>
      <c r="T1320" s="3" t="s">
        <v>2</v>
      </c>
      <c r="U1320" s="3" t="s">
        <v>1</v>
      </c>
      <c r="V1320" s="3" t="s">
        <v>18</v>
      </c>
      <c r="W1320" s="2">
        <v>35</v>
      </c>
    </row>
    <row r="1321" spans="1:24" hidden="1" x14ac:dyDescent="0.25">
      <c r="A1321" s="8">
        <v>15532</v>
      </c>
      <c r="B1321" s="8" t="s">
        <v>1054</v>
      </c>
      <c r="C1321" s="7" t="s">
        <v>1053</v>
      </c>
      <c r="D1321" s="6" t="s">
        <v>15</v>
      </c>
      <c r="E1321" s="5" t="s">
        <v>1052</v>
      </c>
      <c r="F1321" s="4">
        <v>41452</v>
      </c>
      <c r="G1321" s="4" t="s">
        <v>1</v>
      </c>
      <c r="H1321" s="4" t="s">
        <v>1</v>
      </c>
      <c r="I1321" s="18" t="s">
        <v>93</v>
      </c>
      <c r="J1321" s="18" t="s">
        <v>92</v>
      </c>
      <c r="K1321" s="18" t="s">
        <v>33</v>
      </c>
      <c r="L1321" s="18" t="s">
        <v>33</v>
      </c>
      <c r="M1321" s="5" t="s">
        <v>1050</v>
      </c>
      <c r="N1321" s="5" t="s">
        <v>1051</v>
      </c>
      <c r="O1321" s="5" t="s">
        <v>1050</v>
      </c>
      <c r="P1321" s="5" t="s">
        <v>6</v>
      </c>
      <c r="Q1321" s="5" t="s">
        <v>47</v>
      </c>
      <c r="R1321" s="3" t="s">
        <v>4</v>
      </c>
      <c r="S1321" s="3" t="s">
        <v>3</v>
      </c>
      <c r="T1321" s="3" t="s">
        <v>2</v>
      </c>
      <c r="U1321" s="3" t="s">
        <v>1</v>
      </c>
      <c r="V1321" s="3" t="s">
        <v>18</v>
      </c>
      <c r="W1321" s="2">
        <v>34</v>
      </c>
    </row>
    <row r="1322" spans="1:24" hidden="1" x14ac:dyDescent="0.25">
      <c r="A1322" s="8">
        <v>15582</v>
      </c>
      <c r="B1322" s="8" t="s">
        <v>1049</v>
      </c>
      <c r="C1322" s="7" t="s">
        <v>1048</v>
      </c>
      <c r="D1322" s="6" t="s">
        <v>15</v>
      </c>
      <c r="E1322" s="5" t="s">
        <v>1047</v>
      </c>
      <c r="F1322" s="4">
        <v>41456</v>
      </c>
      <c r="G1322" s="4" t="s">
        <v>1</v>
      </c>
      <c r="H1322" s="4" t="s">
        <v>1</v>
      </c>
      <c r="I1322" s="5" t="s">
        <v>50</v>
      </c>
      <c r="J1322" s="5" t="s">
        <v>75</v>
      </c>
      <c r="K1322" s="5" t="s">
        <v>33</v>
      </c>
      <c r="L1322" s="5" t="s">
        <v>33</v>
      </c>
      <c r="M1322" s="18" t="s">
        <v>75</v>
      </c>
      <c r="N1322" s="18" t="s">
        <v>348</v>
      </c>
      <c r="O1322" s="18" t="s">
        <v>368</v>
      </c>
      <c r="P1322" s="5" t="s">
        <v>6</v>
      </c>
      <c r="Q1322" s="5" t="s">
        <v>47</v>
      </c>
      <c r="R1322" s="3" t="s">
        <v>4</v>
      </c>
      <c r="S1322" s="3" t="s">
        <v>3</v>
      </c>
      <c r="T1322" s="3" t="s">
        <v>346</v>
      </c>
      <c r="U1322" s="3" t="s">
        <v>1</v>
      </c>
      <c r="V1322" s="3" t="s">
        <v>18</v>
      </c>
      <c r="W1322" s="2">
        <v>39</v>
      </c>
    </row>
    <row r="1323" spans="1:24" hidden="1" x14ac:dyDescent="0.25">
      <c r="A1323" s="8">
        <v>3735</v>
      </c>
      <c r="B1323" s="8" t="s">
        <v>1046</v>
      </c>
      <c r="C1323" s="7" t="s">
        <v>1045</v>
      </c>
      <c r="D1323" s="6" t="s">
        <v>15</v>
      </c>
      <c r="E1323" s="8" t="s">
        <v>1044</v>
      </c>
      <c r="F1323" s="4">
        <v>38626</v>
      </c>
      <c r="G1323" s="4" t="s">
        <v>1</v>
      </c>
      <c r="H1323" s="4" t="s">
        <v>1</v>
      </c>
      <c r="I1323" s="3" t="s">
        <v>13</v>
      </c>
      <c r="J1323" s="3" t="s">
        <v>34</v>
      </c>
      <c r="K1323" s="3" t="s">
        <v>33</v>
      </c>
      <c r="L1323" s="3" t="s">
        <v>33</v>
      </c>
      <c r="M1323" s="3" t="s">
        <v>1033</v>
      </c>
      <c r="N1323" s="3" t="s">
        <v>40</v>
      </c>
      <c r="O1323" s="3" t="s">
        <v>39</v>
      </c>
      <c r="P1323" s="3" t="s">
        <v>30</v>
      </c>
      <c r="Q1323" s="3" t="s">
        <v>20</v>
      </c>
      <c r="R1323" s="3" t="s">
        <v>4</v>
      </c>
      <c r="S1323" s="3" t="s">
        <v>3</v>
      </c>
      <c r="T1323" s="3" t="s">
        <v>38</v>
      </c>
      <c r="U1323" s="3" t="s">
        <v>1</v>
      </c>
      <c r="V1323" s="3" t="s">
        <v>0</v>
      </c>
      <c r="W1323" s="2">
        <v>41</v>
      </c>
    </row>
    <row r="1324" spans="1:24" s="9" customFormat="1" hidden="1" x14ac:dyDescent="0.25">
      <c r="A1324" s="17">
        <v>9987</v>
      </c>
      <c r="B1324" s="17" t="s">
        <v>1043</v>
      </c>
      <c r="C1324" s="16" t="s">
        <v>1042</v>
      </c>
      <c r="D1324" s="15" t="s">
        <v>15</v>
      </c>
      <c r="E1324" s="14" t="s">
        <v>1041</v>
      </c>
      <c r="F1324" s="13">
        <v>40431</v>
      </c>
      <c r="G1324" s="13" t="s">
        <v>1</v>
      </c>
      <c r="H1324" s="13" t="s">
        <v>1</v>
      </c>
      <c r="I1324" s="12" t="s">
        <v>13</v>
      </c>
      <c r="J1324" s="12" t="s">
        <v>34</v>
      </c>
      <c r="K1324" s="12" t="s">
        <v>33</v>
      </c>
      <c r="L1324" s="12" t="s">
        <v>33</v>
      </c>
      <c r="M1324" s="12" t="s">
        <v>1033</v>
      </c>
      <c r="N1324" s="12" t="s">
        <v>1032</v>
      </c>
      <c r="O1324" s="12" t="s">
        <v>29</v>
      </c>
      <c r="P1324" s="12" t="s">
        <v>30</v>
      </c>
      <c r="Q1324" s="12" t="s">
        <v>20</v>
      </c>
      <c r="R1324" s="12" t="s">
        <v>4</v>
      </c>
      <c r="S1324" s="12" t="s">
        <v>3</v>
      </c>
      <c r="T1324" s="12" t="s">
        <v>29</v>
      </c>
      <c r="U1324" s="12" t="s">
        <v>1</v>
      </c>
      <c r="V1324" s="12" t="s">
        <v>0</v>
      </c>
      <c r="W1324" s="11">
        <v>32</v>
      </c>
      <c r="X1324" s="10"/>
    </row>
    <row r="1325" spans="1:24" hidden="1" x14ac:dyDescent="0.25">
      <c r="A1325" s="8">
        <v>15746</v>
      </c>
      <c r="B1325" s="8" t="s">
        <v>1040</v>
      </c>
      <c r="C1325" s="7" t="s">
        <v>1039</v>
      </c>
      <c r="D1325" s="6" t="s">
        <v>15</v>
      </c>
      <c r="E1325" s="5" t="s">
        <v>1038</v>
      </c>
      <c r="F1325" s="4">
        <v>41526</v>
      </c>
      <c r="G1325" s="4" t="s">
        <v>1</v>
      </c>
      <c r="H1325" s="4" t="s">
        <v>1</v>
      </c>
      <c r="I1325" s="3" t="s">
        <v>13</v>
      </c>
      <c r="J1325" s="3" t="s">
        <v>12</v>
      </c>
      <c r="K1325" s="3" t="s">
        <v>11</v>
      </c>
      <c r="L1325" s="3" t="s">
        <v>10</v>
      </c>
      <c r="M1325" s="3" t="s">
        <v>9</v>
      </c>
      <c r="N1325" s="3" t="s">
        <v>1037</v>
      </c>
      <c r="O1325" s="3" t="s">
        <v>67</v>
      </c>
      <c r="P1325" s="3" t="s">
        <v>6</v>
      </c>
      <c r="Q1325" s="3" t="s">
        <v>5</v>
      </c>
      <c r="R1325" s="3" t="s">
        <v>4</v>
      </c>
      <c r="S1325" s="3" t="s">
        <v>3</v>
      </c>
      <c r="T1325" s="3" t="s">
        <v>2</v>
      </c>
      <c r="U1325" s="3" t="s">
        <v>1</v>
      </c>
      <c r="V1325" s="3" t="s">
        <v>0</v>
      </c>
      <c r="W1325" s="2">
        <v>31</v>
      </c>
    </row>
    <row r="1326" spans="1:24" s="78" customFormat="1" hidden="1" x14ac:dyDescent="0.25">
      <c r="A1326" s="73">
        <v>10102</v>
      </c>
      <c r="B1326" s="73" t="s">
        <v>1036</v>
      </c>
      <c r="C1326" s="87" t="s">
        <v>1035</v>
      </c>
      <c r="D1326" s="88" t="s">
        <v>15</v>
      </c>
      <c r="E1326" s="89" t="s">
        <v>1034</v>
      </c>
      <c r="F1326" s="90">
        <v>40444</v>
      </c>
      <c r="G1326" s="90" t="s">
        <v>1</v>
      </c>
      <c r="H1326" s="90" t="s">
        <v>1</v>
      </c>
      <c r="I1326" s="92" t="s">
        <v>13</v>
      </c>
      <c r="J1326" s="92" t="s">
        <v>34</v>
      </c>
      <c r="K1326" s="92" t="s">
        <v>33</v>
      </c>
      <c r="L1326" s="92" t="s">
        <v>33</v>
      </c>
      <c r="M1326" s="92" t="s">
        <v>1033</v>
      </c>
      <c r="N1326" s="92" t="s">
        <v>1032</v>
      </c>
      <c r="O1326" s="92" t="s">
        <v>29</v>
      </c>
      <c r="P1326" s="92" t="s">
        <v>30</v>
      </c>
      <c r="Q1326" s="92" t="s">
        <v>20</v>
      </c>
      <c r="R1326" s="92" t="s">
        <v>4</v>
      </c>
      <c r="S1326" s="92" t="s">
        <v>3</v>
      </c>
      <c r="T1326" s="92" t="s">
        <v>29</v>
      </c>
      <c r="U1326" s="92" t="s">
        <v>1</v>
      </c>
      <c r="V1326" s="92" t="s">
        <v>0</v>
      </c>
      <c r="W1326" s="93">
        <v>32</v>
      </c>
    </row>
    <row r="1327" spans="1:24" hidden="1" x14ac:dyDescent="0.25">
      <c r="A1327" s="8">
        <v>15966</v>
      </c>
      <c r="B1327" s="8" t="s">
        <v>1031</v>
      </c>
      <c r="C1327" s="7" t="s">
        <v>1030</v>
      </c>
      <c r="D1327" s="6" t="s">
        <v>15</v>
      </c>
      <c r="E1327" s="5" t="s">
        <v>1029</v>
      </c>
      <c r="F1327" s="4">
        <v>41564</v>
      </c>
      <c r="G1327" s="4" t="s">
        <v>1</v>
      </c>
      <c r="H1327" s="4" t="s">
        <v>1</v>
      </c>
      <c r="I1327" s="3" t="s">
        <v>13</v>
      </c>
      <c r="J1327" s="3" t="s">
        <v>12</v>
      </c>
      <c r="K1327" s="3" t="s">
        <v>758</v>
      </c>
      <c r="L1327" s="3" t="s">
        <v>757</v>
      </c>
      <c r="M1327" s="3" t="s">
        <v>756</v>
      </c>
      <c r="N1327" s="3" t="s">
        <v>1028</v>
      </c>
      <c r="O1327" s="3" t="s">
        <v>67</v>
      </c>
      <c r="P1327" s="3" t="s">
        <v>6</v>
      </c>
      <c r="Q1327" s="3" t="s">
        <v>5</v>
      </c>
      <c r="R1327" s="3" t="s">
        <v>4</v>
      </c>
      <c r="S1327" s="3" t="s">
        <v>3</v>
      </c>
      <c r="T1327" s="3" t="s">
        <v>2</v>
      </c>
      <c r="U1327" s="3" t="s">
        <v>1</v>
      </c>
      <c r="V1327" s="3" t="s">
        <v>0</v>
      </c>
      <c r="W1327" s="2">
        <v>28</v>
      </c>
    </row>
    <row r="1328" spans="1:24" hidden="1" x14ac:dyDescent="0.25">
      <c r="A1328" s="8">
        <v>58</v>
      </c>
      <c r="B1328" s="8" t="s">
        <v>1027</v>
      </c>
      <c r="C1328" s="7" t="s">
        <v>1026</v>
      </c>
      <c r="D1328" s="6" t="s">
        <v>15</v>
      </c>
      <c r="E1328" s="5" t="s">
        <v>310</v>
      </c>
      <c r="F1328" s="4">
        <v>37578</v>
      </c>
      <c r="G1328" s="4" t="s">
        <v>1</v>
      </c>
      <c r="H1328" s="4" t="s">
        <v>1</v>
      </c>
      <c r="I1328" s="3" t="s">
        <v>13</v>
      </c>
      <c r="J1328" s="3" t="s">
        <v>34</v>
      </c>
      <c r="K1328" s="3" t="s">
        <v>33</v>
      </c>
      <c r="L1328" s="3" t="s">
        <v>33</v>
      </c>
      <c r="M1328" s="3" t="s">
        <v>1017</v>
      </c>
      <c r="N1328" s="3" t="s">
        <v>40</v>
      </c>
      <c r="O1328" s="3" t="s">
        <v>39</v>
      </c>
      <c r="P1328" s="3" t="s">
        <v>72</v>
      </c>
      <c r="Q1328" s="3" t="s">
        <v>20</v>
      </c>
      <c r="R1328" s="3" t="s">
        <v>4</v>
      </c>
      <c r="S1328" s="3" t="s">
        <v>3</v>
      </c>
      <c r="T1328" s="3" t="s">
        <v>38</v>
      </c>
      <c r="U1328" s="3" t="s">
        <v>1</v>
      </c>
      <c r="V1328" s="3" t="s">
        <v>0</v>
      </c>
      <c r="W1328" s="2">
        <v>42</v>
      </c>
    </row>
    <row r="1329" spans="1:23" hidden="1" x14ac:dyDescent="0.25">
      <c r="A1329" s="8">
        <v>16111</v>
      </c>
      <c r="B1329" s="8" t="s">
        <v>1025</v>
      </c>
      <c r="C1329" s="28" t="s">
        <v>1024</v>
      </c>
      <c r="D1329" s="6" t="s">
        <v>15</v>
      </c>
      <c r="E1329" s="5" t="s">
        <v>324</v>
      </c>
      <c r="F1329" s="4">
        <v>41586</v>
      </c>
      <c r="G1329" s="4" t="s">
        <v>1</v>
      </c>
      <c r="H1329" s="4" t="s">
        <v>1</v>
      </c>
      <c r="I1329" s="5" t="s">
        <v>365</v>
      </c>
      <c r="J1329" s="5" t="s">
        <v>918</v>
      </c>
      <c r="K1329" s="5" t="s">
        <v>33</v>
      </c>
      <c r="L1329" s="5" t="s">
        <v>33</v>
      </c>
      <c r="M1329" s="5" t="s">
        <v>918</v>
      </c>
      <c r="N1329" s="3" t="s">
        <v>1023</v>
      </c>
      <c r="O1329" s="3" t="s">
        <v>918</v>
      </c>
      <c r="P1329" s="5" t="s">
        <v>30</v>
      </c>
      <c r="Q1329" s="5" t="s">
        <v>121</v>
      </c>
      <c r="R1329" s="3" t="s">
        <v>4</v>
      </c>
      <c r="S1329" s="3" t="s">
        <v>3</v>
      </c>
      <c r="T1329" s="3" t="s">
        <v>365</v>
      </c>
      <c r="U1329" s="3" t="s">
        <v>1</v>
      </c>
      <c r="V1329" s="3" t="s">
        <v>0</v>
      </c>
      <c r="W1329" s="2">
        <v>30</v>
      </c>
    </row>
    <row r="1330" spans="1:23" s="78" customFormat="1" hidden="1" x14ac:dyDescent="0.25">
      <c r="A1330" s="73">
        <v>1128</v>
      </c>
      <c r="B1330" s="73" t="s">
        <v>1022</v>
      </c>
      <c r="C1330" s="87" t="s">
        <v>1021</v>
      </c>
      <c r="D1330" s="88" t="s">
        <v>15</v>
      </c>
      <c r="E1330" s="89" t="s">
        <v>556</v>
      </c>
      <c r="F1330" s="90">
        <v>37900</v>
      </c>
      <c r="G1330" s="90" t="s">
        <v>1</v>
      </c>
      <c r="H1330" s="90" t="s">
        <v>1</v>
      </c>
      <c r="I1330" s="92" t="s">
        <v>13</v>
      </c>
      <c r="J1330" s="92" t="s">
        <v>34</v>
      </c>
      <c r="K1330" s="92" t="s">
        <v>33</v>
      </c>
      <c r="L1330" s="92" t="s">
        <v>33</v>
      </c>
      <c r="M1330" s="92" t="s">
        <v>1017</v>
      </c>
      <c r="N1330" s="92" t="s">
        <v>1016</v>
      </c>
      <c r="O1330" s="92" t="s">
        <v>100</v>
      </c>
      <c r="P1330" s="92" t="s">
        <v>72</v>
      </c>
      <c r="Q1330" s="92" t="s">
        <v>20</v>
      </c>
      <c r="R1330" s="92" t="s">
        <v>4</v>
      </c>
      <c r="S1330" s="92" t="s">
        <v>3</v>
      </c>
      <c r="T1330" s="92" t="s">
        <v>2</v>
      </c>
      <c r="U1330" s="92" t="s">
        <v>1</v>
      </c>
      <c r="V1330" s="92" t="s">
        <v>0</v>
      </c>
      <c r="W1330" s="93">
        <v>42</v>
      </c>
    </row>
    <row r="1331" spans="1:23" hidden="1" x14ac:dyDescent="0.25">
      <c r="A1331" s="8">
        <v>15260</v>
      </c>
      <c r="B1331" s="8" t="s">
        <v>1020</v>
      </c>
      <c r="C1331" s="7" t="s">
        <v>1019</v>
      </c>
      <c r="D1331" s="6" t="s">
        <v>15</v>
      </c>
      <c r="E1331" s="5" t="s">
        <v>1018</v>
      </c>
      <c r="F1331" s="4">
        <v>41438</v>
      </c>
      <c r="G1331" s="4" t="s">
        <v>1</v>
      </c>
      <c r="H1331" s="4" t="s">
        <v>1</v>
      </c>
      <c r="I1331" s="3" t="s">
        <v>13</v>
      </c>
      <c r="J1331" s="3" t="s">
        <v>34</v>
      </c>
      <c r="K1331" s="3" t="s">
        <v>33</v>
      </c>
      <c r="L1331" s="3" t="s">
        <v>33</v>
      </c>
      <c r="M1331" s="3" t="s">
        <v>1017</v>
      </c>
      <c r="N1331" s="3" t="s">
        <v>1016</v>
      </c>
      <c r="O1331" s="3" t="s">
        <v>100</v>
      </c>
      <c r="P1331" s="3" t="s">
        <v>72</v>
      </c>
      <c r="Q1331" s="3" t="s">
        <v>20</v>
      </c>
      <c r="R1331" s="3" t="s">
        <v>4</v>
      </c>
      <c r="S1331" s="3" t="s">
        <v>3</v>
      </c>
      <c r="T1331" s="3" t="s">
        <v>2</v>
      </c>
      <c r="U1331" s="3" t="s">
        <v>1</v>
      </c>
      <c r="V1331" s="3" t="s">
        <v>18</v>
      </c>
      <c r="W1331" s="2">
        <v>35</v>
      </c>
    </row>
    <row r="1332" spans="1:23" hidden="1" x14ac:dyDescent="0.25">
      <c r="A1332" s="8">
        <v>5842</v>
      </c>
      <c r="B1332" s="8" t="s">
        <v>1015</v>
      </c>
      <c r="C1332" s="7" t="s">
        <v>1014</v>
      </c>
      <c r="D1332" s="6" t="s">
        <v>15</v>
      </c>
      <c r="E1332" s="5" t="s">
        <v>251</v>
      </c>
      <c r="F1332" s="4">
        <v>39114</v>
      </c>
      <c r="G1332" s="4" t="s">
        <v>1</v>
      </c>
      <c r="H1332" s="4" t="s">
        <v>1</v>
      </c>
      <c r="I1332" s="3" t="s">
        <v>13</v>
      </c>
      <c r="J1332" s="3" t="s">
        <v>34</v>
      </c>
      <c r="K1332" s="3" t="s">
        <v>33</v>
      </c>
      <c r="L1332" s="3" t="s">
        <v>33</v>
      </c>
      <c r="M1332" s="3" t="s">
        <v>1006</v>
      </c>
      <c r="N1332" s="3" t="s">
        <v>40</v>
      </c>
      <c r="O1332" s="3" t="s">
        <v>39</v>
      </c>
      <c r="P1332" s="3" t="s">
        <v>30</v>
      </c>
      <c r="Q1332" s="3" t="s">
        <v>20</v>
      </c>
      <c r="R1332" s="3" t="s">
        <v>4</v>
      </c>
      <c r="S1332" s="3" t="s">
        <v>3</v>
      </c>
      <c r="T1332" s="3" t="s">
        <v>38</v>
      </c>
      <c r="U1332" s="3" t="s">
        <v>1</v>
      </c>
      <c r="V1332" s="3" t="s">
        <v>0</v>
      </c>
      <c r="W1332" s="2">
        <v>40</v>
      </c>
    </row>
    <row r="1333" spans="1:23" hidden="1" x14ac:dyDescent="0.25">
      <c r="A1333" s="8">
        <v>16978</v>
      </c>
      <c r="B1333" s="8" t="s">
        <v>1013</v>
      </c>
      <c r="C1333" s="7" t="s">
        <v>1012</v>
      </c>
      <c r="D1333" s="6" t="s">
        <v>15</v>
      </c>
      <c r="E1333" s="5" t="s">
        <v>1011</v>
      </c>
      <c r="F1333" s="4">
        <v>41744</v>
      </c>
      <c r="G1333" s="4" t="s">
        <v>1</v>
      </c>
      <c r="H1333" s="4" t="s">
        <v>1</v>
      </c>
      <c r="I1333" s="3" t="s">
        <v>13</v>
      </c>
      <c r="J1333" s="3" t="s">
        <v>133</v>
      </c>
      <c r="K1333" s="3" t="s">
        <v>187</v>
      </c>
      <c r="L1333" s="3" t="s">
        <v>187</v>
      </c>
      <c r="M1333" s="3" t="s">
        <v>186</v>
      </c>
      <c r="N1333" s="3" t="s">
        <v>1010</v>
      </c>
      <c r="O1333" s="3" t="s">
        <v>128</v>
      </c>
      <c r="P1333" s="3" t="s">
        <v>6</v>
      </c>
      <c r="Q1333" s="3" t="s">
        <v>5</v>
      </c>
      <c r="R1333" s="3" t="s">
        <v>4</v>
      </c>
      <c r="S1333" s="3" t="s">
        <v>3</v>
      </c>
      <c r="T1333" s="3" t="s">
        <v>2</v>
      </c>
      <c r="U1333" s="3" t="s">
        <v>1</v>
      </c>
      <c r="V1333" s="3" t="s">
        <v>18</v>
      </c>
      <c r="W1333" s="2">
        <v>32</v>
      </c>
    </row>
    <row r="1334" spans="1:23" hidden="1" x14ac:dyDescent="0.25">
      <c r="A1334" s="8">
        <v>9171</v>
      </c>
      <c r="B1334" s="8" t="s">
        <v>1009</v>
      </c>
      <c r="C1334" s="7" t="s">
        <v>1008</v>
      </c>
      <c r="D1334" s="6" t="s">
        <v>15</v>
      </c>
      <c r="E1334" s="5" t="s">
        <v>1007</v>
      </c>
      <c r="F1334" s="4">
        <v>40000</v>
      </c>
      <c r="G1334" s="4" t="s">
        <v>1</v>
      </c>
      <c r="H1334" s="4" t="s">
        <v>1</v>
      </c>
      <c r="I1334" s="3" t="s">
        <v>13</v>
      </c>
      <c r="J1334" s="3" t="s">
        <v>34</v>
      </c>
      <c r="K1334" s="3" t="s">
        <v>33</v>
      </c>
      <c r="L1334" s="3" t="s">
        <v>33</v>
      </c>
      <c r="M1334" s="3" t="s">
        <v>1006</v>
      </c>
      <c r="N1334" s="3" t="s">
        <v>1005</v>
      </c>
      <c r="O1334" s="3" t="s">
        <v>29</v>
      </c>
      <c r="P1334" s="3" t="s">
        <v>72</v>
      </c>
      <c r="Q1334" s="3" t="s">
        <v>20</v>
      </c>
      <c r="R1334" s="3" t="s">
        <v>4</v>
      </c>
      <c r="S1334" s="3" t="s">
        <v>3</v>
      </c>
      <c r="T1334" s="3" t="s">
        <v>29</v>
      </c>
      <c r="U1334" s="3" t="s">
        <v>1</v>
      </c>
      <c r="V1334" s="3" t="s">
        <v>0</v>
      </c>
      <c r="W1334" s="2">
        <v>33</v>
      </c>
    </row>
    <row r="1335" spans="1:23" hidden="1" x14ac:dyDescent="0.25">
      <c r="A1335" s="8">
        <v>5887</v>
      </c>
      <c r="B1335" s="8" t="s">
        <v>1004</v>
      </c>
      <c r="C1335" s="7" t="s">
        <v>1003</v>
      </c>
      <c r="D1335" s="6" t="s">
        <v>15</v>
      </c>
      <c r="E1335" s="5" t="s">
        <v>248</v>
      </c>
      <c r="F1335" s="4">
        <v>39129</v>
      </c>
      <c r="G1335" s="4" t="s">
        <v>1</v>
      </c>
      <c r="H1335" s="4" t="s">
        <v>1</v>
      </c>
      <c r="I1335" s="3" t="s">
        <v>13</v>
      </c>
      <c r="J1335" s="3" t="s">
        <v>34</v>
      </c>
      <c r="K1335" s="3" t="s">
        <v>33</v>
      </c>
      <c r="L1335" s="3" t="s">
        <v>33</v>
      </c>
      <c r="M1335" s="3" t="s">
        <v>994</v>
      </c>
      <c r="N1335" s="3" t="s">
        <v>993</v>
      </c>
      <c r="O1335" s="3" t="s">
        <v>29</v>
      </c>
      <c r="P1335" s="3" t="s">
        <v>30</v>
      </c>
      <c r="Q1335" s="3" t="s">
        <v>20</v>
      </c>
      <c r="R1335" s="3" t="s">
        <v>4</v>
      </c>
      <c r="S1335" s="3" t="s">
        <v>3</v>
      </c>
      <c r="T1335" s="3" t="s">
        <v>29</v>
      </c>
      <c r="U1335" s="3" t="s">
        <v>1</v>
      </c>
      <c r="V1335" s="3" t="s">
        <v>0</v>
      </c>
      <c r="W1335" s="2">
        <v>38</v>
      </c>
    </row>
    <row r="1336" spans="1:23" hidden="1" x14ac:dyDescent="0.25">
      <c r="A1336" s="8">
        <v>17180</v>
      </c>
      <c r="B1336" s="8" t="s">
        <v>1002</v>
      </c>
      <c r="C1336" s="7" t="s">
        <v>1001</v>
      </c>
      <c r="D1336" s="6" t="s">
        <v>15</v>
      </c>
      <c r="E1336" s="5" t="s">
        <v>1000</v>
      </c>
      <c r="F1336" s="4">
        <v>41758</v>
      </c>
      <c r="G1336" s="4" t="s">
        <v>1</v>
      </c>
      <c r="H1336" s="4" t="s">
        <v>1</v>
      </c>
      <c r="I1336" s="3" t="s">
        <v>13</v>
      </c>
      <c r="J1336" s="3" t="s">
        <v>133</v>
      </c>
      <c r="K1336" s="3" t="s">
        <v>153</v>
      </c>
      <c r="L1336" s="3" t="s">
        <v>999</v>
      </c>
      <c r="M1336" s="3" t="s">
        <v>998</v>
      </c>
      <c r="N1336" s="3" t="s">
        <v>997</v>
      </c>
      <c r="O1336" s="3" t="s">
        <v>100</v>
      </c>
      <c r="P1336" s="3" t="s">
        <v>6</v>
      </c>
      <c r="Q1336" s="3" t="s">
        <v>20</v>
      </c>
      <c r="R1336" s="3" t="s">
        <v>4</v>
      </c>
      <c r="S1336" s="3" t="s">
        <v>3</v>
      </c>
      <c r="T1336" s="3" t="s">
        <v>2</v>
      </c>
      <c r="U1336" s="3" t="s">
        <v>1</v>
      </c>
      <c r="V1336" s="3" t="s">
        <v>0</v>
      </c>
      <c r="W1336" s="2">
        <v>28</v>
      </c>
    </row>
    <row r="1337" spans="1:23" hidden="1" x14ac:dyDescent="0.25">
      <c r="A1337" s="8">
        <v>8990</v>
      </c>
      <c r="B1337" s="8" t="s">
        <v>996</v>
      </c>
      <c r="C1337" s="7" t="s">
        <v>995</v>
      </c>
      <c r="D1337" s="6" t="s">
        <v>15</v>
      </c>
      <c r="E1337" s="5" t="s">
        <v>181</v>
      </c>
      <c r="F1337" s="4">
        <v>39975</v>
      </c>
      <c r="G1337" s="4" t="s">
        <v>1</v>
      </c>
      <c r="H1337" s="4" t="s">
        <v>1</v>
      </c>
      <c r="I1337" s="3" t="s">
        <v>13</v>
      </c>
      <c r="J1337" s="3" t="s">
        <v>34</v>
      </c>
      <c r="K1337" s="3" t="s">
        <v>33</v>
      </c>
      <c r="L1337" s="3" t="s">
        <v>33</v>
      </c>
      <c r="M1337" s="3" t="s">
        <v>994</v>
      </c>
      <c r="N1337" s="3" t="s">
        <v>993</v>
      </c>
      <c r="O1337" s="3" t="s">
        <v>29</v>
      </c>
      <c r="P1337" s="3" t="s">
        <v>30</v>
      </c>
      <c r="Q1337" s="3" t="s">
        <v>20</v>
      </c>
      <c r="R1337" s="3" t="s">
        <v>4</v>
      </c>
      <c r="S1337" s="3" t="s">
        <v>3</v>
      </c>
      <c r="T1337" s="3" t="s">
        <v>29</v>
      </c>
      <c r="U1337" s="3" t="s">
        <v>1</v>
      </c>
      <c r="V1337" s="3" t="s">
        <v>0</v>
      </c>
      <c r="W1337" s="2">
        <v>36</v>
      </c>
    </row>
    <row r="1338" spans="1:23" s="78" customFormat="1" hidden="1" x14ac:dyDescent="0.25">
      <c r="A1338" s="73">
        <v>17278</v>
      </c>
      <c r="B1338" s="73" t="s">
        <v>992</v>
      </c>
      <c r="C1338" s="95" t="s">
        <v>991</v>
      </c>
      <c r="D1338" s="88" t="s">
        <v>15</v>
      </c>
      <c r="E1338" s="91" t="s">
        <v>990</v>
      </c>
      <c r="F1338" s="90">
        <v>41764</v>
      </c>
      <c r="G1338" s="90" t="s">
        <v>1</v>
      </c>
      <c r="H1338" s="90" t="s">
        <v>1</v>
      </c>
      <c r="I1338" s="89" t="s">
        <v>365</v>
      </c>
      <c r="J1338" s="89" t="s">
        <v>918</v>
      </c>
      <c r="K1338" s="89" t="s">
        <v>33</v>
      </c>
      <c r="L1338" s="89" t="s">
        <v>33</v>
      </c>
      <c r="M1338" s="89" t="s">
        <v>918</v>
      </c>
      <c r="N1338" s="89" t="s">
        <v>989</v>
      </c>
      <c r="O1338" s="89" t="s">
        <v>988</v>
      </c>
      <c r="P1338" s="91" t="s">
        <v>72</v>
      </c>
      <c r="Q1338" s="89" t="s">
        <v>121</v>
      </c>
      <c r="R1338" s="92" t="s">
        <v>4</v>
      </c>
      <c r="S1338" s="92" t="s">
        <v>3</v>
      </c>
      <c r="T1338" s="92" t="s">
        <v>365</v>
      </c>
      <c r="U1338" s="92" t="s">
        <v>1</v>
      </c>
      <c r="V1338" s="92" t="s">
        <v>18</v>
      </c>
      <c r="W1338" s="93">
        <v>30</v>
      </c>
    </row>
    <row r="1339" spans="1:23" hidden="1" x14ac:dyDescent="0.25">
      <c r="A1339" s="8">
        <v>17283</v>
      </c>
      <c r="B1339" s="8" t="s">
        <v>987</v>
      </c>
      <c r="C1339" s="7" t="s">
        <v>986</v>
      </c>
      <c r="D1339" s="6" t="s">
        <v>15</v>
      </c>
      <c r="E1339" s="5" t="s">
        <v>982</v>
      </c>
      <c r="F1339" s="4">
        <v>41767</v>
      </c>
      <c r="G1339" s="4" t="s">
        <v>1</v>
      </c>
      <c r="H1339" s="4" t="s">
        <v>1</v>
      </c>
      <c r="I1339" s="3" t="s">
        <v>13</v>
      </c>
      <c r="J1339" s="3" t="s">
        <v>12</v>
      </c>
      <c r="K1339" s="3" t="s">
        <v>262</v>
      </c>
      <c r="L1339" s="3" t="s">
        <v>261</v>
      </c>
      <c r="M1339" s="3" t="s">
        <v>260</v>
      </c>
      <c r="N1339" s="3" t="s">
        <v>985</v>
      </c>
      <c r="O1339" s="3" t="s">
        <v>258</v>
      </c>
      <c r="P1339" s="3" t="s">
        <v>6</v>
      </c>
      <c r="Q1339" s="3" t="s">
        <v>5</v>
      </c>
      <c r="R1339" s="3" t="s">
        <v>4</v>
      </c>
      <c r="S1339" s="3" t="s">
        <v>3</v>
      </c>
      <c r="T1339" s="3" t="s">
        <v>2</v>
      </c>
      <c r="U1339" s="3" t="s">
        <v>1</v>
      </c>
      <c r="V1339" s="3" t="s">
        <v>0</v>
      </c>
      <c r="W1339" s="2">
        <v>28</v>
      </c>
    </row>
    <row r="1340" spans="1:23" hidden="1" x14ac:dyDescent="0.25">
      <c r="A1340" s="8">
        <v>17334</v>
      </c>
      <c r="B1340" s="8" t="s">
        <v>984</v>
      </c>
      <c r="C1340" s="7" t="s">
        <v>983</v>
      </c>
      <c r="D1340" s="6" t="s">
        <v>15</v>
      </c>
      <c r="E1340" s="5" t="s">
        <v>982</v>
      </c>
      <c r="F1340" s="4">
        <v>41767</v>
      </c>
      <c r="G1340" s="4" t="s">
        <v>1</v>
      </c>
      <c r="H1340" s="4" t="s">
        <v>1</v>
      </c>
      <c r="I1340" s="18" t="s">
        <v>100</v>
      </c>
      <c r="J1340" s="18" t="s">
        <v>124</v>
      </c>
      <c r="K1340" s="18" t="s">
        <v>33</v>
      </c>
      <c r="L1340" s="18" t="s">
        <v>33</v>
      </c>
      <c r="M1340" s="18" t="s">
        <v>124</v>
      </c>
      <c r="N1340" s="18" t="s">
        <v>194</v>
      </c>
      <c r="O1340" s="18" t="s">
        <v>122</v>
      </c>
      <c r="P1340" s="5" t="s">
        <v>1</v>
      </c>
      <c r="Q1340" s="5" t="s">
        <v>121</v>
      </c>
      <c r="R1340" s="3" t="s">
        <v>4</v>
      </c>
      <c r="S1340" s="3" t="s">
        <v>3</v>
      </c>
      <c r="T1340" s="3" t="s">
        <v>2</v>
      </c>
      <c r="U1340" s="3" t="s">
        <v>1</v>
      </c>
      <c r="V1340" s="3" t="s">
        <v>0</v>
      </c>
      <c r="W1340" s="2">
        <v>29</v>
      </c>
    </row>
    <row r="1341" spans="1:23" hidden="1" x14ac:dyDescent="0.25">
      <c r="A1341" s="8">
        <v>17363</v>
      </c>
      <c r="B1341" s="8" t="s">
        <v>981</v>
      </c>
      <c r="C1341" s="7" t="s">
        <v>980</v>
      </c>
      <c r="D1341" s="6" t="s">
        <v>15</v>
      </c>
      <c r="E1341" s="5" t="s">
        <v>979</v>
      </c>
      <c r="F1341" s="4">
        <v>41772</v>
      </c>
      <c r="G1341" s="4" t="s">
        <v>1</v>
      </c>
      <c r="H1341" s="4" t="s">
        <v>1</v>
      </c>
      <c r="I1341" s="3" t="s">
        <v>13</v>
      </c>
      <c r="J1341" s="3" t="s">
        <v>133</v>
      </c>
      <c r="K1341" s="3" t="s">
        <v>879</v>
      </c>
      <c r="L1341" s="3" t="s">
        <v>879</v>
      </c>
      <c r="M1341" s="3" t="s">
        <v>878</v>
      </c>
      <c r="N1341" s="3" t="s">
        <v>978</v>
      </c>
      <c r="O1341" s="3" t="s">
        <v>128</v>
      </c>
      <c r="P1341" s="3" t="s">
        <v>6</v>
      </c>
      <c r="Q1341" s="3" t="s">
        <v>5</v>
      </c>
      <c r="R1341" s="3" t="s">
        <v>4</v>
      </c>
      <c r="S1341" s="3" t="s">
        <v>3</v>
      </c>
      <c r="T1341" s="3" t="s">
        <v>2</v>
      </c>
      <c r="U1341" s="3" t="s">
        <v>1</v>
      </c>
      <c r="V1341" s="3" t="s">
        <v>0</v>
      </c>
      <c r="W1341" s="2">
        <v>28</v>
      </c>
    </row>
    <row r="1342" spans="1:23" s="78" customFormat="1" hidden="1" x14ac:dyDescent="0.25">
      <c r="A1342" s="73">
        <v>4658</v>
      </c>
      <c r="B1342" s="73" t="s">
        <v>977</v>
      </c>
      <c r="C1342" s="87" t="s">
        <v>976</v>
      </c>
      <c r="D1342" s="88" t="s">
        <v>15</v>
      </c>
      <c r="E1342" s="89" t="s">
        <v>975</v>
      </c>
      <c r="F1342" s="90">
        <v>38901</v>
      </c>
      <c r="G1342" s="90" t="s">
        <v>1</v>
      </c>
      <c r="H1342" s="90" t="s">
        <v>1</v>
      </c>
      <c r="I1342" s="92" t="s">
        <v>13</v>
      </c>
      <c r="J1342" s="92" t="s">
        <v>34</v>
      </c>
      <c r="K1342" s="92" t="s">
        <v>33</v>
      </c>
      <c r="L1342" s="92" t="s">
        <v>33</v>
      </c>
      <c r="M1342" s="92" t="s">
        <v>625</v>
      </c>
      <c r="N1342" s="92" t="s">
        <v>974</v>
      </c>
      <c r="O1342" s="92" t="s">
        <v>368</v>
      </c>
      <c r="P1342" s="92" t="s">
        <v>30</v>
      </c>
      <c r="Q1342" s="92" t="s">
        <v>47</v>
      </c>
      <c r="R1342" s="92" t="s">
        <v>4</v>
      </c>
      <c r="S1342" s="92" t="s">
        <v>3</v>
      </c>
      <c r="T1342" s="92" t="s">
        <v>38</v>
      </c>
      <c r="U1342" s="92" t="s">
        <v>1</v>
      </c>
      <c r="V1342" s="92" t="s">
        <v>18</v>
      </c>
      <c r="W1342" s="93">
        <v>40</v>
      </c>
    </row>
    <row r="1343" spans="1:23" hidden="1" x14ac:dyDescent="0.25">
      <c r="A1343" s="8">
        <v>17448</v>
      </c>
      <c r="B1343" s="8" t="s">
        <v>973</v>
      </c>
      <c r="C1343" s="7" t="s">
        <v>972</v>
      </c>
      <c r="D1343" s="6" t="s">
        <v>15</v>
      </c>
      <c r="E1343" s="5" t="s">
        <v>971</v>
      </c>
      <c r="F1343" s="4">
        <v>41778</v>
      </c>
      <c r="G1343" s="4" t="s">
        <v>1</v>
      </c>
      <c r="H1343" s="4" t="s">
        <v>1</v>
      </c>
      <c r="I1343" s="18" t="s">
        <v>100</v>
      </c>
      <c r="J1343" s="18" t="s">
        <v>124</v>
      </c>
      <c r="K1343" s="18" t="s">
        <v>33</v>
      </c>
      <c r="L1343" s="18" t="s">
        <v>33</v>
      </c>
      <c r="M1343" s="18" t="s">
        <v>124</v>
      </c>
      <c r="N1343" s="18" t="s">
        <v>123</v>
      </c>
      <c r="O1343" s="18" t="s">
        <v>122</v>
      </c>
      <c r="P1343" s="5" t="s">
        <v>1</v>
      </c>
      <c r="Q1343" s="5" t="s">
        <v>121</v>
      </c>
      <c r="R1343" s="3" t="s">
        <v>4</v>
      </c>
      <c r="S1343" s="3" t="s">
        <v>3</v>
      </c>
      <c r="T1343" s="3" t="s">
        <v>2</v>
      </c>
      <c r="U1343" s="3" t="s">
        <v>1</v>
      </c>
      <c r="V1343" s="3" t="s">
        <v>0</v>
      </c>
      <c r="W1343" s="2">
        <v>29</v>
      </c>
    </row>
    <row r="1344" spans="1:23" s="78" customFormat="1" hidden="1" x14ac:dyDescent="0.25">
      <c r="A1344" s="73">
        <v>5473</v>
      </c>
      <c r="B1344" s="73" t="s">
        <v>970</v>
      </c>
      <c r="C1344" s="87" t="s">
        <v>969</v>
      </c>
      <c r="D1344" s="88" t="s">
        <v>15</v>
      </c>
      <c r="E1344" s="89" t="s">
        <v>968</v>
      </c>
      <c r="F1344" s="90">
        <v>38991</v>
      </c>
      <c r="G1344" s="90" t="s">
        <v>1</v>
      </c>
      <c r="H1344" s="90" t="s">
        <v>1</v>
      </c>
      <c r="I1344" s="92" t="s">
        <v>13</v>
      </c>
      <c r="J1344" s="92" t="s">
        <v>34</v>
      </c>
      <c r="K1344" s="92" t="s">
        <v>33</v>
      </c>
      <c r="L1344" s="92" t="s">
        <v>33</v>
      </c>
      <c r="M1344" s="92" t="s">
        <v>625</v>
      </c>
      <c r="N1344" s="92" t="s">
        <v>838</v>
      </c>
      <c r="O1344" s="92" t="s">
        <v>837</v>
      </c>
      <c r="P1344" s="92" t="s">
        <v>30</v>
      </c>
      <c r="Q1344" s="92" t="s">
        <v>47</v>
      </c>
      <c r="R1344" s="92" t="s">
        <v>4</v>
      </c>
      <c r="S1344" s="92" t="s">
        <v>3</v>
      </c>
      <c r="T1344" s="92" t="s">
        <v>88</v>
      </c>
      <c r="U1344" s="92" t="s">
        <v>1</v>
      </c>
      <c r="V1344" s="92" t="s">
        <v>18</v>
      </c>
      <c r="W1344" s="93">
        <v>41</v>
      </c>
    </row>
    <row r="1345" spans="1:24" hidden="1" x14ac:dyDescent="0.25">
      <c r="A1345" s="8">
        <v>17561</v>
      </c>
      <c r="B1345" s="8" t="s">
        <v>967</v>
      </c>
      <c r="C1345" s="19" t="s">
        <v>966</v>
      </c>
      <c r="D1345" s="6" t="s">
        <v>15</v>
      </c>
      <c r="E1345" s="18" t="s">
        <v>965</v>
      </c>
      <c r="F1345" s="4">
        <v>41781</v>
      </c>
      <c r="G1345" s="4" t="s">
        <v>1</v>
      </c>
      <c r="H1345" s="4" t="s">
        <v>1</v>
      </c>
      <c r="I1345" s="3" t="s">
        <v>13</v>
      </c>
      <c r="J1345" s="3" t="s">
        <v>12</v>
      </c>
      <c r="K1345" s="3" t="s">
        <v>63</v>
      </c>
      <c r="L1345" s="3" t="s">
        <v>81</v>
      </c>
      <c r="M1345" s="3" t="s">
        <v>80</v>
      </c>
      <c r="N1345" s="3" t="s">
        <v>964</v>
      </c>
      <c r="O1345" s="3" t="s">
        <v>59</v>
      </c>
      <c r="P1345" s="3" t="s">
        <v>6</v>
      </c>
      <c r="Q1345" s="3" t="s">
        <v>5</v>
      </c>
      <c r="R1345" s="3" t="s">
        <v>4</v>
      </c>
      <c r="S1345" s="3" t="s">
        <v>3</v>
      </c>
      <c r="T1345" s="3" t="s">
        <v>2</v>
      </c>
      <c r="U1345" s="3" t="s">
        <v>1</v>
      </c>
      <c r="V1345" s="3" t="s">
        <v>0</v>
      </c>
      <c r="W1345" s="2">
        <v>27</v>
      </c>
    </row>
    <row r="1346" spans="1:24" s="78" customFormat="1" hidden="1" x14ac:dyDescent="0.25">
      <c r="A1346" s="73">
        <v>5812</v>
      </c>
      <c r="B1346" s="73" t="s">
        <v>963</v>
      </c>
      <c r="C1346" s="87" t="s">
        <v>962</v>
      </c>
      <c r="D1346" s="88" t="s">
        <v>15</v>
      </c>
      <c r="E1346" s="89" t="s">
        <v>251</v>
      </c>
      <c r="F1346" s="90">
        <v>39114</v>
      </c>
      <c r="G1346" s="90" t="s">
        <v>1</v>
      </c>
      <c r="H1346" s="90" t="s">
        <v>1</v>
      </c>
      <c r="I1346" s="92" t="s">
        <v>13</v>
      </c>
      <c r="J1346" s="92" t="s">
        <v>34</v>
      </c>
      <c r="K1346" s="92" t="s">
        <v>33</v>
      </c>
      <c r="L1346" s="92" t="s">
        <v>33</v>
      </c>
      <c r="M1346" s="92" t="s">
        <v>625</v>
      </c>
      <c r="N1346" s="92" t="s">
        <v>838</v>
      </c>
      <c r="O1346" s="92" t="s">
        <v>837</v>
      </c>
      <c r="P1346" s="92" t="s">
        <v>30</v>
      </c>
      <c r="Q1346" s="92" t="s">
        <v>47</v>
      </c>
      <c r="R1346" s="92" t="s">
        <v>4</v>
      </c>
      <c r="S1346" s="92" t="s">
        <v>3</v>
      </c>
      <c r="T1346" s="92" t="s">
        <v>121</v>
      </c>
      <c r="U1346" s="92" t="s">
        <v>1</v>
      </c>
      <c r="V1346" s="92" t="s">
        <v>0</v>
      </c>
      <c r="W1346" s="93">
        <v>38</v>
      </c>
    </row>
    <row r="1347" spans="1:24" hidden="1" x14ac:dyDescent="0.25">
      <c r="A1347" s="8">
        <v>17672</v>
      </c>
      <c r="B1347" s="8" t="s">
        <v>961</v>
      </c>
      <c r="C1347" s="7" t="s">
        <v>960</v>
      </c>
      <c r="D1347" s="6" t="s">
        <v>15</v>
      </c>
      <c r="E1347" s="5" t="s">
        <v>959</v>
      </c>
      <c r="F1347" s="4">
        <v>41792</v>
      </c>
      <c r="G1347" s="4" t="s">
        <v>1</v>
      </c>
      <c r="H1347" s="4" t="s">
        <v>1</v>
      </c>
      <c r="I1347" s="3" t="s">
        <v>13</v>
      </c>
      <c r="J1347" s="3" t="s">
        <v>12</v>
      </c>
      <c r="K1347" s="3" t="s">
        <v>262</v>
      </c>
      <c r="L1347" s="3" t="s">
        <v>261</v>
      </c>
      <c r="M1347" s="3" t="s">
        <v>260</v>
      </c>
      <c r="N1347" s="3" t="s">
        <v>958</v>
      </c>
      <c r="O1347" s="3" t="s">
        <v>7</v>
      </c>
      <c r="P1347" s="3" t="s">
        <v>6</v>
      </c>
      <c r="Q1347" s="3" t="s">
        <v>5</v>
      </c>
      <c r="R1347" s="3" t="s">
        <v>4</v>
      </c>
      <c r="S1347" s="3" t="s">
        <v>3</v>
      </c>
      <c r="T1347" s="3" t="s">
        <v>2</v>
      </c>
      <c r="U1347" s="3" t="s">
        <v>1</v>
      </c>
      <c r="V1347" s="3" t="s">
        <v>0</v>
      </c>
      <c r="W1347" s="2">
        <v>29</v>
      </c>
    </row>
    <row r="1348" spans="1:24" hidden="1" x14ac:dyDescent="0.25">
      <c r="A1348" s="8">
        <v>17683</v>
      </c>
      <c r="B1348" s="8" t="s">
        <v>957</v>
      </c>
      <c r="C1348" s="7" t="s">
        <v>956</v>
      </c>
      <c r="D1348" s="6" t="s">
        <v>15</v>
      </c>
      <c r="E1348" s="5" t="s">
        <v>955</v>
      </c>
      <c r="F1348" s="4">
        <v>41792</v>
      </c>
      <c r="G1348" s="4" t="s">
        <v>1</v>
      </c>
      <c r="H1348" s="4" t="s">
        <v>1</v>
      </c>
      <c r="I1348" s="3" t="s">
        <v>145</v>
      </c>
      <c r="J1348" s="3" t="s">
        <v>34</v>
      </c>
      <c r="K1348" s="3" t="s">
        <v>33</v>
      </c>
      <c r="L1348" s="3" t="s">
        <v>954</v>
      </c>
      <c r="M1348" s="3" t="s">
        <v>953</v>
      </c>
      <c r="N1348" s="3" t="s">
        <v>952</v>
      </c>
      <c r="O1348" s="3" t="s">
        <v>39</v>
      </c>
      <c r="P1348" s="3" t="s">
        <v>6</v>
      </c>
      <c r="Q1348" s="3" t="s">
        <v>20</v>
      </c>
      <c r="R1348" s="3" t="s">
        <v>4</v>
      </c>
      <c r="S1348" s="3" t="s">
        <v>3</v>
      </c>
      <c r="T1348" s="3" t="s">
        <v>346</v>
      </c>
      <c r="U1348" s="3" t="s">
        <v>1</v>
      </c>
      <c r="V1348" s="3" t="s">
        <v>18</v>
      </c>
      <c r="W1348" s="2">
        <v>36</v>
      </c>
    </row>
    <row r="1349" spans="1:24" hidden="1" x14ac:dyDescent="0.25">
      <c r="A1349" s="8">
        <v>17801</v>
      </c>
      <c r="B1349" s="8" t="s">
        <v>951</v>
      </c>
      <c r="C1349" s="7" t="s">
        <v>950</v>
      </c>
      <c r="D1349" s="6" t="s">
        <v>15</v>
      </c>
      <c r="E1349" s="5" t="s">
        <v>949</v>
      </c>
      <c r="F1349" s="4">
        <v>41813</v>
      </c>
      <c r="G1349" s="4" t="s">
        <v>1</v>
      </c>
      <c r="H1349" s="4" t="s">
        <v>1</v>
      </c>
      <c r="I1349" s="3" t="s">
        <v>13</v>
      </c>
      <c r="J1349" s="3" t="s">
        <v>12</v>
      </c>
      <c r="K1349" s="3" t="s">
        <v>63</v>
      </c>
      <c r="L1349" s="3" t="s">
        <v>62</v>
      </c>
      <c r="M1349" s="3" t="s">
        <v>565</v>
      </c>
      <c r="N1349" s="3" t="s">
        <v>762</v>
      </c>
      <c r="O1349" s="3" t="s">
        <v>453</v>
      </c>
      <c r="P1349" s="3" t="s">
        <v>6</v>
      </c>
      <c r="Q1349" s="3" t="s">
        <v>5</v>
      </c>
      <c r="R1349" s="3" t="s">
        <v>4</v>
      </c>
      <c r="S1349" s="3" t="s">
        <v>3</v>
      </c>
      <c r="T1349" s="3" t="s">
        <v>2</v>
      </c>
      <c r="U1349" s="3" t="s">
        <v>1</v>
      </c>
      <c r="V1349" s="3" t="s">
        <v>0</v>
      </c>
      <c r="W1349" s="2">
        <v>28</v>
      </c>
    </row>
    <row r="1350" spans="1:24" hidden="1" x14ac:dyDescent="0.25">
      <c r="A1350" s="8">
        <v>17833</v>
      </c>
      <c r="B1350" s="8" t="s">
        <v>948</v>
      </c>
      <c r="C1350" s="28" t="s">
        <v>947</v>
      </c>
      <c r="D1350" s="6" t="s">
        <v>15</v>
      </c>
      <c r="E1350" s="5" t="s">
        <v>946</v>
      </c>
      <c r="F1350" s="4">
        <v>41820</v>
      </c>
      <c r="G1350" s="4" t="s">
        <v>1</v>
      </c>
      <c r="H1350" s="4" t="s">
        <v>1</v>
      </c>
      <c r="I1350" s="5" t="s">
        <v>365</v>
      </c>
      <c r="J1350" s="5" t="s">
        <v>813</v>
      </c>
      <c r="K1350" s="5" t="s">
        <v>33</v>
      </c>
      <c r="L1350" s="5" t="s">
        <v>33</v>
      </c>
      <c r="M1350" s="5" t="s">
        <v>812</v>
      </c>
      <c r="N1350" s="5" t="s">
        <v>945</v>
      </c>
      <c r="O1350" s="5" t="s">
        <v>944</v>
      </c>
      <c r="P1350" s="5" t="s">
        <v>30</v>
      </c>
      <c r="Q1350" s="5" t="s">
        <v>47</v>
      </c>
      <c r="R1350" s="3" t="s">
        <v>4</v>
      </c>
      <c r="S1350" s="3" t="s">
        <v>3</v>
      </c>
      <c r="T1350" s="3" t="s">
        <v>88</v>
      </c>
      <c r="U1350" s="3" t="s">
        <v>1</v>
      </c>
      <c r="V1350" s="3" t="s">
        <v>18</v>
      </c>
      <c r="W1350" s="2">
        <v>28</v>
      </c>
    </row>
    <row r="1351" spans="1:24" hidden="1" x14ac:dyDescent="0.25">
      <c r="A1351" s="8">
        <v>5924</v>
      </c>
      <c r="B1351" s="8" t="s">
        <v>943</v>
      </c>
      <c r="C1351" s="7" t="s">
        <v>942</v>
      </c>
      <c r="D1351" s="6" t="s">
        <v>15</v>
      </c>
      <c r="E1351" s="5" t="s">
        <v>248</v>
      </c>
      <c r="F1351" s="4">
        <v>39129</v>
      </c>
      <c r="G1351" s="4" t="s">
        <v>1</v>
      </c>
      <c r="H1351" s="4" t="s">
        <v>1</v>
      </c>
      <c r="I1351" s="3" t="s">
        <v>13</v>
      </c>
      <c r="J1351" s="3" t="s">
        <v>34</v>
      </c>
      <c r="K1351" s="3" t="s">
        <v>33</v>
      </c>
      <c r="L1351" s="3" t="s">
        <v>33</v>
      </c>
      <c r="M1351" s="3" t="s">
        <v>625</v>
      </c>
      <c r="N1351" s="3" t="s">
        <v>846</v>
      </c>
      <c r="O1351" s="3" t="s">
        <v>837</v>
      </c>
      <c r="P1351" s="3" t="s">
        <v>30</v>
      </c>
      <c r="Q1351" s="3" t="s">
        <v>47</v>
      </c>
      <c r="R1351" s="3" t="s">
        <v>4</v>
      </c>
      <c r="S1351" s="3" t="s">
        <v>3</v>
      </c>
      <c r="T1351" s="3" t="s">
        <v>121</v>
      </c>
      <c r="U1351" s="3" t="s">
        <v>1</v>
      </c>
      <c r="V1351" s="3" t="s">
        <v>0</v>
      </c>
      <c r="W1351" s="2">
        <v>39</v>
      </c>
    </row>
    <row r="1352" spans="1:24" hidden="1" x14ac:dyDescent="0.25">
      <c r="A1352" s="8">
        <v>17880</v>
      </c>
      <c r="B1352" s="8" t="s">
        <v>941</v>
      </c>
      <c r="C1352" s="19" t="s">
        <v>940</v>
      </c>
      <c r="D1352" s="6" t="s">
        <v>15</v>
      </c>
      <c r="E1352" s="5" t="s">
        <v>343</v>
      </c>
      <c r="F1352" s="4">
        <v>41822</v>
      </c>
      <c r="G1352" s="4" t="s">
        <v>1</v>
      </c>
      <c r="H1352" s="4" t="s">
        <v>1</v>
      </c>
      <c r="I1352" s="5" t="s">
        <v>50</v>
      </c>
      <c r="J1352" s="5" t="s">
        <v>370</v>
      </c>
      <c r="K1352" s="5" t="s">
        <v>33</v>
      </c>
      <c r="L1352" s="5" t="s">
        <v>33</v>
      </c>
      <c r="M1352" s="5" t="s">
        <v>370</v>
      </c>
      <c r="N1352" s="5" t="s">
        <v>939</v>
      </c>
      <c r="O1352" s="5" t="s">
        <v>624</v>
      </c>
      <c r="P1352" s="5" t="s">
        <v>30</v>
      </c>
      <c r="Q1352" s="5" t="s">
        <v>47</v>
      </c>
      <c r="R1352" s="3" t="s">
        <v>4</v>
      </c>
      <c r="S1352" s="3" t="s">
        <v>3</v>
      </c>
      <c r="T1352" s="3" t="s">
        <v>338</v>
      </c>
      <c r="U1352" s="3" t="s">
        <v>1</v>
      </c>
      <c r="V1352" s="3" t="s">
        <v>18</v>
      </c>
      <c r="W1352" s="2">
        <v>35</v>
      </c>
      <c r="X1352" s="20"/>
    </row>
    <row r="1353" spans="1:24" s="9" customFormat="1" hidden="1" x14ac:dyDescent="0.25">
      <c r="A1353" s="17">
        <v>17884</v>
      </c>
      <c r="B1353" s="17" t="s">
        <v>938</v>
      </c>
      <c r="C1353" s="16" t="s">
        <v>937</v>
      </c>
      <c r="D1353" s="15" t="s">
        <v>15</v>
      </c>
      <c r="E1353" s="14" t="s">
        <v>931</v>
      </c>
      <c r="F1353" s="13">
        <v>41830</v>
      </c>
      <c r="G1353" s="13" t="s">
        <v>1</v>
      </c>
      <c r="H1353" s="13" t="s">
        <v>1</v>
      </c>
      <c r="I1353" s="14" t="s">
        <v>93</v>
      </c>
      <c r="J1353" s="14" t="s">
        <v>89</v>
      </c>
      <c r="K1353" s="14" t="s">
        <v>33</v>
      </c>
      <c r="L1353" s="14" t="s">
        <v>33</v>
      </c>
      <c r="M1353" s="14" t="s">
        <v>936</v>
      </c>
      <c r="N1353" s="14" t="s">
        <v>935</v>
      </c>
      <c r="O1353" s="14" t="s">
        <v>934</v>
      </c>
      <c r="P1353" s="14" t="s">
        <v>72</v>
      </c>
      <c r="Q1353" s="14" t="s">
        <v>47</v>
      </c>
      <c r="R1353" s="12" t="s">
        <v>4</v>
      </c>
      <c r="S1353" s="12" t="s">
        <v>3</v>
      </c>
      <c r="T1353" s="12" t="s">
        <v>88</v>
      </c>
      <c r="U1353" s="12" t="s">
        <v>1</v>
      </c>
      <c r="V1353" s="12" t="s">
        <v>18</v>
      </c>
      <c r="W1353" s="11">
        <v>28</v>
      </c>
      <c r="X1353" s="10"/>
    </row>
    <row r="1354" spans="1:24" hidden="1" x14ac:dyDescent="0.25">
      <c r="A1354" s="8">
        <v>17888</v>
      </c>
      <c r="B1354" s="8" t="s">
        <v>933</v>
      </c>
      <c r="C1354" s="7" t="s">
        <v>932</v>
      </c>
      <c r="D1354" s="6" t="s">
        <v>15</v>
      </c>
      <c r="E1354" s="5" t="s">
        <v>931</v>
      </c>
      <c r="F1354" s="4">
        <v>41830</v>
      </c>
      <c r="G1354" s="4" t="s">
        <v>1</v>
      </c>
      <c r="H1354" s="4" t="s">
        <v>1</v>
      </c>
      <c r="I1354" s="5" t="s">
        <v>93</v>
      </c>
      <c r="J1354" s="18" t="s">
        <v>466</v>
      </c>
      <c r="K1354" s="5" t="s">
        <v>33</v>
      </c>
      <c r="L1354" s="5" t="s">
        <v>33</v>
      </c>
      <c r="M1354" s="18" t="s">
        <v>466</v>
      </c>
      <c r="N1354" s="3" t="s">
        <v>930</v>
      </c>
      <c r="O1354" s="3" t="s">
        <v>464</v>
      </c>
      <c r="P1354" s="5" t="s">
        <v>30</v>
      </c>
      <c r="Q1354" s="5" t="s">
        <v>47</v>
      </c>
      <c r="R1354" s="3" t="s">
        <v>4</v>
      </c>
      <c r="S1354" s="3" t="s">
        <v>3</v>
      </c>
      <c r="T1354" s="3" t="s">
        <v>88</v>
      </c>
      <c r="U1354" s="3" t="s">
        <v>1</v>
      </c>
      <c r="V1354" s="3" t="s">
        <v>18</v>
      </c>
      <c r="W1354" s="2">
        <v>32</v>
      </c>
    </row>
    <row r="1355" spans="1:24" hidden="1" x14ac:dyDescent="0.25">
      <c r="A1355" s="8">
        <v>17920</v>
      </c>
      <c r="B1355" s="8" t="s">
        <v>929</v>
      </c>
      <c r="C1355" s="7" t="s">
        <v>928</v>
      </c>
      <c r="D1355" s="6" t="s">
        <v>15</v>
      </c>
      <c r="E1355" s="5" t="s">
        <v>927</v>
      </c>
      <c r="F1355" s="4">
        <v>41830</v>
      </c>
      <c r="G1355" s="4" t="s">
        <v>1</v>
      </c>
      <c r="H1355" s="4" t="s">
        <v>1</v>
      </c>
      <c r="I1355" s="3" t="s">
        <v>13</v>
      </c>
      <c r="J1355" s="3" t="s">
        <v>12</v>
      </c>
      <c r="K1355" s="3" t="s">
        <v>25</v>
      </c>
      <c r="L1355" s="3" t="s">
        <v>24</v>
      </c>
      <c r="M1355" s="3" t="s">
        <v>23</v>
      </c>
      <c r="N1355" s="3" t="s">
        <v>926</v>
      </c>
      <c r="O1355" s="3" t="s">
        <v>59</v>
      </c>
      <c r="P1355" s="3" t="s">
        <v>6</v>
      </c>
      <c r="Q1355" s="3" t="s">
        <v>5</v>
      </c>
      <c r="R1355" s="3" t="s">
        <v>4</v>
      </c>
      <c r="S1355" s="3" t="s">
        <v>3</v>
      </c>
      <c r="T1355" s="3" t="s">
        <v>2</v>
      </c>
      <c r="U1355" s="3" t="s">
        <v>1</v>
      </c>
      <c r="V1355" s="3" t="s">
        <v>0</v>
      </c>
      <c r="W1355" s="2">
        <v>28</v>
      </c>
    </row>
    <row r="1356" spans="1:24" hidden="1" x14ac:dyDescent="0.25">
      <c r="A1356" s="8">
        <v>18662</v>
      </c>
      <c r="B1356" s="8" t="s">
        <v>925</v>
      </c>
      <c r="C1356" s="7" t="s">
        <v>924</v>
      </c>
      <c r="D1356" s="6" t="s">
        <v>15</v>
      </c>
      <c r="E1356" s="5" t="s">
        <v>343</v>
      </c>
      <c r="F1356" s="4">
        <v>42009</v>
      </c>
      <c r="G1356" s="4" t="s">
        <v>1</v>
      </c>
      <c r="H1356" s="4" t="s">
        <v>1</v>
      </c>
      <c r="I1356" s="3" t="s">
        <v>13</v>
      </c>
      <c r="J1356" s="3" t="s">
        <v>12</v>
      </c>
      <c r="K1356" s="3" t="s">
        <v>33</v>
      </c>
      <c r="L1356" s="3" t="s">
        <v>33</v>
      </c>
      <c r="M1356" s="3" t="s">
        <v>654</v>
      </c>
      <c r="N1356" s="3" t="s">
        <v>667</v>
      </c>
      <c r="O1356" s="3" t="s">
        <v>615</v>
      </c>
      <c r="P1356" s="3" t="s">
        <v>6</v>
      </c>
      <c r="Q1356" s="3" t="s">
        <v>20</v>
      </c>
      <c r="R1356" s="3" t="s">
        <v>4</v>
      </c>
      <c r="S1356" s="3" t="s">
        <v>3</v>
      </c>
      <c r="T1356" s="3" t="s">
        <v>338</v>
      </c>
      <c r="U1356" s="3" t="s">
        <v>1</v>
      </c>
      <c r="V1356" s="3" t="s">
        <v>18</v>
      </c>
      <c r="W1356" s="2">
        <v>35</v>
      </c>
    </row>
    <row r="1357" spans="1:24" s="9" customFormat="1" hidden="1" x14ac:dyDescent="0.25">
      <c r="A1357" s="17">
        <v>18663</v>
      </c>
      <c r="B1357" s="17" t="s">
        <v>923</v>
      </c>
      <c r="C1357" s="16" t="s">
        <v>922</v>
      </c>
      <c r="D1357" s="42" t="s">
        <v>15</v>
      </c>
      <c r="E1357" s="14" t="s">
        <v>343</v>
      </c>
      <c r="F1357" s="13">
        <v>37257</v>
      </c>
      <c r="G1357" s="13" t="s">
        <v>1</v>
      </c>
      <c r="H1357" s="13" t="s">
        <v>1</v>
      </c>
      <c r="I1357" s="14" t="s">
        <v>342</v>
      </c>
      <c r="J1357" s="14" t="s">
        <v>357</v>
      </c>
      <c r="K1357" s="14" t="s">
        <v>33</v>
      </c>
      <c r="L1357" s="14" t="s">
        <v>33</v>
      </c>
      <c r="M1357" s="14" t="s">
        <v>357</v>
      </c>
      <c r="N1357" s="14" t="s">
        <v>411</v>
      </c>
      <c r="O1357" s="14" t="s">
        <v>921</v>
      </c>
      <c r="P1357" s="14" t="s">
        <v>30</v>
      </c>
      <c r="Q1357" s="14" t="s">
        <v>121</v>
      </c>
      <c r="R1357" s="12" t="s">
        <v>4</v>
      </c>
      <c r="S1357" s="12" t="s">
        <v>3</v>
      </c>
      <c r="T1357" s="12" t="s">
        <v>409</v>
      </c>
      <c r="U1357" s="12" t="s">
        <v>1</v>
      </c>
      <c r="V1357" s="12" t="s">
        <v>18</v>
      </c>
      <c r="W1357" s="11">
        <v>46</v>
      </c>
      <c r="X1357" s="10"/>
    </row>
    <row r="1358" spans="1:24" hidden="1" x14ac:dyDescent="0.25">
      <c r="A1358" s="8">
        <v>18666</v>
      </c>
      <c r="B1358" s="8" t="s">
        <v>920</v>
      </c>
      <c r="C1358" s="28" t="s">
        <v>919</v>
      </c>
      <c r="D1358" s="6" t="s">
        <v>15</v>
      </c>
      <c r="E1358" s="5" t="s">
        <v>343</v>
      </c>
      <c r="F1358" s="4">
        <v>42066</v>
      </c>
      <c r="G1358" s="4" t="s">
        <v>1</v>
      </c>
      <c r="H1358" s="4" t="s">
        <v>1</v>
      </c>
      <c r="I1358" s="5" t="s">
        <v>365</v>
      </c>
      <c r="J1358" s="5" t="s">
        <v>918</v>
      </c>
      <c r="K1358" s="5" t="s">
        <v>33</v>
      </c>
      <c r="L1358" s="5" t="s">
        <v>33</v>
      </c>
      <c r="M1358" s="5" t="s">
        <v>918</v>
      </c>
      <c r="N1358" s="18" t="s">
        <v>917</v>
      </c>
      <c r="O1358" s="18" t="s">
        <v>339</v>
      </c>
      <c r="P1358" s="5" t="s">
        <v>30</v>
      </c>
      <c r="Q1358" s="5" t="s">
        <v>121</v>
      </c>
      <c r="R1358" s="3" t="s">
        <v>4</v>
      </c>
      <c r="S1358" s="3" t="s">
        <v>3</v>
      </c>
      <c r="T1358" s="3" t="s">
        <v>338</v>
      </c>
      <c r="U1358" s="3" t="s">
        <v>1</v>
      </c>
      <c r="V1358" s="3" t="s">
        <v>18</v>
      </c>
      <c r="W1358" s="2">
        <v>33</v>
      </c>
    </row>
    <row r="1359" spans="1:24" hidden="1" x14ac:dyDescent="0.25">
      <c r="A1359" s="8">
        <v>18681</v>
      </c>
      <c r="B1359" s="8" t="s">
        <v>916</v>
      </c>
      <c r="C1359" s="7" t="s">
        <v>915</v>
      </c>
      <c r="D1359" s="6" t="s">
        <v>15</v>
      </c>
      <c r="E1359" s="5" t="s">
        <v>910</v>
      </c>
      <c r="F1359" s="4">
        <v>42142</v>
      </c>
      <c r="G1359" s="4" t="s">
        <v>1</v>
      </c>
      <c r="H1359" s="4" t="s">
        <v>1</v>
      </c>
      <c r="I1359" s="18" t="s">
        <v>100</v>
      </c>
      <c r="J1359" s="18" t="s">
        <v>124</v>
      </c>
      <c r="K1359" s="18" t="s">
        <v>33</v>
      </c>
      <c r="L1359" s="18" t="s">
        <v>33</v>
      </c>
      <c r="M1359" s="18" t="s">
        <v>124</v>
      </c>
      <c r="N1359" s="18" t="s">
        <v>194</v>
      </c>
      <c r="O1359" s="18" t="s">
        <v>122</v>
      </c>
      <c r="P1359" s="5" t="s">
        <v>1</v>
      </c>
      <c r="Q1359" s="5" t="s">
        <v>121</v>
      </c>
      <c r="R1359" s="3" t="s">
        <v>4</v>
      </c>
      <c r="S1359" s="3" t="s">
        <v>3</v>
      </c>
      <c r="T1359" s="3" t="s">
        <v>2</v>
      </c>
      <c r="U1359" s="3" t="s">
        <v>1</v>
      </c>
      <c r="V1359" s="3" t="s">
        <v>0</v>
      </c>
      <c r="W1359" s="2">
        <v>28</v>
      </c>
    </row>
    <row r="1360" spans="1:24" hidden="1" x14ac:dyDescent="0.25">
      <c r="A1360" s="8">
        <v>18699</v>
      </c>
      <c r="B1360" s="8" t="s">
        <v>914</v>
      </c>
      <c r="C1360" s="7" t="s">
        <v>913</v>
      </c>
      <c r="D1360" s="6" t="s">
        <v>15</v>
      </c>
      <c r="E1360" s="5" t="s">
        <v>910</v>
      </c>
      <c r="F1360" s="4">
        <v>42142</v>
      </c>
      <c r="G1360" s="4" t="s">
        <v>1</v>
      </c>
      <c r="H1360" s="4" t="s">
        <v>1</v>
      </c>
      <c r="I1360" s="3" t="s">
        <v>13</v>
      </c>
      <c r="J1360" s="3" t="s">
        <v>12</v>
      </c>
      <c r="K1360" s="3" t="s">
        <v>63</v>
      </c>
      <c r="L1360" s="3" t="s">
        <v>138</v>
      </c>
      <c r="M1360" s="3" t="s">
        <v>137</v>
      </c>
      <c r="N1360" s="3" t="s">
        <v>628</v>
      </c>
      <c r="O1360" s="3" t="s">
        <v>59</v>
      </c>
      <c r="P1360" s="3" t="s">
        <v>6</v>
      </c>
      <c r="Q1360" s="3" t="s">
        <v>5</v>
      </c>
      <c r="R1360" s="3" t="s">
        <v>4</v>
      </c>
      <c r="S1360" s="3" t="s">
        <v>3</v>
      </c>
      <c r="T1360" s="3" t="s">
        <v>2</v>
      </c>
      <c r="U1360" s="3" t="s">
        <v>1</v>
      </c>
      <c r="V1360" s="3" t="s">
        <v>0</v>
      </c>
      <c r="W1360" s="2">
        <v>27</v>
      </c>
    </row>
    <row r="1361" spans="1:24" hidden="1" x14ac:dyDescent="0.25">
      <c r="A1361" s="8">
        <v>18740</v>
      </c>
      <c r="B1361" s="8" t="s">
        <v>912</v>
      </c>
      <c r="C1361" s="7" t="s">
        <v>911</v>
      </c>
      <c r="D1361" s="6" t="s">
        <v>15</v>
      </c>
      <c r="E1361" s="5" t="s">
        <v>910</v>
      </c>
      <c r="F1361" s="4">
        <v>42142</v>
      </c>
      <c r="G1361" s="4" t="s">
        <v>1</v>
      </c>
      <c r="H1361" s="4" t="s">
        <v>1</v>
      </c>
      <c r="I1361" s="5" t="s">
        <v>93</v>
      </c>
      <c r="J1361" s="18" t="s">
        <v>466</v>
      </c>
      <c r="K1361" s="18" t="s">
        <v>33</v>
      </c>
      <c r="L1361" s="18" t="s">
        <v>33</v>
      </c>
      <c r="M1361" s="18" t="s">
        <v>466</v>
      </c>
      <c r="N1361" s="3" t="s">
        <v>909</v>
      </c>
      <c r="O1361" s="3" t="s">
        <v>464</v>
      </c>
      <c r="P1361" s="3" t="s">
        <v>30</v>
      </c>
      <c r="Q1361" s="3" t="s">
        <v>47</v>
      </c>
      <c r="R1361" s="3" t="s">
        <v>4</v>
      </c>
      <c r="S1361" s="3" t="s">
        <v>3</v>
      </c>
      <c r="T1361" s="3" t="s">
        <v>88</v>
      </c>
      <c r="U1361" s="3" t="s">
        <v>1</v>
      </c>
      <c r="V1361" s="3" t="s">
        <v>0</v>
      </c>
      <c r="W1361" s="2">
        <v>28</v>
      </c>
    </row>
    <row r="1362" spans="1:24" hidden="1" x14ac:dyDescent="0.25">
      <c r="A1362" s="8">
        <v>18808</v>
      </c>
      <c r="B1362" s="8" t="s">
        <v>908</v>
      </c>
      <c r="C1362" s="7" t="s">
        <v>907</v>
      </c>
      <c r="D1362" s="6" t="s">
        <v>15</v>
      </c>
      <c r="E1362" s="5" t="s">
        <v>906</v>
      </c>
      <c r="F1362" s="4">
        <v>42170</v>
      </c>
      <c r="G1362" s="4" t="s">
        <v>1</v>
      </c>
      <c r="H1362" s="4" t="s">
        <v>1</v>
      </c>
      <c r="I1362" s="18" t="s">
        <v>93</v>
      </c>
      <c r="J1362" s="18" t="s">
        <v>92</v>
      </c>
      <c r="K1362" s="18" t="s">
        <v>33</v>
      </c>
      <c r="L1362" s="18" t="s">
        <v>33</v>
      </c>
      <c r="M1362" s="3" t="s">
        <v>449</v>
      </c>
      <c r="N1362" s="3" t="s">
        <v>498</v>
      </c>
      <c r="O1362" s="3" t="s">
        <v>394</v>
      </c>
      <c r="P1362" s="3" t="s">
        <v>30</v>
      </c>
      <c r="Q1362" s="3" t="s">
        <v>47</v>
      </c>
      <c r="R1362" s="3" t="s">
        <v>4</v>
      </c>
      <c r="S1362" s="3" t="s">
        <v>3</v>
      </c>
      <c r="T1362" s="3" t="s">
        <v>88</v>
      </c>
      <c r="U1362" s="3" t="s">
        <v>1</v>
      </c>
      <c r="V1362" s="3" t="s">
        <v>18</v>
      </c>
      <c r="W1362" s="2">
        <v>27</v>
      </c>
    </row>
    <row r="1363" spans="1:24" hidden="1" x14ac:dyDescent="0.25">
      <c r="A1363" s="8">
        <v>18844</v>
      </c>
      <c r="B1363" s="8" t="s">
        <v>905</v>
      </c>
      <c r="C1363" s="7" t="s">
        <v>904</v>
      </c>
      <c r="D1363" s="6" t="s">
        <v>15</v>
      </c>
      <c r="E1363" s="5" t="s">
        <v>903</v>
      </c>
      <c r="F1363" s="4">
        <v>42210</v>
      </c>
      <c r="G1363" s="4" t="s">
        <v>1</v>
      </c>
      <c r="H1363" s="4" t="s">
        <v>1</v>
      </c>
      <c r="I1363" s="3" t="s">
        <v>13</v>
      </c>
      <c r="J1363" s="3" t="s">
        <v>12</v>
      </c>
      <c r="K1363" s="3" t="s">
        <v>283</v>
      </c>
      <c r="L1363" s="3" t="s">
        <v>282</v>
      </c>
      <c r="M1363" s="3" t="s">
        <v>281</v>
      </c>
      <c r="N1363" s="3" t="s">
        <v>902</v>
      </c>
      <c r="O1363" s="3" t="s">
        <v>100</v>
      </c>
      <c r="P1363" s="3" t="s">
        <v>6</v>
      </c>
      <c r="Q1363" s="3" t="s">
        <v>20</v>
      </c>
      <c r="R1363" s="3" t="s">
        <v>4</v>
      </c>
      <c r="S1363" s="3" t="s">
        <v>3</v>
      </c>
      <c r="T1363" s="3" t="s">
        <v>2</v>
      </c>
      <c r="U1363" s="3" t="s">
        <v>1</v>
      </c>
      <c r="V1363" s="3" t="s">
        <v>0</v>
      </c>
      <c r="W1363" s="2">
        <v>28</v>
      </c>
    </row>
    <row r="1364" spans="1:24" hidden="1" x14ac:dyDescent="0.25">
      <c r="A1364" s="8">
        <v>18959</v>
      </c>
      <c r="B1364" s="8" t="s">
        <v>901</v>
      </c>
      <c r="C1364" s="7" t="s">
        <v>900</v>
      </c>
      <c r="D1364" s="6" t="s">
        <v>15</v>
      </c>
      <c r="E1364" s="5" t="s">
        <v>899</v>
      </c>
      <c r="F1364" s="4">
        <v>42214</v>
      </c>
      <c r="G1364" s="4" t="s">
        <v>1</v>
      </c>
      <c r="H1364" s="4" t="s">
        <v>1</v>
      </c>
      <c r="I1364" s="3" t="s">
        <v>13</v>
      </c>
      <c r="J1364" s="3" t="s">
        <v>12</v>
      </c>
      <c r="K1364" s="3" t="s">
        <v>283</v>
      </c>
      <c r="L1364" s="3" t="s">
        <v>282</v>
      </c>
      <c r="M1364" s="3" t="s">
        <v>281</v>
      </c>
      <c r="N1364" s="3" t="s">
        <v>898</v>
      </c>
      <c r="O1364" s="3" t="s">
        <v>100</v>
      </c>
      <c r="P1364" s="3" t="s">
        <v>6</v>
      </c>
      <c r="Q1364" s="3" t="s">
        <v>20</v>
      </c>
      <c r="R1364" s="3" t="s">
        <v>4</v>
      </c>
      <c r="S1364" s="3" t="s">
        <v>3</v>
      </c>
      <c r="T1364" s="3" t="s">
        <v>2</v>
      </c>
      <c r="U1364" s="3" t="s">
        <v>1</v>
      </c>
      <c r="V1364" s="3" t="s">
        <v>0</v>
      </c>
      <c r="W1364" s="2">
        <v>27</v>
      </c>
    </row>
    <row r="1365" spans="1:24" hidden="1" x14ac:dyDescent="0.25">
      <c r="A1365" s="8">
        <v>10607</v>
      </c>
      <c r="B1365" s="8" t="s">
        <v>897</v>
      </c>
      <c r="C1365" s="19" t="s">
        <v>896</v>
      </c>
      <c r="D1365" s="6" t="s">
        <v>15</v>
      </c>
      <c r="E1365" s="5" t="s">
        <v>445</v>
      </c>
      <c r="F1365" s="4">
        <v>40544</v>
      </c>
      <c r="G1365" s="4" t="s">
        <v>1</v>
      </c>
      <c r="H1365" s="4" t="s">
        <v>1</v>
      </c>
      <c r="I1365" s="3" t="s">
        <v>13</v>
      </c>
      <c r="J1365" s="3" t="s">
        <v>34</v>
      </c>
      <c r="K1365" s="3" t="s">
        <v>33</v>
      </c>
      <c r="L1365" s="3" t="s">
        <v>33</v>
      </c>
      <c r="M1365" s="3" t="s">
        <v>625</v>
      </c>
      <c r="N1365" s="3" t="s">
        <v>846</v>
      </c>
      <c r="O1365" s="3" t="s">
        <v>837</v>
      </c>
      <c r="P1365" s="3" t="s">
        <v>30</v>
      </c>
      <c r="Q1365" s="3" t="s">
        <v>47</v>
      </c>
      <c r="R1365" s="3" t="s">
        <v>4</v>
      </c>
      <c r="S1365" s="3" t="s">
        <v>3</v>
      </c>
      <c r="T1365" s="3" t="s">
        <v>121</v>
      </c>
      <c r="U1365" s="3" t="s">
        <v>1</v>
      </c>
      <c r="V1365" s="3" t="s">
        <v>0</v>
      </c>
      <c r="W1365" s="2">
        <v>34</v>
      </c>
    </row>
    <row r="1366" spans="1:24" hidden="1" x14ac:dyDescent="0.25">
      <c r="A1366" s="8">
        <v>14141</v>
      </c>
      <c r="B1366" s="8" t="s">
        <v>895</v>
      </c>
      <c r="C1366" s="25" t="s">
        <v>894</v>
      </c>
      <c r="D1366" s="6" t="s">
        <v>15</v>
      </c>
      <c r="E1366" s="5" t="s">
        <v>893</v>
      </c>
      <c r="F1366" s="4">
        <v>41319</v>
      </c>
      <c r="G1366" s="4" t="s">
        <v>1</v>
      </c>
      <c r="H1366" s="4" t="s">
        <v>1</v>
      </c>
      <c r="I1366" s="3" t="s">
        <v>13</v>
      </c>
      <c r="J1366" s="3" t="s">
        <v>34</v>
      </c>
      <c r="K1366" s="3" t="s">
        <v>33</v>
      </c>
      <c r="L1366" s="3" t="s">
        <v>33</v>
      </c>
      <c r="M1366" s="3" t="s">
        <v>625</v>
      </c>
      <c r="N1366" s="3" t="s">
        <v>29</v>
      </c>
      <c r="O1366" s="3" t="s">
        <v>892</v>
      </c>
      <c r="P1366" s="3" t="s">
        <v>30</v>
      </c>
      <c r="Q1366" s="3" t="s">
        <v>47</v>
      </c>
      <c r="R1366" s="3" t="s">
        <v>4</v>
      </c>
      <c r="S1366" s="3" t="s">
        <v>3</v>
      </c>
      <c r="T1366" s="3" t="s">
        <v>29</v>
      </c>
      <c r="U1366" s="3" t="s">
        <v>1</v>
      </c>
      <c r="V1366" s="3" t="s">
        <v>18</v>
      </c>
      <c r="W1366" s="2">
        <v>35</v>
      </c>
    </row>
    <row r="1367" spans="1:24" hidden="1" x14ac:dyDescent="0.25">
      <c r="A1367" s="8">
        <v>19063</v>
      </c>
      <c r="B1367" s="8" t="s">
        <v>891</v>
      </c>
      <c r="C1367" s="7" t="s">
        <v>890</v>
      </c>
      <c r="D1367" s="6" t="s">
        <v>15</v>
      </c>
      <c r="E1367" s="5" t="s">
        <v>889</v>
      </c>
      <c r="F1367" s="4">
        <v>42226</v>
      </c>
      <c r="G1367" s="4" t="s">
        <v>1</v>
      </c>
      <c r="H1367" s="4" t="s">
        <v>1</v>
      </c>
      <c r="I1367" s="3" t="s">
        <v>13</v>
      </c>
      <c r="J1367" s="3" t="s">
        <v>12</v>
      </c>
      <c r="K1367" s="3" t="s">
        <v>262</v>
      </c>
      <c r="L1367" s="3" t="s">
        <v>261</v>
      </c>
      <c r="M1367" s="3" t="s">
        <v>329</v>
      </c>
      <c r="N1367" s="3" t="s">
        <v>487</v>
      </c>
      <c r="O1367" s="3" t="s">
        <v>258</v>
      </c>
      <c r="P1367" s="3" t="s">
        <v>6</v>
      </c>
      <c r="Q1367" s="3" t="s">
        <v>5</v>
      </c>
      <c r="R1367" s="3" t="s">
        <v>4</v>
      </c>
      <c r="S1367" s="3" t="s">
        <v>3</v>
      </c>
      <c r="T1367" s="3" t="s">
        <v>2</v>
      </c>
      <c r="U1367" s="3" t="s">
        <v>1</v>
      </c>
      <c r="V1367" s="3" t="s">
        <v>18</v>
      </c>
      <c r="W1367" s="2">
        <v>29</v>
      </c>
    </row>
    <row r="1368" spans="1:24" hidden="1" x14ac:dyDescent="0.25">
      <c r="A1368" s="8">
        <v>19080</v>
      </c>
      <c r="B1368" s="8" t="s">
        <v>888</v>
      </c>
      <c r="C1368" s="7" t="s">
        <v>887</v>
      </c>
      <c r="D1368" s="6" t="s">
        <v>15</v>
      </c>
      <c r="E1368" s="5" t="s">
        <v>871</v>
      </c>
      <c r="F1368" s="4">
        <v>42254</v>
      </c>
      <c r="G1368" s="4" t="s">
        <v>1</v>
      </c>
      <c r="H1368" s="4" t="s">
        <v>1</v>
      </c>
      <c r="I1368" s="3" t="s">
        <v>13</v>
      </c>
      <c r="J1368" s="3" t="s">
        <v>12</v>
      </c>
      <c r="K1368" s="3" t="s">
        <v>539</v>
      </c>
      <c r="L1368" s="3" t="s">
        <v>538</v>
      </c>
      <c r="M1368" s="3" t="s">
        <v>537</v>
      </c>
      <c r="N1368" s="3" t="s">
        <v>716</v>
      </c>
      <c r="O1368" s="3" t="s">
        <v>59</v>
      </c>
      <c r="P1368" s="3" t="s">
        <v>6</v>
      </c>
      <c r="Q1368" s="3" t="s">
        <v>5</v>
      </c>
      <c r="R1368" s="3" t="s">
        <v>4</v>
      </c>
      <c r="S1368" s="3" t="s">
        <v>3</v>
      </c>
      <c r="T1368" s="3" t="s">
        <v>2</v>
      </c>
      <c r="U1368" s="3" t="s">
        <v>1</v>
      </c>
      <c r="V1368" s="3" t="s">
        <v>0</v>
      </c>
      <c r="W1368" s="2">
        <v>31</v>
      </c>
    </row>
    <row r="1369" spans="1:24" hidden="1" x14ac:dyDescent="0.25">
      <c r="A1369" s="8">
        <v>19100</v>
      </c>
      <c r="B1369" s="8" t="s">
        <v>886</v>
      </c>
      <c r="C1369" s="7" t="s">
        <v>885</v>
      </c>
      <c r="D1369" s="6" t="s">
        <v>15</v>
      </c>
      <c r="E1369" s="5" t="s">
        <v>871</v>
      </c>
      <c r="F1369" s="4">
        <v>42254</v>
      </c>
      <c r="G1369" s="4" t="s">
        <v>1</v>
      </c>
      <c r="H1369" s="4" t="s">
        <v>1</v>
      </c>
      <c r="I1369" s="3" t="s">
        <v>13</v>
      </c>
      <c r="J1369" s="3" t="s">
        <v>133</v>
      </c>
      <c r="K1369" s="3" t="s">
        <v>11</v>
      </c>
      <c r="L1369" s="3" t="s">
        <v>10</v>
      </c>
      <c r="M1369" s="3" t="s">
        <v>290</v>
      </c>
      <c r="N1369" s="3" t="s">
        <v>198</v>
      </c>
      <c r="O1369" s="3" t="s">
        <v>184</v>
      </c>
      <c r="P1369" s="3" t="s">
        <v>6</v>
      </c>
      <c r="Q1369" s="3" t="s">
        <v>20</v>
      </c>
      <c r="R1369" s="3" t="s">
        <v>4</v>
      </c>
      <c r="S1369" s="3" t="s">
        <v>3</v>
      </c>
      <c r="T1369" s="3" t="s">
        <v>2</v>
      </c>
      <c r="U1369" s="3" t="s">
        <v>1</v>
      </c>
      <c r="V1369" s="3" t="s">
        <v>0</v>
      </c>
      <c r="W1369" s="2">
        <v>28</v>
      </c>
    </row>
    <row r="1370" spans="1:24" hidden="1" x14ac:dyDescent="0.25">
      <c r="A1370" s="8">
        <v>19108</v>
      </c>
      <c r="B1370" s="8" t="s">
        <v>884</v>
      </c>
      <c r="C1370" s="7" t="s">
        <v>883</v>
      </c>
      <c r="D1370" s="6" t="s">
        <v>15</v>
      </c>
      <c r="E1370" s="5" t="s">
        <v>871</v>
      </c>
      <c r="F1370" s="4">
        <v>42254</v>
      </c>
      <c r="G1370" s="4" t="s">
        <v>1</v>
      </c>
      <c r="H1370" s="4" t="s">
        <v>1</v>
      </c>
      <c r="I1370" s="3" t="s">
        <v>13</v>
      </c>
      <c r="J1370" s="3" t="s">
        <v>133</v>
      </c>
      <c r="K1370" s="3" t="s">
        <v>212</v>
      </c>
      <c r="L1370" s="3" t="s">
        <v>211</v>
      </c>
      <c r="M1370" s="3" t="s">
        <v>210</v>
      </c>
      <c r="N1370" s="3" t="s">
        <v>882</v>
      </c>
      <c r="O1370" s="3" t="s">
        <v>128</v>
      </c>
      <c r="P1370" s="3" t="s">
        <v>6</v>
      </c>
      <c r="Q1370" s="3" t="s">
        <v>5</v>
      </c>
      <c r="R1370" s="3" t="s">
        <v>4</v>
      </c>
      <c r="S1370" s="3" t="s">
        <v>3</v>
      </c>
      <c r="T1370" s="3" t="s">
        <v>2</v>
      </c>
      <c r="U1370" s="3" t="s">
        <v>1</v>
      </c>
      <c r="V1370" s="3" t="s">
        <v>0</v>
      </c>
      <c r="W1370" s="2">
        <v>27</v>
      </c>
    </row>
    <row r="1371" spans="1:24" hidden="1" x14ac:dyDescent="0.25">
      <c r="A1371" s="8">
        <v>19137</v>
      </c>
      <c r="B1371" s="8" t="s">
        <v>881</v>
      </c>
      <c r="C1371" s="7" t="s">
        <v>880</v>
      </c>
      <c r="D1371" s="6" t="s">
        <v>15</v>
      </c>
      <c r="E1371" s="5" t="s">
        <v>871</v>
      </c>
      <c r="F1371" s="4">
        <v>42254</v>
      </c>
      <c r="G1371" s="4" t="s">
        <v>1</v>
      </c>
      <c r="H1371" s="4" t="s">
        <v>1</v>
      </c>
      <c r="I1371" s="3" t="s">
        <v>13</v>
      </c>
      <c r="J1371" s="3" t="s">
        <v>133</v>
      </c>
      <c r="K1371" s="3" t="s">
        <v>879</v>
      </c>
      <c r="L1371" s="3" t="s">
        <v>879</v>
      </c>
      <c r="M1371" s="3" t="s">
        <v>878</v>
      </c>
      <c r="N1371" s="3" t="s">
        <v>877</v>
      </c>
      <c r="O1371" s="3" t="s">
        <v>184</v>
      </c>
      <c r="P1371" s="3" t="s">
        <v>6</v>
      </c>
      <c r="Q1371" s="3" t="s">
        <v>20</v>
      </c>
      <c r="R1371" s="3" t="s">
        <v>4</v>
      </c>
      <c r="S1371" s="3" t="s">
        <v>3</v>
      </c>
      <c r="T1371" s="3" t="s">
        <v>2</v>
      </c>
      <c r="U1371" s="3" t="s">
        <v>1</v>
      </c>
      <c r="V1371" s="3" t="s">
        <v>18</v>
      </c>
      <c r="W1371" s="2">
        <v>32</v>
      </c>
    </row>
    <row r="1372" spans="1:24" hidden="1" x14ac:dyDescent="0.25">
      <c r="A1372" s="8">
        <v>19433</v>
      </c>
      <c r="B1372" s="8" t="s">
        <v>876</v>
      </c>
      <c r="C1372" s="25" t="s">
        <v>875</v>
      </c>
      <c r="D1372" s="6" t="s">
        <v>15</v>
      </c>
      <c r="E1372" s="5" t="s">
        <v>874</v>
      </c>
      <c r="F1372" s="4">
        <v>42303</v>
      </c>
      <c r="G1372" s="4" t="s">
        <v>1</v>
      </c>
      <c r="H1372" s="4" t="s">
        <v>1</v>
      </c>
      <c r="I1372" s="3" t="s">
        <v>13</v>
      </c>
      <c r="J1372" s="3" t="s">
        <v>34</v>
      </c>
      <c r="K1372" s="3" t="s">
        <v>33</v>
      </c>
      <c r="L1372" s="3" t="s">
        <v>33</v>
      </c>
      <c r="M1372" s="3" t="s">
        <v>625</v>
      </c>
      <c r="N1372" s="3" t="s">
        <v>846</v>
      </c>
      <c r="O1372" s="3" t="s">
        <v>837</v>
      </c>
      <c r="P1372" s="3" t="s">
        <v>30</v>
      </c>
      <c r="Q1372" s="3" t="s">
        <v>47</v>
      </c>
      <c r="R1372" s="3" t="s">
        <v>4</v>
      </c>
      <c r="S1372" s="3" t="s">
        <v>3</v>
      </c>
      <c r="T1372" s="3" t="s">
        <v>88</v>
      </c>
      <c r="U1372" s="3" t="s">
        <v>1</v>
      </c>
      <c r="V1372" s="3" t="s">
        <v>18</v>
      </c>
      <c r="W1372" s="2">
        <v>32</v>
      </c>
    </row>
    <row r="1373" spans="1:24" hidden="1" x14ac:dyDescent="0.25">
      <c r="A1373" s="8">
        <v>19160</v>
      </c>
      <c r="B1373" s="8" t="s">
        <v>873</v>
      </c>
      <c r="C1373" s="7" t="s">
        <v>872</v>
      </c>
      <c r="D1373" s="6" t="s">
        <v>15</v>
      </c>
      <c r="E1373" s="5" t="s">
        <v>871</v>
      </c>
      <c r="F1373" s="4">
        <v>42254</v>
      </c>
      <c r="G1373" s="4" t="s">
        <v>1</v>
      </c>
      <c r="H1373" s="4" t="s">
        <v>1</v>
      </c>
      <c r="I1373" s="3" t="s">
        <v>13</v>
      </c>
      <c r="J1373" s="3" t="s">
        <v>12</v>
      </c>
      <c r="K1373" s="3" t="s">
        <v>262</v>
      </c>
      <c r="L1373" s="3" t="s">
        <v>261</v>
      </c>
      <c r="M1373" s="3" t="s">
        <v>260</v>
      </c>
      <c r="N1373" s="3" t="s">
        <v>870</v>
      </c>
      <c r="O1373" s="3" t="s">
        <v>21</v>
      </c>
      <c r="P1373" s="3" t="s">
        <v>6</v>
      </c>
      <c r="Q1373" s="3" t="s">
        <v>20</v>
      </c>
      <c r="R1373" s="3" t="s">
        <v>4</v>
      </c>
      <c r="S1373" s="3" t="s">
        <v>3</v>
      </c>
      <c r="T1373" s="3" t="s">
        <v>2</v>
      </c>
      <c r="U1373" s="3" t="s">
        <v>1</v>
      </c>
      <c r="V1373" s="3" t="s">
        <v>0</v>
      </c>
      <c r="W1373" s="2">
        <v>28</v>
      </c>
    </row>
    <row r="1374" spans="1:24" s="9" customFormat="1" hidden="1" x14ac:dyDescent="0.25">
      <c r="A1374" s="41">
        <v>19208</v>
      </c>
      <c r="B1374" s="17" t="s">
        <v>869</v>
      </c>
      <c r="C1374" s="16" t="s">
        <v>868</v>
      </c>
      <c r="D1374" s="15" t="s">
        <v>15</v>
      </c>
      <c r="E1374" s="14" t="s">
        <v>867</v>
      </c>
      <c r="F1374" s="13">
        <v>42254</v>
      </c>
      <c r="G1374" s="13" t="s">
        <v>1</v>
      </c>
      <c r="H1374" s="13" t="s">
        <v>1</v>
      </c>
      <c r="I1374" s="22" t="s">
        <v>93</v>
      </c>
      <c r="J1374" s="14" t="s">
        <v>866</v>
      </c>
      <c r="K1374" s="14" t="s">
        <v>33</v>
      </c>
      <c r="L1374" s="14" t="s">
        <v>33</v>
      </c>
      <c r="M1374" s="14" t="s">
        <v>866</v>
      </c>
      <c r="N1374" s="14" t="s">
        <v>865</v>
      </c>
      <c r="O1374" s="14" t="s">
        <v>368</v>
      </c>
      <c r="P1374" s="14" t="s">
        <v>30</v>
      </c>
      <c r="Q1374" s="14" t="s">
        <v>47</v>
      </c>
      <c r="R1374" s="12" t="s">
        <v>4</v>
      </c>
      <c r="S1374" s="12" t="s">
        <v>3</v>
      </c>
      <c r="T1374" s="12" t="s">
        <v>346</v>
      </c>
      <c r="U1374" s="12" t="s">
        <v>1</v>
      </c>
      <c r="V1374" s="12" t="s">
        <v>18</v>
      </c>
      <c r="W1374" s="11">
        <v>31</v>
      </c>
      <c r="X1374" s="10"/>
    </row>
    <row r="1375" spans="1:24" hidden="1" x14ac:dyDescent="0.25">
      <c r="A1375" s="8">
        <v>19241</v>
      </c>
      <c r="B1375" s="8" t="s">
        <v>864</v>
      </c>
      <c r="C1375" s="7" t="s">
        <v>863</v>
      </c>
      <c r="D1375" s="6" t="s">
        <v>15</v>
      </c>
      <c r="E1375" s="5" t="s">
        <v>856</v>
      </c>
      <c r="F1375" s="4">
        <v>42262</v>
      </c>
      <c r="G1375" s="4" t="s">
        <v>1</v>
      </c>
      <c r="H1375" s="4" t="s">
        <v>1</v>
      </c>
      <c r="I1375" s="5" t="s">
        <v>50</v>
      </c>
      <c r="J1375" s="5" t="s">
        <v>49</v>
      </c>
      <c r="K1375" s="5" t="s">
        <v>33</v>
      </c>
      <c r="L1375" s="5" t="s">
        <v>33</v>
      </c>
      <c r="M1375" s="5" t="s">
        <v>49</v>
      </c>
      <c r="N1375" s="5" t="s">
        <v>49</v>
      </c>
      <c r="O1375" s="5" t="s">
        <v>48</v>
      </c>
      <c r="P1375" s="5" t="s">
        <v>72</v>
      </c>
      <c r="Q1375" s="5" t="s">
        <v>47</v>
      </c>
      <c r="R1375" s="3" t="s">
        <v>4</v>
      </c>
      <c r="S1375" s="3" t="s">
        <v>3</v>
      </c>
      <c r="T1375" s="3" t="s">
        <v>2</v>
      </c>
      <c r="U1375" s="3" t="s">
        <v>1</v>
      </c>
      <c r="V1375" s="3" t="s">
        <v>18</v>
      </c>
      <c r="W1375" s="2">
        <v>30</v>
      </c>
      <c r="X1375" s="20"/>
    </row>
    <row r="1376" spans="1:24" hidden="1" x14ac:dyDescent="0.25">
      <c r="A1376" s="33">
        <v>19243</v>
      </c>
      <c r="B1376" s="8" t="s">
        <v>862</v>
      </c>
      <c r="C1376" s="32" t="s">
        <v>861</v>
      </c>
      <c r="D1376" s="6" t="s">
        <v>15</v>
      </c>
      <c r="E1376" s="31" t="s">
        <v>856</v>
      </c>
      <c r="F1376" s="30">
        <v>42262</v>
      </c>
      <c r="G1376" s="4" t="s">
        <v>1</v>
      </c>
      <c r="H1376" s="4" t="s">
        <v>1</v>
      </c>
      <c r="I1376" s="18" t="s">
        <v>50</v>
      </c>
      <c r="J1376" s="5" t="s">
        <v>75</v>
      </c>
      <c r="K1376" s="5" t="s">
        <v>33</v>
      </c>
      <c r="L1376" s="5" t="s">
        <v>33</v>
      </c>
      <c r="M1376" s="18" t="s">
        <v>75</v>
      </c>
      <c r="N1376" s="21" t="s">
        <v>74</v>
      </c>
      <c r="O1376" s="5" t="s">
        <v>73</v>
      </c>
      <c r="P1376" s="5" t="s">
        <v>6</v>
      </c>
      <c r="Q1376" s="5" t="s">
        <v>47</v>
      </c>
      <c r="R1376" s="3" t="s">
        <v>4</v>
      </c>
      <c r="S1376" s="3" t="s">
        <v>3</v>
      </c>
      <c r="T1376" s="3" t="s">
        <v>2</v>
      </c>
      <c r="U1376" s="3" t="s">
        <v>1</v>
      </c>
      <c r="V1376" s="3" t="s">
        <v>18</v>
      </c>
      <c r="W1376" s="2">
        <v>27</v>
      </c>
    </row>
    <row r="1377" spans="1:24" s="9" customFormat="1" hidden="1" x14ac:dyDescent="0.25">
      <c r="A1377" s="40">
        <v>19255</v>
      </c>
      <c r="B1377" s="17" t="s">
        <v>860</v>
      </c>
      <c r="C1377" s="39" t="s">
        <v>859</v>
      </c>
      <c r="D1377" s="15" t="s">
        <v>15</v>
      </c>
      <c r="E1377" s="38" t="s">
        <v>856</v>
      </c>
      <c r="F1377" s="37">
        <v>42262</v>
      </c>
      <c r="G1377" s="13" t="s">
        <v>1</v>
      </c>
      <c r="H1377" s="13" t="s">
        <v>1</v>
      </c>
      <c r="I1377" s="22" t="s">
        <v>50</v>
      </c>
      <c r="J1377" s="14" t="s">
        <v>75</v>
      </c>
      <c r="K1377" s="14" t="s">
        <v>33</v>
      </c>
      <c r="L1377" s="14" t="s">
        <v>33</v>
      </c>
      <c r="M1377" s="22" t="s">
        <v>75</v>
      </c>
      <c r="N1377" s="34" t="s">
        <v>74</v>
      </c>
      <c r="O1377" s="14" t="s">
        <v>73</v>
      </c>
      <c r="P1377" s="14" t="s">
        <v>72</v>
      </c>
      <c r="Q1377" s="14" t="s">
        <v>47</v>
      </c>
      <c r="R1377" s="12" t="s">
        <v>4</v>
      </c>
      <c r="S1377" s="12" t="s">
        <v>3</v>
      </c>
      <c r="T1377" s="12" t="s">
        <v>2</v>
      </c>
      <c r="U1377" s="12" t="s">
        <v>1</v>
      </c>
      <c r="V1377" s="12" t="s">
        <v>18</v>
      </c>
      <c r="W1377" s="11">
        <v>29</v>
      </c>
      <c r="X1377" s="10"/>
    </row>
    <row r="1378" spans="1:24" hidden="1" x14ac:dyDescent="0.25">
      <c r="A1378" s="33">
        <v>19259</v>
      </c>
      <c r="B1378" s="8" t="s">
        <v>858</v>
      </c>
      <c r="C1378" s="32" t="s">
        <v>857</v>
      </c>
      <c r="D1378" s="6" t="s">
        <v>15</v>
      </c>
      <c r="E1378" s="31" t="s">
        <v>856</v>
      </c>
      <c r="F1378" s="30">
        <v>42262</v>
      </c>
      <c r="G1378" s="4" t="s">
        <v>1</v>
      </c>
      <c r="H1378" s="4" t="s">
        <v>1</v>
      </c>
      <c r="I1378" s="18" t="s">
        <v>50</v>
      </c>
      <c r="J1378" s="5" t="s">
        <v>75</v>
      </c>
      <c r="K1378" s="5" t="s">
        <v>33</v>
      </c>
      <c r="L1378" s="5" t="s">
        <v>33</v>
      </c>
      <c r="M1378" s="18" t="s">
        <v>75</v>
      </c>
      <c r="N1378" s="21" t="s">
        <v>74</v>
      </c>
      <c r="O1378" s="5" t="s">
        <v>73</v>
      </c>
      <c r="P1378" s="5" t="s">
        <v>72</v>
      </c>
      <c r="Q1378" s="5" t="s">
        <v>47</v>
      </c>
      <c r="R1378" s="3" t="s">
        <v>4</v>
      </c>
      <c r="S1378" s="3" t="s">
        <v>3</v>
      </c>
      <c r="T1378" s="3" t="s">
        <v>2</v>
      </c>
      <c r="U1378" s="3" t="s">
        <v>1</v>
      </c>
      <c r="V1378" s="3" t="s">
        <v>18</v>
      </c>
      <c r="W1378" s="2">
        <v>27</v>
      </c>
      <c r="X1378" s="20"/>
    </row>
    <row r="1379" spans="1:24" hidden="1" x14ac:dyDescent="0.25">
      <c r="A1379" s="8">
        <v>19287</v>
      </c>
      <c r="B1379" s="8" t="s">
        <v>855</v>
      </c>
      <c r="C1379" s="7" t="s">
        <v>854</v>
      </c>
      <c r="D1379" s="6" t="s">
        <v>15</v>
      </c>
      <c r="E1379" s="5" t="s">
        <v>853</v>
      </c>
      <c r="F1379" s="4">
        <v>42282</v>
      </c>
      <c r="G1379" s="4" t="s">
        <v>1</v>
      </c>
      <c r="H1379" s="4" t="s">
        <v>1</v>
      </c>
      <c r="I1379" s="3" t="s">
        <v>145</v>
      </c>
      <c r="J1379" s="3" t="s">
        <v>12</v>
      </c>
      <c r="K1379" s="3" t="s">
        <v>63</v>
      </c>
      <c r="L1379" s="3" t="s">
        <v>174</v>
      </c>
      <c r="M1379" s="3" t="s">
        <v>80</v>
      </c>
      <c r="N1379" s="3" t="s">
        <v>172</v>
      </c>
      <c r="O1379" s="3" t="s">
        <v>171</v>
      </c>
      <c r="P1379" s="3" t="s">
        <v>72</v>
      </c>
      <c r="Q1379" s="3" t="s">
        <v>20</v>
      </c>
      <c r="R1379" s="3" t="s">
        <v>4</v>
      </c>
      <c r="S1379" s="3" t="s">
        <v>3</v>
      </c>
      <c r="T1379" s="3" t="s">
        <v>2</v>
      </c>
      <c r="U1379" s="3" t="s">
        <v>1</v>
      </c>
      <c r="V1379" s="3" t="s">
        <v>0</v>
      </c>
      <c r="W1379" s="2">
        <v>28</v>
      </c>
    </row>
    <row r="1380" spans="1:24" hidden="1" x14ac:dyDescent="0.25">
      <c r="A1380" s="36">
        <v>20694</v>
      </c>
      <c r="B1380" s="8" t="s">
        <v>852</v>
      </c>
      <c r="C1380" s="7" t="s">
        <v>851</v>
      </c>
      <c r="D1380" s="6" t="s">
        <v>15</v>
      </c>
      <c r="E1380" s="5" t="s">
        <v>850</v>
      </c>
      <c r="F1380" s="4">
        <v>42642</v>
      </c>
      <c r="G1380" s="4" t="s">
        <v>1</v>
      </c>
      <c r="H1380" s="4" t="s">
        <v>1</v>
      </c>
      <c r="I1380" s="3" t="s">
        <v>13</v>
      </c>
      <c r="J1380" s="3" t="s">
        <v>34</v>
      </c>
      <c r="K1380" s="3" t="s">
        <v>33</v>
      </c>
      <c r="L1380" s="3" t="s">
        <v>33</v>
      </c>
      <c r="M1380" s="3" t="s">
        <v>625</v>
      </c>
      <c r="N1380" s="3" t="s">
        <v>838</v>
      </c>
      <c r="O1380" s="3" t="s">
        <v>837</v>
      </c>
      <c r="P1380" s="3" t="s">
        <v>30</v>
      </c>
      <c r="Q1380" s="3" t="s">
        <v>47</v>
      </c>
      <c r="R1380" s="3" t="s">
        <v>4</v>
      </c>
      <c r="S1380" s="3" t="s">
        <v>3</v>
      </c>
      <c r="T1380" s="3" t="s">
        <v>121</v>
      </c>
      <c r="U1380" s="3" t="s">
        <v>1</v>
      </c>
      <c r="V1380" s="3" t="s">
        <v>18</v>
      </c>
      <c r="W1380" s="2">
        <v>27</v>
      </c>
    </row>
    <row r="1381" spans="1:24" hidden="1" x14ac:dyDescent="0.25">
      <c r="A1381" s="8">
        <v>21935</v>
      </c>
      <c r="B1381" s="8" t="s">
        <v>849</v>
      </c>
      <c r="C1381" s="7" t="s">
        <v>848</v>
      </c>
      <c r="D1381" s="6" t="s">
        <v>15</v>
      </c>
      <c r="E1381" s="5" t="s">
        <v>847</v>
      </c>
      <c r="F1381" s="4">
        <v>43111</v>
      </c>
      <c r="G1381" s="4" t="s">
        <v>1</v>
      </c>
      <c r="H1381" s="4" t="s">
        <v>1</v>
      </c>
      <c r="I1381" s="3" t="s">
        <v>13</v>
      </c>
      <c r="J1381" s="3" t="s">
        <v>34</v>
      </c>
      <c r="K1381" s="3" t="s">
        <v>33</v>
      </c>
      <c r="L1381" s="3" t="s">
        <v>33</v>
      </c>
      <c r="M1381" s="3" t="s">
        <v>625</v>
      </c>
      <c r="N1381" s="3" t="s">
        <v>846</v>
      </c>
      <c r="O1381" s="3" t="s">
        <v>837</v>
      </c>
      <c r="P1381" s="3" t="s">
        <v>30</v>
      </c>
      <c r="Q1381" s="3" t="s">
        <v>47</v>
      </c>
      <c r="R1381" s="3" t="s">
        <v>4</v>
      </c>
      <c r="S1381" s="3" t="s">
        <v>3</v>
      </c>
      <c r="T1381" s="3" t="s">
        <v>2</v>
      </c>
      <c r="U1381" s="3" t="s">
        <v>463</v>
      </c>
      <c r="V1381" s="3" t="s">
        <v>0</v>
      </c>
      <c r="W1381" s="2">
        <v>26</v>
      </c>
    </row>
    <row r="1382" spans="1:24" hidden="1" x14ac:dyDescent="0.25">
      <c r="A1382" s="8">
        <v>19430</v>
      </c>
      <c r="B1382" s="8" t="s">
        <v>845</v>
      </c>
      <c r="C1382" s="7" t="s">
        <v>844</v>
      </c>
      <c r="D1382" s="6" t="s">
        <v>15</v>
      </c>
      <c r="E1382" s="5" t="s">
        <v>843</v>
      </c>
      <c r="F1382" s="4">
        <v>42296</v>
      </c>
      <c r="G1382" s="4" t="s">
        <v>1</v>
      </c>
      <c r="H1382" s="4" t="s">
        <v>1</v>
      </c>
      <c r="I1382" s="3" t="s">
        <v>13</v>
      </c>
      <c r="J1382" s="3" t="s">
        <v>12</v>
      </c>
      <c r="K1382" s="3" t="s">
        <v>283</v>
      </c>
      <c r="L1382" s="3" t="s">
        <v>282</v>
      </c>
      <c r="M1382" s="3" t="s">
        <v>281</v>
      </c>
      <c r="N1382" s="3" t="s">
        <v>842</v>
      </c>
      <c r="O1382" s="3" t="s">
        <v>100</v>
      </c>
      <c r="P1382" s="3" t="s">
        <v>6</v>
      </c>
      <c r="Q1382" s="3" t="s">
        <v>20</v>
      </c>
      <c r="R1382" s="3" t="s">
        <v>4</v>
      </c>
      <c r="S1382" s="3" t="s">
        <v>3</v>
      </c>
      <c r="T1382" s="3" t="s">
        <v>2</v>
      </c>
      <c r="U1382" s="3" t="s">
        <v>1</v>
      </c>
      <c r="V1382" s="3" t="s">
        <v>18</v>
      </c>
      <c r="W1382" s="2">
        <v>32</v>
      </c>
    </row>
    <row r="1383" spans="1:24" hidden="1" x14ac:dyDescent="0.25">
      <c r="A1383" s="8">
        <v>21987</v>
      </c>
      <c r="B1383" s="8" t="s">
        <v>841</v>
      </c>
      <c r="C1383" s="19" t="s">
        <v>840</v>
      </c>
      <c r="D1383" s="6" t="s">
        <v>15</v>
      </c>
      <c r="E1383" s="5" t="s">
        <v>839</v>
      </c>
      <c r="F1383" s="4">
        <v>43139</v>
      </c>
      <c r="G1383" s="4" t="s">
        <v>1</v>
      </c>
      <c r="H1383" s="4" t="s">
        <v>1</v>
      </c>
      <c r="I1383" s="3" t="s">
        <v>13</v>
      </c>
      <c r="J1383" s="3" t="s">
        <v>34</v>
      </c>
      <c r="K1383" s="3" t="s">
        <v>33</v>
      </c>
      <c r="L1383" s="3" t="s">
        <v>33</v>
      </c>
      <c r="M1383" s="3" t="s">
        <v>625</v>
      </c>
      <c r="N1383" s="3" t="s">
        <v>838</v>
      </c>
      <c r="O1383" s="3" t="s">
        <v>837</v>
      </c>
      <c r="P1383" s="3" t="s">
        <v>30</v>
      </c>
      <c r="Q1383" s="3" t="s">
        <v>47</v>
      </c>
      <c r="R1383" s="3" t="s">
        <v>4</v>
      </c>
      <c r="S1383" s="3" t="s">
        <v>3</v>
      </c>
      <c r="T1383" s="3" t="s">
        <v>2</v>
      </c>
      <c r="U1383" s="3" t="s">
        <v>1</v>
      </c>
      <c r="V1383" s="3" t="s">
        <v>0</v>
      </c>
      <c r="W1383" s="2">
        <v>25</v>
      </c>
    </row>
    <row r="1384" spans="1:24" s="78" customFormat="1" hidden="1" x14ac:dyDescent="0.25">
      <c r="A1384" s="73">
        <v>19437</v>
      </c>
      <c r="B1384" s="73" t="s">
        <v>836</v>
      </c>
      <c r="C1384" s="104" t="s">
        <v>835</v>
      </c>
      <c r="D1384" s="88" t="s">
        <v>15</v>
      </c>
      <c r="E1384" s="89" t="s">
        <v>827</v>
      </c>
      <c r="F1384" s="90">
        <v>42303</v>
      </c>
      <c r="G1384" s="90" t="s">
        <v>1</v>
      </c>
      <c r="H1384" s="90" t="s">
        <v>1</v>
      </c>
      <c r="I1384" s="91" t="s">
        <v>93</v>
      </c>
      <c r="J1384" s="89" t="s">
        <v>834</v>
      </c>
      <c r="K1384" s="92" t="s">
        <v>33</v>
      </c>
      <c r="L1384" s="92" t="s">
        <v>33</v>
      </c>
      <c r="M1384" s="89" t="s">
        <v>834</v>
      </c>
      <c r="N1384" s="89" t="s">
        <v>833</v>
      </c>
      <c r="O1384" s="89" t="s">
        <v>832</v>
      </c>
      <c r="P1384" s="89" t="s">
        <v>72</v>
      </c>
      <c r="Q1384" s="89" t="s">
        <v>47</v>
      </c>
      <c r="R1384" s="92" t="s">
        <v>4</v>
      </c>
      <c r="S1384" s="92" t="s">
        <v>3</v>
      </c>
      <c r="T1384" s="92" t="s">
        <v>2</v>
      </c>
      <c r="U1384" s="92" t="s">
        <v>1</v>
      </c>
      <c r="V1384" s="92" t="s">
        <v>18</v>
      </c>
      <c r="W1384" s="93">
        <v>30</v>
      </c>
    </row>
    <row r="1385" spans="1:24" hidden="1" x14ac:dyDescent="0.25">
      <c r="A1385" s="33">
        <v>19438</v>
      </c>
      <c r="B1385" s="8" t="s">
        <v>831</v>
      </c>
      <c r="C1385" s="32" t="s">
        <v>830</v>
      </c>
      <c r="D1385" s="6" t="s">
        <v>15</v>
      </c>
      <c r="E1385" s="31" t="s">
        <v>827</v>
      </c>
      <c r="F1385" s="30">
        <v>42303</v>
      </c>
      <c r="G1385" s="4" t="s">
        <v>1</v>
      </c>
      <c r="H1385" s="4" t="s">
        <v>1</v>
      </c>
      <c r="I1385" s="18" t="s">
        <v>50</v>
      </c>
      <c r="J1385" s="5" t="s">
        <v>75</v>
      </c>
      <c r="K1385" s="5" t="s">
        <v>33</v>
      </c>
      <c r="L1385" s="5" t="s">
        <v>33</v>
      </c>
      <c r="M1385" s="18" t="s">
        <v>75</v>
      </c>
      <c r="N1385" s="21" t="s">
        <v>74</v>
      </c>
      <c r="O1385" s="5" t="s">
        <v>73</v>
      </c>
      <c r="P1385" s="5" t="s">
        <v>6</v>
      </c>
      <c r="Q1385" s="5" t="s">
        <v>47</v>
      </c>
      <c r="R1385" s="3" t="s">
        <v>4</v>
      </c>
      <c r="S1385" s="3" t="s">
        <v>3</v>
      </c>
      <c r="T1385" s="3" t="s">
        <v>2</v>
      </c>
      <c r="U1385" s="3" t="s">
        <v>1</v>
      </c>
      <c r="V1385" s="3" t="s">
        <v>18</v>
      </c>
      <c r="W1385" s="2">
        <v>28</v>
      </c>
    </row>
    <row r="1386" spans="1:24" hidden="1" x14ac:dyDescent="0.25">
      <c r="A1386" s="33">
        <v>19443</v>
      </c>
      <c r="B1386" s="8" t="s">
        <v>829</v>
      </c>
      <c r="C1386" s="32" t="s">
        <v>828</v>
      </c>
      <c r="D1386" s="6" t="s">
        <v>15</v>
      </c>
      <c r="E1386" s="31" t="s">
        <v>827</v>
      </c>
      <c r="F1386" s="30">
        <v>42303</v>
      </c>
      <c r="G1386" s="4" t="s">
        <v>1</v>
      </c>
      <c r="H1386" s="4" t="s">
        <v>1</v>
      </c>
      <c r="I1386" s="18" t="s">
        <v>50</v>
      </c>
      <c r="J1386" s="5" t="s">
        <v>75</v>
      </c>
      <c r="K1386" s="5" t="s">
        <v>33</v>
      </c>
      <c r="L1386" s="5" t="s">
        <v>33</v>
      </c>
      <c r="M1386" s="18" t="s">
        <v>75</v>
      </c>
      <c r="N1386" s="21" t="s">
        <v>74</v>
      </c>
      <c r="O1386" s="5" t="s">
        <v>73</v>
      </c>
      <c r="P1386" s="5" t="s">
        <v>6</v>
      </c>
      <c r="Q1386" s="5" t="s">
        <v>47</v>
      </c>
      <c r="R1386" s="3" t="s">
        <v>4</v>
      </c>
      <c r="S1386" s="3" t="s">
        <v>3</v>
      </c>
      <c r="T1386" s="3" t="s">
        <v>2</v>
      </c>
      <c r="U1386" s="3" t="s">
        <v>1</v>
      </c>
      <c r="V1386" s="3" t="s">
        <v>18</v>
      </c>
      <c r="W1386" s="2">
        <v>27</v>
      </c>
    </row>
    <row r="1387" spans="1:24" hidden="1" x14ac:dyDescent="0.25">
      <c r="A1387" s="36">
        <v>19444</v>
      </c>
      <c r="B1387" s="8" t="s">
        <v>826</v>
      </c>
      <c r="C1387" s="7" t="s">
        <v>825</v>
      </c>
      <c r="D1387" s="6" t="s">
        <v>15</v>
      </c>
      <c r="E1387" s="5" t="s">
        <v>824</v>
      </c>
      <c r="F1387" s="4">
        <v>42310</v>
      </c>
      <c r="G1387" s="4" t="s">
        <v>1</v>
      </c>
      <c r="H1387" s="4" t="s">
        <v>1</v>
      </c>
      <c r="I1387" s="18" t="s">
        <v>93</v>
      </c>
      <c r="J1387" s="5" t="s">
        <v>466</v>
      </c>
      <c r="K1387" s="5" t="s">
        <v>33</v>
      </c>
      <c r="L1387" s="5" t="s">
        <v>33</v>
      </c>
      <c r="M1387" s="5" t="s">
        <v>466</v>
      </c>
      <c r="N1387" s="3" t="s">
        <v>823</v>
      </c>
      <c r="O1387" s="5" t="s">
        <v>368</v>
      </c>
      <c r="P1387" s="3" t="s">
        <v>30</v>
      </c>
      <c r="Q1387" s="3" t="s">
        <v>47</v>
      </c>
      <c r="R1387" s="3" t="s">
        <v>4</v>
      </c>
      <c r="S1387" s="3" t="s">
        <v>3</v>
      </c>
      <c r="T1387" s="3" t="s">
        <v>346</v>
      </c>
      <c r="U1387" s="3" t="s">
        <v>1</v>
      </c>
      <c r="V1387" s="3" t="s">
        <v>0</v>
      </c>
      <c r="W1387" s="2">
        <v>31</v>
      </c>
    </row>
    <row r="1388" spans="1:24" hidden="1" x14ac:dyDescent="0.25">
      <c r="A1388" s="36">
        <v>19446</v>
      </c>
      <c r="B1388" s="8" t="s">
        <v>822</v>
      </c>
      <c r="C1388" s="7" t="s">
        <v>821</v>
      </c>
      <c r="D1388" s="6" t="s">
        <v>15</v>
      </c>
      <c r="E1388" s="5" t="s">
        <v>820</v>
      </c>
      <c r="F1388" s="4">
        <v>42310</v>
      </c>
      <c r="G1388" s="4" t="s">
        <v>1</v>
      </c>
      <c r="H1388" s="4" t="s">
        <v>1</v>
      </c>
      <c r="I1388" s="5" t="s">
        <v>100</v>
      </c>
      <c r="J1388" s="5" t="s">
        <v>738</v>
      </c>
      <c r="K1388" s="5" t="s">
        <v>33</v>
      </c>
      <c r="L1388" s="5" t="s">
        <v>33</v>
      </c>
      <c r="M1388" s="5" t="s">
        <v>739</v>
      </c>
      <c r="N1388" s="5" t="s">
        <v>738</v>
      </c>
      <c r="O1388" s="5" t="s">
        <v>122</v>
      </c>
      <c r="P1388" s="5" t="s">
        <v>30</v>
      </c>
      <c r="Q1388" s="5" t="s">
        <v>121</v>
      </c>
      <c r="R1388" s="3" t="s">
        <v>4</v>
      </c>
      <c r="S1388" s="3" t="s">
        <v>3</v>
      </c>
      <c r="T1388" s="3" t="s">
        <v>2</v>
      </c>
      <c r="U1388" s="3" t="s">
        <v>1</v>
      </c>
      <c r="V1388" s="3" t="s">
        <v>0</v>
      </c>
      <c r="W1388" s="2">
        <v>26</v>
      </c>
    </row>
    <row r="1389" spans="1:24" hidden="1" x14ac:dyDescent="0.25">
      <c r="A1389" s="8">
        <v>19454</v>
      </c>
      <c r="B1389" s="8" t="s">
        <v>819</v>
      </c>
      <c r="C1389" s="7" t="s">
        <v>818</v>
      </c>
      <c r="D1389" s="6" t="s">
        <v>15</v>
      </c>
      <c r="E1389" s="5" t="s">
        <v>817</v>
      </c>
      <c r="F1389" s="4">
        <v>42380</v>
      </c>
      <c r="G1389" s="4" t="s">
        <v>1</v>
      </c>
      <c r="H1389" s="4" t="s">
        <v>1</v>
      </c>
      <c r="I1389" s="5" t="s">
        <v>50</v>
      </c>
      <c r="J1389" s="5" t="s">
        <v>75</v>
      </c>
      <c r="K1389" s="5" t="s">
        <v>33</v>
      </c>
      <c r="L1389" s="5" t="s">
        <v>33</v>
      </c>
      <c r="M1389" s="5" t="s">
        <v>75</v>
      </c>
      <c r="N1389" s="21" t="s">
        <v>74</v>
      </c>
      <c r="O1389" s="5" t="s">
        <v>73</v>
      </c>
      <c r="P1389" s="5" t="s">
        <v>72</v>
      </c>
      <c r="Q1389" s="5" t="s">
        <v>47</v>
      </c>
      <c r="R1389" s="3" t="s">
        <v>4</v>
      </c>
      <c r="S1389" s="3" t="s">
        <v>3</v>
      </c>
      <c r="T1389" s="3" t="s">
        <v>2</v>
      </c>
      <c r="U1389" s="3" t="s">
        <v>1</v>
      </c>
      <c r="V1389" s="3" t="s">
        <v>18</v>
      </c>
      <c r="W1389" s="2">
        <v>29</v>
      </c>
      <c r="X1389" s="20"/>
    </row>
    <row r="1390" spans="1:24" s="78" customFormat="1" hidden="1" x14ac:dyDescent="0.25">
      <c r="A1390" s="120">
        <v>19456</v>
      </c>
      <c r="B1390" s="73" t="s">
        <v>816</v>
      </c>
      <c r="C1390" s="95" t="s">
        <v>815</v>
      </c>
      <c r="D1390" s="88" t="s">
        <v>15</v>
      </c>
      <c r="E1390" s="89" t="s">
        <v>814</v>
      </c>
      <c r="F1390" s="90">
        <v>42390</v>
      </c>
      <c r="G1390" s="90" t="s">
        <v>1</v>
      </c>
      <c r="H1390" s="90" t="s">
        <v>1</v>
      </c>
      <c r="I1390" s="89" t="s">
        <v>365</v>
      </c>
      <c r="J1390" s="89" t="s">
        <v>813</v>
      </c>
      <c r="K1390" s="91" t="s">
        <v>33</v>
      </c>
      <c r="L1390" s="91" t="s">
        <v>33</v>
      </c>
      <c r="M1390" s="89" t="s">
        <v>812</v>
      </c>
      <c r="N1390" s="89" t="s">
        <v>811</v>
      </c>
      <c r="O1390" s="92" t="s">
        <v>347</v>
      </c>
      <c r="P1390" s="89" t="s">
        <v>30</v>
      </c>
      <c r="Q1390" s="92" t="s">
        <v>121</v>
      </c>
      <c r="R1390" s="92" t="s">
        <v>4</v>
      </c>
      <c r="S1390" s="92" t="s">
        <v>3</v>
      </c>
      <c r="T1390" s="92" t="s">
        <v>346</v>
      </c>
      <c r="U1390" s="92" t="s">
        <v>1</v>
      </c>
      <c r="V1390" s="92" t="s">
        <v>0</v>
      </c>
      <c r="W1390" s="93">
        <v>30</v>
      </c>
    </row>
    <row r="1391" spans="1:24" hidden="1" x14ac:dyDescent="0.25">
      <c r="A1391" s="36">
        <v>19461</v>
      </c>
      <c r="B1391" s="8" t="s">
        <v>810</v>
      </c>
      <c r="C1391" s="7" t="s">
        <v>809</v>
      </c>
      <c r="D1391" s="6" t="s">
        <v>15</v>
      </c>
      <c r="E1391" s="5" t="s">
        <v>808</v>
      </c>
      <c r="F1391" s="4">
        <v>42422</v>
      </c>
      <c r="G1391" s="4" t="s">
        <v>1</v>
      </c>
      <c r="H1391" s="4" t="s">
        <v>1</v>
      </c>
      <c r="I1391" s="3" t="s">
        <v>384</v>
      </c>
      <c r="J1391" s="3" t="s">
        <v>807</v>
      </c>
      <c r="K1391" s="3" t="s">
        <v>33</v>
      </c>
      <c r="L1391" s="3" t="s">
        <v>33</v>
      </c>
      <c r="M1391" s="3" t="s">
        <v>807</v>
      </c>
      <c r="N1391" s="3" t="s">
        <v>806</v>
      </c>
      <c r="O1391" s="3" t="s">
        <v>387</v>
      </c>
      <c r="P1391" s="3" t="s">
        <v>30</v>
      </c>
      <c r="Q1391" s="3" t="s">
        <v>47</v>
      </c>
      <c r="R1391" s="3" t="s">
        <v>4</v>
      </c>
      <c r="S1391" s="3" t="s">
        <v>3</v>
      </c>
      <c r="T1391" s="3" t="s">
        <v>2</v>
      </c>
      <c r="U1391" s="3" t="s">
        <v>463</v>
      </c>
      <c r="V1391" s="3" t="s">
        <v>0</v>
      </c>
      <c r="W1391" s="2">
        <v>28</v>
      </c>
    </row>
    <row r="1392" spans="1:24" hidden="1" x14ac:dyDescent="0.25">
      <c r="A1392" s="8">
        <v>183</v>
      </c>
      <c r="B1392" s="8" t="s">
        <v>805</v>
      </c>
      <c r="C1392" s="7" t="s">
        <v>804</v>
      </c>
      <c r="D1392" s="6" t="s">
        <v>15</v>
      </c>
      <c r="E1392" s="5" t="s">
        <v>803</v>
      </c>
      <c r="F1392" s="4">
        <v>37679</v>
      </c>
      <c r="G1392" s="4" t="s">
        <v>1</v>
      </c>
      <c r="H1392" s="4" t="s">
        <v>1</v>
      </c>
      <c r="I1392" s="3" t="s">
        <v>13</v>
      </c>
      <c r="J1392" s="3" t="s">
        <v>12</v>
      </c>
      <c r="K1392" s="3" t="s">
        <v>33</v>
      </c>
      <c r="L1392" s="3" t="s">
        <v>33</v>
      </c>
      <c r="M1392" s="3" t="s">
        <v>691</v>
      </c>
      <c r="N1392" s="3" t="s">
        <v>40</v>
      </c>
      <c r="O1392" s="3" t="s">
        <v>39</v>
      </c>
      <c r="P1392" s="3" t="s">
        <v>30</v>
      </c>
      <c r="Q1392" s="3" t="s">
        <v>20</v>
      </c>
      <c r="R1392" s="3" t="s">
        <v>4</v>
      </c>
      <c r="S1392" s="3" t="s">
        <v>3</v>
      </c>
      <c r="T1392" s="3" t="s">
        <v>38</v>
      </c>
      <c r="U1392" s="3" t="s">
        <v>1</v>
      </c>
      <c r="V1392" s="3" t="s">
        <v>0</v>
      </c>
      <c r="W1392" s="2">
        <v>43</v>
      </c>
    </row>
    <row r="1393" spans="1:24" hidden="1" x14ac:dyDescent="0.25">
      <c r="A1393" s="8">
        <v>19580</v>
      </c>
      <c r="B1393" s="8" t="s">
        <v>802</v>
      </c>
      <c r="C1393" s="7" t="s">
        <v>801</v>
      </c>
      <c r="D1393" s="6" t="s">
        <v>15</v>
      </c>
      <c r="E1393" s="5" t="s">
        <v>797</v>
      </c>
      <c r="F1393" s="4">
        <v>42472</v>
      </c>
      <c r="G1393" s="4" t="s">
        <v>1</v>
      </c>
      <c r="H1393" s="4" t="s">
        <v>1</v>
      </c>
      <c r="I1393" s="3" t="s">
        <v>13</v>
      </c>
      <c r="J1393" s="3" t="s">
        <v>12</v>
      </c>
      <c r="K1393" s="3" t="s">
        <v>539</v>
      </c>
      <c r="L1393" s="3" t="s">
        <v>538</v>
      </c>
      <c r="M1393" s="3" t="s">
        <v>537</v>
      </c>
      <c r="N1393" s="3" t="s">
        <v>800</v>
      </c>
      <c r="O1393" s="3" t="s">
        <v>258</v>
      </c>
      <c r="P1393" s="3" t="s">
        <v>6</v>
      </c>
      <c r="Q1393" s="3" t="s">
        <v>5</v>
      </c>
      <c r="R1393" s="3" t="s">
        <v>4</v>
      </c>
      <c r="S1393" s="3" t="s">
        <v>3</v>
      </c>
      <c r="T1393" s="3" t="s">
        <v>2</v>
      </c>
      <c r="U1393" s="3" t="s">
        <v>1</v>
      </c>
      <c r="V1393" s="3" t="s">
        <v>18</v>
      </c>
      <c r="W1393" s="2">
        <v>27</v>
      </c>
    </row>
    <row r="1394" spans="1:24" hidden="1" x14ac:dyDescent="0.25">
      <c r="A1394" s="8">
        <v>19586</v>
      </c>
      <c r="B1394" s="8" t="s">
        <v>799</v>
      </c>
      <c r="C1394" s="7" t="s">
        <v>798</v>
      </c>
      <c r="D1394" s="6" t="s">
        <v>15</v>
      </c>
      <c r="E1394" s="5" t="s">
        <v>797</v>
      </c>
      <c r="F1394" s="4">
        <v>42472</v>
      </c>
      <c r="G1394" s="4" t="s">
        <v>1</v>
      </c>
      <c r="H1394" s="4" t="s">
        <v>1</v>
      </c>
      <c r="I1394" s="3" t="s">
        <v>13</v>
      </c>
      <c r="J1394" s="3" t="s">
        <v>12</v>
      </c>
      <c r="K1394" s="3" t="s">
        <v>63</v>
      </c>
      <c r="L1394" s="3" t="s">
        <v>81</v>
      </c>
      <c r="M1394" s="3" t="s">
        <v>173</v>
      </c>
      <c r="N1394" s="3" t="s">
        <v>796</v>
      </c>
      <c r="O1394" s="3" t="s">
        <v>728</v>
      </c>
      <c r="P1394" s="3" t="s">
        <v>6</v>
      </c>
      <c r="Q1394" s="3" t="s">
        <v>20</v>
      </c>
      <c r="R1394" s="3" t="s">
        <v>4</v>
      </c>
      <c r="S1394" s="3" t="s">
        <v>3</v>
      </c>
      <c r="T1394" s="3" t="s">
        <v>2</v>
      </c>
      <c r="U1394" s="3" t="s">
        <v>1</v>
      </c>
      <c r="V1394" s="3" t="s">
        <v>18</v>
      </c>
      <c r="W1394" s="2">
        <v>29</v>
      </c>
    </row>
    <row r="1395" spans="1:24" hidden="1" x14ac:dyDescent="0.25">
      <c r="A1395" s="8">
        <v>811</v>
      </c>
      <c r="B1395" s="8" t="s">
        <v>795</v>
      </c>
      <c r="C1395" s="7" t="s">
        <v>794</v>
      </c>
      <c r="D1395" s="6" t="s">
        <v>15</v>
      </c>
      <c r="E1395" s="5" t="s">
        <v>793</v>
      </c>
      <c r="F1395" s="4">
        <v>37837</v>
      </c>
      <c r="G1395" s="4" t="s">
        <v>1</v>
      </c>
      <c r="H1395" s="4" t="s">
        <v>1</v>
      </c>
      <c r="I1395" s="3" t="s">
        <v>13</v>
      </c>
      <c r="J1395" s="3" t="s">
        <v>12</v>
      </c>
      <c r="K1395" s="3" t="s">
        <v>33</v>
      </c>
      <c r="L1395" s="3" t="s">
        <v>33</v>
      </c>
      <c r="M1395" s="3" t="s">
        <v>691</v>
      </c>
      <c r="N1395" s="3" t="s">
        <v>703</v>
      </c>
      <c r="O1395" s="3" t="s">
        <v>258</v>
      </c>
      <c r="P1395" s="3" t="s">
        <v>30</v>
      </c>
      <c r="Q1395" s="3" t="s">
        <v>5</v>
      </c>
      <c r="R1395" s="3" t="s">
        <v>4</v>
      </c>
      <c r="S1395" s="3" t="s">
        <v>3</v>
      </c>
      <c r="T1395" s="3" t="s">
        <v>2</v>
      </c>
      <c r="U1395" s="3" t="s">
        <v>1</v>
      </c>
      <c r="V1395" s="3" t="s">
        <v>0</v>
      </c>
      <c r="W1395" s="2">
        <v>42</v>
      </c>
    </row>
    <row r="1396" spans="1:24" s="78" customFormat="1" hidden="1" x14ac:dyDescent="0.25">
      <c r="A1396" s="73">
        <v>5690</v>
      </c>
      <c r="B1396" s="73" t="s">
        <v>792</v>
      </c>
      <c r="C1396" s="87" t="s">
        <v>791</v>
      </c>
      <c r="D1396" s="88" t="s">
        <v>15</v>
      </c>
      <c r="E1396" s="89" t="s">
        <v>527</v>
      </c>
      <c r="F1396" s="90">
        <v>39098</v>
      </c>
      <c r="G1396" s="90" t="s">
        <v>1</v>
      </c>
      <c r="H1396" s="90" t="s">
        <v>1</v>
      </c>
      <c r="I1396" s="92" t="s">
        <v>13</v>
      </c>
      <c r="J1396" s="92" t="s">
        <v>12</v>
      </c>
      <c r="K1396" s="92" t="s">
        <v>33</v>
      </c>
      <c r="L1396" s="92" t="s">
        <v>33</v>
      </c>
      <c r="M1396" s="92" t="s">
        <v>691</v>
      </c>
      <c r="N1396" s="92" t="s">
        <v>29</v>
      </c>
      <c r="O1396" s="92" t="s">
        <v>29</v>
      </c>
      <c r="P1396" s="92" t="s">
        <v>30</v>
      </c>
      <c r="Q1396" s="92" t="s">
        <v>20</v>
      </c>
      <c r="R1396" s="92" t="s">
        <v>4</v>
      </c>
      <c r="S1396" s="92" t="s">
        <v>3</v>
      </c>
      <c r="T1396" s="92" t="s">
        <v>29</v>
      </c>
      <c r="U1396" s="92" t="s">
        <v>1</v>
      </c>
      <c r="V1396" s="92" t="s">
        <v>0</v>
      </c>
      <c r="W1396" s="93">
        <v>40</v>
      </c>
    </row>
    <row r="1397" spans="1:24" hidden="1" x14ac:dyDescent="0.25">
      <c r="A1397" s="8">
        <v>19643</v>
      </c>
      <c r="B1397" s="8" t="s">
        <v>790</v>
      </c>
      <c r="C1397" s="7" t="s">
        <v>789</v>
      </c>
      <c r="D1397" s="6" t="s">
        <v>15</v>
      </c>
      <c r="E1397" s="5" t="s">
        <v>785</v>
      </c>
      <c r="F1397" s="4">
        <v>42475</v>
      </c>
      <c r="G1397" s="4" t="s">
        <v>1</v>
      </c>
      <c r="H1397" s="4" t="s">
        <v>1</v>
      </c>
      <c r="I1397" s="3" t="s">
        <v>13</v>
      </c>
      <c r="J1397" s="3" t="s">
        <v>12</v>
      </c>
      <c r="K1397" s="3" t="s">
        <v>262</v>
      </c>
      <c r="L1397" s="3" t="s">
        <v>261</v>
      </c>
      <c r="M1397" s="3" t="s">
        <v>260</v>
      </c>
      <c r="N1397" s="3" t="s">
        <v>788</v>
      </c>
      <c r="O1397" s="3" t="s">
        <v>7</v>
      </c>
      <c r="P1397" s="3" t="s">
        <v>6</v>
      </c>
      <c r="Q1397" s="3" t="s">
        <v>5</v>
      </c>
      <c r="R1397" s="3" t="s">
        <v>4</v>
      </c>
      <c r="S1397" s="3" t="s">
        <v>3</v>
      </c>
      <c r="T1397" s="3" t="s">
        <v>2</v>
      </c>
      <c r="U1397" s="3" t="s">
        <v>1</v>
      </c>
      <c r="V1397" s="3" t="s">
        <v>0</v>
      </c>
      <c r="W1397" s="2">
        <v>26</v>
      </c>
    </row>
    <row r="1398" spans="1:24" hidden="1" x14ac:dyDescent="0.25">
      <c r="A1398" s="8">
        <v>19661</v>
      </c>
      <c r="B1398" s="8" t="s">
        <v>787</v>
      </c>
      <c r="C1398" s="7" t="s">
        <v>786</v>
      </c>
      <c r="D1398" s="6" t="s">
        <v>15</v>
      </c>
      <c r="E1398" s="5" t="s">
        <v>785</v>
      </c>
      <c r="F1398" s="4">
        <v>42475</v>
      </c>
      <c r="G1398" s="4" t="s">
        <v>1</v>
      </c>
      <c r="H1398" s="4" t="s">
        <v>1</v>
      </c>
      <c r="I1398" s="3" t="s">
        <v>13</v>
      </c>
      <c r="J1398" s="3" t="s">
        <v>12</v>
      </c>
      <c r="K1398" s="3" t="s">
        <v>262</v>
      </c>
      <c r="L1398" s="3" t="s">
        <v>261</v>
      </c>
      <c r="M1398" s="3" t="s">
        <v>260</v>
      </c>
      <c r="N1398" s="3" t="s">
        <v>784</v>
      </c>
      <c r="O1398" s="3" t="s">
        <v>258</v>
      </c>
      <c r="P1398" s="3" t="s">
        <v>6</v>
      </c>
      <c r="Q1398" s="3" t="s">
        <v>5</v>
      </c>
      <c r="R1398" s="3" t="s">
        <v>4</v>
      </c>
      <c r="S1398" s="3" t="s">
        <v>3</v>
      </c>
      <c r="T1398" s="3" t="s">
        <v>2</v>
      </c>
      <c r="U1398" s="3" t="s">
        <v>1</v>
      </c>
      <c r="V1398" s="3" t="s">
        <v>0</v>
      </c>
      <c r="W1398" s="2">
        <v>26</v>
      </c>
    </row>
    <row r="1399" spans="1:24" s="78" customFormat="1" hidden="1" x14ac:dyDescent="0.25">
      <c r="A1399" s="73">
        <v>5770</v>
      </c>
      <c r="B1399" s="73" t="s">
        <v>783</v>
      </c>
      <c r="C1399" s="87" t="s">
        <v>782</v>
      </c>
      <c r="D1399" s="88" t="s">
        <v>15</v>
      </c>
      <c r="E1399" s="89" t="s">
        <v>251</v>
      </c>
      <c r="F1399" s="90">
        <v>39114</v>
      </c>
      <c r="G1399" s="90" t="s">
        <v>1</v>
      </c>
      <c r="H1399" s="90" t="s">
        <v>1</v>
      </c>
      <c r="I1399" s="92" t="s">
        <v>13</v>
      </c>
      <c r="J1399" s="92" t="s">
        <v>12</v>
      </c>
      <c r="K1399" s="92" t="s">
        <v>33</v>
      </c>
      <c r="L1399" s="92" t="s">
        <v>33</v>
      </c>
      <c r="M1399" s="92" t="s">
        <v>691</v>
      </c>
      <c r="N1399" s="92" t="s">
        <v>703</v>
      </c>
      <c r="O1399" s="92" t="s">
        <v>258</v>
      </c>
      <c r="P1399" s="92" t="s">
        <v>30</v>
      </c>
      <c r="Q1399" s="92" t="s">
        <v>5</v>
      </c>
      <c r="R1399" s="92" t="s">
        <v>4</v>
      </c>
      <c r="S1399" s="92" t="s">
        <v>3</v>
      </c>
      <c r="T1399" s="92" t="s">
        <v>2</v>
      </c>
      <c r="U1399" s="92" t="s">
        <v>1</v>
      </c>
      <c r="V1399" s="92" t="s">
        <v>0</v>
      </c>
      <c r="W1399" s="93">
        <v>38</v>
      </c>
    </row>
    <row r="1400" spans="1:24" hidden="1" x14ac:dyDescent="0.25">
      <c r="A1400" s="8">
        <v>19762</v>
      </c>
      <c r="B1400" s="8" t="s">
        <v>781</v>
      </c>
      <c r="C1400" s="7" t="s">
        <v>780</v>
      </c>
      <c r="D1400" s="6" t="s">
        <v>15</v>
      </c>
      <c r="E1400" s="5" t="s">
        <v>774</v>
      </c>
      <c r="F1400" s="4">
        <v>42499</v>
      </c>
      <c r="G1400" s="4" t="s">
        <v>1</v>
      </c>
      <c r="H1400" s="4" t="s">
        <v>1</v>
      </c>
      <c r="I1400" s="3" t="s">
        <v>13</v>
      </c>
      <c r="J1400" s="3" t="s">
        <v>12</v>
      </c>
      <c r="K1400" s="3" t="s">
        <v>63</v>
      </c>
      <c r="L1400" s="3" t="s">
        <v>62</v>
      </c>
      <c r="M1400" s="3" t="s">
        <v>61</v>
      </c>
      <c r="N1400" s="3" t="s">
        <v>779</v>
      </c>
      <c r="O1400" s="3" t="s">
        <v>258</v>
      </c>
      <c r="P1400" s="3" t="s">
        <v>6</v>
      </c>
      <c r="Q1400" s="3" t="s">
        <v>5</v>
      </c>
      <c r="R1400" s="3" t="s">
        <v>4</v>
      </c>
      <c r="S1400" s="3" t="s">
        <v>3</v>
      </c>
      <c r="T1400" s="3" t="s">
        <v>2</v>
      </c>
      <c r="U1400" s="3" t="s">
        <v>1</v>
      </c>
      <c r="V1400" s="3" t="s">
        <v>0</v>
      </c>
      <c r="W1400" s="2">
        <v>27</v>
      </c>
    </row>
    <row r="1401" spans="1:24" hidden="1" x14ac:dyDescent="0.25">
      <c r="A1401" s="8">
        <v>19778</v>
      </c>
      <c r="B1401" s="8" t="s">
        <v>778</v>
      </c>
      <c r="C1401" s="7" t="s">
        <v>777</v>
      </c>
      <c r="D1401" s="6" t="s">
        <v>15</v>
      </c>
      <c r="E1401" s="5" t="s">
        <v>774</v>
      </c>
      <c r="F1401" s="4">
        <v>42499</v>
      </c>
      <c r="G1401" s="4" t="s">
        <v>1</v>
      </c>
      <c r="H1401" s="4" t="s">
        <v>1</v>
      </c>
      <c r="I1401" s="3" t="s">
        <v>13</v>
      </c>
      <c r="J1401" s="3" t="s">
        <v>12</v>
      </c>
      <c r="K1401" s="3" t="s">
        <v>262</v>
      </c>
      <c r="L1401" s="3" t="s">
        <v>261</v>
      </c>
      <c r="M1401" s="3" t="s">
        <v>329</v>
      </c>
      <c r="N1401" s="3" t="s">
        <v>22</v>
      </c>
      <c r="O1401" s="3" t="s">
        <v>21</v>
      </c>
      <c r="P1401" s="3" t="s">
        <v>6</v>
      </c>
      <c r="Q1401" s="3" t="s">
        <v>20</v>
      </c>
      <c r="R1401" s="3" t="s">
        <v>4</v>
      </c>
      <c r="S1401" s="3" t="s">
        <v>3</v>
      </c>
      <c r="T1401" s="3" t="s">
        <v>19</v>
      </c>
      <c r="U1401" s="3" t="s">
        <v>1</v>
      </c>
      <c r="V1401" s="3" t="s">
        <v>18</v>
      </c>
      <c r="W1401" s="2">
        <v>30</v>
      </c>
    </row>
    <row r="1402" spans="1:24" hidden="1" x14ac:dyDescent="0.25">
      <c r="A1402" s="8">
        <v>19784</v>
      </c>
      <c r="B1402" s="8" t="s">
        <v>776</v>
      </c>
      <c r="C1402" s="19" t="s">
        <v>775</v>
      </c>
      <c r="D1402" s="6" t="s">
        <v>15</v>
      </c>
      <c r="E1402" s="18" t="s">
        <v>774</v>
      </c>
      <c r="F1402" s="4">
        <v>42499</v>
      </c>
      <c r="G1402" s="4" t="s">
        <v>1</v>
      </c>
      <c r="H1402" s="4" t="s">
        <v>1</v>
      </c>
      <c r="I1402" s="3" t="s">
        <v>145</v>
      </c>
      <c r="J1402" s="3" t="s">
        <v>12</v>
      </c>
      <c r="K1402" s="3" t="s">
        <v>63</v>
      </c>
      <c r="L1402" s="3" t="s">
        <v>773</v>
      </c>
      <c r="M1402" s="3" t="s">
        <v>565</v>
      </c>
      <c r="N1402" s="3" t="s">
        <v>772</v>
      </c>
      <c r="O1402" s="3" t="s">
        <v>771</v>
      </c>
      <c r="P1402" s="3" t="s">
        <v>6</v>
      </c>
      <c r="Q1402" s="3" t="s">
        <v>20</v>
      </c>
      <c r="R1402" s="3" t="s">
        <v>4</v>
      </c>
      <c r="S1402" s="3" t="s">
        <v>3</v>
      </c>
      <c r="T1402" s="3" t="s">
        <v>2</v>
      </c>
      <c r="U1402" s="3" t="s">
        <v>1</v>
      </c>
      <c r="V1402" s="3" t="s">
        <v>0</v>
      </c>
      <c r="W1402" s="2">
        <v>27</v>
      </c>
    </row>
    <row r="1403" spans="1:24" hidden="1" x14ac:dyDescent="0.25">
      <c r="A1403" s="8">
        <v>6150</v>
      </c>
      <c r="B1403" s="8" t="s">
        <v>770</v>
      </c>
      <c r="C1403" s="7" t="s">
        <v>769</v>
      </c>
      <c r="D1403" s="6" t="s">
        <v>15</v>
      </c>
      <c r="E1403" s="5" t="s">
        <v>768</v>
      </c>
      <c r="F1403" s="4">
        <v>39157</v>
      </c>
      <c r="G1403" s="4" t="s">
        <v>1</v>
      </c>
      <c r="H1403" s="4" t="s">
        <v>1</v>
      </c>
      <c r="I1403" s="3" t="s">
        <v>13</v>
      </c>
      <c r="J1403" s="3" t="s">
        <v>12</v>
      </c>
      <c r="K1403" s="3" t="s">
        <v>33</v>
      </c>
      <c r="L1403" s="3" t="s">
        <v>33</v>
      </c>
      <c r="M1403" s="3" t="s">
        <v>691</v>
      </c>
      <c r="N1403" s="3" t="s">
        <v>29</v>
      </c>
      <c r="O1403" s="3" t="s">
        <v>29</v>
      </c>
      <c r="P1403" s="3" t="s">
        <v>30</v>
      </c>
      <c r="Q1403" s="3" t="s">
        <v>20</v>
      </c>
      <c r="R1403" s="3" t="s">
        <v>4</v>
      </c>
      <c r="S1403" s="3" t="s">
        <v>3</v>
      </c>
      <c r="T1403" s="3" t="s">
        <v>29</v>
      </c>
      <c r="U1403" s="3" t="s">
        <v>1</v>
      </c>
      <c r="V1403" s="3" t="s">
        <v>0</v>
      </c>
      <c r="W1403" s="2">
        <v>40</v>
      </c>
    </row>
    <row r="1404" spans="1:24" hidden="1" x14ac:dyDescent="0.25">
      <c r="A1404" s="8">
        <v>6357</v>
      </c>
      <c r="B1404" s="8" t="s">
        <v>767</v>
      </c>
      <c r="C1404" s="7" t="s">
        <v>766</v>
      </c>
      <c r="D1404" s="6" t="s">
        <v>15</v>
      </c>
      <c r="E1404" s="5" t="s">
        <v>765</v>
      </c>
      <c r="F1404" s="4">
        <v>39279</v>
      </c>
      <c r="G1404" s="4" t="s">
        <v>1</v>
      </c>
      <c r="H1404" s="4" t="s">
        <v>1</v>
      </c>
      <c r="I1404" s="3" t="s">
        <v>13</v>
      </c>
      <c r="J1404" s="3" t="s">
        <v>12</v>
      </c>
      <c r="K1404" s="3" t="s">
        <v>33</v>
      </c>
      <c r="L1404" s="3" t="s">
        <v>33</v>
      </c>
      <c r="M1404" s="3" t="s">
        <v>691</v>
      </c>
      <c r="N1404" s="3" t="s">
        <v>29</v>
      </c>
      <c r="O1404" s="3" t="s">
        <v>29</v>
      </c>
      <c r="P1404" s="3" t="s">
        <v>30</v>
      </c>
      <c r="Q1404" s="3" t="s">
        <v>20</v>
      </c>
      <c r="R1404" s="3" t="s">
        <v>4</v>
      </c>
      <c r="S1404" s="3" t="s">
        <v>3</v>
      </c>
      <c r="T1404" s="3" t="s">
        <v>29</v>
      </c>
      <c r="U1404" s="3" t="s">
        <v>1</v>
      </c>
      <c r="V1404" s="3" t="s">
        <v>18</v>
      </c>
      <c r="W1404" s="2">
        <v>40</v>
      </c>
    </row>
    <row r="1405" spans="1:24" hidden="1" x14ac:dyDescent="0.25">
      <c r="A1405" s="8">
        <v>19957</v>
      </c>
      <c r="B1405" s="8" t="s">
        <v>764</v>
      </c>
      <c r="C1405" s="7" t="s">
        <v>763</v>
      </c>
      <c r="D1405" s="6" t="s">
        <v>15</v>
      </c>
      <c r="E1405" s="5" t="s">
        <v>759</v>
      </c>
      <c r="F1405" s="4">
        <v>42506</v>
      </c>
      <c r="G1405" s="4" t="s">
        <v>1</v>
      </c>
      <c r="H1405" s="4" t="s">
        <v>1</v>
      </c>
      <c r="I1405" s="3" t="s">
        <v>13</v>
      </c>
      <c r="J1405" s="3" t="s">
        <v>12</v>
      </c>
      <c r="K1405" s="3" t="s">
        <v>63</v>
      </c>
      <c r="L1405" s="3" t="s">
        <v>62</v>
      </c>
      <c r="M1405" s="3" t="s">
        <v>61</v>
      </c>
      <c r="N1405" s="3" t="s">
        <v>762</v>
      </c>
      <c r="O1405" s="3" t="s">
        <v>453</v>
      </c>
      <c r="P1405" s="3" t="s">
        <v>6</v>
      </c>
      <c r="Q1405" s="3" t="s">
        <v>5</v>
      </c>
      <c r="R1405" s="3" t="s">
        <v>4</v>
      </c>
      <c r="S1405" s="3" t="s">
        <v>3</v>
      </c>
      <c r="T1405" s="3" t="s">
        <v>2</v>
      </c>
      <c r="U1405" s="3" t="s">
        <v>1</v>
      </c>
      <c r="V1405" s="3" t="s">
        <v>0</v>
      </c>
      <c r="W1405" s="2">
        <v>26</v>
      </c>
    </row>
    <row r="1406" spans="1:24" hidden="1" x14ac:dyDescent="0.25">
      <c r="A1406" s="8">
        <v>20015</v>
      </c>
      <c r="B1406" s="8" t="s">
        <v>761</v>
      </c>
      <c r="C1406" s="7" t="s">
        <v>760</v>
      </c>
      <c r="D1406" s="6" t="s">
        <v>15</v>
      </c>
      <c r="E1406" s="5" t="s">
        <v>759</v>
      </c>
      <c r="F1406" s="4">
        <v>42506</v>
      </c>
      <c r="G1406" s="4" t="s">
        <v>1</v>
      </c>
      <c r="H1406" s="4" t="s">
        <v>1</v>
      </c>
      <c r="I1406" s="3" t="s">
        <v>13</v>
      </c>
      <c r="J1406" s="3" t="s">
        <v>12</v>
      </c>
      <c r="K1406" s="3" t="s">
        <v>758</v>
      </c>
      <c r="L1406" s="3" t="s">
        <v>757</v>
      </c>
      <c r="M1406" s="3" t="s">
        <v>756</v>
      </c>
      <c r="N1406" s="3" t="s">
        <v>755</v>
      </c>
      <c r="O1406" s="3" t="s">
        <v>258</v>
      </c>
      <c r="P1406" s="3" t="s">
        <v>6</v>
      </c>
      <c r="Q1406" s="3" t="s">
        <v>5</v>
      </c>
      <c r="R1406" s="3" t="s">
        <v>4</v>
      </c>
      <c r="S1406" s="3" t="s">
        <v>3</v>
      </c>
      <c r="T1406" s="3" t="s">
        <v>2</v>
      </c>
      <c r="U1406" s="3" t="s">
        <v>1</v>
      </c>
      <c r="V1406" s="3" t="s">
        <v>0</v>
      </c>
      <c r="W1406" s="2">
        <v>26</v>
      </c>
    </row>
    <row r="1407" spans="1:24" hidden="1" x14ac:dyDescent="0.25">
      <c r="A1407" s="8">
        <v>20063</v>
      </c>
      <c r="B1407" s="8" t="s">
        <v>754</v>
      </c>
      <c r="C1407" s="7" t="s">
        <v>753</v>
      </c>
      <c r="D1407" s="6" t="s">
        <v>15</v>
      </c>
      <c r="E1407" s="5" t="s">
        <v>752</v>
      </c>
      <c r="F1407" s="4">
        <v>42520</v>
      </c>
      <c r="G1407" s="4" t="s">
        <v>1</v>
      </c>
      <c r="H1407" s="4" t="s">
        <v>1</v>
      </c>
      <c r="I1407" s="5" t="s">
        <v>50</v>
      </c>
      <c r="J1407" s="5" t="s">
        <v>75</v>
      </c>
      <c r="K1407" s="5" t="s">
        <v>33</v>
      </c>
      <c r="L1407" s="5" t="s">
        <v>33</v>
      </c>
      <c r="M1407" s="18" t="s">
        <v>75</v>
      </c>
      <c r="N1407" s="21" t="s">
        <v>74</v>
      </c>
      <c r="O1407" s="5" t="s">
        <v>73</v>
      </c>
      <c r="P1407" s="5" t="s">
        <v>72</v>
      </c>
      <c r="Q1407" s="5" t="s">
        <v>47</v>
      </c>
      <c r="R1407" s="3" t="s">
        <v>4</v>
      </c>
      <c r="S1407" s="3" t="s">
        <v>3</v>
      </c>
      <c r="T1407" s="3" t="s">
        <v>2</v>
      </c>
      <c r="U1407" s="3" t="s">
        <v>1</v>
      </c>
      <c r="V1407" s="3" t="s">
        <v>18</v>
      </c>
      <c r="W1407" s="2">
        <v>26</v>
      </c>
      <c r="X1407" s="20"/>
    </row>
    <row r="1408" spans="1:24" hidden="1" x14ac:dyDescent="0.25">
      <c r="A1408" s="8">
        <v>20084</v>
      </c>
      <c r="B1408" s="8" t="s">
        <v>751</v>
      </c>
      <c r="C1408" s="7" t="s">
        <v>750</v>
      </c>
      <c r="D1408" s="6" t="s">
        <v>15</v>
      </c>
      <c r="E1408" s="5" t="s">
        <v>749</v>
      </c>
      <c r="F1408" s="4">
        <v>42523</v>
      </c>
      <c r="G1408" s="4" t="s">
        <v>1</v>
      </c>
      <c r="H1408" s="4" t="s">
        <v>1</v>
      </c>
      <c r="I1408" s="18" t="s">
        <v>100</v>
      </c>
      <c r="J1408" s="18" t="s">
        <v>124</v>
      </c>
      <c r="K1408" s="18" t="s">
        <v>33</v>
      </c>
      <c r="L1408" s="18" t="s">
        <v>33</v>
      </c>
      <c r="M1408" s="18" t="s">
        <v>124</v>
      </c>
      <c r="N1408" s="18" t="s">
        <v>748</v>
      </c>
      <c r="O1408" s="18" t="s">
        <v>122</v>
      </c>
      <c r="P1408" s="5" t="s">
        <v>1</v>
      </c>
      <c r="Q1408" s="5" t="s">
        <v>121</v>
      </c>
      <c r="R1408" s="3" t="s">
        <v>4</v>
      </c>
      <c r="S1408" s="3" t="s">
        <v>3</v>
      </c>
      <c r="T1408" s="3" t="s">
        <v>2</v>
      </c>
      <c r="U1408" s="3" t="s">
        <v>1</v>
      </c>
      <c r="V1408" s="3" t="s">
        <v>0</v>
      </c>
      <c r="W1408" s="2">
        <v>26</v>
      </c>
    </row>
    <row r="1409" spans="1:24" hidden="1" x14ac:dyDescent="0.25">
      <c r="A1409" s="8">
        <v>8877</v>
      </c>
      <c r="B1409" s="8" t="s">
        <v>747</v>
      </c>
      <c r="C1409" s="25" t="s">
        <v>746</v>
      </c>
      <c r="D1409" s="6" t="s">
        <v>15</v>
      </c>
      <c r="E1409" s="5" t="s">
        <v>202</v>
      </c>
      <c r="F1409" s="4">
        <v>39937</v>
      </c>
      <c r="G1409" s="4" t="s">
        <v>1</v>
      </c>
      <c r="H1409" s="4" t="s">
        <v>1</v>
      </c>
      <c r="I1409" s="3" t="s">
        <v>13</v>
      </c>
      <c r="J1409" s="3" t="s">
        <v>12</v>
      </c>
      <c r="K1409" s="3" t="s">
        <v>33</v>
      </c>
      <c r="L1409" s="3" t="s">
        <v>33</v>
      </c>
      <c r="M1409" s="3" t="s">
        <v>691</v>
      </c>
      <c r="N1409" s="3" t="s">
        <v>710</v>
      </c>
      <c r="O1409" s="3" t="s">
        <v>59</v>
      </c>
      <c r="P1409" s="3" t="s">
        <v>30</v>
      </c>
      <c r="Q1409" s="3" t="s">
        <v>5</v>
      </c>
      <c r="R1409" s="3" t="s">
        <v>4</v>
      </c>
      <c r="S1409" s="3" t="s">
        <v>3</v>
      </c>
      <c r="T1409" s="3" t="s">
        <v>2</v>
      </c>
      <c r="U1409" s="3" t="s">
        <v>1</v>
      </c>
      <c r="V1409" s="3" t="s">
        <v>0</v>
      </c>
      <c r="W1409" s="2">
        <v>34</v>
      </c>
    </row>
    <row r="1410" spans="1:24" hidden="1" x14ac:dyDescent="0.25">
      <c r="A1410" s="8">
        <v>20250</v>
      </c>
      <c r="B1410" s="8" t="s">
        <v>745</v>
      </c>
      <c r="C1410" s="7" t="s">
        <v>744</v>
      </c>
      <c r="D1410" s="6" t="s">
        <v>15</v>
      </c>
      <c r="E1410" s="5" t="s">
        <v>743</v>
      </c>
      <c r="F1410" s="4">
        <v>42604</v>
      </c>
      <c r="G1410" s="4" t="s">
        <v>1</v>
      </c>
      <c r="H1410" s="4" t="s">
        <v>1</v>
      </c>
      <c r="I1410" s="18" t="s">
        <v>100</v>
      </c>
      <c r="J1410" s="18" t="s">
        <v>124</v>
      </c>
      <c r="K1410" s="18" t="s">
        <v>33</v>
      </c>
      <c r="L1410" s="18" t="s">
        <v>33</v>
      </c>
      <c r="M1410" s="18" t="s">
        <v>124</v>
      </c>
      <c r="N1410" s="18" t="s">
        <v>123</v>
      </c>
      <c r="O1410" s="18" t="s">
        <v>122</v>
      </c>
      <c r="P1410" s="5" t="s">
        <v>1</v>
      </c>
      <c r="Q1410" s="5" t="s">
        <v>121</v>
      </c>
      <c r="R1410" s="3" t="s">
        <v>4</v>
      </c>
      <c r="S1410" s="3" t="s">
        <v>3</v>
      </c>
      <c r="T1410" s="3" t="s">
        <v>2</v>
      </c>
      <c r="U1410" s="3" t="s">
        <v>1</v>
      </c>
      <c r="V1410" s="3" t="s">
        <v>0</v>
      </c>
      <c r="W1410" s="2">
        <v>26</v>
      </c>
    </row>
    <row r="1411" spans="1:24" hidden="1" x14ac:dyDescent="0.25">
      <c r="A1411" s="8">
        <v>20358</v>
      </c>
      <c r="B1411" s="8" t="s">
        <v>742</v>
      </c>
      <c r="C1411" s="7" t="s">
        <v>741</v>
      </c>
      <c r="D1411" s="6" t="s">
        <v>15</v>
      </c>
      <c r="E1411" s="5" t="s">
        <v>740</v>
      </c>
      <c r="F1411" s="4">
        <v>42607</v>
      </c>
      <c r="G1411" s="4" t="s">
        <v>1</v>
      </c>
      <c r="H1411" s="4" t="s">
        <v>1</v>
      </c>
      <c r="I1411" s="5" t="s">
        <v>100</v>
      </c>
      <c r="J1411" s="5" t="s">
        <v>738</v>
      </c>
      <c r="K1411" s="5" t="s">
        <v>33</v>
      </c>
      <c r="L1411" s="5" t="s">
        <v>33</v>
      </c>
      <c r="M1411" s="5" t="s">
        <v>739</v>
      </c>
      <c r="N1411" s="5" t="s">
        <v>738</v>
      </c>
      <c r="O1411" s="5" t="s">
        <v>122</v>
      </c>
      <c r="P1411" s="5" t="s">
        <v>30</v>
      </c>
      <c r="Q1411" s="5" t="s">
        <v>121</v>
      </c>
      <c r="R1411" s="3" t="s">
        <v>4</v>
      </c>
      <c r="S1411" s="3" t="s">
        <v>3</v>
      </c>
      <c r="T1411" s="3" t="s">
        <v>2</v>
      </c>
      <c r="U1411" s="3" t="s">
        <v>1</v>
      </c>
      <c r="V1411" s="3" t="s">
        <v>0</v>
      </c>
      <c r="W1411" s="2">
        <v>27</v>
      </c>
    </row>
    <row r="1412" spans="1:24" s="9" customFormat="1" hidden="1" x14ac:dyDescent="0.25">
      <c r="A1412" s="17">
        <v>20384</v>
      </c>
      <c r="B1412" s="17" t="s">
        <v>737</v>
      </c>
      <c r="C1412" s="16" t="s">
        <v>736</v>
      </c>
      <c r="D1412" s="15" t="s">
        <v>15</v>
      </c>
      <c r="E1412" s="14" t="s">
        <v>735</v>
      </c>
      <c r="F1412" s="13">
        <v>42614</v>
      </c>
      <c r="G1412" s="13" t="s">
        <v>1</v>
      </c>
      <c r="H1412" s="13" t="s">
        <v>1</v>
      </c>
      <c r="I1412" s="14" t="s">
        <v>50</v>
      </c>
      <c r="J1412" s="14" t="s">
        <v>734</v>
      </c>
      <c r="K1412" s="14" t="s">
        <v>33</v>
      </c>
      <c r="L1412" s="14" t="s">
        <v>33</v>
      </c>
      <c r="M1412" s="14" t="s">
        <v>734</v>
      </c>
      <c r="N1412" s="14" t="s">
        <v>733</v>
      </c>
      <c r="O1412" s="14" t="s">
        <v>368</v>
      </c>
      <c r="P1412" s="22" t="s">
        <v>30</v>
      </c>
      <c r="Q1412" s="14" t="s">
        <v>47</v>
      </c>
      <c r="R1412" s="12" t="s">
        <v>4</v>
      </c>
      <c r="S1412" s="12" t="s">
        <v>3</v>
      </c>
      <c r="T1412" s="12" t="s">
        <v>346</v>
      </c>
      <c r="U1412" s="12" t="s">
        <v>657</v>
      </c>
      <c r="V1412" s="12" t="s">
        <v>0</v>
      </c>
      <c r="W1412" s="11">
        <v>38</v>
      </c>
      <c r="X1412" s="10"/>
    </row>
    <row r="1413" spans="1:24" hidden="1" x14ac:dyDescent="0.25">
      <c r="A1413" s="8">
        <v>20386</v>
      </c>
      <c r="B1413" s="8" t="s">
        <v>732</v>
      </c>
      <c r="C1413" s="7" t="s">
        <v>731</v>
      </c>
      <c r="D1413" s="6" t="s">
        <v>15</v>
      </c>
      <c r="E1413" s="5" t="s">
        <v>730</v>
      </c>
      <c r="F1413" s="4">
        <v>42614</v>
      </c>
      <c r="G1413" s="4" t="s">
        <v>1</v>
      </c>
      <c r="H1413" s="4" t="s">
        <v>1</v>
      </c>
      <c r="I1413" s="3" t="s">
        <v>13</v>
      </c>
      <c r="J1413" s="3" t="s">
        <v>133</v>
      </c>
      <c r="K1413" s="3" t="s">
        <v>187</v>
      </c>
      <c r="L1413" s="3" t="s">
        <v>187</v>
      </c>
      <c r="M1413" s="3" t="s">
        <v>186</v>
      </c>
      <c r="N1413" s="3" t="s">
        <v>729</v>
      </c>
      <c r="O1413" s="3" t="s">
        <v>728</v>
      </c>
      <c r="P1413" s="3" t="s">
        <v>6</v>
      </c>
      <c r="Q1413" s="3" t="s">
        <v>20</v>
      </c>
      <c r="R1413" s="3" t="s">
        <v>4</v>
      </c>
      <c r="S1413" s="3" t="s">
        <v>3</v>
      </c>
      <c r="T1413" s="3" t="s">
        <v>2</v>
      </c>
      <c r="U1413" s="3" t="s">
        <v>463</v>
      </c>
      <c r="V1413" s="3" t="s">
        <v>18</v>
      </c>
      <c r="W1413" s="2">
        <v>29</v>
      </c>
    </row>
    <row r="1414" spans="1:24" hidden="1" x14ac:dyDescent="0.25">
      <c r="A1414" s="8">
        <v>10338</v>
      </c>
      <c r="B1414" s="8" t="s">
        <v>727</v>
      </c>
      <c r="C1414" s="7" t="s">
        <v>726</v>
      </c>
      <c r="D1414" s="6" t="s">
        <v>15</v>
      </c>
      <c r="E1414" s="5" t="s">
        <v>725</v>
      </c>
      <c r="F1414" s="4">
        <v>40511</v>
      </c>
      <c r="G1414" s="4" t="s">
        <v>1</v>
      </c>
      <c r="H1414" s="4" t="s">
        <v>1</v>
      </c>
      <c r="I1414" s="3" t="s">
        <v>13</v>
      </c>
      <c r="J1414" s="3" t="s">
        <v>12</v>
      </c>
      <c r="K1414" s="3" t="s">
        <v>33</v>
      </c>
      <c r="L1414" s="3" t="s">
        <v>33</v>
      </c>
      <c r="M1414" s="3" t="s">
        <v>691</v>
      </c>
      <c r="N1414" s="3" t="s">
        <v>710</v>
      </c>
      <c r="O1414" s="3" t="s">
        <v>59</v>
      </c>
      <c r="P1414" s="3" t="s">
        <v>30</v>
      </c>
      <c r="Q1414" s="3" t="s">
        <v>5</v>
      </c>
      <c r="R1414" s="3" t="s">
        <v>4</v>
      </c>
      <c r="S1414" s="3" t="s">
        <v>3</v>
      </c>
      <c r="T1414" s="3" t="s">
        <v>2</v>
      </c>
      <c r="U1414" s="3" t="s">
        <v>1</v>
      </c>
      <c r="V1414" s="3" t="s">
        <v>0</v>
      </c>
      <c r="W1414" s="2">
        <v>33</v>
      </c>
    </row>
    <row r="1415" spans="1:24" hidden="1" x14ac:dyDescent="0.25">
      <c r="A1415" s="8">
        <v>11107</v>
      </c>
      <c r="B1415" s="8" t="s">
        <v>724</v>
      </c>
      <c r="C1415" s="35" t="s">
        <v>723</v>
      </c>
      <c r="D1415" s="6" t="s">
        <v>15</v>
      </c>
      <c r="E1415" s="8" t="s">
        <v>722</v>
      </c>
      <c r="F1415" s="4">
        <v>40603</v>
      </c>
      <c r="G1415" s="4" t="s">
        <v>1</v>
      </c>
      <c r="H1415" s="4" t="s">
        <v>1</v>
      </c>
      <c r="I1415" s="3" t="s">
        <v>13</v>
      </c>
      <c r="J1415" s="3" t="s">
        <v>12</v>
      </c>
      <c r="K1415" s="3" t="s">
        <v>33</v>
      </c>
      <c r="L1415" s="3" t="s">
        <v>33</v>
      </c>
      <c r="M1415" s="3" t="s">
        <v>691</v>
      </c>
      <c r="N1415" s="3" t="s">
        <v>703</v>
      </c>
      <c r="O1415" s="3" t="s">
        <v>258</v>
      </c>
      <c r="P1415" s="3" t="s">
        <v>30</v>
      </c>
      <c r="Q1415" s="3" t="s">
        <v>5</v>
      </c>
      <c r="R1415" s="3" t="s">
        <v>4</v>
      </c>
      <c r="S1415" s="3" t="s">
        <v>3</v>
      </c>
      <c r="T1415" s="3" t="s">
        <v>2</v>
      </c>
      <c r="U1415" s="3" t="s">
        <v>1</v>
      </c>
      <c r="V1415" s="3" t="s">
        <v>0</v>
      </c>
      <c r="W1415" s="2">
        <v>35</v>
      </c>
    </row>
    <row r="1416" spans="1:24" hidden="1" x14ac:dyDescent="0.25">
      <c r="A1416" s="8">
        <v>20502</v>
      </c>
      <c r="B1416" s="8" t="s">
        <v>721</v>
      </c>
      <c r="C1416" s="7" t="s">
        <v>720</v>
      </c>
      <c r="D1416" s="6" t="s">
        <v>15</v>
      </c>
      <c r="E1416" s="5" t="s">
        <v>717</v>
      </c>
      <c r="F1416" s="4">
        <v>42634</v>
      </c>
      <c r="G1416" s="4" t="s">
        <v>1</v>
      </c>
      <c r="H1416" s="4" t="s">
        <v>1</v>
      </c>
      <c r="I1416" s="3" t="s">
        <v>13</v>
      </c>
      <c r="J1416" s="3" t="s">
        <v>12</v>
      </c>
      <c r="K1416" s="3" t="s">
        <v>63</v>
      </c>
      <c r="L1416" s="3" t="s">
        <v>138</v>
      </c>
      <c r="M1416" s="3" t="s">
        <v>137</v>
      </c>
      <c r="N1416" s="3" t="s">
        <v>606</v>
      </c>
      <c r="O1416" s="3" t="s">
        <v>59</v>
      </c>
      <c r="P1416" s="3" t="s">
        <v>6</v>
      </c>
      <c r="Q1416" s="3" t="s">
        <v>5</v>
      </c>
      <c r="R1416" s="3" t="s">
        <v>4</v>
      </c>
      <c r="S1416" s="3" t="s">
        <v>3</v>
      </c>
      <c r="T1416" s="3" t="s">
        <v>2</v>
      </c>
      <c r="U1416" s="3" t="s">
        <v>1</v>
      </c>
      <c r="V1416" s="3" t="s">
        <v>0</v>
      </c>
      <c r="W1416" s="2">
        <v>29</v>
      </c>
    </row>
    <row r="1417" spans="1:24" hidden="1" x14ac:dyDescent="0.25">
      <c r="A1417" s="8">
        <v>20525</v>
      </c>
      <c r="B1417" s="8" t="s">
        <v>719</v>
      </c>
      <c r="C1417" s="7" t="s">
        <v>718</v>
      </c>
      <c r="D1417" s="6" t="s">
        <v>15</v>
      </c>
      <c r="E1417" s="5" t="s">
        <v>717</v>
      </c>
      <c r="F1417" s="4">
        <v>42634</v>
      </c>
      <c r="G1417" s="4" t="s">
        <v>1</v>
      </c>
      <c r="H1417" s="4" t="s">
        <v>1</v>
      </c>
      <c r="I1417" s="3" t="s">
        <v>13</v>
      </c>
      <c r="J1417" s="3" t="s">
        <v>12</v>
      </c>
      <c r="K1417" s="3" t="s">
        <v>63</v>
      </c>
      <c r="L1417" s="3" t="s">
        <v>138</v>
      </c>
      <c r="M1417" s="3" t="s">
        <v>137</v>
      </c>
      <c r="N1417" s="3" t="s">
        <v>716</v>
      </c>
      <c r="O1417" s="3" t="s">
        <v>59</v>
      </c>
      <c r="P1417" s="3" t="s">
        <v>6</v>
      </c>
      <c r="Q1417" s="3" t="s">
        <v>5</v>
      </c>
      <c r="R1417" s="3" t="s">
        <v>4</v>
      </c>
      <c r="S1417" s="3" t="s">
        <v>3</v>
      </c>
      <c r="T1417" s="3" t="s">
        <v>2</v>
      </c>
      <c r="U1417" s="3" t="s">
        <v>1</v>
      </c>
      <c r="V1417" s="3" t="s">
        <v>0</v>
      </c>
      <c r="W1417" s="2">
        <v>26</v>
      </c>
    </row>
    <row r="1418" spans="1:24" hidden="1" x14ac:dyDescent="0.25">
      <c r="A1418" s="8">
        <v>11321</v>
      </c>
      <c r="B1418" s="8" t="s">
        <v>715</v>
      </c>
      <c r="C1418" s="7" t="s">
        <v>714</v>
      </c>
      <c r="D1418" s="6" t="s">
        <v>15</v>
      </c>
      <c r="E1418" s="5" t="s">
        <v>713</v>
      </c>
      <c r="F1418" s="4">
        <v>40666</v>
      </c>
      <c r="G1418" s="4" t="s">
        <v>1</v>
      </c>
      <c r="H1418" s="4" t="s">
        <v>1</v>
      </c>
      <c r="I1418" s="3" t="s">
        <v>13</v>
      </c>
      <c r="J1418" s="3" t="s">
        <v>12</v>
      </c>
      <c r="K1418" s="3" t="s">
        <v>33</v>
      </c>
      <c r="L1418" s="3" t="s">
        <v>33</v>
      </c>
      <c r="M1418" s="3" t="s">
        <v>691</v>
      </c>
      <c r="N1418" s="3" t="s">
        <v>29</v>
      </c>
      <c r="O1418" s="3" t="s">
        <v>29</v>
      </c>
      <c r="P1418" s="3" t="s">
        <v>30</v>
      </c>
      <c r="Q1418" s="3" t="s">
        <v>20</v>
      </c>
      <c r="R1418" s="3" t="s">
        <v>4</v>
      </c>
      <c r="S1418" s="3" t="s">
        <v>3</v>
      </c>
      <c r="T1418" s="3" t="s">
        <v>29</v>
      </c>
      <c r="U1418" s="3" t="s">
        <v>1</v>
      </c>
      <c r="V1418" s="3" t="s">
        <v>0</v>
      </c>
      <c r="W1418" s="2">
        <v>34</v>
      </c>
    </row>
    <row r="1419" spans="1:24" hidden="1" x14ac:dyDescent="0.25">
      <c r="A1419" s="8">
        <v>13065</v>
      </c>
      <c r="B1419" s="8" t="s">
        <v>712</v>
      </c>
      <c r="C1419" s="7" t="s">
        <v>711</v>
      </c>
      <c r="D1419" s="6" t="s">
        <v>15</v>
      </c>
      <c r="E1419" s="5" t="s">
        <v>332</v>
      </c>
      <c r="F1419" s="4">
        <v>40854</v>
      </c>
      <c r="G1419" s="4" t="s">
        <v>1</v>
      </c>
      <c r="H1419" s="4" t="s">
        <v>1</v>
      </c>
      <c r="I1419" s="3" t="s">
        <v>13</v>
      </c>
      <c r="J1419" s="3" t="s">
        <v>12</v>
      </c>
      <c r="K1419" s="3" t="s">
        <v>33</v>
      </c>
      <c r="L1419" s="3" t="s">
        <v>33</v>
      </c>
      <c r="M1419" s="3" t="s">
        <v>691</v>
      </c>
      <c r="N1419" s="3" t="s">
        <v>710</v>
      </c>
      <c r="O1419" s="3" t="s">
        <v>59</v>
      </c>
      <c r="P1419" s="3" t="s">
        <v>30</v>
      </c>
      <c r="Q1419" s="3" t="s">
        <v>5</v>
      </c>
      <c r="R1419" s="3" t="s">
        <v>4</v>
      </c>
      <c r="S1419" s="3" t="s">
        <v>3</v>
      </c>
      <c r="T1419" s="3" t="s">
        <v>2</v>
      </c>
      <c r="U1419" s="3" t="s">
        <v>1</v>
      </c>
      <c r="V1419" s="3" t="s">
        <v>0</v>
      </c>
      <c r="W1419" s="2">
        <v>33</v>
      </c>
    </row>
    <row r="1420" spans="1:24" hidden="1" x14ac:dyDescent="0.25">
      <c r="A1420" s="8">
        <v>13145</v>
      </c>
      <c r="B1420" s="8" t="s">
        <v>709</v>
      </c>
      <c r="C1420" s="19" t="s">
        <v>708</v>
      </c>
      <c r="D1420" s="6" t="s">
        <v>15</v>
      </c>
      <c r="E1420" s="18" t="s">
        <v>707</v>
      </c>
      <c r="F1420" s="4">
        <v>40889</v>
      </c>
      <c r="G1420" s="4" t="s">
        <v>1</v>
      </c>
      <c r="H1420" s="4" t="s">
        <v>1</v>
      </c>
      <c r="I1420" s="3" t="s">
        <v>13</v>
      </c>
      <c r="J1420" s="3" t="s">
        <v>12</v>
      </c>
      <c r="K1420" s="3" t="s">
        <v>33</v>
      </c>
      <c r="L1420" s="3" t="s">
        <v>33</v>
      </c>
      <c r="M1420" s="3" t="s">
        <v>691</v>
      </c>
      <c r="N1420" s="3" t="s">
        <v>690</v>
      </c>
      <c r="O1420" s="3" t="s">
        <v>67</v>
      </c>
      <c r="P1420" s="3" t="s">
        <v>30</v>
      </c>
      <c r="Q1420" s="3" t="s">
        <v>5</v>
      </c>
      <c r="R1420" s="3" t="s">
        <v>4</v>
      </c>
      <c r="S1420" s="3" t="s">
        <v>3</v>
      </c>
      <c r="T1420" s="3" t="s">
        <v>2</v>
      </c>
      <c r="U1420" s="3" t="s">
        <v>1</v>
      </c>
      <c r="V1420" s="3" t="s">
        <v>0</v>
      </c>
      <c r="W1420" s="2">
        <v>31</v>
      </c>
    </row>
    <row r="1421" spans="1:24" hidden="1" x14ac:dyDescent="0.25">
      <c r="A1421" s="8">
        <v>15618</v>
      </c>
      <c r="B1421" s="8" t="s">
        <v>706</v>
      </c>
      <c r="C1421" s="7" t="s">
        <v>705</v>
      </c>
      <c r="D1421" s="6" t="s">
        <v>15</v>
      </c>
      <c r="E1421" s="5" t="s">
        <v>704</v>
      </c>
      <c r="F1421" s="4">
        <v>41459</v>
      </c>
      <c r="G1421" s="4" t="s">
        <v>1</v>
      </c>
      <c r="H1421" s="4" t="s">
        <v>1</v>
      </c>
      <c r="I1421" s="3" t="s">
        <v>13</v>
      </c>
      <c r="J1421" s="3" t="s">
        <v>12</v>
      </c>
      <c r="K1421" s="3" t="s">
        <v>33</v>
      </c>
      <c r="L1421" s="3" t="s">
        <v>33</v>
      </c>
      <c r="M1421" s="3" t="s">
        <v>691</v>
      </c>
      <c r="N1421" s="3" t="s">
        <v>703</v>
      </c>
      <c r="O1421" s="3" t="s">
        <v>258</v>
      </c>
      <c r="P1421" s="3" t="s">
        <v>30</v>
      </c>
      <c r="Q1421" s="3" t="s">
        <v>5</v>
      </c>
      <c r="R1421" s="3" t="s">
        <v>4</v>
      </c>
      <c r="S1421" s="3" t="s">
        <v>3</v>
      </c>
      <c r="T1421" s="3" t="s">
        <v>2</v>
      </c>
      <c r="U1421" s="3" t="s">
        <v>1</v>
      </c>
      <c r="V1421" s="3" t="s">
        <v>0</v>
      </c>
      <c r="W1421" s="2">
        <v>29</v>
      </c>
    </row>
    <row r="1422" spans="1:24" hidden="1" x14ac:dyDescent="0.25">
      <c r="A1422" s="8">
        <v>20689</v>
      </c>
      <c r="B1422" s="8" t="s">
        <v>702</v>
      </c>
      <c r="C1422" s="7" t="s">
        <v>701</v>
      </c>
      <c r="D1422" s="6" t="s">
        <v>15</v>
      </c>
      <c r="E1422" s="5" t="s">
        <v>112</v>
      </c>
      <c r="F1422" s="4">
        <v>42639</v>
      </c>
      <c r="G1422" s="4" t="s">
        <v>1</v>
      </c>
      <c r="H1422" s="4" t="s">
        <v>1</v>
      </c>
      <c r="I1422" s="18" t="s">
        <v>100</v>
      </c>
      <c r="J1422" s="18" t="s">
        <v>124</v>
      </c>
      <c r="K1422" s="18" t="s">
        <v>33</v>
      </c>
      <c r="L1422" s="18" t="s">
        <v>33</v>
      </c>
      <c r="M1422" s="18" t="s">
        <v>124</v>
      </c>
      <c r="N1422" s="18" t="s">
        <v>194</v>
      </c>
      <c r="O1422" s="18" t="s">
        <v>122</v>
      </c>
      <c r="P1422" s="5" t="s">
        <v>1</v>
      </c>
      <c r="Q1422" s="5" t="s">
        <v>121</v>
      </c>
      <c r="R1422" s="3" t="s">
        <v>4</v>
      </c>
      <c r="S1422" s="3" t="s">
        <v>3</v>
      </c>
      <c r="T1422" s="3" t="s">
        <v>2</v>
      </c>
      <c r="U1422" s="3" t="s">
        <v>1</v>
      </c>
      <c r="V1422" s="3" t="s">
        <v>0</v>
      </c>
      <c r="W1422" s="2">
        <v>25</v>
      </c>
    </row>
    <row r="1423" spans="1:24" hidden="1" x14ac:dyDescent="0.25">
      <c r="A1423" s="8">
        <v>20692</v>
      </c>
      <c r="B1423" s="8" t="s">
        <v>700</v>
      </c>
      <c r="C1423" s="7" t="s">
        <v>699</v>
      </c>
      <c r="D1423" s="6" t="s">
        <v>15</v>
      </c>
      <c r="E1423" s="5" t="s">
        <v>112</v>
      </c>
      <c r="F1423" s="4">
        <v>42639</v>
      </c>
      <c r="G1423" s="4" t="s">
        <v>1</v>
      </c>
      <c r="H1423" s="4" t="s">
        <v>1</v>
      </c>
      <c r="I1423" s="3" t="s">
        <v>13</v>
      </c>
      <c r="J1423" s="3" t="s">
        <v>12</v>
      </c>
      <c r="K1423" s="3" t="s">
        <v>283</v>
      </c>
      <c r="L1423" s="3" t="s">
        <v>282</v>
      </c>
      <c r="M1423" s="3" t="s">
        <v>698</v>
      </c>
      <c r="N1423" s="3" t="s">
        <v>22</v>
      </c>
      <c r="O1423" s="3" t="s">
        <v>21</v>
      </c>
      <c r="P1423" s="3" t="s">
        <v>6</v>
      </c>
      <c r="Q1423" s="3" t="s">
        <v>20</v>
      </c>
      <c r="R1423" s="3" t="s">
        <v>4</v>
      </c>
      <c r="S1423" s="3" t="s">
        <v>3</v>
      </c>
      <c r="T1423" s="3" t="s">
        <v>19</v>
      </c>
      <c r="U1423" s="3" t="s">
        <v>1</v>
      </c>
      <c r="V1423" s="3" t="s">
        <v>0</v>
      </c>
      <c r="W1423" s="2">
        <v>29</v>
      </c>
    </row>
    <row r="1424" spans="1:24" hidden="1" x14ac:dyDescent="0.25">
      <c r="A1424" s="8">
        <v>20693</v>
      </c>
      <c r="B1424" s="8" t="s">
        <v>697</v>
      </c>
      <c r="C1424" s="28" t="s">
        <v>696</v>
      </c>
      <c r="D1424" s="6" t="s">
        <v>15</v>
      </c>
      <c r="E1424" s="5" t="s">
        <v>695</v>
      </c>
      <c r="F1424" s="4">
        <v>42642</v>
      </c>
      <c r="G1424" s="4" t="s">
        <v>1</v>
      </c>
      <c r="H1424" s="4" t="s">
        <v>1</v>
      </c>
      <c r="I1424" s="5" t="s">
        <v>365</v>
      </c>
      <c r="J1424" s="5" t="s">
        <v>240</v>
      </c>
      <c r="K1424" s="3" t="s">
        <v>33</v>
      </c>
      <c r="L1424" s="3" t="s">
        <v>33</v>
      </c>
      <c r="M1424" s="3" t="s">
        <v>694</v>
      </c>
      <c r="N1424" s="3" t="s">
        <v>348</v>
      </c>
      <c r="O1424" s="5" t="s">
        <v>347</v>
      </c>
      <c r="P1424" s="3" t="s">
        <v>30</v>
      </c>
      <c r="Q1424" s="3" t="s">
        <v>121</v>
      </c>
      <c r="R1424" s="3" t="s">
        <v>4</v>
      </c>
      <c r="S1424" s="3" t="s">
        <v>3</v>
      </c>
      <c r="T1424" s="3" t="s">
        <v>346</v>
      </c>
      <c r="U1424" s="3" t="s">
        <v>1</v>
      </c>
      <c r="V1424" s="3" t="s">
        <v>0</v>
      </c>
      <c r="W1424" s="2">
        <v>30</v>
      </c>
    </row>
    <row r="1425" spans="1:24" hidden="1" x14ac:dyDescent="0.25">
      <c r="A1425" s="8" t="s">
        <v>693</v>
      </c>
      <c r="B1425" s="8" t="s">
        <v>693</v>
      </c>
      <c r="C1425" s="19" t="s">
        <v>692</v>
      </c>
      <c r="D1425" s="6" t="s">
        <v>15</v>
      </c>
      <c r="E1425" s="18" t="s">
        <v>321</v>
      </c>
      <c r="F1425" s="4">
        <v>40840</v>
      </c>
      <c r="G1425" s="4" t="s">
        <v>1</v>
      </c>
      <c r="H1425" s="4" t="s">
        <v>1</v>
      </c>
      <c r="I1425" s="3" t="s">
        <v>13</v>
      </c>
      <c r="J1425" s="3" t="s">
        <v>12</v>
      </c>
      <c r="K1425" s="3" t="s">
        <v>33</v>
      </c>
      <c r="L1425" s="3" t="s">
        <v>33</v>
      </c>
      <c r="M1425" s="3" t="s">
        <v>691</v>
      </c>
      <c r="N1425" s="3" t="s">
        <v>690</v>
      </c>
      <c r="O1425" s="3" t="s">
        <v>67</v>
      </c>
      <c r="P1425" s="3" t="s">
        <v>30</v>
      </c>
      <c r="Q1425" s="3" t="s">
        <v>5</v>
      </c>
      <c r="R1425" s="3" t="s">
        <v>4</v>
      </c>
      <c r="S1425" s="3" t="s">
        <v>3</v>
      </c>
      <c r="T1425" s="3" t="s">
        <v>2</v>
      </c>
      <c r="U1425" s="3" t="s">
        <v>1</v>
      </c>
      <c r="V1425" s="3" t="s">
        <v>0</v>
      </c>
      <c r="W1425" s="2">
        <v>33</v>
      </c>
    </row>
    <row r="1426" spans="1:24" hidden="1" x14ac:dyDescent="0.25">
      <c r="A1426" s="8">
        <v>268</v>
      </c>
      <c r="B1426" s="8" t="s">
        <v>689</v>
      </c>
      <c r="C1426" s="7" t="s">
        <v>688</v>
      </c>
      <c r="D1426" s="6" t="s">
        <v>15</v>
      </c>
      <c r="E1426" s="5" t="s">
        <v>343</v>
      </c>
      <c r="F1426" s="4">
        <v>37704</v>
      </c>
      <c r="G1426" s="4" t="s">
        <v>1</v>
      </c>
      <c r="H1426" s="4" t="s">
        <v>1</v>
      </c>
      <c r="I1426" s="3" t="s">
        <v>13</v>
      </c>
      <c r="J1426" s="3" t="s">
        <v>133</v>
      </c>
      <c r="K1426" s="3" t="s">
        <v>33</v>
      </c>
      <c r="L1426" s="3" t="s">
        <v>33</v>
      </c>
      <c r="M1426" s="3" t="s">
        <v>687</v>
      </c>
      <c r="N1426" s="3" t="s">
        <v>686</v>
      </c>
      <c r="O1426" s="3" t="s">
        <v>615</v>
      </c>
      <c r="P1426" s="3" t="s">
        <v>72</v>
      </c>
      <c r="Q1426" s="3" t="s">
        <v>20</v>
      </c>
      <c r="R1426" s="3" t="s">
        <v>4</v>
      </c>
      <c r="S1426" s="3" t="s">
        <v>3</v>
      </c>
      <c r="T1426" s="3" t="s">
        <v>338</v>
      </c>
      <c r="U1426" s="3" t="s">
        <v>1</v>
      </c>
      <c r="V1426" s="3" t="s">
        <v>18</v>
      </c>
      <c r="W1426" s="2">
        <v>43</v>
      </c>
    </row>
    <row r="1427" spans="1:24" hidden="1" x14ac:dyDescent="0.25">
      <c r="A1427" s="8">
        <v>126</v>
      </c>
      <c r="B1427" s="8" t="s">
        <v>685</v>
      </c>
      <c r="C1427" s="7" t="s">
        <v>684</v>
      </c>
      <c r="D1427" s="6" t="s">
        <v>15</v>
      </c>
      <c r="E1427" s="5" t="s">
        <v>343</v>
      </c>
      <c r="F1427" s="4">
        <v>37627</v>
      </c>
      <c r="G1427" s="4" t="s">
        <v>1</v>
      </c>
      <c r="H1427" s="4" t="s">
        <v>1</v>
      </c>
      <c r="I1427" s="3" t="s">
        <v>13</v>
      </c>
      <c r="J1427" s="3" t="s">
        <v>12</v>
      </c>
      <c r="K1427" s="3" t="s">
        <v>33</v>
      </c>
      <c r="L1427" s="3" t="s">
        <v>33</v>
      </c>
      <c r="M1427" s="3" t="s">
        <v>654</v>
      </c>
      <c r="N1427" s="3" t="s">
        <v>683</v>
      </c>
      <c r="O1427" s="3" t="s">
        <v>615</v>
      </c>
      <c r="P1427" s="3" t="s">
        <v>72</v>
      </c>
      <c r="Q1427" s="3" t="s">
        <v>20</v>
      </c>
      <c r="R1427" s="3" t="s">
        <v>4</v>
      </c>
      <c r="S1427" s="3" t="s">
        <v>3</v>
      </c>
      <c r="T1427" s="3" t="s">
        <v>338</v>
      </c>
      <c r="U1427" s="3" t="s">
        <v>1</v>
      </c>
      <c r="V1427" s="3" t="s">
        <v>0</v>
      </c>
      <c r="W1427" s="2">
        <v>42</v>
      </c>
    </row>
    <row r="1428" spans="1:24" hidden="1" x14ac:dyDescent="0.25">
      <c r="A1428" s="8">
        <v>20785</v>
      </c>
      <c r="B1428" s="8" t="s">
        <v>682</v>
      </c>
      <c r="C1428" s="7" t="s">
        <v>681</v>
      </c>
      <c r="D1428" s="6" t="s">
        <v>15</v>
      </c>
      <c r="E1428" s="5" t="s">
        <v>680</v>
      </c>
      <c r="F1428" s="4">
        <v>42642</v>
      </c>
      <c r="G1428" s="4" t="s">
        <v>1</v>
      </c>
      <c r="H1428" s="4" t="s">
        <v>1</v>
      </c>
      <c r="I1428" s="3" t="s">
        <v>13</v>
      </c>
      <c r="J1428" s="3" t="s">
        <v>12</v>
      </c>
      <c r="K1428" s="3" t="s">
        <v>262</v>
      </c>
      <c r="L1428" s="3" t="s">
        <v>261</v>
      </c>
      <c r="M1428" s="3" t="s">
        <v>329</v>
      </c>
      <c r="N1428" s="3" t="s">
        <v>679</v>
      </c>
      <c r="O1428" s="3" t="s">
        <v>7</v>
      </c>
      <c r="P1428" s="3" t="s">
        <v>6</v>
      </c>
      <c r="Q1428" s="3" t="s">
        <v>5</v>
      </c>
      <c r="R1428" s="3" t="s">
        <v>4</v>
      </c>
      <c r="S1428" s="3" t="s">
        <v>3</v>
      </c>
      <c r="T1428" s="3" t="s">
        <v>2</v>
      </c>
      <c r="U1428" s="3" t="s">
        <v>1</v>
      </c>
      <c r="V1428" s="3" t="s">
        <v>0</v>
      </c>
      <c r="W1428" s="2">
        <v>26</v>
      </c>
    </row>
    <row r="1429" spans="1:24" hidden="1" x14ac:dyDescent="0.25">
      <c r="A1429" s="8">
        <v>20864</v>
      </c>
      <c r="B1429" s="8" t="s">
        <v>678</v>
      </c>
      <c r="C1429" s="7" t="s">
        <v>677</v>
      </c>
      <c r="D1429" s="6" t="s">
        <v>15</v>
      </c>
      <c r="E1429" s="5" t="s">
        <v>676</v>
      </c>
      <c r="F1429" s="4">
        <v>42660</v>
      </c>
      <c r="G1429" s="4" t="s">
        <v>1</v>
      </c>
      <c r="H1429" s="4" t="s">
        <v>1</v>
      </c>
      <c r="I1429" s="3" t="s">
        <v>13</v>
      </c>
      <c r="J1429" s="3" t="s">
        <v>12</v>
      </c>
      <c r="K1429" s="3" t="s">
        <v>262</v>
      </c>
      <c r="L1429" s="3" t="s">
        <v>261</v>
      </c>
      <c r="M1429" s="3" t="s">
        <v>329</v>
      </c>
      <c r="N1429" s="3" t="s">
        <v>68</v>
      </c>
      <c r="O1429" s="3" t="s">
        <v>67</v>
      </c>
      <c r="P1429" s="3" t="s">
        <v>6</v>
      </c>
      <c r="Q1429" s="3" t="s">
        <v>5</v>
      </c>
      <c r="R1429" s="3" t="s">
        <v>4</v>
      </c>
      <c r="S1429" s="3" t="s">
        <v>3</v>
      </c>
      <c r="T1429" s="3" t="s">
        <v>2</v>
      </c>
      <c r="U1429" s="3" t="s">
        <v>1</v>
      </c>
      <c r="V1429" s="3" t="s">
        <v>18</v>
      </c>
      <c r="W1429" s="2">
        <v>30</v>
      </c>
    </row>
    <row r="1430" spans="1:24" s="9" customFormat="1" hidden="1" x14ac:dyDescent="0.25">
      <c r="A1430" s="17">
        <v>711</v>
      </c>
      <c r="B1430" s="17" t="s">
        <v>675</v>
      </c>
      <c r="C1430" s="16" t="s">
        <v>674</v>
      </c>
      <c r="D1430" s="15" t="s">
        <v>15</v>
      </c>
      <c r="E1430" s="14" t="s">
        <v>343</v>
      </c>
      <c r="F1430" s="13">
        <v>37802</v>
      </c>
      <c r="G1430" s="13" t="s">
        <v>1</v>
      </c>
      <c r="H1430" s="13" t="s">
        <v>1</v>
      </c>
      <c r="I1430" s="12" t="s">
        <v>13</v>
      </c>
      <c r="J1430" s="12" t="s">
        <v>12</v>
      </c>
      <c r="K1430" s="12" t="s">
        <v>33</v>
      </c>
      <c r="L1430" s="12" t="s">
        <v>33</v>
      </c>
      <c r="M1430" s="12" t="s">
        <v>654</v>
      </c>
      <c r="N1430" s="12" t="s">
        <v>673</v>
      </c>
      <c r="O1430" s="12" t="s">
        <v>615</v>
      </c>
      <c r="P1430" s="12" t="s">
        <v>30</v>
      </c>
      <c r="Q1430" s="12" t="s">
        <v>20</v>
      </c>
      <c r="R1430" s="12" t="s">
        <v>4</v>
      </c>
      <c r="S1430" s="12" t="s">
        <v>3</v>
      </c>
      <c r="T1430" s="12" t="s">
        <v>338</v>
      </c>
      <c r="U1430" s="12" t="s">
        <v>1</v>
      </c>
      <c r="V1430" s="12" t="s">
        <v>18</v>
      </c>
      <c r="W1430" s="11">
        <v>46</v>
      </c>
      <c r="X1430" s="10"/>
    </row>
    <row r="1431" spans="1:24" hidden="1" x14ac:dyDescent="0.25">
      <c r="A1431" s="8">
        <v>13645</v>
      </c>
      <c r="B1431" s="8" t="s">
        <v>672</v>
      </c>
      <c r="C1431" s="19" t="s">
        <v>671</v>
      </c>
      <c r="D1431" s="6" t="s">
        <v>15</v>
      </c>
      <c r="E1431" s="5" t="s">
        <v>343</v>
      </c>
      <c r="F1431" s="4">
        <v>41092</v>
      </c>
      <c r="G1431" s="4" t="s">
        <v>1</v>
      </c>
      <c r="H1431" s="4" t="s">
        <v>1</v>
      </c>
      <c r="I1431" s="3" t="s">
        <v>13</v>
      </c>
      <c r="J1431" s="3" t="s">
        <v>12</v>
      </c>
      <c r="K1431" s="3" t="s">
        <v>33</v>
      </c>
      <c r="L1431" s="3" t="s">
        <v>33</v>
      </c>
      <c r="M1431" s="3" t="s">
        <v>654</v>
      </c>
      <c r="N1431" s="3" t="s">
        <v>670</v>
      </c>
      <c r="O1431" s="3" t="s">
        <v>615</v>
      </c>
      <c r="P1431" s="3" t="s">
        <v>72</v>
      </c>
      <c r="Q1431" s="3" t="s">
        <v>20</v>
      </c>
      <c r="R1431" s="3" t="s">
        <v>4</v>
      </c>
      <c r="S1431" s="3" t="s">
        <v>3</v>
      </c>
      <c r="T1431" s="3" t="s">
        <v>338</v>
      </c>
      <c r="U1431" s="3" t="s">
        <v>1</v>
      </c>
      <c r="V1431" s="3" t="s">
        <v>18</v>
      </c>
      <c r="W1431" s="2">
        <v>39</v>
      </c>
    </row>
    <row r="1432" spans="1:24" s="78" customFormat="1" hidden="1" x14ac:dyDescent="0.25">
      <c r="A1432" s="73">
        <v>13649</v>
      </c>
      <c r="B1432" s="73" t="s">
        <v>669</v>
      </c>
      <c r="C1432" s="102" t="s">
        <v>668</v>
      </c>
      <c r="D1432" s="88" t="s">
        <v>15</v>
      </c>
      <c r="E1432" s="89" t="s">
        <v>343</v>
      </c>
      <c r="F1432" s="90">
        <v>41155</v>
      </c>
      <c r="G1432" s="90" t="s">
        <v>1</v>
      </c>
      <c r="H1432" s="90" t="s">
        <v>1</v>
      </c>
      <c r="I1432" s="92" t="s">
        <v>13</v>
      </c>
      <c r="J1432" s="92" t="s">
        <v>12</v>
      </c>
      <c r="K1432" s="92" t="s">
        <v>33</v>
      </c>
      <c r="L1432" s="92" t="s">
        <v>33</v>
      </c>
      <c r="M1432" s="92" t="s">
        <v>654</v>
      </c>
      <c r="N1432" s="92" t="s">
        <v>667</v>
      </c>
      <c r="O1432" s="92" t="s">
        <v>615</v>
      </c>
      <c r="P1432" s="92" t="s">
        <v>72</v>
      </c>
      <c r="Q1432" s="92" t="s">
        <v>20</v>
      </c>
      <c r="R1432" s="92" t="s">
        <v>4</v>
      </c>
      <c r="S1432" s="92" t="s">
        <v>3</v>
      </c>
      <c r="T1432" s="92" t="s">
        <v>338</v>
      </c>
      <c r="U1432" s="92" t="s">
        <v>1</v>
      </c>
      <c r="V1432" s="92" t="s">
        <v>18</v>
      </c>
      <c r="W1432" s="93">
        <v>36</v>
      </c>
    </row>
    <row r="1433" spans="1:24" hidden="1" x14ac:dyDescent="0.25">
      <c r="A1433" s="8">
        <v>21028</v>
      </c>
      <c r="B1433" s="8" t="s">
        <v>666</v>
      </c>
      <c r="C1433" s="7" t="s">
        <v>665</v>
      </c>
      <c r="D1433" s="6" t="s">
        <v>15</v>
      </c>
      <c r="E1433" s="5" t="s">
        <v>664</v>
      </c>
      <c r="F1433" s="4">
        <v>42724</v>
      </c>
      <c r="G1433" s="4" t="s">
        <v>1</v>
      </c>
      <c r="H1433" s="4" t="s">
        <v>1</v>
      </c>
      <c r="I1433" s="5" t="s">
        <v>50</v>
      </c>
      <c r="J1433" s="5" t="s">
        <v>49</v>
      </c>
      <c r="K1433" s="5" t="s">
        <v>33</v>
      </c>
      <c r="L1433" s="5" t="s">
        <v>33</v>
      </c>
      <c r="M1433" s="5" t="s">
        <v>49</v>
      </c>
      <c r="N1433" s="5" t="s">
        <v>49</v>
      </c>
      <c r="O1433" s="5" t="s">
        <v>48</v>
      </c>
      <c r="P1433" s="5" t="s">
        <v>6</v>
      </c>
      <c r="Q1433" s="5" t="s">
        <v>47</v>
      </c>
      <c r="R1433" s="3" t="s">
        <v>4</v>
      </c>
      <c r="S1433" s="3" t="s">
        <v>3</v>
      </c>
      <c r="T1433" s="3" t="s">
        <v>2</v>
      </c>
      <c r="U1433" s="3" t="s">
        <v>657</v>
      </c>
      <c r="V1433" s="3" t="s">
        <v>18</v>
      </c>
      <c r="W1433" s="2">
        <v>29</v>
      </c>
    </row>
    <row r="1434" spans="1:24" hidden="1" x14ac:dyDescent="0.25">
      <c r="A1434" s="33">
        <v>21033</v>
      </c>
      <c r="B1434" s="8" t="s">
        <v>663</v>
      </c>
      <c r="C1434" s="32" t="s">
        <v>662</v>
      </c>
      <c r="D1434" s="6" t="s">
        <v>15</v>
      </c>
      <c r="E1434" s="31" t="s">
        <v>661</v>
      </c>
      <c r="F1434" s="30">
        <v>42767</v>
      </c>
      <c r="G1434" s="4" t="s">
        <v>1</v>
      </c>
      <c r="H1434" s="4" t="s">
        <v>1</v>
      </c>
      <c r="I1434" s="18" t="s">
        <v>50</v>
      </c>
      <c r="J1434" s="5" t="s">
        <v>75</v>
      </c>
      <c r="K1434" s="5" t="s">
        <v>33</v>
      </c>
      <c r="L1434" s="5" t="s">
        <v>33</v>
      </c>
      <c r="M1434" s="18" t="s">
        <v>75</v>
      </c>
      <c r="N1434" s="21" t="s">
        <v>74</v>
      </c>
      <c r="O1434" s="5" t="s">
        <v>73</v>
      </c>
      <c r="P1434" s="5" t="s">
        <v>6</v>
      </c>
      <c r="Q1434" s="5" t="s">
        <v>47</v>
      </c>
      <c r="R1434" s="3" t="s">
        <v>4</v>
      </c>
      <c r="S1434" s="3" t="s">
        <v>3</v>
      </c>
      <c r="T1434" s="3" t="s">
        <v>2</v>
      </c>
      <c r="U1434" s="3" t="s">
        <v>1</v>
      </c>
      <c r="V1434" s="3" t="s">
        <v>18</v>
      </c>
      <c r="W1434" s="2">
        <v>28</v>
      </c>
    </row>
    <row r="1435" spans="1:24" hidden="1" x14ac:dyDescent="0.25">
      <c r="A1435" s="8">
        <v>21037</v>
      </c>
      <c r="B1435" s="8" t="s">
        <v>660</v>
      </c>
      <c r="C1435" s="7" t="s">
        <v>659</v>
      </c>
      <c r="D1435" s="6" t="s">
        <v>15</v>
      </c>
      <c r="E1435" s="5" t="s">
        <v>658</v>
      </c>
      <c r="F1435" s="4">
        <v>42863</v>
      </c>
      <c r="G1435" s="4" t="s">
        <v>1</v>
      </c>
      <c r="H1435" s="4" t="s">
        <v>1</v>
      </c>
      <c r="I1435" s="5" t="s">
        <v>50</v>
      </c>
      <c r="J1435" s="5" t="s">
        <v>49</v>
      </c>
      <c r="K1435" s="5" t="s">
        <v>33</v>
      </c>
      <c r="L1435" s="5" t="s">
        <v>33</v>
      </c>
      <c r="M1435" s="5" t="s">
        <v>49</v>
      </c>
      <c r="N1435" s="5" t="s">
        <v>49</v>
      </c>
      <c r="O1435" s="5" t="s">
        <v>48</v>
      </c>
      <c r="P1435" s="5" t="s">
        <v>72</v>
      </c>
      <c r="Q1435" s="5" t="s">
        <v>47</v>
      </c>
      <c r="R1435" s="3" t="s">
        <v>4</v>
      </c>
      <c r="S1435" s="3" t="s">
        <v>3</v>
      </c>
      <c r="T1435" s="3" t="s">
        <v>2</v>
      </c>
      <c r="U1435" s="3" t="s">
        <v>657</v>
      </c>
      <c r="V1435" s="3" t="s">
        <v>18</v>
      </c>
      <c r="W1435" s="2">
        <v>37</v>
      </c>
      <c r="X1435" s="20"/>
    </row>
    <row r="1436" spans="1:24" hidden="1" x14ac:dyDescent="0.25">
      <c r="A1436" s="8">
        <v>13789</v>
      </c>
      <c r="B1436" s="8" t="s">
        <v>656</v>
      </c>
      <c r="C1436" s="7" t="s">
        <v>655</v>
      </c>
      <c r="D1436" s="6" t="s">
        <v>15</v>
      </c>
      <c r="E1436" s="5" t="s">
        <v>343</v>
      </c>
      <c r="F1436" s="4">
        <v>41213</v>
      </c>
      <c r="G1436" s="4" t="s">
        <v>1</v>
      </c>
      <c r="H1436" s="4" t="s">
        <v>1</v>
      </c>
      <c r="I1436" s="3" t="s">
        <v>13</v>
      </c>
      <c r="J1436" s="3" t="s">
        <v>12</v>
      </c>
      <c r="K1436" s="3" t="s">
        <v>33</v>
      </c>
      <c r="L1436" s="3" t="s">
        <v>33</v>
      </c>
      <c r="M1436" s="3" t="s">
        <v>654</v>
      </c>
      <c r="N1436" s="3" t="s">
        <v>653</v>
      </c>
      <c r="O1436" s="3" t="s">
        <v>615</v>
      </c>
      <c r="P1436" s="3" t="s">
        <v>72</v>
      </c>
      <c r="Q1436" s="3" t="s">
        <v>20</v>
      </c>
      <c r="R1436" s="3" t="s">
        <v>4</v>
      </c>
      <c r="S1436" s="3" t="s">
        <v>3</v>
      </c>
      <c r="T1436" s="3" t="s">
        <v>338</v>
      </c>
      <c r="U1436" s="3" t="s">
        <v>1</v>
      </c>
      <c r="V1436" s="3" t="s">
        <v>18</v>
      </c>
      <c r="W1436" s="2">
        <v>36</v>
      </c>
    </row>
    <row r="1437" spans="1:24" hidden="1" x14ac:dyDescent="0.25">
      <c r="A1437" s="8">
        <v>21086</v>
      </c>
      <c r="B1437" s="8" t="s">
        <v>652</v>
      </c>
      <c r="C1437" s="7" t="s">
        <v>651</v>
      </c>
      <c r="D1437" s="6" t="s">
        <v>15</v>
      </c>
      <c r="E1437" s="5" t="s">
        <v>650</v>
      </c>
      <c r="F1437" s="4">
        <v>42863</v>
      </c>
      <c r="G1437" s="4" t="s">
        <v>1</v>
      </c>
      <c r="H1437" s="4" t="s">
        <v>1</v>
      </c>
      <c r="I1437" s="3" t="s">
        <v>13</v>
      </c>
      <c r="J1437" s="3" t="s">
        <v>12</v>
      </c>
      <c r="K1437" s="3" t="s">
        <v>63</v>
      </c>
      <c r="L1437" s="3" t="s">
        <v>62</v>
      </c>
      <c r="M1437" s="3" t="s">
        <v>61</v>
      </c>
      <c r="N1437" s="3" t="s">
        <v>649</v>
      </c>
      <c r="O1437" s="3" t="s">
        <v>100</v>
      </c>
      <c r="P1437" s="3" t="s">
        <v>6</v>
      </c>
      <c r="Q1437" s="3" t="s">
        <v>20</v>
      </c>
      <c r="R1437" s="3" t="s">
        <v>4</v>
      </c>
      <c r="S1437" s="3" t="s">
        <v>3</v>
      </c>
      <c r="T1437" s="3" t="s">
        <v>2</v>
      </c>
      <c r="U1437" s="3" t="s">
        <v>1</v>
      </c>
      <c r="V1437" s="3" t="s">
        <v>0</v>
      </c>
      <c r="W1437" s="2">
        <v>27</v>
      </c>
    </row>
    <row r="1438" spans="1:24" hidden="1" x14ac:dyDescent="0.25">
      <c r="A1438" s="8">
        <v>21203</v>
      </c>
      <c r="B1438" s="8" t="s">
        <v>648</v>
      </c>
      <c r="C1438" s="7" t="s">
        <v>647</v>
      </c>
      <c r="D1438" s="6" t="s">
        <v>15</v>
      </c>
      <c r="E1438" s="5" t="s">
        <v>643</v>
      </c>
      <c r="F1438" s="4">
        <v>42877</v>
      </c>
      <c r="G1438" s="4" t="s">
        <v>1</v>
      </c>
      <c r="H1438" s="4" t="s">
        <v>1</v>
      </c>
      <c r="I1438" s="3" t="s">
        <v>13</v>
      </c>
      <c r="J1438" s="3" t="s">
        <v>12</v>
      </c>
      <c r="K1438" s="3" t="s">
        <v>25</v>
      </c>
      <c r="L1438" s="3" t="s">
        <v>24</v>
      </c>
      <c r="M1438" s="3" t="s">
        <v>23</v>
      </c>
      <c r="N1438" s="3" t="s">
        <v>646</v>
      </c>
      <c r="O1438" s="3" t="s">
        <v>67</v>
      </c>
      <c r="P1438" s="3" t="s">
        <v>6</v>
      </c>
      <c r="Q1438" s="3" t="s">
        <v>5</v>
      </c>
      <c r="R1438" s="3" t="s">
        <v>4</v>
      </c>
      <c r="S1438" s="3" t="s">
        <v>3</v>
      </c>
      <c r="T1438" s="3" t="s">
        <v>2</v>
      </c>
      <c r="U1438" s="3" t="s">
        <v>1</v>
      </c>
      <c r="V1438" s="3" t="s">
        <v>18</v>
      </c>
      <c r="W1438" s="2">
        <v>26</v>
      </c>
    </row>
    <row r="1439" spans="1:24" hidden="1" x14ac:dyDescent="0.25">
      <c r="A1439" s="8">
        <v>21205</v>
      </c>
      <c r="B1439" s="8" t="s">
        <v>645</v>
      </c>
      <c r="C1439" s="7" t="s">
        <v>644</v>
      </c>
      <c r="D1439" s="6" t="s">
        <v>15</v>
      </c>
      <c r="E1439" s="5" t="s">
        <v>643</v>
      </c>
      <c r="F1439" s="4">
        <v>42877</v>
      </c>
      <c r="G1439" s="4" t="s">
        <v>1</v>
      </c>
      <c r="H1439" s="4" t="s">
        <v>1</v>
      </c>
      <c r="I1439" s="3" t="s">
        <v>13</v>
      </c>
      <c r="J1439" s="3" t="s">
        <v>12</v>
      </c>
      <c r="K1439" s="3" t="s">
        <v>63</v>
      </c>
      <c r="L1439" s="3" t="s">
        <v>138</v>
      </c>
      <c r="M1439" s="3" t="s">
        <v>137</v>
      </c>
      <c r="N1439" s="3" t="s">
        <v>642</v>
      </c>
      <c r="O1439" s="3" t="s">
        <v>258</v>
      </c>
      <c r="P1439" s="3" t="s">
        <v>6</v>
      </c>
      <c r="Q1439" s="3" t="s">
        <v>5</v>
      </c>
      <c r="R1439" s="3" t="s">
        <v>4</v>
      </c>
      <c r="S1439" s="3" t="s">
        <v>3</v>
      </c>
      <c r="T1439" s="3" t="s">
        <v>2</v>
      </c>
      <c r="U1439" s="3" t="s">
        <v>1</v>
      </c>
      <c r="V1439" s="3" t="s">
        <v>18</v>
      </c>
      <c r="W1439" s="2">
        <v>30</v>
      </c>
    </row>
    <row r="1440" spans="1:24" s="78" customFormat="1" hidden="1" x14ac:dyDescent="0.25">
      <c r="A1440" s="73">
        <v>1170</v>
      </c>
      <c r="B1440" s="73" t="s">
        <v>641</v>
      </c>
      <c r="C1440" s="87" t="s">
        <v>640</v>
      </c>
      <c r="D1440" s="88" t="s">
        <v>15</v>
      </c>
      <c r="E1440" s="89" t="s">
        <v>343</v>
      </c>
      <c r="F1440" s="90">
        <v>37907</v>
      </c>
      <c r="G1440" s="90" t="s">
        <v>1</v>
      </c>
      <c r="H1440" s="90" t="s">
        <v>1</v>
      </c>
      <c r="I1440" s="92" t="s">
        <v>13</v>
      </c>
      <c r="J1440" s="92" t="s">
        <v>34</v>
      </c>
      <c r="K1440" s="92" t="s">
        <v>33</v>
      </c>
      <c r="L1440" s="92" t="s">
        <v>33</v>
      </c>
      <c r="M1440" s="92" t="s">
        <v>617</v>
      </c>
      <c r="N1440" s="92" t="s">
        <v>31</v>
      </c>
      <c r="O1440" s="92" t="s">
        <v>615</v>
      </c>
      <c r="P1440" s="92" t="s">
        <v>30</v>
      </c>
      <c r="Q1440" s="92" t="s">
        <v>20</v>
      </c>
      <c r="R1440" s="92" t="s">
        <v>4</v>
      </c>
      <c r="S1440" s="92" t="s">
        <v>3</v>
      </c>
      <c r="T1440" s="92" t="s">
        <v>338</v>
      </c>
      <c r="U1440" s="92" t="s">
        <v>1</v>
      </c>
      <c r="V1440" s="92" t="s">
        <v>0</v>
      </c>
      <c r="W1440" s="93">
        <v>40</v>
      </c>
    </row>
    <row r="1441" spans="1:24" hidden="1" x14ac:dyDescent="0.25">
      <c r="A1441" s="8">
        <v>4648</v>
      </c>
      <c r="B1441" s="8" t="s">
        <v>639</v>
      </c>
      <c r="C1441" s="7" t="s">
        <v>638</v>
      </c>
      <c r="D1441" s="6" t="s">
        <v>15</v>
      </c>
      <c r="E1441" s="5" t="s">
        <v>343</v>
      </c>
      <c r="F1441" s="4">
        <v>38901</v>
      </c>
      <c r="G1441" s="4" t="s">
        <v>1</v>
      </c>
      <c r="H1441" s="4" t="s">
        <v>1</v>
      </c>
      <c r="I1441" s="3" t="s">
        <v>13</v>
      </c>
      <c r="J1441" s="3" t="s">
        <v>34</v>
      </c>
      <c r="K1441" s="3" t="s">
        <v>33</v>
      </c>
      <c r="L1441" s="3" t="s">
        <v>33</v>
      </c>
      <c r="M1441" s="3" t="s">
        <v>617</v>
      </c>
      <c r="N1441" s="3" t="s">
        <v>637</v>
      </c>
      <c r="O1441" s="3" t="s">
        <v>615</v>
      </c>
      <c r="P1441" s="3" t="s">
        <v>30</v>
      </c>
      <c r="Q1441" s="3" t="s">
        <v>20</v>
      </c>
      <c r="R1441" s="3" t="s">
        <v>4</v>
      </c>
      <c r="S1441" s="3" t="s">
        <v>3</v>
      </c>
      <c r="T1441" s="3" t="s">
        <v>338</v>
      </c>
      <c r="U1441" s="3" t="s">
        <v>1</v>
      </c>
      <c r="V1441" s="3" t="s">
        <v>0</v>
      </c>
      <c r="W1441" s="2">
        <v>39</v>
      </c>
    </row>
    <row r="1442" spans="1:24" hidden="1" x14ac:dyDescent="0.25">
      <c r="A1442" s="8">
        <v>21229</v>
      </c>
      <c r="B1442" s="8" t="s">
        <v>636</v>
      </c>
      <c r="C1442" s="28" t="s">
        <v>635</v>
      </c>
      <c r="D1442" s="6" t="s">
        <v>15</v>
      </c>
      <c r="E1442" s="5" t="s">
        <v>343</v>
      </c>
      <c r="F1442" s="4">
        <v>42891</v>
      </c>
      <c r="G1442" s="4" t="s">
        <v>1</v>
      </c>
      <c r="H1442" s="4" t="s">
        <v>1</v>
      </c>
      <c r="I1442" s="5" t="s">
        <v>342</v>
      </c>
      <c r="J1442" s="5" t="s">
        <v>634</v>
      </c>
      <c r="K1442" s="5" t="s">
        <v>33</v>
      </c>
      <c r="L1442" s="5" t="s">
        <v>33</v>
      </c>
      <c r="M1442" s="5" t="s">
        <v>633</v>
      </c>
      <c r="N1442" s="5" t="s">
        <v>632</v>
      </c>
      <c r="O1442" s="5" t="s">
        <v>339</v>
      </c>
      <c r="P1442" s="5" t="s">
        <v>30</v>
      </c>
      <c r="Q1442" s="5" t="s">
        <v>121</v>
      </c>
      <c r="R1442" s="3" t="s">
        <v>4</v>
      </c>
      <c r="S1442" s="3" t="s">
        <v>3</v>
      </c>
      <c r="T1442" s="3" t="s">
        <v>338</v>
      </c>
      <c r="U1442" s="3" t="s">
        <v>1</v>
      </c>
      <c r="V1442" s="3" t="s">
        <v>0</v>
      </c>
      <c r="W1442" s="2">
        <v>30</v>
      </c>
      <c r="X1442" s="20"/>
    </row>
    <row r="1443" spans="1:24" hidden="1" x14ac:dyDescent="0.25">
      <c r="A1443" s="8">
        <v>21238</v>
      </c>
      <c r="B1443" s="8" t="s">
        <v>631</v>
      </c>
      <c r="C1443" s="7" t="s">
        <v>630</v>
      </c>
      <c r="D1443" s="6" t="s">
        <v>15</v>
      </c>
      <c r="E1443" s="5" t="s">
        <v>629</v>
      </c>
      <c r="F1443" s="4">
        <v>42893</v>
      </c>
      <c r="G1443" s="4" t="s">
        <v>1</v>
      </c>
      <c r="H1443" s="4" t="s">
        <v>1</v>
      </c>
      <c r="I1443" s="3" t="s">
        <v>13</v>
      </c>
      <c r="J1443" s="3" t="s">
        <v>12</v>
      </c>
      <c r="K1443" s="3" t="s">
        <v>25</v>
      </c>
      <c r="L1443" s="3" t="s">
        <v>24</v>
      </c>
      <c r="M1443" s="3" t="s">
        <v>23</v>
      </c>
      <c r="N1443" s="3" t="s">
        <v>628</v>
      </c>
      <c r="O1443" s="3" t="s">
        <v>59</v>
      </c>
      <c r="P1443" s="3" t="s">
        <v>6</v>
      </c>
      <c r="Q1443" s="3" t="s">
        <v>5</v>
      </c>
      <c r="R1443" s="3" t="s">
        <v>4</v>
      </c>
      <c r="S1443" s="3" t="s">
        <v>3</v>
      </c>
      <c r="T1443" s="3" t="s">
        <v>2</v>
      </c>
      <c r="U1443" s="3" t="s">
        <v>1</v>
      </c>
      <c r="V1443" s="3" t="s">
        <v>0</v>
      </c>
      <c r="W1443" s="2">
        <v>25</v>
      </c>
    </row>
    <row r="1444" spans="1:24" hidden="1" x14ac:dyDescent="0.25">
      <c r="A1444" s="8">
        <v>6107</v>
      </c>
      <c r="B1444" s="8" t="s">
        <v>627</v>
      </c>
      <c r="C1444" s="7" t="s">
        <v>626</v>
      </c>
      <c r="D1444" s="6" t="s">
        <v>15</v>
      </c>
      <c r="E1444" s="5" t="s">
        <v>343</v>
      </c>
      <c r="F1444" s="4">
        <v>39142</v>
      </c>
      <c r="G1444" s="4" t="s">
        <v>1</v>
      </c>
      <c r="H1444" s="4" t="s">
        <v>1</v>
      </c>
      <c r="I1444" s="3" t="s">
        <v>13</v>
      </c>
      <c r="J1444" s="3" t="s">
        <v>34</v>
      </c>
      <c r="K1444" s="3" t="s">
        <v>33</v>
      </c>
      <c r="L1444" s="3" t="s">
        <v>33</v>
      </c>
      <c r="M1444" s="3" t="s">
        <v>617</v>
      </c>
      <c r="N1444" s="3" t="s">
        <v>625</v>
      </c>
      <c r="O1444" s="3" t="s">
        <v>624</v>
      </c>
      <c r="P1444" s="3" t="s">
        <v>30</v>
      </c>
      <c r="Q1444" s="3" t="s">
        <v>47</v>
      </c>
      <c r="R1444" s="3" t="s">
        <v>4</v>
      </c>
      <c r="S1444" s="3" t="s">
        <v>3</v>
      </c>
      <c r="T1444" s="3" t="s">
        <v>338</v>
      </c>
      <c r="U1444" s="3" t="s">
        <v>1</v>
      </c>
      <c r="V1444" s="3" t="s">
        <v>18</v>
      </c>
      <c r="W1444" s="2">
        <v>40</v>
      </c>
    </row>
    <row r="1445" spans="1:24" hidden="1" x14ac:dyDescent="0.25">
      <c r="A1445" s="8">
        <v>21279</v>
      </c>
      <c r="B1445" s="8" t="s">
        <v>623</v>
      </c>
      <c r="C1445" s="19" t="s">
        <v>622</v>
      </c>
      <c r="D1445" s="6" t="s">
        <v>15</v>
      </c>
      <c r="E1445" s="18" t="s">
        <v>621</v>
      </c>
      <c r="F1445" s="4">
        <v>43010</v>
      </c>
      <c r="G1445" s="4" t="s">
        <v>1</v>
      </c>
      <c r="H1445" s="4" t="s">
        <v>1</v>
      </c>
      <c r="I1445" s="3" t="s">
        <v>13</v>
      </c>
      <c r="J1445" s="3" t="s">
        <v>12</v>
      </c>
      <c r="K1445" s="3" t="s">
        <v>283</v>
      </c>
      <c r="L1445" s="3" t="s">
        <v>282</v>
      </c>
      <c r="M1445" s="3" t="s">
        <v>281</v>
      </c>
      <c r="N1445" s="3" t="s">
        <v>620</v>
      </c>
      <c r="O1445" s="3" t="s">
        <v>100</v>
      </c>
      <c r="P1445" s="3" t="s">
        <v>6</v>
      </c>
      <c r="Q1445" s="3" t="s">
        <v>20</v>
      </c>
      <c r="R1445" s="3" t="s">
        <v>4</v>
      </c>
      <c r="S1445" s="3" t="s">
        <v>3</v>
      </c>
      <c r="T1445" s="3" t="s">
        <v>2</v>
      </c>
      <c r="U1445" s="3" t="s">
        <v>1</v>
      </c>
      <c r="V1445" s="3" t="s">
        <v>0</v>
      </c>
      <c r="W1445" s="2">
        <v>26</v>
      </c>
    </row>
    <row r="1446" spans="1:24" hidden="1" x14ac:dyDescent="0.25">
      <c r="A1446" s="8">
        <v>12032</v>
      </c>
      <c r="B1446" s="8" t="s">
        <v>619</v>
      </c>
      <c r="C1446" s="7" t="s">
        <v>618</v>
      </c>
      <c r="D1446" s="6" t="s">
        <v>15</v>
      </c>
      <c r="E1446" s="5" t="s">
        <v>343</v>
      </c>
      <c r="F1446" s="4">
        <v>40791</v>
      </c>
      <c r="G1446" s="4" t="s">
        <v>1</v>
      </c>
      <c r="H1446" s="4" t="s">
        <v>1</v>
      </c>
      <c r="I1446" s="3" t="s">
        <v>13</v>
      </c>
      <c r="J1446" s="3" t="s">
        <v>34</v>
      </c>
      <c r="K1446" s="3" t="s">
        <v>33</v>
      </c>
      <c r="L1446" s="3" t="s">
        <v>33</v>
      </c>
      <c r="M1446" s="3" t="s">
        <v>617</v>
      </c>
      <c r="N1446" s="3" t="s">
        <v>616</v>
      </c>
      <c r="O1446" s="3" t="s">
        <v>615</v>
      </c>
      <c r="P1446" s="3" t="s">
        <v>30</v>
      </c>
      <c r="Q1446" s="3" t="s">
        <v>20</v>
      </c>
      <c r="R1446" s="3" t="s">
        <v>4</v>
      </c>
      <c r="S1446" s="3" t="s">
        <v>3</v>
      </c>
      <c r="T1446" s="3" t="s">
        <v>338</v>
      </c>
      <c r="U1446" s="3" t="s">
        <v>1</v>
      </c>
      <c r="V1446" s="3" t="s">
        <v>18</v>
      </c>
      <c r="W1446" s="2">
        <v>36</v>
      </c>
    </row>
    <row r="1447" spans="1:24" hidden="1" x14ac:dyDescent="0.25">
      <c r="A1447" s="8">
        <v>21372</v>
      </c>
      <c r="B1447" s="8" t="s">
        <v>614</v>
      </c>
      <c r="C1447" s="19" t="s">
        <v>613</v>
      </c>
      <c r="D1447" s="6" t="s">
        <v>15</v>
      </c>
      <c r="E1447" s="18" t="s">
        <v>612</v>
      </c>
      <c r="F1447" s="4">
        <v>43013</v>
      </c>
      <c r="G1447" s="4" t="s">
        <v>1</v>
      </c>
      <c r="H1447" s="4" t="s">
        <v>1</v>
      </c>
      <c r="I1447" s="5" t="s">
        <v>50</v>
      </c>
      <c r="J1447" s="5" t="s">
        <v>370</v>
      </c>
      <c r="K1447" s="5" t="s">
        <v>33</v>
      </c>
      <c r="L1447" s="5" t="s">
        <v>33</v>
      </c>
      <c r="M1447" s="5" t="s">
        <v>370</v>
      </c>
      <c r="N1447" s="5" t="s">
        <v>611</v>
      </c>
      <c r="O1447" s="5" t="s">
        <v>610</v>
      </c>
      <c r="P1447" s="5" t="s">
        <v>30</v>
      </c>
      <c r="Q1447" s="5" t="s">
        <v>47</v>
      </c>
      <c r="R1447" s="3" t="s">
        <v>4</v>
      </c>
      <c r="S1447" s="3" t="s">
        <v>3</v>
      </c>
      <c r="T1447" s="3" t="s">
        <v>2</v>
      </c>
      <c r="U1447" s="3" t="s">
        <v>1</v>
      </c>
      <c r="V1447" s="3" t="s">
        <v>18</v>
      </c>
      <c r="W1447" s="2">
        <v>28</v>
      </c>
      <c r="X1447" s="20"/>
    </row>
    <row r="1448" spans="1:24" hidden="1" x14ac:dyDescent="0.25">
      <c r="A1448" s="8">
        <v>21392</v>
      </c>
      <c r="B1448" s="8" t="s">
        <v>609</v>
      </c>
      <c r="C1448" s="19" t="s">
        <v>608</v>
      </c>
      <c r="D1448" s="6" t="s">
        <v>15</v>
      </c>
      <c r="E1448" s="18" t="s">
        <v>607</v>
      </c>
      <c r="F1448" s="4">
        <v>43018</v>
      </c>
      <c r="G1448" s="4" t="s">
        <v>1</v>
      </c>
      <c r="H1448" s="4" t="s">
        <v>1</v>
      </c>
      <c r="I1448" s="3" t="s">
        <v>13</v>
      </c>
      <c r="J1448" s="3" t="s">
        <v>12</v>
      </c>
      <c r="K1448" s="3" t="s">
        <v>63</v>
      </c>
      <c r="L1448" s="3" t="s">
        <v>460</v>
      </c>
      <c r="M1448" s="3" t="s">
        <v>459</v>
      </c>
      <c r="N1448" s="3" t="s">
        <v>606</v>
      </c>
      <c r="O1448" s="3" t="s">
        <v>59</v>
      </c>
      <c r="P1448" s="3" t="s">
        <v>6</v>
      </c>
      <c r="Q1448" s="3" t="s">
        <v>5</v>
      </c>
      <c r="R1448" s="3" t="s">
        <v>4</v>
      </c>
      <c r="S1448" s="3" t="s">
        <v>3</v>
      </c>
      <c r="T1448" s="3" t="s">
        <v>2</v>
      </c>
      <c r="U1448" s="3" t="s">
        <v>1</v>
      </c>
      <c r="V1448" s="3" t="s">
        <v>0</v>
      </c>
      <c r="W1448" s="2">
        <v>27</v>
      </c>
    </row>
    <row r="1449" spans="1:24" hidden="1" x14ac:dyDescent="0.25">
      <c r="A1449" s="8">
        <v>86</v>
      </c>
      <c r="B1449" s="8" t="s">
        <v>605</v>
      </c>
      <c r="C1449" s="7" t="s">
        <v>604</v>
      </c>
      <c r="D1449" s="6" t="s">
        <v>15</v>
      </c>
      <c r="E1449" s="5" t="s">
        <v>603</v>
      </c>
      <c r="F1449" s="4">
        <v>37627</v>
      </c>
      <c r="G1449" s="4" t="s">
        <v>1</v>
      </c>
      <c r="H1449" s="4" t="s">
        <v>1</v>
      </c>
      <c r="I1449" s="3" t="s">
        <v>13</v>
      </c>
      <c r="J1449" s="3" t="s">
        <v>34</v>
      </c>
      <c r="K1449" s="3" t="s">
        <v>33</v>
      </c>
      <c r="L1449" s="3" t="s">
        <v>33</v>
      </c>
      <c r="M1449" s="3" t="s">
        <v>313</v>
      </c>
      <c r="N1449" s="3" t="s">
        <v>31</v>
      </c>
      <c r="O1449" s="3" t="s">
        <v>29</v>
      </c>
      <c r="P1449" s="3" t="s">
        <v>30</v>
      </c>
      <c r="Q1449" s="3" t="s">
        <v>20</v>
      </c>
      <c r="R1449" s="3" t="s">
        <v>4</v>
      </c>
      <c r="S1449" s="3" t="s">
        <v>3</v>
      </c>
      <c r="T1449" s="3" t="s">
        <v>29</v>
      </c>
      <c r="U1449" s="3" t="s">
        <v>1</v>
      </c>
      <c r="V1449" s="3" t="s">
        <v>0</v>
      </c>
      <c r="W1449" s="2">
        <v>42</v>
      </c>
    </row>
    <row r="1450" spans="1:24" hidden="1" x14ac:dyDescent="0.25">
      <c r="A1450" s="8">
        <v>21508</v>
      </c>
      <c r="B1450" s="8" t="s">
        <v>602</v>
      </c>
      <c r="C1450" s="7" t="s">
        <v>601</v>
      </c>
      <c r="D1450" s="6" t="s">
        <v>15</v>
      </c>
      <c r="E1450" s="5" t="s">
        <v>597</v>
      </c>
      <c r="F1450" s="4">
        <v>43031</v>
      </c>
      <c r="G1450" s="4" t="s">
        <v>1</v>
      </c>
      <c r="H1450" s="4" t="s">
        <v>1</v>
      </c>
      <c r="I1450" s="5" t="s">
        <v>93</v>
      </c>
      <c r="J1450" s="5" t="s">
        <v>92</v>
      </c>
      <c r="K1450" s="5" t="s">
        <v>33</v>
      </c>
      <c r="L1450" s="5" t="s">
        <v>33</v>
      </c>
      <c r="M1450" s="5" t="s">
        <v>394</v>
      </c>
      <c r="N1450" s="5" t="s">
        <v>600</v>
      </c>
      <c r="O1450" s="5" t="s">
        <v>394</v>
      </c>
      <c r="P1450" s="5" t="s">
        <v>30</v>
      </c>
      <c r="Q1450" s="5" t="s">
        <v>47</v>
      </c>
      <c r="R1450" s="3" t="s">
        <v>4</v>
      </c>
      <c r="S1450" s="3" t="s">
        <v>3</v>
      </c>
      <c r="T1450" s="3" t="s">
        <v>88</v>
      </c>
      <c r="U1450" s="3" t="s">
        <v>1</v>
      </c>
      <c r="V1450" s="3" t="s">
        <v>18</v>
      </c>
      <c r="W1450" s="2">
        <v>25</v>
      </c>
    </row>
    <row r="1451" spans="1:24" s="9" customFormat="1" hidden="1" x14ac:dyDescent="0.25">
      <c r="A1451" s="17">
        <v>21509</v>
      </c>
      <c r="B1451" s="17" t="s">
        <v>599</v>
      </c>
      <c r="C1451" s="16" t="s">
        <v>598</v>
      </c>
      <c r="D1451" s="15" t="s">
        <v>15</v>
      </c>
      <c r="E1451" s="14" t="s">
        <v>597</v>
      </c>
      <c r="F1451" s="13">
        <v>43031</v>
      </c>
      <c r="G1451" s="13" t="s">
        <v>1</v>
      </c>
      <c r="H1451" s="13" t="s">
        <v>1</v>
      </c>
      <c r="I1451" s="14" t="s">
        <v>93</v>
      </c>
      <c r="J1451" s="14" t="s">
        <v>92</v>
      </c>
      <c r="K1451" s="14" t="s">
        <v>33</v>
      </c>
      <c r="L1451" s="14" t="s">
        <v>33</v>
      </c>
      <c r="M1451" s="14" t="s">
        <v>449</v>
      </c>
      <c r="N1451" s="14" t="s">
        <v>498</v>
      </c>
      <c r="O1451" s="14" t="s">
        <v>394</v>
      </c>
      <c r="P1451" s="14" t="s">
        <v>30</v>
      </c>
      <c r="Q1451" s="14" t="s">
        <v>47</v>
      </c>
      <c r="R1451" s="12" t="s">
        <v>4</v>
      </c>
      <c r="S1451" s="12" t="s">
        <v>3</v>
      </c>
      <c r="T1451" s="12" t="s">
        <v>88</v>
      </c>
      <c r="U1451" s="12" t="s">
        <v>1</v>
      </c>
      <c r="V1451" s="12" t="s">
        <v>18</v>
      </c>
      <c r="W1451" s="11">
        <v>25</v>
      </c>
      <c r="X1451" s="10"/>
    </row>
    <row r="1452" spans="1:24" hidden="1" x14ac:dyDescent="0.25">
      <c r="A1452" s="8">
        <v>21531</v>
      </c>
      <c r="B1452" s="8" t="s">
        <v>596</v>
      </c>
      <c r="C1452" s="7" t="s">
        <v>595</v>
      </c>
      <c r="D1452" s="6" t="s">
        <v>15</v>
      </c>
      <c r="E1452" s="5" t="s">
        <v>594</v>
      </c>
      <c r="F1452" s="4">
        <v>43045</v>
      </c>
      <c r="G1452" s="4" t="s">
        <v>1</v>
      </c>
      <c r="H1452" s="4" t="s">
        <v>1</v>
      </c>
      <c r="I1452" s="18" t="s">
        <v>100</v>
      </c>
      <c r="J1452" s="18" t="s">
        <v>124</v>
      </c>
      <c r="K1452" s="18" t="s">
        <v>33</v>
      </c>
      <c r="L1452" s="18" t="s">
        <v>33</v>
      </c>
      <c r="M1452" s="18" t="s">
        <v>124</v>
      </c>
      <c r="N1452" s="18" t="s">
        <v>194</v>
      </c>
      <c r="O1452" s="18" t="s">
        <v>122</v>
      </c>
      <c r="P1452" s="5" t="s">
        <v>1</v>
      </c>
      <c r="Q1452" s="5" t="s">
        <v>121</v>
      </c>
      <c r="R1452" s="3" t="s">
        <v>4</v>
      </c>
      <c r="S1452" s="3" t="s">
        <v>3</v>
      </c>
      <c r="T1452" s="3" t="s">
        <v>19</v>
      </c>
      <c r="U1452" s="3" t="s">
        <v>1</v>
      </c>
      <c r="V1452" s="3" t="s">
        <v>0</v>
      </c>
      <c r="W1452" s="2">
        <v>26</v>
      </c>
    </row>
    <row r="1453" spans="1:24" hidden="1" x14ac:dyDescent="0.25">
      <c r="A1453" s="8">
        <v>21635</v>
      </c>
      <c r="B1453" s="8" t="s">
        <v>593</v>
      </c>
      <c r="C1453" s="19" t="s">
        <v>592</v>
      </c>
      <c r="D1453" s="6" t="s">
        <v>15</v>
      </c>
      <c r="E1453" s="18" t="s">
        <v>584</v>
      </c>
      <c r="F1453" s="4">
        <v>43055</v>
      </c>
      <c r="G1453" s="4" t="s">
        <v>1</v>
      </c>
      <c r="H1453" s="4" t="s">
        <v>1</v>
      </c>
      <c r="I1453" s="18" t="s">
        <v>50</v>
      </c>
      <c r="J1453" s="5" t="s">
        <v>75</v>
      </c>
      <c r="K1453" s="5" t="s">
        <v>33</v>
      </c>
      <c r="L1453" s="5" t="s">
        <v>33</v>
      </c>
      <c r="M1453" s="18" t="s">
        <v>75</v>
      </c>
      <c r="N1453" s="21" t="s">
        <v>74</v>
      </c>
      <c r="O1453" s="5" t="s">
        <v>73</v>
      </c>
      <c r="P1453" s="5" t="s">
        <v>6</v>
      </c>
      <c r="Q1453" s="5" t="s">
        <v>47</v>
      </c>
      <c r="R1453" s="3" t="s">
        <v>4</v>
      </c>
      <c r="S1453" s="3" t="s">
        <v>3</v>
      </c>
      <c r="T1453" s="3" t="s">
        <v>2</v>
      </c>
      <c r="U1453" s="3" t="s">
        <v>1</v>
      </c>
      <c r="V1453" s="3" t="s">
        <v>18</v>
      </c>
      <c r="W1453" s="2">
        <v>28</v>
      </c>
    </row>
    <row r="1454" spans="1:24" hidden="1" x14ac:dyDescent="0.25">
      <c r="A1454" s="8">
        <v>21640</v>
      </c>
      <c r="B1454" s="8" t="s">
        <v>591</v>
      </c>
      <c r="C1454" s="19" t="s">
        <v>590</v>
      </c>
      <c r="D1454" s="6" t="s">
        <v>15</v>
      </c>
      <c r="E1454" s="18" t="s">
        <v>584</v>
      </c>
      <c r="F1454" s="4">
        <v>43055</v>
      </c>
      <c r="G1454" s="4" t="s">
        <v>1</v>
      </c>
      <c r="H1454" s="4" t="s">
        <v>1</v>
      </c>
      <c r="I1454" s="5" t="s">
        <v>50</v>
      </c>
      <c r="J1454" s="18" t="s">
        <v>75</v>
      </c>
      <c r="K1454" s="5" t="s">
        <v>33</v>
      </c>
      <c r="L1454" s="5" t="s">
        <v>33</v>
      </c>
      <c r="M1454" s="18" t="s">
        <v>75</v>
      </c>
      <c r="N1454" s="21" t="s">
        <v>74</v>
      </c>
      <c r="O1454" s="5" t="s">
        <v>73</v>
      </c>
      <c r="P1454" s="5" t="s">
        <v>72</v>
      </c>
      <c r="Q1454" s="5" t="s">
        <v>47</v>
      </c>
      <c r="R1454" s="3" t="s">
        <v>4</v>
      </c>
      <c r="S1454" s="3" t="s">
        <v>3</v>
      </c>
      <c r="T1454" s="3" t="s">
        <v>2</v>
      </c>
      <c r="U1454" s="3" t="s">
        <v>1</v>
      </c>
      <c r="V1454" s="3" t="s">
        <v>18</v>
      </c>
      <c r="W1454" s="2">
        <v>28</v>
      </c>
      <c r="X1454" s="20"/>
    </row>
    <row r="1455" spans="1:24" hidden="1" x14ac:dyDescent="0.25">
      <c r="A1455" s="8">
        <v>21658</v>
      </c>
      <c r="B1455" s="8" t="s">
        <v>589</v>
      </c>
      <c r="C1455" s="19" t="s">
        <v>588</v>
      </c>
      <c r="D1455" s="6" t="s">
        <v>15</v>
      </c>
      <c r="E1455" s="18" t="s">
        <v>584</v>
      </c>
      <c r="F1455" s="4">
        <v>43055</v>
      </c>
      <c r="G1455" s="4" t="s">
        <v>1</v>
      </c>
      <c r="H1455" s="4" t="s">
        <v>1</v>
      </c>
      <c r="I1455" s="3" t="s">
        <v>13</v>
      </c>
      <c r="J1455" s="3" t="s">
        <v>12</v>
      </c>
      <c r="K1455" s="3" t="s">
        <v>63</v>
      </c>
      <c r="L1455" s="3" t="s">
        <v>138</v>
      </c>
      <c r="M1455" s="3" t="s">
        <v>137</v>
      </c>
      <c r="N1455" s="3" t="s">
        <v>587</v>
      </c>
      <c r="O1455" s="3" t="s">
        <v>100</v>
      </c>
      <c r="P1455" s="3" t="s">
        <v>6</v>
      </c>
      <c r="Q1455" s="3" t="s">
        <v>20</v>
      </c>
      <c r="R1455" s="3" t="s">
        <v>4</v>
      </c>
      <c r="S1455" s="3" t="s">
        <v>3</v>
      </c>
      <c r="T1455" s="3" t="s">
        <v>2</v>
      </c>
      <c r="U1455" s="3" t="s">
        <v>1</v>
      </c>
      <c r="V1455" s="3" t="s">
        <v>0</v>
      </c>
      <c r="W1455" s="2">
        <v>29</v>
      </c>
    </row>
    <row r="1456" spans="1:24" s="9" customFormat="1" hidden="1" x14ac:dyDescent="0.25">
      <c r="A1456" s="17">
        <v>21669</v>
      </c>
      <c r="B1456" s="17" t="s">
        <v>586</v>
      </c>
      <c r="C1456" s="24" t="s">
        <v>585</v>
      </c>
      <c r="D1456" s="15" t="s">
        <v>15</v>
      </c>
      <c r="E1456" s="22" t="s">
        <v>584</v>
      </c>
      <c r="F1456" s="13">
        <v>43055</v>
      </c>
      <c r="G1456" s="13" t="s">
        <v>1</v>
      </c>
      <c r="H1456" s="13" t="s">
        <v>1</v>
      </c>
      <c r="I1456" s="22" t="s">
        <v>50</v>
      </c>
      <c r="J1456" s="14" t="s">
        <v>75</v>
      </c>
      <c r="K1456" s="14" t="s">
        <v>33</v>
      </c>
      <c r="L1456" s="14" t="s">
        <v>33</v>
      </c>
      <c r="M1456" s="22" t="s">
        <v>75</v>
      </c>
      <c r="N1456" s="34" t="s">
        <v>74</v>
      </c>
      <c r="O1456" s="14" t="s">
        <v>73</v>
      </c>
      <c r="P1456" s="14" t="s">
        <v>72</v>
      </c>
      <c r="Q1456" s="14" t="s">
        <v>47</v>
      </c>
      <c r="R1456" s="12" t="s">
        <v>4</v>
      </c>
      <c r="S1456" s="12" t="s">
        <v>3</v>
      </c>
      <c r="T1456" s="12" t="s">
        <v>2</v>
      </c>
      <c r="U1456" s="12" t="s">
        <v>1</v>
      </c>
      <c r="V1456" s="12" t="s">
        <v>18</v>
      </c>
      <c r="W1456" s="11">
        <v>25</v>
      </c>
      <c r="X1456" s="10"/>
    </row>
    <row r="1457" spans="1:23" hidden="1" x14ac:dyDescent="0.25">
      <c r="A1457" s="33">
        <v>21693</v>
      </c>
      <c r="B1457" s="8" t="s">
        <v>583</v>
      </c>
      <c r="C1457" s="32" t="s">
        <v>582</v>
      </c>
      <c r="D1457" s="6" t="s">
        <v>15</v>
      </c>
      <c r="E1457" s="31" t="s">
        <v>581</v>
      </c>
      <c r="F1457" s="30">
        <v>43073</v>
      </c>
      <c r="G1457" s="4" t="s">
        <v>1</v>
      </c>
      <c r="H1457" s="4" t="s">
        <v>1</v>
      </c>
      <c r="I1457" s="18" t="s">
        <v>50</v>
      </c>
      <c r="J1457" s="5" t="s">
        <v>75</v>
      </c>
      <c r="K1457" s="5" t="s">
        <v>33</v>
      </c>
      <c r="L1457" s="5" t="s">
        <v>33</v>
      </c>
      <c r="M1457" s="18" t="s">
        <v>75</v>
      </c>
      <c r="N1457" s="21" t="s">
        <v>74</v>
      </c>
      <c r="O1457" s="5" t="s">
        <v>73</v>
      </c>
      <c r="P1457" s="5" t="s">
        <v>6</v>
      </c>
      <c r="Q1457" s="5" t="s">
        <v>47</v>
      </c>
      <c r="R1457" s="3" t="s">
        <v>4</v>
      </c>
      <c r="S1457" s="3" t="s">
        <v>3</v>
      </c>
      <c r="T1457" s="3" t="s">
        <v>2</v>
      </c>
      <c r="U1457" s="3" t="s">
        <v>1</v>
      </c>
      <c r="V1457" s="3" t="s">
        <v>18</v>
      </c>
      <c r="W1457" s="2">
        <v>27</v>
      </c>
    </row>
    <row r="1458" spans="1:23" hidden="1" x14ac:dyDescent="0.25">
      <c r="A1458" s="8">
        <v>21702</v>
      </c>
      <c r="B1458" s="8" t="s">
        <v>580</v>
      </c>
      <c r="C1458" s="19" t="s">
        <v>579</v>
      </c>
      <c r="D1458" s="6" t="s">
        <v>15</v>
      </c>
      <c r="E1458" s="18" t="s">
        <v>569</v>
      </c>
      <c r="F1458" s="4">
        <v>43087</v>
      </c>
      <c r="G1458" s="4" t="s">
        <v>1</v>
      </c>
      <c r="H1458" s="4" t="s">
        <v>1</v>
      </c>
      <c r="I1458" s="3" t="s">
        <v>13</v>
      </c>
      <c r="J1458" s="3" t="s">
        <v>12</v>
      </c>
      <c r="K1458" s="3" t="s">
        <v>187</v>
      </c>
      <c r="L1458" s="3" t="s">
        <v>229</v>
      </c>
      <c r="M1458" s="3" t="s">
        <v>228</v>
      </c>
      <c r="N1458" s="3" t="s">
        <v>578</v>
      </c>
      <c r="O1458" s="3" t="s">
        <v>100</v>
      </c>
      <c r="P1458" s="3" t="s">
        <v>6</v>
      </c>
      <c r="Q1458" s="3" t="s">
        <v>20</v>
      </c>
      <c r="R1458" s="3" t="s">
        <v>4</v>
      </c>
      <c r="S1458" s="3" t="s">
        <v>3</v>
      </c>
      <c r="T1458" s="3" t="s">
        <v>2</v>
      </c>
      <c r="U1458" s="3" t="s">
        <v>1</v>
      </c>
      <c r="V1458" s="3" t="s">
        <v>18</v>
      </c>
      <c r="W1458" s="2">
        <v>27</v>
      </c>
    </row>
    <row r="1459" spans="1:23" hidden="1" x14ac:dyDescent="0.25">
      <c r="A1459" s="8">
        <v>21712</v>
      </c>
      <c r="B1459" s="8" t="s">
        <v>577</v>
      </c>
      <c r="C1459" s="19" t="s">
        <v>576</v>
      </c>
      <c r="D1459" s="6" t="s">
        <v>15</v>
      </c>
      <c r="E1459" s="18" t="s">
        <v>569</v>
      </c>
      <c r="F1459" s="4">
        <v>43087</v>
      </c>
      <c r="G1459" s="4" t="s">
        <v>1</v>
      </c>
      <c r="H1459" s="4" t="s">
        <v>1</v>
      </c>
      <c r="I1459" s="3" t="s">
        <v>13</v>
      </c>
      <c r="J1459" s="3" t="s">
        <v>12</v>
      </c>
      <c r="K1459" s="3" t="s">
        <v>132</v>
      </c>
      <c r="L1459" s="3" t="s">
        <v>218</v>
      </c>
      <c r="M1459" s="3" t="s">
        <v>575</v>
      </c>
      <c r="N1459" s="3" t="s">
        <v>22</v>
      </c>
      <c r="O1459" s="3" t="s">
        <v>21</v>
      </c>
      <c r="P1459" s="3" t="s">
        <v>6</v>
      </c>
      <c r="Q1459" s="3" t="s">
        <v>20</v>
      </c>
      <c r="R1459" s="3" t="s">
        <v>4</v>
      </c>
      <c r="S1459" s="3" t="s">
        <v>3</v>
      </c>
      <c r="T1459" s="3" t="s">
        <v>19</v>
      </c>
      <c r="U1459" s="3" t="s">
        <v>1</v>
      </c>
      <c r="V1459" s="3" t="s">
        <v>0</v>
      </c>
      <c r="W1459" s="2">
        <v>26</v>
      </c>
    </row>
    <row r="1460" spans="1:23" hidden="1" x14ac:dyDescent="0.25">
      <c r="A1460" s="8">
        <v>156</v>
      </c>
      <c r="B1460" s="8" t="s">
        <v>574</v>
      </c>
      <c r="C1460" s="19" t="s">
        <v>573</v>
      </c>
      <c r="D1460" s="6" t="s">
        <v>15</v>
      </c>
      <c r="E1460" s="3" t="s">
        <v>572</v>
      </c>
      <c r="F1460" s="4">
        <v>37637</v>
      </c>
      <c r="G1460" s="4" t="s">
        <v>1</v>
      </c>
      <c r="H1460" s="4" t="s">
        <v>1</v>
      </c>
      <c r="I1460" s="3" t="s">
        <v>13</v>
      </c>
      <c r="J1460" s="3" t="s">
        <v>34</v>
      </c>
      <c r="K1460" s="3" t="s">
        <v>33</v>
      </c>
      <c r="L1460" s="3" t="s">
        <v>33</v>
      </c>
      <c r="M1460" s="3" t="s">
        <v>313</v>
      </c>
      <c r="N1460" s="3" t="s">
        <v>31</v>
      </c>
      <c r="O1460" s="3" t="s">
        <v>29</v>
      </c>
      <c r="P1460" s="3" t="s">
        <v>30</v>
      </c>
      <c r="Q1460" s="3" t="s">
        <v>20</v>
      </c>
      <c r="R1460" s="3" t="s">
        <v>4</v>
      </c>
      <c r="S1460" s="3" t="s">
        <v>3</v>
      </c>
      <c r="T1460" s="3" t="s">
        <v>29</v>
      </c>
      <c r="U1460" s="3" t="s">
        <v>1</v>
      </c>
      <c r="V1460" s="3" t="s">
        <v>0</v>
      </c>
      <c r="W1460" s="2">
        <v>42</v>
      </c>
    </row>
    <row r="1461" spans="1:23" hidden="1" x14ac:dyDescent="0.25">
      <c r="A1461" s="8">
        <v>21721</v>
      </c>
      <c r="B1461" s="8" t="s">
        <v>571</v>
      </c>
      <c r="C1461" s="19" t="s">
        <v>570</v>
      </c>
      <c r="D1461" s="6" t="s">
        <v>15</v>
      </c>
      <c r="E1461" s="18" t="s">
        <v>569</v>
      </c>
      <c r="F1461" s="4">
        <v>43087</v>
      </c>
      <c r="G1461" s="4" t="s">
        <v>1</v>
      </c>
      <c r="H1461" s="4" t="s">
        <v>1</v>
      </c>
      <c r="I1461" s="3" t="s">
        <v>13</v>
      </c>
      <c r="J1461" s="3" t="s">
        <v>12</v>
      </c>
      <c r="K1461" s="3" t="s">
        <v>187</v>
      </c>
      <c r="L1461" s="3" t="s">
        <v>229</v>
      </c>
      <c r="M1461" s="3" t="s">
        <v>228</v>
      </c>
      <c r="N1461" s="3" t="s">
        <v>22</v>
      </c>
      <c r="O1461" s="3" t="s">
        <v>21</v>
      </c>
      <c r="P1461" s="3" t="s">
        <v>6</v>
      </c>
      <c r="Q1461" s="3" t="s">
        <v>20</v>
      </c>
      <c r="R1461" s="3" t="s">
        <v>4</v>
      </c>
      <c r="S1461" s="3" t="s">
        <v>3</v>
      </c>
      <c r="T1461" s="3" t="s">
        <v>19</v>
      </c>
      <c r="U1461" s="3" t="s">
        <v>1</v>
      </c>
      <c r="V1461" s="3" t="s">
        <v>18</v>
      </c>
      <c r="W1461" s="2">
        <v>27</v>
      </c>
    </row>
    <row r="1462" spans="1:23" hidden="1" x14ac:dyDescent="0.25">
      <c r="A1462" s="8">
        <v>21784</v>
      </c>
      <c r="B1462" s="8" t="s">
        <v>568</v>
      </c>
      <c r="C1462" s="19" t="s">
        <v>567</v>
      </c>
      <c r="D1462" s="6" t="s">
        <v>15</v>
      </c>
      <c r="E1462" s="18" t="s">
        <v>566</v>
      </c>
      <c r="F1462" s="4">
        <v>43090</v>
      </c>
      <c r="G1462" s="4" t="s">
        <v>1</v>
      </c>
      <c r="H1462" s="4" t="s">
        <v>1</v>
      </c>
      <c r="I1462" s="3" t="s">
        <v>13</v>
      </c>
      <c r="J1462" s="3" t="s">
        <v>12</v>
      </c>
      <c r="K1462" s="3" t="s">
        <v>63</v>
      </c>
      <c r="L1462" s="3" t="s">
        <v>62</v>
      </c>
      <c r="M1462" s="3" t="s">
        <v>565</v>
      </c>
      <c r="N1462" s="3" t="s">
        <v>564</v>
      </c>
      <c r="O1462" s="3" t="s">
        <v>258</v>
      </c>
      <c r="P1462" s="3" t="s">
        <v>6</v>
      </c>
      <c r="Q1462" s="3" t="s">
        <v>5</v>
      </c>
      <c r="R1462" s="3" t="s">
        <v>4</v>
      </c>
      <c r="S1462" s="3" t="s">
        <v>3</v>
      </c>
      <c r="T1462" s="3" t="s">
        <v>2</v>
      </c>
      <c r="U1462" s="3" t="s">
        <v>1</v>
      </c>
      <c r="V1462" s="3" t="s">
        <v>0</v>
      </c>
      <c r="W1462" s="2">
        <v>25</v>
      </c>
    </row>
    <row r="1463" spans="1:23" hidden="1" x14ac:dyDescent="0.25">
      <c r="A1463" s="8">
        <v>751</v>
      </c>
      <c r="B1463" s="8" t="s">
        <v>563</v>
      </c>
      <c r="C1463" s="7" t="s">
        <v>562</v>
      </c>
      <c r="D1463" s="6" t="s">
        <v>15</v>
      </c>
      <c r="E1463" s="5" t="s">
        <v>266</v>
      </c>
      <c r="F1463" s="4">
        <v>37816</v>
      </c>
      <c r="G1463" s="4" t="s">
        <v>1</v>
      </c>
      <c r="H1463" s="4" t="s">
        <v>1</v>
      </c>
      <c r="I1463" s="3" t="s">
        <v>13</v>
      </c>
      <c r="J1463" s="3" t="s">
        <v>34</v>
      </c>
      <c r="K1463" s="3" t="s">
        <v>33</v>
      </c>
      <c r="L1463" s="3" t="s">
        <v>33</v>
      </c>
      <c r="M1463" s="3" t="s">
        <v>313</v>
      </c>
      <c r="N1463" s="3" t="s">
        <v>40</v>
      </c>
      <c r="O1463" s="3" t="s">
        <v>39</v>
      </c>
      <c r="P1463" s="3" t="s">
        <v>30</v>
      </c>
      <c r="Q1463" s="3" t="s">
        <v>20</v>
      </c>
      <c r="R1463" s="3" t="s">
        <v>4</v>
      </c>
      <c r="S1463" s="3" t="s">
        <v>3</v>
      </c>
      <c r="T1463" s="3" t="s">
        <v>38</v>
      </c>
      <c r="U1463" s="3" t="s">
        <v>1</v>
      </c>
      <c r="V1463" s="3" t="s">
        <v>0</v>
      </c>
      <c r="W1463" s="2">
        <v>42</v>
      </c>
    </row>
    <row r="1464" spans="1:23" hidden="1" x14ac:dyDescent="0.25">
      <c r="A1464" s="8">
        <v>899</v>
      </c>
      <c r="B1464" s="8" t="s">
        <v>561</v>
      </c>
      <c r="C1464" s="7" t="s">
        <v>560</v>
      </c>
      <c r="D1464" s="6" t="s">
        <v>15</v>
      </c>
      <c r="E1464" s="5" t="s">
        <v>559</v>
      </c>
      <c r="F1464" s="4">
        <v>37858</v>
      </c>
      <c r="G1464" s="4" t="s">
        <v>1</v>
      </c>
      <c r="H1464" s="4" t="s">
        <v>1</v>
      </c>
      <c r="I1464" s="3" t="s">
        <v>13</v>
      </c>
      <c r="J1464" s="3" t="s">
        <v>34</v>
      </c>
      <c r="K1464" s="3" t="s">
        <v>33</v>
      </c>
      <c r="L1464" s="3" t="s">
        <v>33</v>
      </c>
      <c r="M1464" s="3" t="s">
        <v>313</v>
      </c>
      <c r="N1464" s="3" t="s">
        <v>31</v>
      </c>
      <c r="O1464" s="3" t="s">
        <v>29</v>
      </c>
      <c r="P1464" s="3" t="s">
        <v>30</v>
      </c>
      <c r="Q1464" s="3" t="s">
        <v>20</v>
      </c>
      <c r="R1464" s="3" t="s">
        <v>4</v>
      </c>
      <c r="S1464" s="3" t="s">
        <v>3</v>
      </c>
      <c r="T1464" s="3" t="s">
        <v>29</v>
      </c>
      <c r="U1464" s="3" t="s">
        <v>1</v>
      </c>
      <c r="V1464" s="3" t="s">
        <v>0</v>
      </c>
      <c r="W1464" s="2">
        <v>41</v>
      </c>
    </row>
    <row r="1465" spans="1:23" hidden="1" x14ac:dyDescent="0.25">
      <c r="A1465" s="8">
        <v>1146</v>
      </c>
      <c r="B1465" s="8" t="s">
        <v>558</v>
      </c>
      <c r="C1465" s="7" t="s">
        <v>557</v>
      </c>
      <c r="D1465" s="6" t="s">
        <v>15</v>
      </c>
      <c r="E1465" s="5" t="s">
        <v>556</v>
      </c>
      <c r="F1465" s="4">
        <v>37900</v>
      </c>
      <c r="G1465" s="4" t="s">
        <v>1</v>
      </c>
      <c r="H1465" s="4" t="s">
        <v>1</v>
      </c>
      <c r="I1465" s="3" t="s">
        <v>13</v>
      </c>
      <c r="J1465" s="3" t="s">
        <v>34</v>
      </c>
      <c r="K1465" s="3" t="s">
        <v>33</v>
      </c>
      <c r="L1465" s="3" t="s">
        <v>33</v>
      </c>
      <c r="M1465" s="3" t="s">
        <v>313</v>
      </c>
      <c r="N1465" s="3" t="s">
        <v>31</v>
      </c>
      <c r="O1465" s="3" t="s">
        <v>29</v>
      </c>
      <c r="P1465" s="3" t="s">
        <v>30</v>
      </c>
      <c r="Q1465" s="3" t="s">
        <v>20</v>
      </c>
      <c r="R1465" s="3" t="s">
        <v>4</v>
      </c>
      <c r="S1465" s="3" t="s">
        <v>3</v>
      </c>
      <c r="T1465" s="3" t="s">
        <v>29</v>
      </c>
      <c r="U1465" s="3" t="s">
        <v>1</v>
      </c>
      <c r="V1465" s="3" t="s">
        <v>0</v>
      </c>
      <c r="W1465" s="2">
        <v>39</v>
      </c>
    </row>
    <row r="1466" spans="1:23" hidden="1" x14ac:dyDescent="0.25">
      <c r="A1466" s="8">
        <v>4852</v>
      </c>
      <c r="B1466" s="8" t="s">
        <v>555</v>
      </c>
      <c r="C1466" s="7" t="s">
        <v>554</v>
      </c>
      <c r="D1466" s="6" t="s">
        <v>15</v>
      </c>
      <c r="E1466" s="5" t="s">
        <v>553</v>
      </c>
      <c r="F1466" s="4">
        <v>38930</v>
      </c>
      <c r="G1466" s="4" t="s">
        <v>1</v>
      </c>
      <c r="H1466" s="4" t="s">
        <v>1</v>
      </c>
      <c r="I1466" s="3" t="s">
        <v>13</v>
      </c>
      <c r="J1466" s="3" t="s">
        <v>34</v>
      </c>
      <c r="K1466" s="3" t="s">
        <v>33</v>
      </c>
      <c r="L1466" s="3" t="s">
        <v>33</v>
      </c>
      <c r="M1466" s="3" t="s">
        <v>313</v>
      </c>
      <c r="N1466" s="3" t="s">
        <v>31</v>
      </c>
      <c r="O1466" s="3" t="s">
        <v>29</v>
      </c>
      <c r="P1466" s="3" t="s">
        <v>30</v>
      </c>
      <c r="Q1466" s="3" t="s">
        <v>20</v>
      </c>
      <c r="R1466" s="3" t="s">
        <v>4</v>
      </c>
      <c r="S1466" s="3" t="s">
        <v>3</v>
      </c>
      <c r="T1466" s="3" t="s">
        <v>29</v>
      </c>
      <c r="U1466" s="3" t="s">
        <v>1</v>
      </c>
      <c r="V1466" s="3" t="s">
        <v>18</v>
      </c>
      <c r="W1466" s="2">
        <v>40</v>
      </c>
    </row>
    <row r="1467" spans="1:23" hidden="1" x14ac:dyDescent="0.25">
      <c r="A1467" s="8">
        <v>21912</v>
      </c>
      <c r="B1467" s="8" t="s">
        <v>552</v>
      </c>
      <c r="C1467" s="7" t="s">
        <v>551</v>
      </c>
      <c r="D1467" s="6" t="s">
        <v>15</v>
      </c>
      <c r="E1467" s="5" t="s">
        <v>550</v>
      </c>
      <c r="F1467" s="4">
        <v>43103</v>
      </c>
      <c r="G1467" s="4" t="s">
        <v>1</v>
      </c>
      <c r="H1467" s="4" t="s">
        <v>1</v>
      </c>
      <c r="I1467" s="5" t="s">
        <v>93</v>
      </c>
      <c r="J1467" s="5" t="s">
        <v>92</v>
      </c>
      <c r="K1467" s="5" t="s">
        <v>33</v>
      </c>
      <c r="L1467" s="5" t="s">
        <v>33</v>
      </c>
      <c r="M1467" s="5" t="s">
        <v>91</v>
      </c>
      <c r="N1467" s="5" t="s">
        <v>549</v>
      </c>
      <c r="O1467" s="18" t="s">
        <v>394</v>
      </c>
      <c r="P1467" s="3" t="s">
        <v>30</v>
      </c>
      <c r="Q1467" s="3" t="s">
        <v>47</v>
      </c>
      <c r="R1467" s="3" t="s">
        <v>4</v>
      </c>
      <c r="S1467" s="3" t="s">
        <v>3</v>
      </c>
      <c r="T1467" s="3" t="s">
        <v>88</v>
      </c>
      <c r="U1467" s="3" t="s">
        <v>1</v>
      </c>
      <c r="V1467" s="3" t="s">
        <v>18</v>
      </c>
      <c r="W1467" s="2">
        <v>29</v>
      </c>
    </row>
    <row r="1468" spans="1:23" hidden="1" x14ac:dyDescent="0.25">
      <c r="A1468" s="8">
        <v>5395</v>
      </c>
      <c r="B1468" s="8" t="s">
        <v>548</v>
      </c>
      <c r="C1468" s="7" t="s">
        <v>547</v>
      </c>
      <c r="D1468" s="6" t="s">
        <v>15</v>
      </c>
      <c r="E1468" s="5" t="s">
        <v>44</v>
      </c>
      <c r="F1468" s="4">
        <v>38991</v>
      </c>
      <c r="G1468" s="4" t="s">
        <v>1</v>
      </c>
      <c r="H1468" s="4" t="s">
        <v>1</v>
      </c>
      <c r="I1468" s="3" t="s">
        <v>13</v>
      </c>
      <c r="J1468" s="3" t="s">
        <v>34</v>
      </c>
      <c r="K1468" s="3" t="s">
        <v>33</v>
      </c>
      <c r="L1468" s="3" t="s">
        <v>33</v>
      </c>
      <c r="M1468" s="3" t="s">
        <v>313</v>
      </c>
      <c r="N1468" s="3" t="s">
        <v>31</v>
      </c>
      <c r="O1468" s="3" t="s">
        <v>29</v>
      </c>
      <c r="P1468" s="3" t="s">
        <v>30</v>
      </c>
      <c r="Q1468" s="3" t="s">
        <v>20</v>
      </c>
      <c r="R1468" s="3" t="s">
        <v>4</v>
      </c>
      <c r="S1468" s="3" t="s">
        <v>3</v>
      </c>
      <c r="T1468" s="3" t="s">
        <v>29</v>
      </c>
      <c r="U1468" s="3" t="s">
        <v>1</v>
      </c>
      <c r="V1468" s="3" t="s">
        <v>18</v>
      </c>
      <c r="W1468" s="2">
        <v>39</v>
      </c>
    </row>
    <row r="1469" spans="1:23" hidden="1" x14ac:dyDescent="0.25">
      <c r="A1469" s="8">
        <v>21968</v>
      </c>
      <c r="B1469" s="8" t="s">
        <v>546</v>
      </c>
      <c r="C1469" s="7" t="s">
        <v>545</v>
      </c>
      <c r="D1469" s="6" t="s">
        <v>15</v>
      </c>
      <c r="E1469" s="5" t="s">
        <v>544</v>
      </c>
      <c r="F1469" s="4">
        <v>43116</v>
      </c>
      <c r="G1469" s="4" t="s">
        <v>1</v>
      </c>
      <c r="H1469" s="4" t="s">
        <v>1</v>
      </c>
      <c r="I1469" s="18" t="s">
        <v>100</v>
      </c>
      <c r="J1469" s="18" t="s">
        <v>124</v>
      </c>
      <c r="K1469" s="18" t="s">
        <v>33</v>
      </c>
      <c r="L1469" s="18" t="s">
        <v>33</v>
      </c>
      <c r="M1469" s="18" t="s">
        <v>124</v>
      </c>
      <c r="N1469" s="18" t="s">
        <v>194</v>
      </c>
      <c r="O1469" s="18" t="s">
        <v>122</v>
      </c>
      <c r="P1469" s="5" t="s">
        <v>1</v>
      </c>
      <c r="Q1469" s="5" t="s">
        <v>121</v>
      </c>
      <c r="R1469" s="3" t="s">
        <v>4</v>
      </c>
      <c r="S1469" s="3" t="s">
        <v>3</v>
      </c>
      <c r="T1469" s="3" t="s">
        <v>2</v>
      </c>
      <c r="U1469" s="3" t="s">
        <v>1</v>
      </c>
      <c r="V1469" s="3" t="s">
        <v>0</v>
      </c>
      <c r="W1469" s="2">
        <v>26</v>
      </c>
    </row>
    <row r="1470" spans="1:23" s="99" customFormat="1" x14ac:dyDescent="0.25">
      <c r="A1470" s="97">
        <v>5472</v>
      </c>
      <c r="B1470" s="97" t="s">
        <v>543</v>
      </c>
      <c r="C1470" s="127" t="s">
        <v>542</v>
      </c>
      <c r="D1470" s="122" t="s">
        <v>15</v>
      </c>
      <c r="E1470" s="128" t="s">
        <v>44</v>
      </c>
      <c r="F1470" s="124">
        <v>38991</v>
      </c>
      <c r="G1470" s="124" t="s">
        <v>1</v>
      </c>
      <c r="H1470" s="124" t="s">
        <v>1</v>
      </c>
      <c r="I1470" s="125" t="s">
        <v>13</v>
      </c>
      <c r="J1470" s="125" t="s">
        <v>34</v>
      </c>
      <c r="K1470" s="125" t="s">
        <v>33</v>
      </c>
      <c r="L1470" s="125" t="s">
        <v>33</v>
      </c>
      <c r="M1470" s="125" t="s">
        <v>313</v>
      </c>
      <c r="N1470" s="125" t="s">
        <v>31</v>
      </c>
      <c r="O1470" s="125" t="s">
        <v>29</v>
      </c>
      <c r="P1470" s="125" t="s">
        <v>30</v>
      </c>
      <c r="Q1470" s="125" t="s">
        <v>20</v>
      </c>
      <c r="R1470" s="125" t="s">
        <v>4</v>
      </c>
      <c r="S1470" s="125" t="s">
        <v>3</v>
      </c>
      <c r="T1470" s="125" t="s">
        <v>29</v>
      </c>
      <c r="U1470" s="125" t="s">
        <v>1</v>
      </c>
      <c r="V1470" s="125" t="s">
        <v>18</v>
      </c>
      <c r="W1470" s="126">
        <v>40</v>
      </c>
    </row>
    <row r="1471" spans="1:23" hidden="1" x14ac:dyDescent="0.25">
      <c r="A1471" s="8">
        <v>22015</v>
      </c>
      <c r="B1471" s="8" t="s">
        <v>541</v>
      </c>
      <c r="C1471" s="19" t="s">
        <v>540</v>
      </c>
      <c r="D1471" s="6" t="s">
        <v>15</v>
      </c>
      <c r="E1471" s="18" t="s">
        <v>532</v>
      </c>
      <c r="F1471" s="4">
        <v>43144</v>
      </c>
      <c r="G1471" s="4" t="s">
        <v>1</v>
      </c>
      <c r="H1471" s="4" t="s">
        <v>1</v>
      </c>
      <c r="I1471" s="3" t="s">
        <v>13</v>
      </c>
      <c r="J1471" s="3" t="s">
        <v>12</v>
      </c>
      <c r="K1471" s="3" t="s">
        <v>539</v>
      </c>
      <c r="L1471" s="3" t="s">
        <v>538</v>
      </c>
      <c r="M1471" s="3" t="s">
        <v>537</v>
      </c>
      <c r="N1471" s="3" t="s">
        <v>60</v>
      </c>
      <c r="O1471" s="3" t="s">
        <v>59</v>
      </c>
      <c r="P1471" s="3" t="s">
        <v>6</v>
      </c>
      <c r="Q1471" s="3" t="s">
        <v>5</v>
      </c>
      <c r="R1471" s="3" t="s">
        <v>4</v>
      </c>
      <c r="S1471" s="3" t="s">
        <v>3</v>
      </c>
      <c r="T1471" s="3" t="s">
        <v>2</v>
      </c>
      <c r="U1471" s="3" t="s">
        <v>1</v>
      </c>
      <c r="V1471" s="3" t="s">
        <v>0</v>
      </c>
      <c r="W1471" s="2">
        <v>28</v>
      </c>
    </row>
    <row r="1472" spans="1:23" s="78" customFormat="1" hidden="1" x14ac:dyDescent="0.25">
      <c r="A1472" s="73">
        <v>5728</v>
      </c>
      <c r="B1472" s="73" t="s">
        <v>536</v>
      </c>
      <c r="C1472" s="87" t="s">
        <v>535</v>
      </c>
      <c r="D1472" s="88" t="s">
        <v>15</v>
      </c>
      <c r="E1472" s="89" t="s">
        <v>527</v>
      </c>
      <c r="F1472" s="90">
        <v>39098</v>
      </c>
      <c r="G1472" s="90" t="s">
        <v>1</v>
      </c>
      <c r="H1472" s="90" t="s">
        <v>1</v>
      </c>
      <c r="I1472" s="92" t="s">
        <v>13</v>
      </c>
      <c r="J1472" s="92" t="s">
        <v>34</v>
      </c>
      <c r="K1472" s="92" t="s">
        <v>33</v>
      </c>
      <c r="L1472" s="92" t="s">
        <v>33</v>
      </c>
      <c r="M1472" s="92" t="s">
        <v>313</v>
      </c>
      <c r="N1472" s="92" t="s">
        <v>40</v>
      </c>
      <c r="O1472" s="92" t="s">
        <v>39</v>
      </c>
      <c r="P1472" s="92" t="s">
        <v>30</v>
      </c>
      <c r="Q1472" s="92" t="s">
        <v>20</v>
      </c>
      <c r="R1472" s="92" t="s">
        <v>4</v>
      </c>
      <c r="S1472" s="92" t="s">
        <v>3</v>
      </c>
      <c r="T1472" s="92" t="s">
        <v>38</v>
      </c>
      <c r="U1472" s="92" t="s">
        <v>1</v>
      </c>
      <c r="V1472" s="92" t="s">
        <v>0</v>
      </c>
      <c r="W1472" s="93">
        <v>39</v>
      </c>
    </row>
    <row r="1473" spans="1:23" hidden="1" x14ac:dyDescent="0.25">
      <c r="A1473" s="8">
        <v>22033</v>
      </c>
      <c r="B1473" s="8" t="s">
        <v>534</v>
      </c>
      <c r="C1473" s="28" t="s">
        <v>533</v>
      </c>
      <c r="D1473" s="6" t="s">
        <v>15</v>
      </c>
      <c r="E1473" s="18" t="s">
        <v>532</v>
      </c>
      <c r="F1473" s="4">
        <v>43144</v>
      </c>
      <c r="G1473" s="4" t="s">
        <v>1</v>
      </c>
      <c r="H1473" s="4" t="s">
        <v>1</v>
      </c>
      <c r="I1473" s="5" t="s">
        <v>365</v>
      </c>
      <c r="J1473" s="5" t="s">
        <v>530</v>
      </c>
      <c r="K1473" s="5" t="s">
        <v>33</v>
      </c>
      <c r="L1473" s="5" t="s">
        <v>33</v>
      </c>
      <c r="M1473" s="5" t="s">
        <v>530</v>
      </c>
      <c r="N1473" s="18" t="s">
        <v>531</v>
      </c>
      <c r="O1473" s="18" t="s">
        <v>530</v>
      </c>
      <c r="P1473" s="18" t="s">
        <v>30</v>
      </c>
      <c r="Q1473" s="18" t="s">
        <v>121</v>
      </c>
      <c r="R1473" s="3" t="s">
        <v>4</v>
      </c>
      <c r="S1473" s="3" t="s">
        <v>3</v>
      </c>
      <c r="T1473" s="3" t="s">
        <v>29</v>
      </c>
      <c r="U1473" s="3" t="s">
        <v>1</v>
      </c>
      <c r="V1473" s="3" t="s">
        <v>18</v>
      </c>
      <c r="W1473" s="2">
        <v>26</v>
      </c>
    </row>
    <row r="1474" spans="1:23" hidden="1" x14ac:dyDescent="0.25">
      <c r="A1474" s="8">
        <v>5745</v>
      </c>
      <c r="B1474" s="8" t="s">
        <v>529</v>
      </c>
      <c r="C1474" s="7" t="s">
        <v>528</v>
      </c>
      <c r="D1474" s="6" t="s">
        <v>15</v>
      </c>
      <c r="E1474" s="5" t="s">
        <v>527</v>
      </c>
      <c r="F1474" s="4">
        <v>39098</v>
      </c>
      <c r="G1474" s="4" t="s">
        <v>1</v>
      </c>
      <c r="H1474" s="4" t="s">
        <v>1</v>
      </c>
      <c r="I1474" s="3" t="s">
        <v>13</v>
      </c>
      <c r="J1474" s="3" t="s">
        <v>34</v>
      </c>
      <c r="K1474" s="3" t="s">
        <v>33</v>
      </c>
      <c r="L1474" s="3" t="s">
        <v>33</v>
      </c>
      <c r="M1474" s="3" t="s">
        <v>313</v>
      </c>
      <c r="N1474" s="3" t="s">
        <v>31</v>
      </c>
      <c r="O1474" s="3" t="s">
        <v>21</v>
      </c>
      <c r="P1474" s="3" t="s">
        <v>30</v>
      </c>
      <c r="Q1474" s="3" t="s">
        <v>20</v>
      </c>
      <c r="R1474" s="3" t="s">
        <v>4</v>
      </c>
      <c r="S1474" s="3" t="s">
        <v>3</v>
      </c>
      <c r="T1474" s="3" t="s">
        <v>19</v>
      </c>
      <c r="U1474" s="3" t="s">
        <v>1</v>
      </c>
      <c r="V1474" s="3" t="s">
        <v>0</v>
      </c>
      <c r="W1474" s="2">
        <v>39</v>
      </c>
    </row>
    <row r="1475" spans="1:23" hidden="1" x14ac:dyDescent="0.25">
      <c r="A1475" s="8">
        <v>22110</v>
      </c>
      <c r="B1475" s="8" t="s">
        <v>526</v>
      </c>
      <c r="C1475" s="7" t="s">
        <v>525</v>
      </c>
      <c r="D1475" s="6" t="s">
        <v>15</v>
      </c>
      <c r="E1475" s="5" t="s">
        <v>524</v>
      </c>
      <c r="F1475" s="4">
        <v>43150</v>
      </c>
      <c r="G1475" s="4" t="s">
        <v>1</v>
      </c>
      <c r="H1475" s="4" t="s">
        <v>1</v>
      </c>
      <c r="I1475" s="18" t="s">
        <v>100</v>
      </c>
      <c r="J1475" s="18" t="s">
        <v>124</v>
      </c>
      <c r="K1475" s="18" t="s">
        <v>33</v>
      </c>
      <c r="L1475" s="18" t="s">
        <v>33</v>
      </c>
      <c r="M1475" s="18" t="s">
        <v>124</v>
      </c>
      <c r="N1475" s="18" t="s">
        <v>123</v>
      </c>
      <c r="O1475" s="18" t="s">
        <v>122</v>
      </c>
      <c r="P1475" s="5" t="s">
        <v>1</v>
      </c>
      <c r="Q1475" s="5" t="s">
        <v>121</v>
      </c>
      <c r="R1475" s="3" t="s">
        <v>4</v>
      </c>
      <c r="S1475" s="3" t="s">
        <v>3</v>
      </c>
      <c r="T1475" s="3" t="s">
        <v>19</v>
      </c>
      <c r="U1475" s="3" t="s">
        <v>1</v>
      </c>
      <c r="V1475" s="3" t="s">
        <v>0</v>
      </c>
      <c r="W1475" s="2">
        <v>28</v>
      </c>
    </row>
    <row r="1476" spans="1:23" hidden="1" x14ac:dyDescent="0.25">
      <c r="A1476" s="8">
        <v>22117</v>
      </c>
      <c r="B1476" s="8" t="s">
        <v>523</v>
      </c>
      <c r="C1476" s="19" t="s">
        <v>522</v>
      </c>
      <c r="D1476" s="6" t="s">
        <v>15</v>
      </c>
      <c r="E1476" s="18" t="s">
        <v>521</v>
      </c>
      <c r="F1476" s="4">
        <v>43153</v>
      </c>
      <c r="G1476" s="4" t="s">
        <v>1</v>
      </c>
      <c r="H1476" s="4" t="s">
        <v>1</v>
      </c>
      <c r="I1476" s="3" t="s">
        <v>13</v>
      </c>
      <c r="J1476" s="3" t="s">
        <v>12</v>
      </c>
      <c r="K1476" s="3" t="s">
        <v>482</v>
      </c>
      <c r="L1476" s="3" t="s">
        <v>481</v>
      </c>
      <c r="M1476" s="3" t="s">
        <v>480</v>
      </c>
      <c r="N1476" s="3" t="s">
        <v>22</v>
      </c>
      <c r="O1476" s="3" t="s">
        <v>21</v>
      </c>
      <c r="P1476" s="3" t="s">
        <v>6</v>
      </c>
      <c r="Q1476" s="3" t="s">
        <v>20</v>
      </c>
      <c r="R1476" s="3" t="s">
        <v>4</v>
      </c>
      <c r="S1476" s="3" t="s">
        <v>3</v>
      </c>
      <c r="T1476" s="3" t="s">
        <v>19</v>
      </c>
      <c r="U1476" s="3" t="s">
        <v>1</v>
      </c>
      <c r="V1476" s="3" t="s">
        <v>18</v>
      </c>
      <c r="W1476" s="2">
        <v>29</v>
      </c>
    </row>
    <row r="1477" spans="1:23" hidden="1" x14ac:dyDescent="0.25">
      <c r="A1477" s="8">
        <v>5756</v>
      </c>
      <c r="B1477" s="8" t="s">
        <v>520</v>
      </c>
      <c r="C1477" s="7" t="s">
        <v>519</v>
      </c>
      <c r="D1477" s="6" t="s">
        <v>15</v>
      </c>
      <c r="E1477" s="5" t="s">
        <v>251</v>
      </c>
      <c r="F1477" s="4">
        <v>39114</v>
      </c>
      <c r="G1477" s="4" t="s">
        <v>1</v>
      </c>
      <c r="H1477" s="4" t="s">
        <v>1</v>
      </c>
      <c r="I1477" s="3" t="s">
        <v>13</v>
      </c>
      <c r="J1477" s="3" t="s">
        <v>34</v>
      </c>
      <c r="K1477" s="3" t="s">
        <v>33</v>
      </c>
      <c r="L1477" s="3" t="s">
        <v>33</v>
      </c>
      <c r="M1477" s="3" t="s">
        <v>313</v>
      </c>
      <c r="N1477" s="3" t="s">
        <v>31</v>
      </c>
      <c r="O1477" s="3" t="s">
        <v>29</v>
      </c>
      <c r="P1477" s="3" t="s">
        <v>30</v>
      </c>
      <c r="Q1477" s="3" t="s">
        <v>20</v>
      </c>
      <c r="R1477" s="3" t="s">
        <v>4</v>
      </c>
      <c r="S1477" s="3" t="s">
        <v>3</v>
      </c>
      <c r="T1477" s="3" t="s">
        <v>29</v>
      </c>
      <c r="U1477" s="3" t="s">
        <v>1</v>
      </c>
      <c r="V1477" s="3" t="s">
        <v>18</v>
      </c>
      <c r="W1477" s="2">
        <v>41</v>
      </c>
    </row>
    <row r="1478" spans="1:23" hidden="1" x14ac:dyDescent="0.25">
      <c r="A1478" s="8">
        <v>5893</v>
      </c>
      <c r="B1478" s="8" t="s">
        <v>518</v>
      </c>
      <c r="C1478" s="7" t="s">
        <v>517</v>
      </c>
      <c r="D1478" s="6" t="s">
        <v>15</v>
      </c>
      <c r="E1478" s="5" t="s">
        <v>248</v>
      </c>
      <c r="F1478" s="4">
        <v>39129</v>
      </c>
      <c r="G1478" s="4" t="s">
        <v>1</v>
      </c>
      <c r="H1478" s="4" t="s">
        <v>1</v>
      </c>
      <c r="I1478" s="3" t="s">
        <v>13</v>
      </c>
      <c r="J1478" s="3" t="s">
        <v>34</v>
      </c>
      <c r="K1478" s="3" t="s">
        <v>33</v>
      </c>
      <c r="L1478" s="3" t="s">
        <v>33</v>
      </c>
      <c r="M1478" s="3" t="s">
        <v>313</v>
      </c>
      <c r="N1478" s="3" t="s">
        <v>31</v>
      </c>
      <c r="O1478" s="3" t="s">
        <v>21</v>
      </c>
      <c r="P1478" s="3" t="s">
        <v>30</v>
      </c>
      <c r="Q1478" s="3" t="s">
        <v>20</v>
      </c>
      <c r="R1478" s="3" t="s">
        <v>4</v>
      </c>
      <c r="S1478" s="3" t="s">
        <v>3</v>
      </c>
      <c r="T1478" s="3" t="s">
        <v>19</v>
      </c>
      <c r="U1478" s="3" t="s">
        <v>1</v>
      </c>
      <c r="V1478" s="3" t="s">
        <v>0</v>
      </c>
      <c r="W1478" s="2">
        <v>38</v>
      </c>
    </row>
    <row r="1479" spans="1:23" hidden="1" x14ac:dyDescent="0.25">
      <c r="A1479" s="8">
        <v>5943</v>
      </c>
      <c r="B1479" s="8" t="s">
        <v>516</v>
      </c>
      <c r="C1479" s="7" t="s">
        <v>515</v>
      </c>
      <c r="D1479" s="6" t="s">
        <v>15</v>
      </c>
      <c r="E1479" s="5" t="s">
        <v>248</v>
      </c>
      <c r="F1479" s="4">
        <v>39129</v>
      </c>
      <c r="G1479" s="4" t="s">
        <v>1</v>
      </c>
      <c r="H1479" s="4" t="s">
        <v>1</v>
      </c>
      <c r="I1479" s="3" t="s">
        <v>13</v>
      </c>
      <c r="J1479" s="3" t="s">
        <v>34</v>
      </c>
      <c r="K1479" s="3" t="s">
        <v>33</v>
      </c>
      <c r="L1479" s="3" t="s">
        <v>33</v>
      </c>
      <c r="M1479" s="3" t="s">
        <v>313</v>
      </c>
      <c r="N1479" s="3" t="s">
        <v>31</v>
      </c>
      <c r="O1479" s="3" t="s">
        <v>29</v>
      </c>
      <c r="P1479" s="3" t="s">
        <v>30</v>
      </c>
      <c r="Q1479" s="3" t="s">
        <v>20</v>
      </c>
      <c r="R1479" s="3" t="s">
        <v>4</v>
      </c>
      <c r="S1479" s="3" t="s">
        <v>3</v>
      </c>
      <c r="T1479" s="3" t="s">
        <v>29</v>
      </c>
      <c r="U1479" s="3" t="s">
        <v>1</v>
      </c>
      <c r="V1479" s="3" t="s">
        <v>0</v>
      </c>
      <c r="W1479" s="2">
        <v>39</v>
      </c>
    </row>
    <row r="1480" spans="1:23" hidden="1" x14ac:dyDescent="0.25">
      <c r="A1480" s="8">
        <v>8677</v>
      </c>
      <c r="B1480" s="8" t="s">
        <v>514</v>
      </c>
      <c r="C1480" s="7" t="s">
        <v>513</v>
      </c>
      <c r="D1480" s="6" t="s">
        <v>15</v>
      </c>
      <c r="E1480" s="5" t="s">
        <v>225</v>
      </c>
      <c r="F1480" s="4">
        <v>39878</v>
      </c>
      <c r="G1480" s="4" t="s">
        <v>1</v>
      </c>
      <c r="H1480" s="4" t="s">
        <v>1</v>
      </c>
      <c r="I1480" s="3" t="s">
        <v>13</v>
      </c>
      <c r="J1480" s="3" t="s">
        <v>34</v>
      </c>
      <c r="K1480" s="3" t="s">
        <v>33</v>
      </c>
      <c r="L1480" s="3" t="s">
        <v>33</v>
      </c>
      <c r="M1480" s="3" t="s">
        <v>313</v>
      </c>
      <c r="N1480" s="3" t="s">
        <v>31</v>
      </c>
      <c r="O1480" s="3" t="s">
        <v>29</v>
      </c>
      <c r="P1480" s="3" t="s">
        <v>30</v>
      </c>
      <c r="Q1480" s="3" t="s">
        <v>20</v>
      </c>
      <c r="R1480" s="3" t="s">
        <v>4</v>
      </c>
      <c r="S1480" s="3" t="s">
        <v>3</v>
      </c>
      <c r="T1480" s="3" t="s">
        <v>29</v>
      </c>
      <c r="U1480" s="3" t="s">
        <v>1</v>
      </c>
      <c r="V1480" s="3" t="s">
        <v>0</v>
      </c>
      <c r="W1480" s="2">
        <v>35</v>
      </c>
    </row>
    <row r="1481" spans="1:23" hidden="1" x14ac:dyDescent="0.25">
      <c r="A1481" s="8">
        <v>22321</v>
      </c>
      <c r="B1481" s="8" t="s">
        <v>512</v>
      </c>
      <c r="C1481" s="19" t="s">
        <v>511</v>
      </c>
      <c r="D1481" s="6" t="s">
        <v>15</v>
      </c>
      <c r="E1481" s="18" t="s">
        <v>510</v>
      </c>
      <c r="F1481" s="4">
        <v>43192</v>
      </c>
      <c r="G1481" s="4" t="s">
        <v>1</v>
      </c>
      <c r="H1481" s="4" t="s">
        <v>1</v>
      </c>
      <c r="I1481" s="3" t="s">
        <v>13</v>
      </c>
      <c r="J1481" s="3" t="s">
        <v>34</v>
      </c>
      <c r="K1481" s="3" t="s">
        <v>33</v>
      </c>
      <c r="L1481" s="3" t="s">
        <v>33</v>
      </c>
      <c r="M1481" s="3" t="s">
        <v>509</v>
      </c>
      <c r="N1481" s="3" t="s">
        <v>241</v>
      </c>
      <c r="O1481" s="3" t="s">
        <v>100</v>
      </c>
      <c r="P1481" s="3" t="s">
        <v>6</v>
      </c>
      <c r="Q1481" s="3" t="s">
        <v>20</v>
      </c>
      <c r="R1481" s="3" t="s">
        <v>4</v>
      </c>
      <c r="S1481" s="3" t="s">
        <v>3</v>
      </c>
      <c r="T1481" s="3" t="s">
        <v>2</v>
      </c>
      <c r="U1481" s="3" t="s">
        <v>1</v>
      </c>
      <c r="V1481" s="3" t="s">
        <v>0</v>
      </c>
      <c r="W1481" s="2">
        <v>25</v>
      </c>
    </row>
    <row r="1482" spans="1:23" hidden="1" x14ac:dyDescent="0.25">
      <c r="A1482" s="8">
        <v>22323</v>
      </c>
      <c r="B1482" s="8" t="s">
        <v>508</v>
      </c>
      <c r="C1482" s="7" t="s">
        <v>507</v>
      </c>
      <c r="D1482" s="6" t="s">
        <v>15</v>
      </c>
      <c r="E1482" s="5" t="s">
        <v>506</v>
      </c>
      <c r="F1482" s="4">
        <v>43192</v>
      </c>
      <c r="G1482" s="4" t="s">
        <v>1</v>
      </c>
      <c r="H1482" s="4" t="s">
        <v>1</v>
      </c>
      <c r="I1482" s="5" t="s">
        <v>93</v>
      </c>
      <c r="J1482" s="5" t="s">
        <v>92</v>
      </c>
      <c r="K1482" s="5" t="s">
        <v>33</v>
      </c>
      <c r="L1482" s="5" t="s">
        <v>33</v>
      </c>
      <c r="M1482" s="5" t="s">
        <v>91</v>
      </c>
      <c r="N1482" s="5" t="s">
        <v>90</v>
      </c>
      <c r="O1482" s="5" t="s">
        <v>89</v>
      </c>
      <c r="P1482" s="5" t="s">
        <v>6</v>
      </c>
      <c r="Q1482" s="5" t="s">
        <v>20</v>
      </c>
      <c r="R1482" s="3" t="s">
        <v>4</v>
      </c>
      <c r="S1482" s="3" t="s">
        <v>3</v>
      </c>
      <c r="T1482" s="3" t="s">
        <v>88</v>
      </c>
      <c r="U1482" s="3" t="s">
        <v>1</v>
      </c>
      <c r="V1482" s="3" t="s">
        <v>18</v>
      </c>
      <c r="W1482" s="2">
        <v>27</v>
      </c>
    </row>
    <row r="1483" spans="1:23" hidden="1" x14ac:dyDescent="0.25">
      <c r="A1483" s="8">
        <v>9012</v>
      </c>
      <c r="B1483" s="8" t="s">
        <v>505</v>
      </c>
      <c r="C1483" s="7" t="s">
        <v>504</v>
      </c>
      <c r="D1483" s="6" t="s">
        <v>15</v>
      </c>
      <c r="E1483" s="5" t="s">
        <v>181</v>
      </c>
      <c r="F1483" s="4">
        <v>39975</v>
      </c>
      <c r="G1483" s="4" t="s">
        <v>1</v>
      </c>
      <c r="H1483" s="4" t="s">
        <v>1</v>
      </c>
      <c r="I1483" s="3" t="s">
        <v>13</v>
      </c>
      <c r="J1483" s="3" t="s">
        <v>34</v>
      </c>
      <c r="K1483" s="3" t="s">
        <v>33</v>
      </c>
      <c r="L1483" s="3" t="s">
        <v>33</v>
      </c>
      <c r="M1483" s="3" t="s">
        <v>313</v>
      </c>
      <c r="N1483" s="3" t="s">
        <v>31</v>
      </c>
      <c r="O1483" s="3" t="s">
        <v>21</v>
      </c>
      <c r="P1483" s="3" t="s">
        <v>30</v>
      </c>
      <c r="Q1483" s="3" t="s">
        <v>20</v>
      </c>
      <c r="R1483" s="3" t="s">
        <v>4</v>
      </c>
      <c r="S1483" s="3" t="s">
        <v>3</v>
      </c>
      <c r="T1483" s="3" t="s">
        <v>19</v>
      </c>
      <c r="U1483" s="3" t="s">
        <v>1</v>
      </c>
      <c r="V1483" s="3" t="s">
        <v>0</v>
      </c>
      <c r="W1483" s="2">
        <v>36</v>
      </c>
    </row>
    <row r="1484" spans="1:23" hidden="1" x14ac:dyDescent="0.25">
      <c r="A1484" s="8">
        <v>9239</v>
      </c>
      <c r="B1484" s="8" t="s">
        <v>503</v>
      </c>
      <c r="C1484" s="7" t="s">
        <v>502</v>
      </c>
      <c r="D1484" s="6" t="s">
        <v>15</v>
      </c>
      <c r="E1484" s="5" t="s">
        <v>491</v>
      </c>
      <c r="F1484" s="4">
        <v>40008</v>
      </c>
      <c r="G1484" s="4" t="s">
        <v>1</v>
      </c>
      <c r="H1484" s="4" t="s">
        <v>1</v>
      </c>
      <c r="I1484" s="3" t="s">
        <v>13</v>
      </c>
      <c r="J1484" s="3" t="s">
        <v>34</v>
      </c>
      <c r="K1484" s="3" t="s">
        <v>33</v>
      </c>
      <c r="L1484" s="3" t="s">
        <v>33</v>
      </c>
      <c r="M1484" s="3" t="s">
        <v>313</v>
      </c>
      <c r="N1484" s="3" t="s">
        <v>31</v>
      </c>
      <c r="O1484" s="3" t="s">
        <v>21</v>
      </c>
      <c r="P1484" s="3" t="s">
        <v>30</v>
      </c>
      <c r="Q1484" s="3" t="s">
        <v>20</v>
      </c>
      <c r="R1484" s="3" t="s">
        <v>4</v>
      </c>
      <c r="S1484" s="3" t="s">
        <v>3</v>
      </c>
      <c r="T1484" s="3" t="s">
        <v>19</v>
      </c>
      <c r="U1484" s="3" t="s">
        <v>1</v>
      </c>
      <c r="V1484" s="3" t="s">
        <v>0</v>
      </c>
      <c r="W1484" s="2">
        <v>33</v>
      </c>
    </row>
    <row r="1485" spans="1:23" hidden="1" x14ac:dyDescent="0.25">
      <c r="A1485" s="8">
        <v>22438</v>
      </c>
      <c r="B1485" s="8" t="s">
        <v>501</v>
      </c>
      <c r="C1485" s="7" t="s">
        <v>500</v>
      </c>
      <c r="D1485" s="6" t="s">
        <v>15</v>
      </c>
      <c r="E1485" s="5" t="s">
        <v>499</v>
      </c>
      <c r="F1485" s="4">
        <v>43213</v>
      </c>
      <c r="G1485" s="4" t="s">
        <v>1</v>
      </c>
      <c r="H1485" s="4" t="s">
        <v>1</v>
      </c>
      <c r="I1485" s="5" t="s">
        <v>93</v>
      </c>
      <c r="J1485" s="3" t="s">
        <v>92</v>
      </c>
      <c r="K1485" s="3" t="s">
        <v>33</v>
      </c>
      <c r="L1485" s="3" t="s">
        <v>33</v>
      </c>
      <c r="M1485" s="3" t="s">
        <v>449</v>
      </c>
      <c r="N1485" s="5" t="s">
        <v>498</v>
      </c>
      <c r="O1485" s="5" t="s">
        <v>394</v>
      </c>
      <c r="P1485" s="3" t="s">
        <v>30</v>
      </c>
      <c r="Q1485" s="3" t="s">
        <v>47</v>
      </c>
      <c r="R1485" s="3" t="s">
        <v>4</v>
      </c>
      <c r="S1485" s="3" t="s">
        <v>3</v>
      </c>
      <c r="T1485" s="3" t="s">
        <v>88</v>
      </c>
      <c r="U1485" s="3" t="s">
        <v>1</v>
      </c>
      <c r="V1485" s="3" t="s">
        <v>18</v>
      </c>
      <c r="W1485" s="2">
        <v>29</v>
      </c>
    </row>
    <row r="1486" spans="1:23" hidden="1" x14ac:dyDescent="0.25">
      <c r="A1486" s="8">
        <v>22447</v>
      </c>
      <c r="B1486" s="8" t="s">
        <v>497</v>
      </c>
      <c r="C1486" s="7" t="s">
        <v>496</v>
      </c>
      <c r="D1486" s="6" t="s">
        <v>15</v>
      </c>
      <c r="E1486" s="5" t="s">
        <v>495</v>
      </c>
      <c r="F1486" s="4">
        <v>43220</v>
      </c>
      <c r="G1486" s="4" t="s">
        <v>1</v>
      </c>
      <c r="H1486" s="4" t="s">
        <v>1</v>
      </c>
      <c r="I1486" s="3" t="s">
        <v>13</v>
      </c>
      <c r="J1486" s="3" t="s">
        <v>12</v>
      </c>
      <c r="K1486" s="3" t="s">
        <v>262</v>
      </c>
      <c r="L1486" s="3" t="s">
        <v>261</v>
      </c>
      <c r="M1486" s="3" t="s">
        <v>260</v>
      </c>
      <c r="N1486" s="3" t="s">
        <v>494</v>
      </c>
      <c r="O1486" s="3" t="s">
        <v>258</v>
      </c>
      <c r="P1486" s="3" t="s">
        <v>6</v>
      </c>
      <c r="Q1486" s="3" t="s">
        <v>5</v>
      </c>
      <c r="R1486" s="3" t="s">
        <v>4</v>
      </c>
      <c r="S1486" s="3" t="s">
        <v>3</v>
      </c>
      <c r="T1486" s="3" t="s">
        <v>2</v>
      </c>
      <c r="U1486" s="3" t="s">
        <v>1</v>
      </c>
      <c r="V1486" s="3" t="s">
        <v>18</v>
      </c>
      <c r="W1486" s="2">
        <v>27</v>
      </c>
    </row>
    <row r="1487" spans="1:23" hidden="1" x14ac:dyDescent="0.25">
      <c r="A1487" s="8">
        <v>9453</v>
      </c>
      <c r="B1487" s="8" t="s">
        <v>493</v>
      </c>
      <c r="C1487" s="7" t="s">
        <v>492</v>
      </c>
      <c r="D1487" s="6" t="s">
        <v>15</v>
      </c>
      <c r="E1487" s="5" t="s">
        <v>491</v>
      </c>
      <c r="F1487" s="4">
        <v>40148</v>
      </c>
      <c r="G1487" s="4" t="s">
        <v>1</v>
      </c>
      <c r="H1487" s="4" t="s">
        <v>1</v>
      </c>
      <c r="I1487" s="3" t="s">
        <v>13</v>
      </c>
      <c r="J1487" s="3" t="s">
        <v>34</v>
      </c>
      <c r="K1487" s="3" t="s">
        <v>33</v>
      </c>
      <c r="L1487" s="3" t="s">
        <v>33</v>
      </c>
      <c r="M1487" s="3" t="s">
        <v>313</v>
      </c>
      <c r="N1487" s="3" t="s">
        <v>31</v>
      </c>
      <c r="O1487" s="3" t="s">
        <v>29</v>
      </c>
      <c r="P1487" s="3" t="s">
        <v>30</v>
      </c>
      <c r="Q1487" s="3" t="s">
        <v>20</v>
      </c>
      <c r="R1487" s="3" t="s">
        <v>4</v>
      </c>
      <c r="S1487" s="3" t="s">
        <v>3</v>
      </c>
      <c r="T1487" s="3" t="s">
        <v>29</v>
      </c>
      <c r="U1487" s="3" t="s">
        <v>1</v>
      </c>
      <c r="V1487" s="3" t="s">
        <v>0</v>
      </c>
      <c r="W1487" s="2">
        <v>34</v>
      </c>
    </row>
    <row r="1488" spans="1:23" hidden="1" x14ac:dyDescent="0.25">
      <c r="A1488" s="8">
        <v>22793</v>
      </c>
      <c r="B1488" s="8" t="s">
        <v>490</v>
      </c>
      <c r="C1488" s="19" t="s">
        <v>489</v>
      </c>
      <c r="D1488" s="6" t="s">
        <v>15</v>
      </c>
      <c r="E1488" s="18" t="s">
        <v>488</v>
      </c>
      <c r="F1488" s="4">
        <v>43283</v>
      </c>
      <c r="G1488" s="4" t="s">
        <v>1</v>
      </c>
      <c r="H1488" s="4" t="s">
        <v>1</v>
      </c>
      <c r="I1488" s="3" t="s">
        <v>13</v>
      </c>
      <c r="J1488" s="3" t="s">
        <v>12</v>
      </c>
      <c r="K1488" s="3" t="s">
        <v>187</v>
      </c>
      <c r="L1488" s="3" t="s">
        <v>229</v>
      </c>
      <c r="M1488" s="3" t="s">
        <v>228</v>
      </c>
      <c r="N1488" s="3" t="s">
        <v>487</v>
      </c>
      <c r="O1488" s="3" t="s">
        <v>258</v>
      </c>
      <c r="P1488" s="3" t="s">
        <v>6</v>
      </c>
      <c r="Q1488" s="3" t="s">
        <v>5</v>
      </c>
      <c r="R1488" s="3" t="s">
        <v>4</v>
      </c>
      <c r="S1488" s="3" t="s">
        <v>3</v>
      </c>
      <c r="T1488" s="3" t="s">
        <v>2</v>
      </c>
      <c r="U1488" s="3" t="s">
        <v>1</v>
      </c>
      <c r="V1488" s="3" t="s">
        <v>18</v>
      </c>
      <c r="W1488" s="2">
        <v>26</v>
      </c>
    </row>
    <row r="1489" spans="1:24" hidden="1" x14ac:dyDescent="0.25">
      <c r="A1489" s="8">
        <v>9578</v>
      </c>
      <c r="B1489" s="8" t="s">
        <v>486</v>
      </c>
      <c r="C1489" s="7" t="s">
        <v>485</v>
      </c>
      <c r="D1489" s="6" t="s">
        <v>15</v>
      </c>
      <c r="E1489" s="5" t="s">
        <v>178</v>
      </c>
      <c r="F1489" s="4">
        <v>40179</v>
      </c>
      <c r="G1489" s="4" t="s">
        <v>1</v>
      </c>
      <c r="H1489" s="4" t="s">
        <v>1</v>
      </c>
      <c r="I1489" s="3" t="s">
        <v>13</v>
      </c>
      <c r="J1489" s="3" t="s">
        <v>34</v>
      </c>
      <c r="K1489" s="3" t="s">
        <v>33</v>
      </c>
      <c r="L1489" s="3" t="s">
        <v>33</v>
      </c>
      <c r="M1489" s="3" t="s">
        <v>313</v>
      </c>
      <c r="N1489" s="3" t="s">
        <v>31</v>
      </c>
      <c r="O1489" s="3" t="s">
        <v>29</v>
      </c>
      <c r="P1489" s="3" t="s">
        <v>30</v>
      </c>
      <c r="Q1489" s="3" t="s">
        <v>20</v>
      </c>
      <c r="R1489" s="3" t="s">
        <v>4</v>
      </c>
      <c r="S1489" s="3" t="s">
        <v>3</v>
      </c>
      <c r="T1489" s="3" t="s">
        <v>29</v>
      </c>
      <c r="U1489" s="3" t="s">
        <v>1</v>
      </c>
      <c r="V1489" s="3" t="s">
        <v>18</v>
      </c>
      <c r="W1489" s="2">
        <v>34</v>
      </c>
    </row>
    <row r="1490" spans="1:24" hidden="1" x14ac:dyDescent="0.25">
      <c r="A1490" s="8">
        <v>22909</v>
      </c>
      <c r="B1490" s="8" t="s">
        <v>484</v>
      </c>
      <c r="C1490" s="19" t="s">
        <v>483</v>
      </c>
      <c r="D1490" s="6" t="s">
        <v>15</v>
      </c>
      <c r="E1490" s="18" t="s">
        <v>473</v>
      </c>
      <c r="F1490" s="4">
        <v>43343</v>
      </c>
      <c r="G1490" s="4" t="s">
        <v>1</v>
      </c>
      <c r="H1490" s="4" t="s">
        <v>1</v>
      </c>
      <c r="I1490" s="3" t="s">
        <v>13</v>
      </c>
      <c r="J1490" s="3" t="s">
        <v>12</v>
      </c>
      <c r="K1490" s="3" t="s">
        <v>482</v>
      </c>
      <c r="L1490" s="3" t="s">
        <v>481</v>
      </c>
      <c r="M1490" s="3" t="s">
        <v>480</v>
      </c>
      <c r="N1490" s="3" t="s">
        <v>479</v>
      </c>
      <c r="O1490" s="3" t="s">
        <v>59</v>
      </c>
      <c r="P1490" s="3" t="s">
        <v>6</v>
      </c>
      <c r="Q1490" s="3" t="s">
        <v>5</v>
      </c>
      <c r="R1490" s="3" t="s">
        <v>4</v>
      </c>
      <c r="S1490" s="3" t="s">
        <v>3</v>
      </c>
      <c r="T1490" s="3" t="s">
        <v>2</v>
      </c>
      <c r="U1490" s="3" t="s">
        <v>1</v>
      </c>
      <c r="V1490" s="3" t="s">
        <v>18</v>
      </c>
      <c r="W1490" s="2">
        <v>24</v>
      </c>
    </row>
    <row r="1491" spans="1:24" hidden="1" x14ac:dyDescent="0.25">
      <c r="A1491" s="8">
        <v>10179</v>
      </c>
      <c r="B1491" s="8" t="s">
        <v>478</v>
      </c>
      <c r="C1491" s="7" t="s">
        <v>477</v>
      </c>
      <c r="D1491" s="6" t="s">
        <v>15</v>
      </c>
      <c r="E1491" s="5" t="s">
        <v>476</v>
      </c>
      <c r="F1491" s="4">
        <v>40458</v>
      </c>
      <c r="G1491" s="4" t="s">
        <v>1</v>
      </c>
      <c r="H1491" s="4" t="s">
        <v>1</v>
      </c>
      <c r="I1491" s="3" t="s">
        <v>13</v>
      </c>
      <c r="J1491" s="3" t="s">
        <v>34</v>
      </c>
      <c r="K1491" s="3" t="s">
        <v>33</v>
      </c>
      <c r="L1491" s="3" t="s">
        <v>33</v>
      </c>
      <c r="M1491" s="3" t="s">
        <v>313</v>
      </c>
      <c r="N1491" s="3" t="s">
        <v>31</v>
      </c>
      <c r="O1491" s="3" t="s">
        <v>29</v>
      </c>
      <c r="P1491" s="3" t="s">
        <v>30</v>
      </c>
      <c r="Q1491" s="3" t="s">
        <v>20</v>
      </c>
      <c r="R1491" s="3" t="s">
        <v>4</v>
      </c>
      <c r="S1491" s="3" t="s">
        <v>3</v>
      </c>
      <c r="T1491" s="3" t="s">
        <v>29</v>
      </c>
      <c r="U1491" s="3" t="s">
        <v>1</v>
      </c>
      <c r="V1491" s="3" t="s">
        <v>0</v>
      </c>
      <c r="W1491" s="2">
        <v>32</v>
      </c>
    </row>
    <row r="1492" spans="1:24" hidden="1" x14ac:dyDescent="0.25">
      <c r="A1492" s="8">
        <v>22983</v>
      </c>
      <c r="B1492" s="8" t="s">
        <v>475</v>
      </c>
      <c r="C1492" s="19" t="s">
        <v>474</v>
      </c>
      <c r="D1492" s="6" t="s">
        <v>15</v>
      </c>
      <c r="E1492" s="18" t="s">
        <v>473</v>
      </c>
      <c r="F1492" s="4">
        <v>43343</v>
      </c>
      <c r="G1492" s="4" t="s">
        <v>1</v>
      </c>
      <c r="H1492" s="4" t="s">
        <v>1</v>
      </c>
      <c r="I1492" s="3" t="s">
        <v>13</v>
      </c>
      <c r="J1492" s="3" t="s">
        <v>12</v>
      </c>
      <c r="K1492" s="3" t="s">
        <v>63</v>
      </c>
      <c r="L1492" s="3" t="s">
        <v>138</v>
      </c>
      <c r="M1492" s="3" t="s">
        <v>137</v>
      </c>
      <c r="N1492" s="3" t="s">
        <v>472</v>
      </c>
      <c r="O1492" s="3" t="s">
        <v>100</v>
      </c>
      <c r="P1492" s="3" t="s">
        <v>6</v>
      </c>
      <c r="Q1492" s="3" t="s">
        <v>20</v>
      </c>
      <c r="R1492" s="3" t="s">
        <v>4</v>
      </c>
      <c r="S1492" s="3" t="s">
        <v>3</v>
      </c>
      <c r="T1492" s="3" t="s">
        <v>2</v>
      </c>
      <c r="U1492" s="3" t="s">
        <v>1</v>
      </c>
      <c r="V1492" s="3" t="s">
        <v>0</v>
      </c>
      <c r="W1492" s="2">
        <v>24</v>
      </c>
    </row>
    <row r="1493" spans="1:24" hidden="1" x14ac:dyDescent="0.25">
      <c r="A1493" s="8">
        <v>10580</v>
      </c>
      <c r="B1493" s="8" t="s">
        <v>471</v>
      </c>
      <c r="C1493" s="7" t="s">
        <v>470</v>
      </c>
      <c r="D1493" s="6" t="s">
        <v>15</v>
      </c>
      <c r="E1493" s="5" t="s">
        <v>445</v>
      </c>
      <c r="F1493" s="4">
        <v>40544</v>
      </c>
      <c r="G1493" s="4" t="s">
        <v>1</v>
      </c>
      <c r="H1493" s="4" t="s">
        <v>1</v>
      </c>
      <c r="I1493" s="3" t="s">
        <v>13</v>
      </c>
      <c r="J1493" s="3" t="s">
        <v>34</v>
      </c>
      <c r="K1493" s="3" t="s">
        <v>33</v>
      </c>
      <c r="L1493" s="3" t="s">
        <v>33</v>
      </c>
      <c r="M1493" s="3" t="s">
        <v>313</v>
      </c>
      <c r="N1493" s="3" t="s">
        <v>31</v>
      </c>
      <c r="O1493" s="3" t="s">
        <v>29</v>
      </c>
      <c r="P1493" s="3" t="s">
        <v>30</v>
      </c>
      <c r="Q1493" s="3" t="s">
        <v>20</v>
      </c>
      <c r="R1493" s="3" t="s">
        <v>4</v>
      </c>
      <c r="S1493" s="3" t="s">
        <v>3</v>
      </c>
      <c r="T1493" s="3" t="s">
        <v>29</v>
      </c>
      <c r="U1493" s="3" t="s">
        <v>1</v>
      </c>
      <c r="V1493" s="3" t="s">
        <v>0</v>
      </c>
      <c r="W1493" s="2">
        <v>35</v>
      </c>
    </row>
    <row r="1494" spans="1:24" s="78" customFormat="1" hidden="1" x14ac:dyDescent="0.25">
      <c r="A1494" s="73">
        <v>23185</v>
      </c>
      <c r="B1494" s="73" t="s">
        <v>469</v>
      </c>
      <c r="C1494" s="102" t="s">
        <v>468</v>
      </c>
      <c r="D1494" s="88" t="s">
        <v>15</v>
      </c>
      <c r="E1494" s="91" t="s">
        <v>467</v>
      </c>
      <c r="F1494" s="90">
        <v>43405</v>
      </c>
      <c r="G1494" s="90" t="s">
        <v>1</v>
      </c>
      <c r="H1494" s="90" t="s">
        <v>1</v>
      </c>
      <c r="I1494" s="89" t="s">
        <v>93</v>
      </c>
      <c r="J1494" s="91" t="s">
        <v>466</v>
      </c>
      <c r="K1494" s="91" t="s">
        <v>33</v>
      </c>
      <c r="L1494" s="91" t="s">
        <v>33</v>
      </c>
      <c r="M1494" s="91" t="s">
        <v>466</v>
      </c>
      <c r="N1494" s="92" t="s">
        <v>465</v>
      </c>
      <c r="O1494" s="92" t="s">
        <v>464</v>
      </c>
      <c r="P1494" s="92" t="s">
        <v>30</v>
      </c>
      <c r="Q1494" s="92" t="s">
        <v>47</v>
      </c>
      <c r="R1494" s="92" t="s">
        <v>4</v>
      </c>
      <c r="S1494" s="92" t="s">
        <v>3</v>
      </c>
      <c r="T1494" s="92" t="s">
        <v>2</v>
      </c>
      <c r="U1494" s="92" t="s">
        <v>463</v>
      </c>
      <c r="V1494" s="92" t="s">
        <v>0</v>
      </c>
      <c r="W1494" s="93">
        <v>27</v>
      </c>
    </row>
    <row r="1495" spans="1:24" hidden="1" x14ac:dyDescent="0.25">
      <c r="A1495" s="8">
        <v>24326</v>
      </c>
      <c r="B1495" s="8" t="s">
        <v>462</v>
      </c>
      <c r="C1495" s="19" t="s">
        <v>461</v>
      </c>
      <c r="D1495" s="6" t="s">
        <v>15</v>
      </c>
      <c r="E1495" s="18" t="s">
        <v>455</v>
      </c>
      <c r="F1495" s="4">
        <v>43663</v>
      </c>
      <c r="G1495" s="4" t="s">
        <v>1</v>
      </c>
      <c r="H1495" s="4" t="s">
        <v>1</v>
      </c>
      <c r="I1495" s="3" t="s">
        <v>13</v>
      </c>
      <c r="J1495" s="3" t="s">
        <v>12</v>
      </c>
      <c r="K1495" s="3" t="s">
        <v>63</v>
      </c>
      <c r="L1495" s="3" t="s">
        <v>460</v>
      </c>
      <c r="M1495" s="3" t="s">
        <v>459</v>
      </c>
      <c r="N1495" s="3" t="s">
        <v>458</v>
      </c>
      <c r="O1495" s="3" t="s">
        <v>453</v>
      </c>
      <c r="P1495" s="3" t="s">
        <v>6</v>
      </c>
      <c r="Q1495" s="3" t="s">
        <v>5</v>
      </c>
      <c r="R1495" s="3" t="s">
        <v>4</v>
      </c>
      <c r="S1495" s="3" t="s">
        <v>3</v>
      </c>
      <c r="T1495" s="3" t="s">
        <v>2</v>
      </c>
      <c r="U1495" s="3" t="s">
        <v>1</v>
      </c>
      <c r="V1495" s="5" t="s">
        <v>18</v>
      </c>
      <c r="W1495" s="2">
        <v>24</v>
      </c>
    </row>
    <row r="1496" spans="1:24" hidden="1" x14ac:dyDescent="0.25">
      <c r="A1496" s="8">
        <v>24396</v>
      </c>
      <c r="B1496" s="8" t="s">
        <v>457</v>
      </c>
      <c r="C1496" s="19" t="s">
        <v>456</v>
      </c>
      <c r="D1496" s="6" t="s">
        <v>15</v>
      </c>
      <c r="E1496" s="18" t="s">
        <v>455</v>
      </c>
      <c r="F1496" s="4">
        <v>43663</v>
      </c>
      <c r="G1496" s="4" t="s">
        <v>1</v>
      </c>
      <c r="H1496" s="4" t="s">
        <v>1</v>
      </c>
      <c r="I1496" s="3" t="s">
        <v>13</v>
      </c>
      <c r="J1496" s="3" t="s">
        <v>12</v>
      </c>
      <c r="K1496" s="3" t="s">
        <v>63</v>
      </c>
      <c r="L1496" s="3" t="s">
        <v>62</v>
      </c>
      <c r="M1496" s="3" t="s">
        <v>61</v>
      </c>
      <c r="N1496" s="3" t="s">
        <v>454</v>
      </c>
      <c r="O1496" s="3" t="s">
        <v>453</v>
      </c>
      <c r="P1496" s="3" t="s">
        <v>6</v>
      </c>
      <c r="Q1496" s="3" t="s">
        <v>5</v>
      </c>
      <c r="R1496" s="3" t="s">
        <v>4</v>
      </c>
      <c r="S1496" s="3" t="s">
        <v>3</v>
      </c>
      <c r="T1496" s="3" t="s">
        <v>2</v>
      </c>
      <c r="U1496" s="3" t="s">
        <v>1</v>
      </c>
      <c r="V1496" s="5" t="s">
        <v>18</v>
      </c>
      <c r="W1496" s="2">
        <v>23</v>
      </c>
    </row>
    <row r="1497" spans="1:24" hidden="1" x14ac:dyDescent="0.25">
      <c r="A1497" s="8">
        <v>24411</v>
      </c>
      <c r="B1497" s="8" t="s">
        <v>452</v>
      </c>
      <c r="C1497" s="7" t="s">
        <v>451</v>
      </c>
      <c r="D1497" s="6" t="s">
        <v>15</v>
      </c>
      <c r="E1497" s="5" t="s">
        <v>450</v>
      </c>
      <c r="F1497" s="4">
        <v>43663</v>
      </c>
      <c r="G1497" s="4" t="s">
        <v>1</v>
      </c>
      <c r="H1497" s="4" t="s">
        <v>1</v>
      </c>
      <c r="I1497" s="5" t="s">
        <v>93</v>
      </c>
      <c r="J1497" s="3" t="s">
        <v>92</v>
      </c>
      <c r="K1497" s="3" t="s">
        <v>33</v>
      </c>
      <c r="L1497" s="3" t="s">
        <v>33</v>
      </c>
      <c r="M1497" s="3" t="s">
        <v>449</v>
      </c>
      <c r="N1497" s="3" t="s">
        <v>448</v>
      </c>
      <c r="O1497" s="3" t="s">
        <v>394</v>
      </c>
      <c r="P1497" s="3" t="s">
        <v>30</v>
      </c>
      <c r="Q1497" s="3" t="s">
        <v>47</v>
      </c>
      <c r="R1497" s="3" t="s">
        <v>4</v>
      </c>
      <c r="S1497" s="3" t="s">
        <v>3</v>
      </c>
      <c r="T1497" s="3" t="s">
        <v>88</v>
      </c>
      <c r="U1497" s="3" t="s">
        <v>1</v>
      </c>
      <c r="V1497" s="3" t="s">
        <v>18</v>
      </c>
      <c r="W1497" s="2">
        <v>24</v>
      </c>
    </row>
    <row r="1498" spans="1:24" hidden="1" x14ac:dyDescent="0.25">
      <c r="A1498" s="8">
        <v>10586</v>
      </c>
      <c r="B1498" s="8" t="s">
        <v>447</v>
      </c>
      <c r="C1498" s="7" t="s">
        <v>446</v>
      </c>
      <c r="D1498" s="6" t="s">
        <v>15</v>
      </c>
      <c r="E1498" s="5" t="s">
        <v>445</v>
      </c>
      <c r="F1498" s="4">
        <v>40544</v>
      </c>
      <c r="G1498" s="4" t="s">
        <v>1</v>
      </c>
      <c r="H1498" s="4" t="s">
        <v>1</v>
      </c>
      <c r="I1498" s="3" t="s">
        <v>13</v>
      </c>
      <c r="J1498" s="3" t="s">
        <v>34</v>
      </c>
      <c r="K1498" s="3" t="s">
        <v>33</v>
      </c>
      <c r="L1498" s="3" t="s">
        <v>33</v>
      </c>
      <c r="M1498" s="3" t="s">
        <v>313</v>
      </c>
      <c r="N1498" s="3" t="s">
        <v>31</v>
      </c>
      <c r="O1498" s="3" t="s">
        <v>21</v>
      </c>
      <c r="P1498" s="3" t="s">
        <v>30</v>
      </c>
      <c r="Q1498" s="3" t="s">
        <v>20</v>
      </c>
      <c r="R1498" s="3" t="s">
        <v>4</v>
      </c>
      <c r="S1498" s="3" t="s">
        <v>3</v>
      </c>
      <c r="T1498" s="3" t="s">
        <v>2</v>
      </c>
      <c r="U1498" s="3" t="s">
        <v>1</v>
      </c>
      <c r="V1498" s="3" t="s">
        <v>0</v>
      </c>
      <c r="W1498" s="2">
        <v>35</v>
      </c>
    </row>
    <row r="1499" spans="1:24" hidden="1" x14ac:dyDescent="0.25">
      <c r="A1499" s="8">
        <v>10635</v>
      </c>
      <c r="B1499" s="8" t="s">
        <v>444</v>
      </c>
      <c r="C1499" s="7" t="s">
        <v>443</v>
      </c>
      <c r="D1499" s="6" t="s">
        <v>15</v>
      </c>
      <c r="E1499" s="5" t="s">
        <v>442</v>
      </c>
      <c r="F1499" s="4">
        <v>40549</v>
      </c>
      <c r="G1499" s="4" t="s">
        <v>1</v>
      </c>
      <c r="H1499" s="4" t="s">
        <v>1</v>
      </c>
      <c r="I1499" s="3" t="s">
        <v>13</v>
      </c>
      <c r="J1499" s="3" t="s">
        <v>34</v>
      </c>
      <c r="K1499" s="3" t="s">
        <v>33</v>
      </c>
      <c r="L1499" s="3" t="s">
        <v>33</v>
      </c>
      <c r="M1499" s="3" t="s">
        <v>313</v>
      </c>
      <c r="N1499" s="3" t="s">
        <v>31</v>
      </c>
      <c r="O1499" s="3" t="s">
        <v>21</v>
      </c>
      <c r="P1499" s="3" t="s">
        <v>30</v>
      </c>
      <c r="Q1499" s="3" t="s">
        <v>20</v>
      </c>
      <c r="R1499" s="3" t="s">
        <v>4</v>
      </c>
      <c r="S1499" s="3" t="s">
        <v>3</v>
      </c>
      <c r="T1499" s="3" t="s">
        <v>19</v>
      </c>
      <c r="U1499" s="3" t="s">
        <v>1</v>
      </c>
      <c r="V1499" s="3" t="s">
        <v>0</v>
      </c>
      <c r="W1499" s="2">
        <v>34</v>
      </c>
    </row>
    <row r="1500" spans="1:24" hidden="1" x14ac:dyDescent="0.25">
      <c r="A1500" s="8">
        <v>24803</v>
      </c>
      <c r="B1500" s="8" t="s">
        <v>441</v>
      </c>
      <c r="C1500" s="19" t="s">
        <v>440</v>
      </c>
      <c r="D1500" s="6" t="s">
        <v>15</v>
      </c>
      <c r="E1500" s="18" t="s">
        <v>439</v>
      </c>
      <c r="F1500" s="4">
        <v>43713</v>
      </c>
      <c r="G1500" s="4" t="s">
        <v>1</v>
      </c>
      <c r="H1500" s="4" t="s">
        <v>1</v>
      </c>
      <c r="I1500" s="3" t="s">
        <v>13</v>
      </c>
      <c r="J1500" s="3" t="s">
        <v>133</v>
      </c>
      <c r="K1500" s="3" t="s">
        <v>187</v>
      </c>
      <c r="L1500" s="3" t="s">
        <v>187</v>
      </c>
      <c r="M1500" s="3" t="s">
        <v>186</v>
      </c>
      <c r="N1500" s="3" t="s">
        <v>438</v>
      </c>
      <c r="O1500" s="3" t="s">
        <v>128</v>
      </c>
      <c r="P1500" s="3" t="s">
        <v>6</v>
      </c>
      <c r="Q1500" s="3" t="s">
        <v>5</v>
      </c>
      <c r="R1500" s="3" t="s">
        <v>4</v>
      </c>
      <c r="S1500" s="3" t="s">
        <v>3</v>
      </c>
      <c r="T1500" s="3" t="s">
        <v>2</v>
      </c>
      <c r="U1500" s="3" t="s">
        <v>1</v>
      </c>
      <c r="V1500" s="3" t="s">
        <v>0</v>
      </c>
      <c r="W1500" s="2">
        <v>23</v>
      </c>
    </row>
    <row r="1501" spans="1:24" hidden="1" x14ac:dyDescent="0.25">
      <c r="A1501" s="8">
        <v>24995</v>
      </c>
      <c r="B1501" s="8" t="s">
        <v>437</v>
      </c>
      <c r="C1501" s="28" t="s">
        <v>436</v>
      </c>
      <c r="D1501" s="6" t="s">
        <v>15</v>
      </c>
      <c r="E1501" s="5" t="s">
        <v>435</v>
      </c>
      <c r="F1501" s="4">
        <v>43770</v>
      </c>
      <c r="G1501" s="4" t="s">
        <v>1</v>
      </c>
      <c r="H1501" s="4" t="s">
        <v>1</v>
      </c>
      <c r="I1501" s="5" t="s">
        <v>342</v>
      </c>
      <c r="J1501" s="5" t="s">
        <v>341</v>
      </c>
      <c r="K1501" s="5" t="s">
        <v>33</v>
      </c>
      <c r="L1501" s="5" t="s">
        <v>33</v>
      </c>
      <c r="M1501" s="5" t="s">
        <v>341</v>
      </c>
      <c r="N1501" s="5" t="s">
        <v>434</v>
      </c>
      <c r="O1501" s="5" t="s">
        <v>347</v>
      </c>
      <c r="P1501" s="5" t="s">
        <v>30</v>
      </c>
      <c r="Q1501" s="5" t="s">
        <v>121</v>
      </c>
      <c r="R1501" s="3" t="s">
        <v>4</v>
      </c>
      <c r="S1501" s="3" t="s">
        <v>3</v>
      </c>
      <c r="T1501" s="3" t="s">
        <v>346</v>
      </c>
      <c r="U1501" s="3" t="s">
        <v>1</v>
      </c>
      <c r="V1501" s="3" t="s">
        <v>0</v>
      </c>
      <c r="W1501" s="2">
        <v>26</v>
      </c>
      <c r="X1501" s="20"/>
    </row>
    <row r="1502" spans="1:24" hidden="1" x14ac:dyDescent="0.25">
      <c r="A1502" s="8">
        <v>24996</v>
      </c>
      <c r="B1502" s="8" t="s">
        <v>433</v>
      </c>
      <c r="C1502" s="25" t="s">
        <v>432</v>
      </c>
      <c r="D1502" s="6" t="s">
        <v>15</v>
      </c>
      <c r="E1502" s="5" t="s">
        <v>431</v>
      </c>
      <c r="F1502" s="4">
        <v>43770</v>
      </c>
      <c r="G1502" s="4" t="s">
        <v>1</v>
      </c>
      <c r="H1502" s="4" t="s">
        <v>1</v>
      </c>
      <c r="I1502" s="3" t="s">
        <v>384</v>
      </c>
      <c r="J1502" s="3" t="s">
        <v>390</v>
      </c>
      <c r="K1502" s="3" t="s">
        <v>33</v>
      </c>
      <c r="L1502" s="3" t="s">
        <v>33</v>
      </c>
      <c r="M1502" s="3" t="s">
        <v>389</v>
      </c>
      <c r="N1502" s="3" t="s">
        <v>388</v>
      </c>
      <c r="O1502" s="3" t="s">
        <v>387</v>
      </c>
      <c r="P1502" s="3" t="s">
        <v>30</v>
      </c>
      <c r="Q1502" s="3" t="s">
        <v>47</v>
      </c>
      <c r="R1502" s="3" t="s">
        <v>4</v>
      </c>
      <c r="S1502" s="3" t="s">
        <v>3</v>
      </c>
      <c r="T1502" s="3" t="s">
        <v>2</v>
      </c>
      <c r="U1502" s="3" t="s">
        <v>1</v>
      </c>
      <c r="V1502" s="3" t="s">
        <v>18</v>
      </c>
      <c r="W1502" s="2">
        <v>27</v>
      </c>
    </row>
    <row r="1503" spans="1:24" s="9" customFormat="1" hidden="1" x14ac:dyDescent="0.25">
      <c r="A1503" s="17">
        <v>24998</v>
      </c>
      <c r="B1503" s="17" t="s">
        <v>430</v>
      </c>
      <c r="C1503" s="16" t="s">
        <v>429</v>
      </c>
      <c r="D1503" s="15" t="s">
        <v>15</v>
      </c>
      <c r="E1503" s="14" t="s">
        <v>428</v>
      </c>
      <c r="F1503" s="13">
        <v>43801</v>
      </c>
      <c r="G1503" s="13" t="s">
        <v>1</v>
      </c>
      <c r="H1503" s="13" t="s">
        <v>1</v>
      </c>
      <c r="I1503" s="14" t="s">
        <v>93</v>
      </c>
      <c r="J1503" s="12" t="s">
        <v>92</v>
      </c>
      <c r="K1503" s="12" t="s">
        <v>33</v>
      </c>
      <c r="L1503" s="12" t="s">
        <v>33</v>
      </c>
      <c r="M1503" s="14" t="s">
        <v>394</v>
      </c>
      <c r="N1503" s="14" t="s">
        <v>427</v>
      </c>
      <c r="O1503" s="14" t="s">
        <v>394</v>
      </c>
      <c r="P1503" s="14" t="s">
        <v>72</v>
      </c>
      <c r="Q1503" s="14" t="s">
        <v>47</v>
      </c>
      <c r="R1503" s="12" t="s">
        <v>4</v>
      </c>
      <c r="S1503" s="12" t="s">
        <v>3</v>
      </c>
      <c r="T1503" s="12" t="s">
        <v>88</v>
      </c>
      <c r="U1503" s="12" t="s">
        <v>1</v>
      </c>
      <c r="V1503" s="12" t="s">
        <v>18</v>
      </c>
      <c r="W1503" s="11">
        <v>25</v>
      </c>
      <c r="X1503" s="10"/>
    </row>
    <row r="1504" spans="1:24" s="9" customFormat="1" hidden="1" x14ac:dyDescent="0.25">
      <c r="A1504" s="17">
        <v>11724</v>
      </c>
      <c r="B1504" s="17" t="s">
        <v>426</v>
      </c>
      <c r="C1504" s="16" t="s">
        <v>425</v>
      </c>
      <c r="D1504" s="15" t="s">
        <v>15</v>
      </c>
      <c r="E1504" s="14" t="s">
        <v>424</v>
      </c>
      <c r="F1504" s="13">
        <v>40714</v>
      </c>
      <c r="G1504" s="13" t="s">
        <v>1</v>
      </c>
      <c r="H1504" s="13" t="s">
        <v>1</v>
      </c>
      <c r="I1504" s="12" t="s">
        <v>13</v>
      </c>
      <c r="J1504" s="12" t="s">
        <v>34</v>
      </c>
      <c r="K1504" s="12" t="s">
        <v>33</v>
      </c>
      <c r="L1504" s="12" t="s">
        <v>33</v>
      </c>
      <c r="M1504" s="12" t="s">
        <v>313</v>
      </c>
      <c r="N1504" s="12" t="s">
        <v>31</v>
      </c>
      <c r="O1504" s="12" t="s">
        <v>21</v>
      </c>
      <c r="P1504" s="12" t="s">
        <v>30</v>
      </c>
      <c r="Q1504" s="12" t="s">
        <v>20</v>
      </c>
      <c r="R1504" s="12" t="s">
        <v>4</v>
      </c>
      <c r="S1504" s="12" t="s">
        <v>3</v>
      </c>
      <c r="T1504" s="12" t="s">
        <v>19</v>
      </c>
      <c r="U1504" s="12" t="s">
        <v>1</v>
      </c>
      <c r="V1504" s="12" t="s">
        <v>0</v>
      </c>
      <c r="W1504" s="11">
        <v>31</v>
      </c>
      <c r="X1504" s="10"/>
    </row>
    <row r="1505" spans="1:24" hidden="1" x14ac:dyDescent="0.25">
      <c r="A1505" s="8">
        <v>12068</v>
      </c>
      <c r="B1505" s="8" t="s">
        <v>423</v>
      </c>
      <c r="C1505" s="7" t="s">
        <v>422</v>
      </c>
      <c r="D1505" s="6" t="s">
        <v>15</v>
      </c>
      <c r="E1505" s="8" t="s">
        <v>421</v>
      </c>
      <c r="F1505" s="4">
        <v>40798</v>
      </c>
      <c r="G1505" s="4" t="s">
        <v>1</v>
      </c>
      <c r="H1505" s="4" t="s">
        <v>1</v>
      </c>
      <c r="I1505" s="3" t="s">
        <v>13</v>
      </c>
      <c r="J1505" s="3" t="s">
        <v>34</v>
      </c>
      <c r="K1505" s="3" t="s">
        <v>33</v>
      </c>
      <c r="L1505" s="3" t="s">
        <v>33</v>
      </c>
      <c r="M1505" s="3" t="s">
        <v>313</v>
      </c>
      <c r="N1505" s="3" t="s">
        <v>31</v>
      </c>
      <c r="O1505" s="3" t="s">
        <v>21</v>
      </c>
      <c r="P1505" s="3" t="s">
        <v>30</v>
      </c>
      <c r="Q1505" s="3" t="s">
        <v>20</v>
      </c>
      <c r="R1505" s="3" t="s">
        <v>4</v>
      </c>
      <c r="S1505" s="3" t="s">
        <v>3</v>
      </c>
      <c r="T1505" s="3" t="s">
        <v>19</v>
      </c>
      <c r="U1505" s="3" t="s">
        <v>1</v>
      </c>
      <c r="V1505" s="3" t="s">
        <v>0</v>
      </c>
      <c r="W1505" s="2">
        <v>31</v>
      </c>
    </row>
    <row r="1506" spans="1:24" hidden="1" x14ac:dyDescent="0.25">
      <c r="A1506" s="8">
        <v>25200</v>
      </c>
      <c r="B1506" s="8" t="s">
        <v>420</v>
      </c>
      <c r="C1506" s="7" t="s">
        <v>419</v>
      </c>
      <c r="D1506" s="6" t="s">
        <v>15</v>
      </c>
      <c r="E1506" s="5" t="s">
        <v>418</v>
      </c>
      <c r="F1506" s="4">
        <v>43836</v>
      </c>
      <c r="G1506" s="4" t="s">
        <v>1</v>
      </c>
      <c r="H1506" s="4" t="s">
        <v>1</v>
      </c>
      <c r="I1506" s="3" t="s">
        <v>13</v>
      </c>
      <c r="J1506" s="3" t="s">
        <v>133</v>
      </c>
      <c r="K1506" s="3" t="s">
        <v>262</v>
      </c>
      <c r="L1506" s="3" t="s">
        <v>262</v>
      </c>
      <c r="M1506" s="3" t="s">
        <v>277</v>
      </c>
      <c r="N1506" s="3" t="s">
        <v>417</v>
      </c>
      <c r="O1506" s="3" t="s">
        <v>128</v>
      </c>
      <c r="P1506" s="3" t="s">
        <v>6</v>
      </c>
      <c r="Q1506" s="3" t="s">
        <v>5</v>
      </c>
      <c r="R1506" s="3" t="s">
        <v>4</v>
      </c>
      <c r="S1506" s="3" t="s">
        <v>3</v>
      </c>
      <c r="T1506" s="3" t="s">
        <v>2</v>
      </c>
      <c r="U1506" s="3" t="s">
        <v>1</v>
      </c>
      <c r="V1506" s="3" t="s">
        <v>0</v>
      </c>
      <c r="W1506" s="2">
        <v>25</v>
      </c>
    </row>
    <row r="1507" spans="1:24" hidden="1" x14ac:dyDescent="0.25">
      <c r="A1507" s="8">
        <v>25249</v>
      </c>
      <c r="B1507" s="8" t="s">
        <v>416</v>
      </c>
      <c r="C1507" s="7" t="s">
        <v>415</v>
      </c>
      <c r="D1507" s="6" t="s">
        <v>15</v>
      </c>
      <c r="E1507" s="5" t="s">
        <v>414</v>
      </c>
      <c r="F1507" s="4">
        <v>43839</v>
      </c>
      <c r="G1507" s="4" t="s">
        <v>1</v>
      </c>
      <c r="H1507" s="4" t="s">
        <v>1</v>
      </c>
      <c r="I1507" s="5" t="s">
        <v>50</v>
      </c>
      <c r="J1507" s="18" t="s">
        <v>75</v>
      </c>
      <c r="K1507" s="5" t="s">
        <v>33</v>
      </c>
      <c r="L1507" s="5" t="s">
        <v>33</v>
      </c>
      <c r="M1507" s="18" t="s">
        <v>75</v>
      </c>
      <c r="N1507" s="21" t="s">
        <v>74</v>
      </c>
      <c r="O1507" s="5" t="s">
        <v>73</v>
      </c>
      <c r="P1507" s="5" t="s">
        <v>30</v>
      </c>
      <c r="Q1507" s="5" t="s">
        <v>47</v>
      </c>
      <c r="R1507" s="3" t="s">
        <v>4</v>
      </c>
      <c r="S1507" s="3" t="s">
        <v>3</v>
      </c>
      <c r="T1507" s="3" t="s">
        <v>2</v>
      </c>
      <c r="U1507" s="3" t="s">
        <v>1</v>
      </c>
      <c r="V1507" s="3" t="s">
        <v>0</v>
      </c>
      <c r="W1507" s="2">
        <v>23</v>
      </c>
      <c r="X1507" s="20"/>
    </row>
    <row r="1508" spans="1:24" s="117" customFormat="1" hidden="1" x14ac:dyDescent="0.25">
      <c r="A1508" s="109">
        <v>25251</v>
      </c>
      <c r="B1508" s="110" t="s">
        <v>413</v>
      </c>
      <c r="C1508" s="111" t="s">
        <v>412</v>
      </c>
      <c r="D1508" s="112" t="s">
        <v>15</v>
      </c>
      <c r="E1508" s="113" t="s">
        <v>343</v>
      </c>
      <c r="F1508" s="114">
        <v>43864</v>
      </c>
      <c r="G1508" s="114" t="s">
        <v>1</v>
      </c>
      <c r="H1508" s="114" t="s">
        <v>1</v>
      </c>
      <c r="I1508" s="113" t="s">
        <v>365</v>
      </c>
      <c r="J1508" s="113" t="s">
        <v>357</v>
      </c>
      <c r="K1508" s="113" t="s">
        <v>33</v>
      </c>
      <c r="L1508" s="113" t="s">
        <v>33</v>
      </c>
      <c r="M1508" s="113" t="s">
        <v>357</v>
      </c>
      <c r="N1508" s="113" t="s">
        <v>411</v>
      </c>
      <c r="O1508" s="113" t="s">
        <v>410</v>
      </c>
      <c r="P1508" s="113" t="s">
        <v>30</v>
      </c>
      <c r="Q1508" s="113" t="s">
        <v>121</v>
      </c>
      <c r="R1508" s="115" t="s">
        <v>4</v>
      </c>
      <c r="S1508" s="115" t="s">
        <v>3</v>
      </c>
      <c r="T1508" s="115" t="s">
        <v>409</v>
      </c>
      <c r="U1508" s="115" t="s">
        <v>1</v>
      </c>
      <c r="V1508" s="115" t="s">
        <v>18</v>
      </c>
      <c r="W1508" s="116">
        <v>51</v>
      </c>
    </row>
    <row r="1509" spans="1:24" s="117" customFormat="1" hidden="1" x14ac:dyDescent="0.25">
      <c r="A1509" s="109">
        <v>25252</v>
      </c>
      <c r="B1509" s="110" t="s">
        <v>408</v>
      </c>
      <c r="C1509" s="111" t="s">
        <v>407</v>
      </c>
      <c r="D1509" s="112" t="s">
        <v>15</v>
      </c>
      <c r="E1509" s="113" t="s">
        <v>343</v>
      </c>
      <c r="F1509" s="114">
        <v>43866</v>
      </c>
      <c r="G1509" s="114" t="s">
        <v>1</v>
      </c>
      <c r="H1509" s="114" t="s">
        <v>1</v>
      </c>
      <c r="I1509" s="113" t="s">
        <v>145</v>
      </c>
      <c r="J1509" s="113" t="s">
        <v>357</v>
      </c>
      <c r="K1509" s="113" t="s">
        <v>33</v>
      </c>
      <c r="L1509" s="113" t="s">
        <v>33</v>
      </c>
      <c r="M1509" s="113" t="s">
        <v>357</v>
      </c>
      <c r="N1509" s="113" t="s">
        <v>406</v>
      </c>
      <c r="O1509" s="113" t="s">
        <v>355</v>
      </c>
      <c r="P1509" s="113" t="s">
        <v>30</v>
      </c>
      <c r="Q1509" s="113" t="s">
        <v>47</v>
      </c>
      <c r="R1509" s="115" t="s">
        <v>4</v>
      </c>
      <c r="S1509" s="115" t="s">
        <v>3</v>
      </c>
      <c r="T1509" s="115" t="s">
        <v>354</v>
      </c>
      <c r="U1509" s="115" t="s">
        <v>1</v>
      </c>
      <c r="V1509" s="115" t="s">
        <v>18</v>
      </c>
      <c r="W1509" s="116">
        <v>54</v>
      </c>
    </row>
    <row r="1510" spans="1:24" hidden="1" x14ac:dyDescent="0.25">
      <c r="A1510" s="8">
        <v>12476</v>
      </c>
      <c r="B1510" s="8" t="s">
        <v>405</v>
      </c>
      <c r="C1510" s="7" t="s">
        <v>404</v>
      </c>
      <c r="D1510" s="6" t="s">
        <v>15</v>
      </c>
      <c r="E1510" s="5" t="s">
        <v>154</v>
      </c>
      <c r="F1510" s="4">
        <v>40812</v>
      </c>
      <c r="G1510" s="4" t="s">
        <v>1</v>
      </c>
      <c r="H1510" s="4" t="s">
        <v>1</v>
      </c>
      <c r="I1510" s="3" t="s">
        <v>13</v>
      </c>
      <c r="J1510" s="3" t="s">
        <v>34</v>
      </c>
      <c r="K1510" s="3" t="s">
        <v>33</v>
      </c>
      <c r="L1510" s="3" t="s">
        <v>33</v>
      </c>
      <c r="M1510" s="3" t="s">
        <v>313</v>
      </c>
      <c r="N1510" s="3" t="s">
        <v>31</v>
      </c>
      <c r="O1510" s="3" t="s">
        <v>21</v>
      </c>
      <c r="P1510" s="3" t="s">
        <v>30</v>
      </c>
      <c r="Q1510" s="3" t="s">
        <v>20</v>
      </c>
      <c r="R1510" s="3" t="s">
        <v>4</v>
      </c>
      <c r="S1510" s="3" t="s">
        <v>3</v>
      </c>
      <c r="T1510" s="3" t="s">
        <v>19</v>
      </c>
      <c r="U1510" s="3" t="s">
        <v>1</v>
      </c>
      <c r="V1510" s="3" t="s">
        <v>0</v>
      </c>
      <c r="W1510" s="2">
        <v>36</v>
      </c>
    </row>
    <row r="1511" spans="1:24" hidden="1" x14ac:dyDescent="0.25">
      <c r="A1511" s="8">
        <v>25380</v>
      </c>
      <c r="B1511" s="8" t="s">
        <v>403</v>
      </c>
      <c r="C1511" s="19" t="s">
        <v>402</v>
      </c>
      <c r="D1511" s="6" t="s">
        <v>15</v>
      </c>
      <c r="E1511" s="18" t="s">
        <v>401</v>
      </c>
      <c r="F1511" s="4">
        <v>44085</v>
      </c>
      <c r="G1511" s="4" t="s">
        <v>1</v>
      </c>
      <c r="H1511" s="4" t="s">
        <v>1</v>
      </c>
      <c r="I1511" s="3" t="s">
        <v>13</v>
      </c>
      <c r="J1511" s="3" t="s">
        <v>12</v>
      </c>
      <c r="K1511" s="3" t="s">
        <v>132</v>
      </c>
      <c r="L1511" s="3" t="s">
        <v>400</v>
      </c>
      <c r="M1511" s="3" t="s">
        <v>399</v>
      </c>
      <c r="N1511" s="3" t="s">
        <v>398</v>
      </c>
      <c r="O1511" s="3" t="s">
        <v>7</v>
      </c>
      <c r="P1511" s="3" t="s">
        <v>6</v>
      </c>
      <c r="Q1511" s="3" t="s">
        <v>5</v>
      </c>
      <c r="R1511" s="3" t="s">
        <v>4</v>
      </c>
      <c r="S1511" s="3" t="s">
        <v>3</v>
      </c>
      <c r="T1511" s="3" t="s">
        <v>2</v>
      </c>
      <c r="U1511" s="3" t="s">
        <v>1</v>
      </c>
      <c r="V1511" s="3" t="s">
        <v>0</v>
      </c>
      <c r="W1511" s="2">
        <v>25</v>
      </c>
    </row>
    <row r="1512" spans="1:24" hidden="1" x14ac:dyDescent="0.25">
      <c r="A1512" s="8">
        <v>25413</v>
      </c>
      <c r="B1512" s="8" t="s">
        <v>397</v>
      </c>
      <c r="C1512" s="19" t="s">
        <v>396</v>
      </c>
      <c r="D1512" s="6" t="s">
        <v>15</v>
      </c>
      <c r="E1512" s="18" t="s">
        <v>395</v>
      </c>
      <c r="F1512" s="4">
        <v>44102</v>
      </c>
      <c r="G1512" s="4" t="s">
        <v>1</v>
      </c>
      <c r="H1512" s="4" t="s">
        <v>1</v>
      </c>
      <c r="I1512" s="5" t="s">
        <v>93</v>
      </c>
      <c r="J1512" s="3" t="s">
        <v>92</v>
      </c>
      <c r="K1512" s="5" t="s">
        <v>33</v>
      </c>
      <c r="L1512" s="5" t="s">
        <v>33</v>
      </c>
      <c r="M1512" s="3" t="s">
        <v>91</v>
      </c>
      <c r="N1512" s="5" t="s">
        <v>90</v>
      </c>
      <c r="O1512" s="5" t="s">
        <v>394</v>
      </c>
      <c r="P1512" s="5" t="s">
        <v>72</v>
      </c>
      <c r="Q1512" s="5" t="s">
        <v>20</v>
      </c>
      <c r="R1512" s="3" t="s">
        <v>4</v>
      </c>
      <c r="S1512" s="3" t="s">
        <v>3</v>
      </c>
      <c r="T1512" s="3" t="s">
        <v>88</v>
      </c>
      <c r="U1512" s="3" t="s">
        <v>1</v>
      </c>
      <c r="V1512" s="3" t="s">
        <v>18</v>
      </c>
      <c r="W1512" s="2">
        <v>24</v>
      </c>
    </row>
    <row r="1513" spans="1:24" s="78" customFormat="1" hidden="1" x14ac:dyDescent="0.25">
      <c r="A1513" s="73">
        <v>25998</v>
      </c>
      <c r="B1513" s="73" t="s">
        <v>393</v>
      </c>
      <c r="C1513" s="104" t="s">
        <v>392</v>
      </c>
      <c r="D1513" s="88" t="s">
        <v>15</v>
      </c>
      <c r="E1513" s="89" t="s">
        <v>391</v>
      </c>
      <c r="F1513" s="90">
        <v>44167</v>
      </c>
      <c r="G1513" s="90" t="s">
        <v>1</v>
      </c>
      <c r="H1513" s="90" t="s">
        <v>1</v>
      </c>
      <c r="I1513" s="92" t="s">
        <v>384</v>
      </c>
      <c r="J1513" s="92" t="s">
        <v>390</v>
      </c>
      <c r="K1513" s="92" t="s">
        <v>33</v>
      </c>
      <c r="L1513" s="92" t="s">
        <v>33</v>
      </c>
      <c r="M1513" s="92" t="s">
        <v>389</v>
      </c>
      <c r="N1513" s="92" t="s">
        <v>388</v>
      </c>
      <c r="O1513" s="92" t="s">
        <v>387</v>
      </c>
      <c r="P1513" s="92" t="s">
        <v>30</v>
      </c>
      <c r="Q1513" s="92" t="s">
        <v>47</v>
      </c>
      <c r="R1513" s="92" t="s">
        <v>4</v>
      </c>
      <c r="S1513" s="92" t="s">
        <v>3</v>
      </c>
      <c r="T1513" s="92" t="s">
        <v>2</v>
      </c>
      <c r="U1513" s="92" t="s">
        <v>1</v>
      </c>
      <c r="V1513" s="92" t="s">
        <v>0</v>
      </c>
      <c r="W1513" s="93">
        <v>28</v>
      </c>
    </row>
    <row r="1514" spans="1:24" s="117" customFormat="1" hidden="1" x14ac:dyDescent="0.25">
      <c r="A1514" s="109">
        <v>26848</v>
      </c>
      <c r="B1514" s="110" t="s">
        <v>386</v>
      </c>
      <c r="C1514" s="111" t="s">
        <v>385</v>
      </c>
      <c r="D1514" s="112" t="s">
        <v>15</v>
      </c>
      <c r="E1514" s="113" t="s">
        <v>343</v>
      </c>
      <c r="F1514" s="114">
        <v>44354</v>
      </c>
      <c r="G1514" s="114" t="s">
        <v>1</v>
      </c>
      <c r="H1514" s="114" t="s">
        <v>1</v>
      </c>
      <c r="I1514" s="113" t="s">
        <v>384</v>
      </c>
      <c r="J1514" s="113" t="s">
        <v>357</v>
      </c>
      <c r="K1514" s="113" t="s">
        <v>33</v>
      </c>
      <c r="L1514" s="113" t="s">
        <v>33</v>
      </c>
      <c r="M1514" s="113" t="s">
        <v>357</v>
      </c>
      <c r="N1514" s="113" t="s">
        <v>383</v>
      </c>
      <c r="O1514" s="113" t="s">
        <v>355</v>
      </c>
      <c r="P1514" s="113" t="s">
        <v>30</v>
      </c>
      <c r="Q1514" s="113" t="s">
        <v>47</v>
      </c>
      <c r="R1514" s="115" t="s">
        <v>4</v>
      </c>
      <c r="S1514" s="115" t="s">
        <v>3</v>
      </c>
      <c r="T1514" s="115" t="s">
        <v>354</v>
      </c>
      <c r="U1514" s="115" t="s">
        <v>1</v>
      </c>
      <c r="V1514" s="115" t="s">
        <v>18</v>
      </c>
      <c r="W1514" s="116">
        <v>56</v>
      </c>
    </row>
    <row r="1515" spans="1:24" hidden="1" x14ac:dyDescent="0.25">
      <c r="A1515" s="8">
        <v>12525</v>
      </c>
      <c r="B1515" s="8" t="s">
        <v>382</v>
      </c>
      <c r="C1515" s="7" t="s">
        <v>381</v>
      </c>
      <c r="D1515" s="6" t="s">
        <v>15</v>
      </c>
      <c r="E1515" s="5" t="s">
        <v>154</v>
      </c>
      <c r="F1515" s="4">
        <v>40812</v>
      </c>
      <c r="G1515" s="4" t="s">
        <v>1</v>
      </c>
      <c r="H1515" s="4" t="s">
        <v>1</v>
      </c>
      <c r="I1515" s="3" t="s">
        <v>13</v>
      </c>
      <c r="J1515" s="3" t="s">
        <v>34</v>
      </c>
      <c r="K1515" s="3" t="s">
        <v>33</v>
      </c>
      <c r="L1515" s="3" t="s">
        <v>33</v>
      </c>
      <c r="M1515" s="3" t="s">
        <v>313</v>
      </c>
      <c r="N1515" s="3" t="s">
        <v>31</v>
      </c>
      <c r="O1515" s="3" t="s">
        <v>21</v>
      </c>
      <c r="P1515" s="3" t="s">
        <v>30</v>
      </c>
      <c r="Q1515" s="3" t="s">
        <v>20</v>
      </c>
      <c r="R1515" s="3" t="s">
        <v>4</v>
      </c>
      <c r="S1515" s="3" t="s">
        <v>3</v>
      </c>
      <c r="T1515" s="3" t="s">
        <v>2</v>
      </c>
      <c r="U1515" s="3" t="s">
        <v>1</v>
      </c>
      <c r="V1515" s="3" t="s">
        <v>0</v>
      </c>
      <c r="W1515" s="2">
        <v>30</v>
      </c>
    </row>
    <row r="1516" spans="1:24" hidden="1" x14ac:dyDescent="0.25">
      <c r="A1516" s="8">
        <v>27681</v>
      </c>
      <c r="B1516" s="8" t="s">
        <v>380</v>
      </c>
      <c r="C1516" s="7" t="s">
        <v>379</v>
      </c>
      <c r="D1516" s="6" t="s">
        <v>15</v>
      </c>
      <c r="E1516" s="5" t="s">
        <v>378</v>
      </c>
      <c r="F1516" s="4">
        <v>44501</v>
      </c>
      <c r="G1516" s="4" t="s">
        <v>1</v>
      </c>
      <c r="H1516" s="4" t="s">
        <v>1</v>
      </c>
      <c r="I1516" s="5" t="s">
        <v>50</v>
      </c>
      <c r="J1516" s="5" t="s">
        <v>370</v>
      </c>
      <c r="K1516" s="5" t="s">
        <v>33</v>
      </c>
      <c r="L1516" s="5" t="s">
        <v>33</v>
      </c>
      <c r="M1516" s="5" t="s">
        <v>370</v>
      </c>
      <c r="N1516" s="3" t="s">
        <v>377</v>
      </c>
      <c r="O1516" s="3" t="s">
        <v>368</v>
      </c>
      <c r="P1516" s="5" t="s">
        <v>30</v>
      </c>
      <c r="Q1516" s="5" t="s">
        <v>47</v>
      </c>
      <c r="R1516" s="3" t="s">
        <v>4</v>
      </c>
      <c r="S1516" s="3" t="s">
        <v>3</v>
      </c>
      <c r="T1516" s="3" t="s">
        <v>346</v>
      </c>
      <c r="U1516" s="3" t="s">
        <v>1</v>
      </c>
      <c r="V1516" s="5" t="s">
        <v>18</v>
      </c>
      <c r="W1516" s="2">
        <v>35</v>
      </c>
      <c r="X1516" s="20"/>
    </row>
    <row r="1517" spans="1:24" hidden="1" x14ac:dyDescent="0.25">
      <c r="A1517" s="8">
        <v>27944</v>
      </c>
      <c r="B1517" s="8" t="s">
        <v>376</v>
      </c>
      <c r="C1517" s="7" t="s">
        <v>375</v>
      </c>
      <c r="D1517" s="6" t="s">
        <v>15</v>
      </c>
      <c r="E1517" s="5" t="s">
        <v>371</v>
      </c>
      <c r="F1517" s="4">
        <v>44564</v>
      </c>
      <c r="G1517" s="4" t="s">
        <v>1</v>
      </c>
      <c r="H1517" s="4" t="s">
        <v>1</v>
      </c>
      <c r="I1517" s="5" t="s">
        <v>50</v>
      </c>
      <c r="J1517" s="5" t="s">
        <v>370</v>
      </c>
      <c r="K1517" s="5" t="s">
        <v>33</v>
      </c>
      <c r="L1517" s="5" t="s">
        <v>33</v>
      </c>
      <c r="M1517" s="5" t="s">
        <v>370</v>
      </c>
      <c r="N1517" s="3" t="s">
        <v>374</v>
      </c>
      <c r="O1517" s="3" t="s">
        <v>368</v>
      </c>
      <c r="P1517" s="5" t="s">
        <v>30</v>
      </c>
      <c r="Q1517" s="5" t="s">
        <v>47</v>
      </c>
      <c r="R1517" s="3" t="s">
        <v>4</v>
      </c>
      <c r="S1517" s="3" t="s">
        <v>3</v>
      </c>
      <c r="T1517" s="3" t="s">
        <v>346</v>
      </c>
      <c r="U1517" s="3" t="s">
        <v>1</v>
      </c>
      <c r="V1517" s="5" t="s">
        <v>0</v>
      </c>
      <c r="W1517" s="2">
        <v>25</v>
      </c>
      <c r="X1517" s="20"/>
    </row>
    <row r="1518" spans="1:24" s="9" customFormat="1" hidden="1" x14ac:dyDescent="0.25">
      <c r="A1518" s="17">
        <v>27945</v>
      </c>
      <c r="B1518" s="17" t="s">
        <v>373</v>
      </c>
      <c r="C1518" s="24" t="s">
        <v>372</v>
      </c>
      <c r="D1518" s="15" t="s">
        <v>15</v>
      </c>
      <c r="E1518" s="22" t="s">
        <v>371</v>
      </c>
      <c r="F1518" s="13">
        <v>44564</v>
      </c>
      <c r="G1518" s="13" t="s">
        <v>1</v>
      </c>
      <c r="H1518" s="13" t="s">
        <v>1</v>
      </c>
      <c r="I1518" s="14" t="s">
        <v>50</v>
      </c>
      <c r="J1518" s="14" t="s">
        <v>370</v>
      </c>
      <c r="K1518" s="14" t="s">
        <v>33</v>
      </c>
      <c r="L1518" s="14" t="s">
        <v>33</v>
      </c>
      <c r="M1518" s="14" t="s">
        <v>370</v>
      </c>
      <c r="N1518" s="14" t="s">
        <v>369</v>
      </c>
      <c r="O1518" s="22" t="s">
        <v>368</v>
      </c>
      <c r="P1518" s="12" t="s">
        <v>30</v>
      </c>
      <c r="Q1518" s="14" t="s">
        <v>47</v>
      </c>
      <c r="R1518" s="12" t="s">
        <v>4</v>
      </c>
      <c r="S1518" s="12" t="s">
        <v>3</v>
      </c>
      <c r="T1518" s="12" t="s">
        <v>346</v>
      </c>
      <c r="U1518" s="12" t="s">
        <v>1</v>
      </c>
      <c r="V1518" s="12" t="s">
        <v>0</v>
      </c>
      <c r="W1518" s="11">
        <v>24</v>
      </c>
      <c r="X1518" s="10"/>
    </row>
    <row r="1519" spans="1:24" s="117" customFormat="1" hidden="1" x14ac:dyDescent="0.25">
      <c r="A1519" s="109">
        <v>27946</v>
      </c>
      <c r="B1519" s="110" t="s">
        <v>367</v>
      </c>
      <c r="C1519" s="111" t="s">
        <v>366</v>
      </c>
      <c r="D1519" s="112" t="s">
        <v>15</v>
      </c>
      <c r="E1519" s="113" t="s">
        <v>343</v>
      </c>
      <c r="F1519" s="114">
        <v>44572</v>
      </c>
      <c r="G1519" s="114" t="s">
        <v>1</v>
      </c>
      <c r="H1519" s="114" t="s">
        <v>1</v>
      </c>
      <c r="I1519" s="113" t="s">
        <v>365</v>
      </c>
      <c r="J1519" s="113" t="s">
        <v>357</v>
      </c>
      <c r="K1519" s="113" t="s">
        <v>33</v>
      </c>
      <c r="L1519" s="113" t="s">
        <v>33</v>
      </c>
      <c r="M1519" s="113" t="s">
        <v>357</v>
      </c>
      <c r="N1519" s="113" t="s">
        <v>364</v>
      </c>
      <c r="O1519" s="113" t="s">
        <v>363</v>
      </c>
      <c r="P1519" s="113" t="s">
        <v>30</v>
      </c>
      <c r="Q1519" s="113" t="s">
        <v>121</v>
      </c>
      <c r="R1519" s="115" t="s">
        <v>4</v>
      </c>
      <c r="S1519" s="115" t="s">
        <v>3</v>
      </c>
      <c r="T1519" s="115" t="s">
        <v>363</v>
      </c>
      <c r="U1519" s="115" t="s">
        <v>1</v>
      </c>
      <c r="V1519" s="115" t="s">
        <v>18</v>
      </c>
      <c r="W1519" s="116">
        <v>59</v>
      </c>
    </row>
    <row r="1520" spans="1:24" hidden="1" x14ac:dyDescent="0.25">
      <c r="A1520" s="8">
        <v>27983</v>
      </c>
      <c r="B1520" s="29" t="s">
        <v>362</v>
      </c>
      <c r="C1520" s="7" t="s">
        <v>361</v>
      </c>
      <c r="D1520" s="6" t="s">
        <v>15</v>
      </c>
      <c r="E1520" s="5" t="s">
        <v>343</v>
      </c>
      <c r="F1520" s="4">
        <v>44599</v>
      </c>
      <c r="G1520" s="4" t="s">
        <v>1</v>
      </c>
      <c r="H1520" s="4" t="s">
        <v>1</v>
      </c>
      <c r="I1520" s="5" t="s">
        <v>89</v>
      </c>
      <c r="J1520" s="5" t="s">
        <v>357</v>
      </c>
      <c r="K1520" s="5" t="s">
        <v>33</v>
      </c>
      <c r="L1520" s="5" t="s">
        <v>33</v>
      </c>
      <c r="M1520" s="5" t="s">
        <v>357</v>
      </c>
      <c r="N1520" s="5" t="s">
        <v>360</v>
      </c>
      <c r="O1520" s="5" t="s">
        <v>355</v>
      </c>
      <c r="P1520" s="5" t="s">
        <v>30</v>
      </c>
      <c r="Q1520" s="5" t="s">
        <v>47</v>
      </c>
      <c r="R1520" s="3" t="s">
        <v>4</v>
      </c>
      <c r="S1520" s="3" t="s">
        <v>3</v>
      </c>
      <c r="T1520" s="3" t="s">
        <v>354</v>
      </c>
      <c r="U1520" s="3" t="s">
        <v>1</v>
      </c>
      <c r="V1520" s="3" t="s">
        <v>18</v>
      </c>
      <c r="W1520" s="2">
        <v>38</v>
      </c>
    </row>
    <row r="1521" spans="1:24" s="117" customFormat="1" hidden="1" x14ac:dyDescent="0.25">
      <c r="A1521" s="109">
        <v>28032</v>
      </c>
      <c r="B1521" s="110" t="s">
        <v>359</v>
      </c>
      <c r="C1521" s="111" t="s">
        <v>358</v>
      </c>
      <c r="D1521" s="112" t="s">
        <v>15</v>
      </c>
      <c r="E1521" s="113" t="s">
        <v>343</v>
      </c>
      <c r="F1521" s="114">
        <v>44621</v>
      </c>
      <c r="G1521" s="114" t="s">
        <v>1</v>
      </c>
      <c r="H1521" s="114" t="s">
        <v>1</v>
      </c>
      <c r="I1521" s="113" t="s">
        <v>93</v>
      </c>
      <c r="J1521" s="113" t="s">
        <v>357</v>
      </c>
      <c r="K1521" s="113" t="s">
        <v>33</v>
      </c>
      <c r="L1521" s="113" t="s">
        <v>33</v>
      </c>
      <c r="M1521" s="113" t="s">
        <v>357</v>
      </c>
      <c r="N1521" s="113" t="s">
        <v>356</v>
      </c>
      <c r="O1521" s="113" t="s">
        <v>355</v>
      </c>
      <c r="P1521" s="113" t="s">
        <v>30</v>
      </c>
      <c r="Q1521" s="113" t="s">
        <v>47</v>
      </c>
      <c r="R1521" s="115" t="s">
        <v>4</v>
      </c>
      <c r="S1521" s="115" t="s">
        <v>3</v>
      </c>
      <c r="T1521" s="115" t="s">
        <v>354</v>
      </c>
      <c r="U1521" s="115" t="s">
        <v>1</v>
      </c>
      <c r="V1521" s="115" t="s">
        <v>18</v>
      </c>
      <c r="W1521" s="116">
        <v>57</v>
      </c>
    </row>
    <row r="1522" spans="1:24" s="78" customFormat="1" hidden="1" x14ac:dyDescent="0.25">
      <c r="A1522" s="73">
        <v>28106</v>
      </c>
      <c r="B1522" s="73" t="s">
        <v>353</v>
      </c>
      <c r="C1522" s="95" t="s">
        <v>352</v>
      </c>
      <c r="D1522" s="88" t="s">
        <v>15</v>
      </c>
      <c r="E1522" s="89" t="s">
        <v>351</v>
      </c>
      <c r="F1522" s="90">
        <v>44823</v>
      </c>
      <c r="G1522" s="90" t="s">
        <v>1</v>
      </c>
      <c r="H1522" s="90" t="s">
        <v>1</v>
      </c>
      <c r="I1522" s="89" t="s">
        <v>342</v>
      </c>
      <c r="J1522" s="89" t="s">
        <v>350</v>
      </c>
      <c r="K1522" s="89" t="s">
        <v>33</v>
      </c>
      <c r="L1522" s="89" t="s">
        <v>33</v>
      </c>
      <c r="M1522" s="89" t="s">
        <v>349</v>
      </c>
      <c r="N1522" s="89" t="s">
        <v>348</v>
      </c>
      <c r="O1522" s="89" t="s">
        <v>347</v>
      </c>
      <c r="P1522" s="89" t="s">
        <v>30</v>
      </c>
      <c r="Q1522" s="89" t="s">
        <v>121</v>
      </c>
      <c r="R1522" s="92" t="s">
        <v>4</v>
      </c>
      <c r="S1522" s="92" t="s">
        <v>3</v>
      </c>
      <c r="T1522" s="92" t="s">
        <v>346</v>
      </c>
      <c r="U1522" s="92" t="s">
        <v>1</v>
      </c>
      <c r="V1522" s="92" t="s">
        <v>0</v>
      </c>
      <c r="W1522" s="93">
        <v>25</v>
      </c>
      <c r="X1522" s="94"/>
    </row>
    <row r="1523" spans="1:24" hidden="1" x14ac:dyDescent="0.25">
      <c r="A1523" s="8">
        <v>28613</v>
      </c>
      <c r="B1523" s="8" t="s">
        <v>345</v>
      </c>
      <c r="C1523" s="28" t="s">
        <v>344</v>
      </c>
      <c r="D1523" s="6" t="s">
        <v>15</v>
      </c>
      <c r="E1523" s="5" t="s">
        <v>343</v>
      </c>
      <c r="F1523" s="4">
        <v>44942</v>
      </c>
      <c r="G1523" s="4" t="s">
        <v>1</v>
      </c>
      <c r="H1523" s="4" t="s">
        <v>1</v>
      </c>
      <c r="I1523" s="5" t="s">
        <v>342</v>
      </c>
      <c r="J1523" s="5" t="s">
        <v>341</v>
      </c>
      <c r="K1523" s="5" t="s">
        <v>33</v>
      </c>
      <c r="L1523" s="5" t="s">
        <v>33</v>
      </c>
      <c r="M1523" s="5" t="s">
        <v>341</v>
      </c>
      <c r="N1523" s="5" t="s">
        <v>340</v>
      </c>
      <c r="O1523" s="5" t="s">
        <v>339</v>
      </c>
      <c r="P1523" s="5" t="s">
        <v>30</v>
      </c>
      <c r="Q1523" s="5" t="s">
        <v>121</v>
      </c>
      <c r="R1523" s="3" t="s">
        <v>4</v>
      </c>
      <c r="S1523" s="3" t="s">
        <v>3</v>
      </c>
      <c r="T1523" s="3" t="s">
        <v>338</v>
      </c>
      <c r="U1523" s="3" t="s">
        <v>1</v>
      </c>
      <c r="V1523" s="3" t="s">
        <v>0</v>
      </c>
      <c r="W1523" s="2">
        <v>30</v>
      </c>
      <c r="X1523" s="20"/>
    </row>
    <row r="1524" spans="1:24" hidden="1" x14ac:dyDescent="0.25">
      <c r="A1524" s="8">
        <v>12837</v>
      </c>
      <c r="B1524" s="8" t="s">
        <v>337</v>
      </c>
      <c r="C1524" s="7" t="s">
        <v>336</v>
      </c>
      <c r="D1524" s="6" t="s">
        <v>15</v>
      </c>
      <c r="E1524" s="5" t="s">
        <v>335</v>
      </c>
      <c r="F1524" s="4">
        <v>40826</v>
      </c>
      <c r="G1524" s="4" t="s">
        <v>1</v>
      </c>
      <c r="H1524" s="4" t="s">
        <v>1</v>
      </c>
      <c r="I1524" s="3" t="s">
        <v>13</v>
      </c>
      <c r="J1524" s="3" t="s">
        <v>34</v>
      </c>
      <c r="K1524" s="3" t="s">
        <v>33</v>
      </c>
      <c r="L1524" s="3" t="s">
        <v>33</v>
      </c>
      <c r="M1524" s="3" t="s">
        <v>313</v>
      </c>
      <c r="N1524" s="3" t="s">
        <v>31</v>
      </c>
      <c r="O1524" s="3" t="s">
        <v>21</v>
      </c>
      <c r="P1524" s="3" t="s">
        <v>30</v>
      </c>
      <c r="Q1524" s="3" t="s">
        <v>20</v>
      </c>
      <c r="R1524" s="3" t="s">
        <v>4</v>
      </c>
      <c r="S1524" s="3" t="s">
        <v>3</v>
      </c>
      <c r="T1524" s="3" t="s">
        <v>19</v>
      </c>
      <c r="U1524" s="3" t="s">
        <v>1</v>
      </c>
      <c r="V1524" s="3" t="s">
        <v>18</v>
      </c>
      <c r="W1524" s="2">
        <v>30</v>
      </c>
    </row>
    <row r="1525" spans="1:24" hidden="1" x14ac:dyDescent="0.25">
      <c r="A1525" s="8">
        <v>13064</v>
      </c>
      <c r="B1525" s="8" t="s">
        <v>334</v>
      </c>
      <c r="C1525" s="19" t="s">
        <v>333</v>
      </c>
      <c r="D1525" s="6" t="s">
        <v>15</v>
      </c>
      <c r="E1525" s="18" t="s">
        <v>332</v>
      </c>
      <c r="F1525" s="4">
        <v>40854</v>
      </c>
      <c r="G1525" s="4" t="s">
        <v>1</v>
      </c>
      <c r="H1525" s="4" t="s">
        <v>1</v>
      </c>
      <c r="I1525" s="3" t="s">
        <v>13</v>
      </c>
      <c r="J1525" s="3" t="s">
        <v>34</v>
      </c>
      <c r="K1525" s="3" t="s">
        <v>33</v>
      </c>
      <c r="L1525" s="3" t="s">
        <v>33</v>
      </c>
      <c r="M1525" s="3" t="s">
        <v>313</v>
      </c>
      <c r="N1525" s="3" t="s">
        <v>31</v>
      </c>
      <c r="O1525" s="3" t="s">
        <v>21</v>
      </c>
      <c r="P1525" s="3" t="s">
        <v>30</v>
      </c>
      <c r="Q1525" s="3" t="s">
        <v>20</v>
      </c>
      <c r="R1525" s="3" t="s">
        <v>4</v>
      </c>
      <c r="S1525" s="3" t="s">
        <v>3</v>
      </c>
      <c r="T1525" s="3" t="s">
        <v>19</v>
      </c>
      <c r="U1525" s="3" t="s">
        <v>1</v>
      </c>
      <c r="V1525" s="3" t="s">
        <v>0</v>
      </c>
      <c r="W1525" s="2">
        <v>34</v>
      </c>
    </row>
    <row r="1526" spans="1:24" hidden="1" x14ac:dyDescent="0.25">
      <c r="A1526" s="8" t="s">
        <v>331</v>
      </c>
      <c r="B1526" s="8" t="s">
        <v>331</v>
      </c>
      <c r="C1526" s="7" t="s">
        <v>330</v>
      </c>
      <c r="D1526" s="6" t="s">
        <v>15</v>
      </c>
      <c r="E1526" s="5" t="s">
        <v>109</v>
      </c>
      <c r="F1526" s="4">
        <v>40826</v>
      </c>
      <c r="G1526" s="4" t="s">
        <v>1</v>
      </c>
      <c r="H1526" s="4" t="s">
        <v>1</v>
      </c>
      <c r="I1526" s="3" t="s">
        <v>145</v>
      </c>
      <c r="J1526" s="3" t="s">
        <v>12</v>
      </c>
      <c r="K1526" s="3" t="s">
        <v>262</v>
      </c>
      <c r="L1526" s="3" t="s">
        <v>261</v>
      </c>
      <c r="M1526" s="3" t="s">
        <v>329</v>
      </c>
      <c r="N1526" s="3" t="s">
        <v>269</v>
      </c>
      <c r="O1526" s="3" t="s">
        <v>29</v>
      </c>
      <c r="P1526" s="3" t="s">
        <v>72</v>
      </c>
      <c r="Q1526" s="3" t="s">
        <v>20</v>
      </c>
      <c r="R1526" s="3" t="s">
        <v>4</v>
      </c>
      <c r="S1526" s="3" t="s">
        <v>3</v>
      </c>
      <c r="T1526" s="3" t="s">
        <v>29</v>
      </c>
      <c r="U1526" s="3" t="s">
        <v>1</v>
      </c>
      <c r="V1526" s="3" t="s">
        <v>0</v>
      </c>
      <c r="W1526" s="2">
        <v>33</v>
      </c>
    </row>
    <row r="1527" spans="1:24" hidden="1" x14ac:dyDescent="0.25">
      <c r="A1527" s="8" t="s">
        <v>328</v>
      </c>
      <c r="B1527" s="8" t="s">
        <v>328</v>
      </c>
      <c r="C1527" s="7" t="s">
        <v>327</v>
      </c>
      <c r="D1527" s="6" t="s">
        <v>15</v>
      </c>
      <c r="E1527" s="5" t="s">
        <v>109</v>
      </c>
      <c r="F1527" s="4">
        <v>40826</v>
      </c>
      <c r="G1527" s="4" t="s">
        <v>1</v>
      </c>
      <c r="H1527" s="4" t="s">
        <v>1</v>
      </c>
      <c r="I1527" s="3" t="s">
        <v>13</v>
      </c>
      <c r="J1527" s="3" t="s">
        <v>12</v>
      </c>
      <c r="K1527" s="3" t="s">
        <v>262</v>
      </c>
      <c r="L1527" s="3" t="s">
        <v>261</v>
      </c>
      <c r="M1527" s="3" t="s">
        <v>260</v>
      </c>
      <c r="N1527" s="3" t="s">
        <v>272</v>
      </c>
      <c r="O1527" s="3" t="s">
        <v>59</v>
      </c>
      <c r="P1527" s="3" t="s">
        <v>6</v>
      </c>
      <c r="Q1527" s="3" t="s">
        <v>5</v>
      </c>
      <c r="R1527" s="3" t="s">
        <v>4</v>
      </c>
      <c r="S1527" s="3" t="s">
        <v>3</v>
      </c>
      <c r="T1527" s="3" t="s">
        <v>2</v>
      </c>
      <c r="U1527" s="3" t="s">
        <v>1</v>
      </c>
      <c r="V1527" s="3" t="s">
        <v>0</v>
      </c>
      <c r="W1527" s="2">
        <v>33</v>
      </c>
    </row>
    <row r="1528" spans="1:24" hidden="1" x14ac:dyDescent="0.25">
      <c r="A1528" s="8">
        <v>16108</v>
      </c>
      <c r="B1528" s="8" t="s">
        <v>326</v>
      </c>
      <c r="C1528" s="7" t="s">
        <v>325</v>
      </c>
      <c r="D1528" s="6" t="s">
        <v>15</v>
      </c>
      <c r="E1528" s="5" t="s">
        <v>324</v>
      </c>
      <c r="F1528" s="4">
        <v>41586</v>
      </c>
      <c r="G1528" s="4" t="s">
        <v>1</v>
      </c>
      <c r="H1528" s="4" t="s">
        <v>1</v>
      </c>
      <c r="I1528" s="3" t="s">
        <v>13</v>
      </c>
      <c r="J1528" s="3" t="s">
        <v>34</v>
      </c>
      <c r="K1528" s="3" t="s">
        <v>33</v>
      </c>
      <c r="L1528" s="3" t="s">
        <v>33</v>
      </c>
      <c r="M1528" s="3" t="s">
        <v>313</v>
      </c>
      <c r="N1528" s="3" t="s">
        <v>31</v>
      </c>
      <c r="O1528" s="3" t="s">
        <v>21</v>
      </c>
      <c r="P1528" s="3" t="s">
        <v>30</v>
      </c>
      <c r="Q1528" s="3" t="s">
        <v>20</v>
      </c>
      <c r="R1528" s="3" t="s">
        <v>4</v>
      </c>
      <c r="S1528" s="3" t="s">
        <v>3</v>
      </c>
      <c r="T1528" s="3" t="s">
        <v>19</v>
      </c>
      <c r="U1528" s="3" t="s">
        <v>1</v>
      </c>
      <c r="V1528" s="3" t="s">
        <v>0</v>
      </c>
      <c r="W1528" s="2">
        <v>28</v>
      </c>
    </row>
    <row r="1529" spans="1:24" hidden="1" x14ac:dyDescent="0.25">
      <c r="A1529" s="8" t="s">
        <v>323</v>
      </c>
      <c r="B1529" s="8" t="s">
        <v>323</v>
      </c>
      <c r="C1529" s="7" t="s">
        <v>322</v>
      </c>
      <c r="D1529" s="6" t="s">
        <v>15</v>
      </c>
      <c r="E1529" s="5" t="s">
        <v>321</v>
      </c>
      <c r="F1529" s="4">
        <v>40840</v>
      </c>
      <c r="G1529" s="4" t="s">
        <v>1</v>
      </c>
      <c r="H1529" s="4" t="s">
        <v>1</v>
      </c>
      <c r="I1529" s="3" t="s">
        <v>13</v>
      </c>
      <c r="J1529" s="3" t="s">
        <v>12</v>
      </c>
      <c r="K1529" s="3" t="s">
        <v>262</v>
      </c>
      <c r="L1529" s="3" t="s">
        <v>261</v>
      </c>
      <c r="M1529" s="3" t="s">
        <v>260</v>
      </c>
      <c r="N1529" s="3" t="s">
        <v>320</v>
      </c>
      <c r="O1529" s="3" t="s">
        <v>59</v>
      </c>
      <c r="P1529" s="3" t="s">
        <v>6</v>
      </c>
      <c r="Q1529" s="3" t="s">
        <v>5</v>
      </c>
      <c r="R1529" s="3" t="s">
        <v>4</v>
      </c>
      <c r="S1529" s="3" t="s">
        <v>3</v>
      </c>
      <c r="T1529" s="3" t="s">
        <v>2</v>
      </c>
      <c r="U1529" s="3" t="s">
        <v>1</v>
      </c>
      <c r="V1529" s="3" t="s">
        <v>0</v>
      </c>
      <c r="W1529" s="2">
        <v>31</v>
      </c>
    </row>
    <row r="1530" spans="1:24" hidden="1" x14ac:dyDescent="0.25">
      <c r="A1530" s="8" t="s">
        <v>319</v>
      </c>
      <c r="B1530" s="8" t="s">
        <v>319</v>
      </c>
      <c r="C1530" s="7" t="s">
        <v>318</v>
      </c>
      <c r="D1530" s="6" t="s">
        <v>15</v>
      </c>
      <c r="E1530" s="5" t="s">
        <v>317</v>
      </c>
      <c r="F1530" s="4">
        <v>40938</v>
      </c>
      <c r="G1530" s="4" t="s">
        <v>1</v>
      </c>
      <c r="H1530" s="4" t="s">
        <v>1</v>
      </c>
      <c r="I1530" s="3" t="s">
        <v>13</v>
      </c>
      <c r="J1530" s="3" t="s">
        <v>34</v>
      </c>
      <c r="K1530" s="3" t="s">
        <v>33</v>
      </c>
      <c r="L1530" s="3" t="s">
        <v>33</v>
      </c>
      <c r="M1530" s="3" t="s">
        <v>313</v>
      </c>
      <c r="N1530" s="3" t="s">
        <v>31</v>
      </c>
      <c r="O1530" s="3" t="s">
        <v>21</v>
      </c>
      <c r="P1530" s="3" t="s">
        <v>30</v>
      </c>
      <c r="Q1530" s="3" t="s">
        <v>20</v>
      </c>
      <c r="R1530" s="3" t="s">
        <v>4</v>
      </c>
      <c r="S1530" s="3" t="s">
        <v>3</v>
      </c>
      <c r="T1530" s="3" t="s">
        <v>19</v>
      </c>
      <c r="U1530" s="3" t="s">
        <v>1</v>
      </c>
      <c r="V1530" s="3" t="s">
        <v>18</v>
      </c>
      <c r="W1530" s="2">
        <v>36</v>
      </c>
    </row>
    <row r="1531" spans="1:24" hidden="1" x14ac:dyDescent="0.25">
      <c r="A1531" s="8" t="s">
        <v>316</v>
      </c>
      <c r="B1531" s="8" t="s">
        <v>316</v>
      </c>
      <c r="C1531" s="7" t="s">
        <v>315</v>
      </c>
      <c r="D1531" s="6" t="s">
        <v>15</v>
      </c>
      <c r="E1531" s="5" t="s">
        <v>314</v>
      </c>
      <c r="F1531" s="4">
        <v>41165</v>
      </c>
      <c r="G1531" s="4" t="s">
        <v>1</v>
      </c>
      <c r="H1531" s="4" t="s">
        <v>1</v>
      </c>
      <c r="I1531" s="3" t="s">
        <v>13</v>
      </c>
      <c r="J1531" s="3" t="s">
        <v>34</v>
      </c>
      <c r="K1531" s="3" t="s">
        <v>33</v>
      </c>
      <c r="L1531" s="3" t="s">
        <v>33</v>
      </c>
      <c r="M1531" s="3" t="s">
        <v>313</v>
      </c>
      <c r="N1531" s="3" t="s">
        <v>31</v>
      </c>
      <c r="O1531" s="3" t="s">
        <v>21</v>
      </c>
      <c r="P1531" s="3" t="s">
        <v>30</v>
      </c>
      <c r="Q1531" s="3" t="s">
        <v>20</v>
      </c>
      <c r="R1531" s="3" t="s">
        <v>4</v>
      </c>
      <c r="S1531" s="3" t="s">
        <v>3</v>
      </c>
      <c r="T1531" s="3" t="s">
        <v>19</v>
      </c>
      <c r="U1531" s="3" t="s">
        <v>1</v>
      </c>
      <c r="V1531" s="3" t="s">
        <v>0</v>
      </c>
      <c r="W1531" s="2">
        <v>30</v>
      </c>
    </row>
    <row r="1532" spans="1:24" s="78" customFormat="1" hidden="1" x14ac:dyDescent="0.25">
      <c r="A1532" s="73">
        <v>74</v>
      </c>
      <c r="B1532" s="73" t="s">
        <v>312</v>
      </c>
      <c r="C1532" s="87" t="s">
        <v>311</v>
      </c>
      <c r="D1532" s="88" t="s">
        <v>15</v>
      </c>
      <c r="E1532" s="89" t="s">
        <v>310</v>
      </c>
      <c r="F1532" s="90">
        <v>37578</v>
      </c>
      <c r="G1532" s="90" t="s">
        <v>1</v>
      </c>
      <c r="H1532" s="90" t="s">
        <v>1</v>
      </c>
      <c r="I1532" s="92" t="s">
        <v>13</v>
      </c>
      <c r="J1532" s="92" t="s">
        <v>34</v>
      </c>
      <c r="K1532" s="92" t="s">
        <v>33</v>
      </c>
      <c r="L1532" s="92" t="s">
        <v>33</v>
      </c>
      <c r="M1532" s="92" t="s">
        <v>102</v>
      </c>
      <c r="N1532" s="92" t="s">
        <v>152</v>
      </c>
      <c r="O1532" s="92" t="s">
        <v>29</v>
      </c>
      <c r="P1532" s="92" t="s">
        <v>30</v>
      </c>
      <c r="Q1532" s="92" t="s">
        <v>20</v>
      </c>
      <c r="R1532" s="92" t="s">
        <v>4</v>
      </c>
      <c r="S1532" s="92" t="s">
        <v>3</v>
      </c>
      <c r="T1532" s="92" t="s">
        <v>29</v>
      </c>
      <c r="U1532" s="92" t="s">
        <v>1</v>
      </c>
      <c r="V1532" s="92" t="s">
        <v>0</v>
      </c>
      <c r="W1532" s="93">
        <v>41</v>
      </c>
    </row>
    <row r="1533" spans="1:24" s="9" customFormat="1" hidden="1" x14ac:dyDescent="0.25">
      <c r="A1533" s="17">
        <v>213</v>
      </c>
      <c r="B1533" s="17" t="s">
        <v>309</v>
      </c>
      <c r="C1533" s="16" t="s">
        <v>308</v>
      </c>
      <c r="D1533" s="15" t="s">
        <v>15</v>
      </c>
      <c r="E1533" s="14" t="s">
        <v>307</v>
      </c>
      <c r="F1533" s="13">
        <v>37697</v>
      </c>
      <c r="G1533" s="13" t="s">
        <v>1</v>
      </c>
      <c r="H1533" s="13" t="s">
        <v>1</v>
      </c>
      <c r="I1533" s="12" t="s">
        <v>13</v>
      </c>
      <c r="J1533" s="12" t="s">
        <v>34</v>
      </c>
      <c r="K1533" s="12" t="s">
        <v>153</v>
      </c>
      <c r="L1533" s="12" t="s">
        <v>33</v>
      </c>
      <c r="M1533" s="12" t="s">
        <v>102</v>
      </c>
      <c r="N1533" s="12" t="s">
        <v>152</v>
      </c>
      <c r="O1533" s="12" t="s">
        <v>29</v>
      </c>
      <c r="P1533" s="12" t="s">
        <v>30</v>
      </c>
      <c r="Q1533" s="12" t="s">
        <v>20</v>
      </c>
      <c r="R1533" s="12" t="s">
        <v>4</v>
      </c>
      <c r="S1533" s="12" t="s">
        <v>3</v>
      </c>
      <c r="T1533" s="12" t="s">
        <v>29</v>
      </c>
      <c r="U1533" s="12" t="s">
        <v>1</v>
      </c>
      <c r="V1533" s="12" t="s">
        <v>0</v>
      </c>
      <c r="W1533" s="11">
        <v>41</v>
      </c>
      <c r="X1533" s="10"/>
    </row>
    <row r="1534" spans="1:24" hidden="1" x14ac:dyDescent="0.25">
      <c r="A1534" s="8">
        <v>244</v>
      </c>
      <c r="B1534" s="8" t="s">
        <v>306</v>
      </c>
      <c r="C1534" s="7" t="s">
        <v>305</v>
      </c>
      <c r="D1534" s="6" t="s">
        <v>15</v>
      </c>
      <c r="E1534" s="5" t="s">
        <v>304</v>
      </c>
      <c r="F1534" s="4">
        <v>37704</v>
      </c>
      <c r="G1534" s="4" t="s">
        <v>1</v>
      </c>
      <c r="H1534" s="4" t="s">
        <v>1</v>
      </c>
      <c r="I1534" s="3" t="s">
        <v>13</v>
      </c>
      <c r="J1534" s="3" t="s">
        <v>34</v>
      </c>
      <c r="K1534" s="3" t="s">
        <v>33</v>
      </c>
      <c r="L1534" s="3" t="s">
        <v>33</v>
      </c>
      <c r="M1534" s="3" t="s">
        <v>102</v>
      </c>
      <c r="N1534" s="3" t="s">
        <v>152</v>
      </c>
      <c r="O1534" s="3" t="s">
        <v>29</v>
      </c>
      <c r="P1534" s="3" t="s">
        <v>30</v>
      </c>
      <c r="Q1534" s="3" t="s">
        <v>20</v>
      </c>
      <c r="R1534" s="3" t="s">
        <v>4</v>
      </c>
      <c r="S1534" s="3" t="s">
        <v>3</v>
      </c>
      <c r="T1534" s="3" t="s">
        <v>29</v>
      </c>
      <c r="U1534" s="3" t="s">
        <v>1</v>
      </c>
      <c r="V1534" s="3" t="s">
        <v>0</v>
      </c>
      <c r="W1534" s="2">
        <v>41</v>
      </c>
    </row>
    <row r="1535" spans="1:24" hidden="1" x14ac:dyDescent="0.25">
      <c r="A1535" s="8">
        <v>305</v>
      </c>
      <c r="B1535" s="8" t="s">
        <v>303</v>
      </c>
      <c r="C1535" s="7" t="s">
        <v>302</v>
      </c>
      <c r="D1535" s="6" t="s">
        <v>15</v>
      </c>
      <c r="E1535" s="5" t="s">
        <v>301</v>
      </c>
      <c r="F1535" s="4">
        <v>37725</v>
      </c>
      <c r="G1535" s="4" t="s">
        <v>1</v>
      </c>
      <c r="H1535" s="4" t="s">
        <v>1</v>
      </c>
      <c r="I1535" s="3" t="s">
        <v>13</v>
      </c>
      <c r="J1535" s="3" t="s">
        <v>34</v>
      </c>
      <c r="K1535" s="3" t="s">
        <v>153</v>
      </c>
      <c r="L1535" s="3" t="s">
        <v>33</v>
      </c>
      <c r="M1535" s="3" t="s">
        <v>102</v>
      </c>
      <c r="N1535" s="3" t="s">
        <v>152</v>
      </c>
      <c r="O1535" s="3" t="s">
        <v>29</v>
      </c>
      <c r="P1535" s="3" t="s">
        <v>30</v>
      </c>
      <c r="Q1535" s="3" t="s">
        <v>20</v>
      </c>
      <c r="R1535" s="27" t="s">
        <v>4</v>
      </c>
      <c r="S1535" s="27" t="s">
        <v>3</v>
      </c>
      <c r="T1535" s="27" t="s">
        <v>29</v>
      </c>
      <c r="U1535" s="3" t="s">
        <v>1</v>
      </c>
      <c r="V1535" s="3" t="s">
        <v>0</v>
      </c>
      <c r="W1535" s="2">
        <v>41</v>
      </c>
    </row>
    <row r="1536" spans="1:24" s="78" customFormat="1" hidden="1" x14ac:dyDescent="0.25">
      <c r="A1536" s="73">
        <v>389</v>
      </c>
      <c r="B1536" s="73" t="s">
        <v>300</v>
      </c>
      <c r="C1536" s="104" t="s">
        <v>299</v>
      </c>
      <c r="D1536" s="88" t="s">
        <v>15</v>
      </c>
      <c r="E1536" s="89" t="s">
        <v>298</v>
      </c>
      <c r="F1536" s="90">
        <v>37732</v>
      </c>
      <c r="G1536" s="90" t="s">
        <v>1</v>
      </c>
      <c r="H1536" s="90" t="s">
        <v>1</v>
      </c>
      <c r="I1536" s="92" t="s">
        <v>13</v>
      </c>
      <c r="J1536" s="92" t="s">
        <v>34</v>
      </c>
      <c r="K1536" s="92" t="s">
        <v>153</v>
      </c>
      <c r="L1536" s="92" t="s">
        <v>33</v>
      </c>
      <c r="M1536" s="92" t="s">
        <v>102</v>
      </c>
      <c r="N1536" s="92" t="s">
        <v>152</v>
      </c>
      <c r="O1536" s="92" t="s">
        <v>29</v>
      </c>
      <c r="P1536" s="92" t="s">
        <v>30</v>
      </c>
      <c r="Q1536" s="92" t="s">
        <v>20</v>
      </c>
      <c r="R1536" s="92" t="s">
        <v>4</v>
      </c>
      <c r="S1536" s="92" t="s">
        <v>3</v>
      </c>
      <c r="T1536" s="92" t="s">
        <v>29</v>
      </c>
      <c r="U1536" s="92" t="s">
        <v>1</v>
      </c>
      <c r="V1536" s="92" t="s">
        <v>0</v>
      </c>
      <c r="W1536" s="93">
        <v>41</v>
      </c>
    </row>
    <row r="1537" spans="1:24" s="78" customFormat="1" hidden="1" x14ac:dyDescent="0.25">
      <c r="A1537" s="73">
        <v>610</v>
      </c>
      <c r="B1537" s="73" t="s">
        <v>297</v>
      </c>
      <c r="C1537" s="87" t="s">
        <v>296</v>
      </c>
      <c r="D1537" s="88" t="s">
        <v>15</v>
      </c>
      <c r="E1537" s="89" t="s">
        <v>97</v>
      </c>
      <c r="F1537" s="90">
        <v>37781</v>
      </c>
      <c r="G1537" s="90" t="s">
        <v>1</v>
      </c>
      <c r="H1537" s="90" t="s">
        <v>1</v>
      </c>
      <c r="I1537" s="92" t="s">
        <v>13</v>
      </c>
      <c r="J1537" s="92" t="s">
        <v>34</v>
      </c>
      <c r="K1537" s="92" t="s">
        <v>33</v>
      </c>
      <c r="L1537" s="92" t="s">
        <v>33</v>
      </c>
      <c r="M1537" s="92" t="s">
        <v>102</v>
      </c>
      <c r="N1537" s="92" t="s">
        <v>105</v>
      </c>
      <c r="O1537" s="92" t="s">
        <v>29</v>
      </c>
      <c r="P1537" s="92" t="s">
        <v>30</v>
      </c>
      <c r="Q1537" s="92" t="s">
        <v>20</v>
      </c>
      <c r="R1537" s="92" t="s">
        <v>4</v>
      </c>
      <c r="S1537" s="92" t="s">
        <v>3</v>
      </c>
      <c r="T1537" s="92" t="s">
        <v>29</v>
      </c>
      <c r="U1537" s="92" t="s">
        <v>1</v>
      </c>
      <c r="V1537" s="92" t="s">
        <v>0</v>
      </c>
      <c r="W1537" s="93">
        <v>41</v>
      </c>
    </row>
    <row r="1538" spans="1:24" hidden="1" x14ac:dyDescent="0.25">
      <c r="A1538" s="8" t="s">
        <v>295</v>
      </c>
      <c r="B1538" s="8" t="s">
        <v>295</v>
      </c>
      <c r="C1538" s="7" t="s">
        <v>294</v>
      </c>
      <c r="D1538" s="6" t="s">
        <v>15</v>
      </c>
      <c r="E1538" s="5" t="s">
        <v>293</v>
      </c>
      <c r="F1538" s="4">
        <v>40847</v>
      </c>
      <c r="G1538" s="4" t="s">
        <v>1</v>
      </c>
      <c r="H1538" s="4" t="s">
        <v>1</v>
      </c>
      <c r="I1538" s="18" t="s">
        <v>100</v>
      </c>
      <c r="J1538" s="18" t="s">
        <v>124</v>
      </c>
      <c r="K1538" s="18" t="s">
        <v>33</v>
      </c>
      <c r="L1538" s="18" t="s">
        <v>33</v>
      </c>
      <c r="M1538" s="18" t="s">
        <v>124</v>
      </c>
      <c r="N1538" s="18" t="s">
        <v>194</v>
      </c>
      <c r="O1538" s="18" t="s">
        <v>122</v>
      </c>
      <c r="P1538" s="5" t="s">
        <v>1</v>
      </c>
      <c r="Q1538" s="5" t="s">
        <v>121</v>
      </c>
      <c r="R1538" s="3" t="s">
        <v>4</v>
      </c>
      <c r="S1538" s="3" t="s">
        <v>3</v>
      </c>
      <c r="T1538" s="3" t="s">
        <v>19</v>
      </c>
      <c r="U1538" s="3" t="s">
        <v>1</v>
      </c>
      <c r="V1538" s="3" t="s">
        <v>0</v>
      </c>
      <c r="W1538" s="2">
        <v>31</v>
      </c>
    </row>
    <row r="1539" spans="1:24" hidden="1" x14ac:dyDescent="0.25">
      <c r="A1539" s="8" t="s">
        <v>292</v>
      </c>
      <c r="B1539" s="8" t="s">
        <v>292</v>
      </c>
      <c r="C1539" s="19" t="s">
        <v>291</v>
      </c>
      <c r="D1539" s="6" t="s">
        <v>15</v>
      </c>
      <c r="E1539" s="18" t="s">
        <v>278</v>
      </c>
      <c r="F1539" s="4">
        <v>40854</v>
      </c>
      <c r="G1539" s="4" t="s">
        <v>1</v>
      </c>
      <c r="H1539" s="4" t="s">
        <v>1</v>
      </c>
      <c r="I1539" s="3" t="s">
        <v>145</v>
      </c>
      <c r="J1539" s="3" t="s">
        <v>133</v>
      </c>
      <c r="K1539" s="3" t="s">
        <v>11</v>
      </c>
      <c r="L1539" s="3" t="s">
        <v>10</v>
      </c>
      <c r="M1539" s="3" t="s">
        <v>290</v>
      </c>
      <c r="N1539" s="3" t="s">
        <v>289</v>
      </c>
      <c r="O1539" s="3" t="s">
        <v>288</v>
      </c>
      <c r="P1539" s="3" t="s">
        <v>6</v>
      </c>
      <c r="Q1539" s="3" t="s">
        <v>47</v>
      </c>
      <c r="R1539" s="3" t="s">
        <v>4</v>
      </c>
      <c r="S1539" s="3" t="s">
        <v>3</v>
      </c>
      <c r="T1539" s="3" t="s">
        <v>2</v>
      </c>
      <c r="U1539" s="3" t="s">
        <v>1</v>
      </c>
      <c r="V1539" s="3" t="s">
        <v>0</v>
      </c>
      <c r="W1539" s="2">
        <v>32</v>
      </c>
    </row>
    <row r="1540" spans="1:24" hidden="1" x14ac:dyDescent="0.25">
      <c r="A1540" s="8" t="s">
        <v>287</v>
      </c>
      <c r="B1540" s="8" t="s">
        <v>287</v>
      </c>
      <c r="C1540" s="19" t="s">
        <v>286</v>
      </c>
      <c r="D1540" s="6" t="s">
        <v>15</v>
      </c>
      <c r="E1540" s="18" t="s">
        <v>278</v>
      </c>
      <c r="F1540" s="4">
        <v>40854</v>
      </c>
      <c r="G1540" s="4" t="s">
        <v>1</v>
      </c>
      <c r="H1540" s="4" t="s">
        <v>1</v>
      </c>
      <c r="I1540" s="3" t="s">
        <v>13</v>
      </c>
      <c r="J1540" s="3" t="s">
        <v>133</v>
      </c>
      <c r="K1540" s="3" t="s">
        <v>25</v>
      </c>
      <c r="L1540" s="3" t="s">
        <v>24</v>
      </c>
      <c r="M1540" s="3" t="s">
        <v>199</v>
      </c>
      <c r="N1540" s="3" t="s">
        <v>198</v>
      </c>
      <c r="O1540" s="3" t="s">
        <v>184</v>
      </c>
      <c r="P1540" s="3" t="s">
        <v>6</v>
      </c>
      <c r="Q1540" s="3" t="s">
        <v>20</v>
      </c>
      <c r="R1540" s="3" t="s">
        <v>4</v>
      </c>
      <c r="S1540" s="3" t="s">
        <v>3</v>
      </c>
      <c r="T1540" s="3" t="s">
        <v>2</v>
      </c>
      <c r="U1540" s="3" t="s">
        <v>1</v>
      </c>
      <c r="V1540" s="3" t="s">
        <v>0</v>
      </c>
      <c r="W1540" s="2">
        <v>32</v>
      </c>
    </row>
    <row r="1541" spans="1:24" hidden="1" x14ac:dyDescent="0.25">
      <c r="A1541" s="8" t="s">
        <v>285</v>
      </c>
      <c r="B1541" s="8" t="s">
        <v>285</v>
      </c>
      <c r="C1541" s="7" t="s">
        <v>284</v>
      </c>
      <c r="D1541" s="6" t="s">
        <v>15</v>
      </c>
      <c r="E1541" s="5" t="s">
        <v>278</v>
      </c>
      <c r="F1541" s="4">
        <v>40854</v>
      </c>
      <c r="G1541" s="4" t="s">
        <v>1</v>
      </c>
      <c r="H1541" s="4" t="s">
        <v>1</v>
      </c>
      <c r="I1541" s="3" t="s">
        <v>13</v>
      </c>
      <c r="J1541" s="3" t="s">
        <v>12</v>
      </c>
      <c r="K1541" s="3" t="s">
        <v>283</v>
      </c>
      <c r="L1541" s="3" t="s">
        <v>282</v>
      </c>
      <c r="M1541" s="3" t="s">
        <v>281</v>
      </c>
      <c r="N1541" s="3" t="s">
        <v>136</v>
      </c>
      <c r="O1541" s="3" t="s">
        <v>100</v>
      </c>
      <c r="P1541" s="3" t="s">
        <v>6</v>
      </c>
      <c r="Q1541" s="3" t="s">
        <v>20</v>
      </c>
      <c r="R1541" s="3" t="s">
        <v>4</v>
      </c>
      <c r="S1541" s="3" t="s">
        <v>3</v>
      </c>
      <c r="T1541" s="3" t="s">
        <v>2</v>
      </c>
      <c r="U1541" s="3" t="s">
        <v>1</v>
      </c>
      <c r="V1541" s="3" t="s">
        <v>0</v>
      </c>
      <c r="W1541" s="2">
        <v>32</v>
      </c>
    </row>
    <row r="1542" spans="1:24" hidden="1" x14ac:dyDescent="0.25">
      <c r="A1542" s="8" t="s">
        <v>280</v>
      </c>
      <c r="B1542" s="8" t="s">
        <v>280</v>
      </c>
      <c r="C1542" s="19" t="s">
        <v>279</v>
      </c>
      <c r="D1542" s="6" t="s">
        <v>15</v>
      </c>
      <c r="E1542" s="18" t="s">
        <v>278</v>
      </c>
      <c r="F1542" s="4">
        <v>40854</v>
      </c>
      <c r="G1542" s="4" t="s">
        <v>1</v>
      </c>
      <c r="H1542" s="4" t="s">
        <v>1</v>
      </c>
      <c r="I1542" s="3" t="s">
        <v>13</v>
      </c>
      <c r="J1542" s="3" t="s">
        <v>133</v>
      </c>
      <c r="K1542" s="3" t="s">
        <v>262</v>
      </c>
      <c r="L1542" s="3" t="s">
        <v>262</v>
      </c>
      <c r="M1542" s="3" t="s">
        <v>277</v>
      </c>
      <c r="N1542" s="3" t="s">
        <v>276</v>
      </c>
      <c r="O1542" s="3" t="s">
        <v>184</v>
      </c>
      <c r="P1542" s="3" t="s">
        <v>6</v>
      </c>
      <c r="Q1542" s="3" t="s">
        <v>20</v>
      </c>
      <c r="R1542" s="3" t="s">
        <v>4</v>
      </c>
      <c r="S1542" s="3" t="s">
        <v>3</v>
      </c>
      <c r="T1542" s="3" t="s">
        <v>2</v>
      </c>
      <c r="U1542" s="3" t="s">
        <v>1</v>
      </c>
      <c r="V1542" s="3" t="s">
        <v>0</v>
      </c>
      <c r="W1542" s="2">
        <v>36</v>
      </c>
    </row>
    <row r="1543" spans="1:24" hidden="1" x14ac:dyDescent="0.25">
      <c r="A1543" s="8" t="s">
        <v>275</v>
      </c>
      <c r="B1543" s="8" t="s">
        <v>275</v>
      </c>
      <c r="C1543" s="7" t="s">
        <v>274</v>
      </c>
      <c r="D1543" s="6" t="s">
        <v>15</v>
      </c>
      <c r="E1543" s="5" t="s">
        <v>273</v>
      </c>
      <c r="F1543" s="4">
        <v>40861</v>
      </c>
      <c r="G1543" s="4" t="s">
        <v>1</v>
      </c>
      <c r="H1543" s="4" t="s">
        <v>1</v>
      </c>
      <c r="I1543" s="3" t="s">
        <v>13</v>
      </c>
      <c r="J1543" s="3" t="s">
        <v>12</v>
      </c>
      <c r="K1543" s="3" t="s">
        <v>187</v>
      </c>
      <c r="L1543" s="3" t="s">
        <v>229</v>
      </c>
      <c r="M1543" s="3" t="s">
        <v>228</v>
      </c>
      <c r="N1543" s="3" t="s">
        <v>272</v>
      </c>
      <c r="O1543" s="3" t="s">
        <v>59</v>
      </c>
      <c r="P1543" s="3" t="s">
        <v>6</v>
      </c>
      <c r="Q1543" s="3" t="s">
        <v>5</v>
      </c>
      <c r="R1543" s="3" t="s">
        <v>4</v>
      </c>
      <c r="S1543" s="3" t="s">
        <v>3</v>
      </c>
      <c r="T1543" s="3" t="s">
        <v>2</v>
      </c>
      <c r="U1543" s="3" t="s">
        <v>1</v>
      </c>
      <c r="V1543" s="3" t="s">
        <v>0</v>
      </c>
      <c r="W1543" s="2">
        <v>37</v>
      </c>
    </row>
    <row r="1544" spans="1:24" hidden="1" x14ac:dyDescent="0.25">
      <c r="A1544" s="8" t="s">
        <v>271</v>
      </c>
      <c r="B1544" s="8" t="s">
        <v>271</v>
      </c>
      <c r="C1544" s="19" t="s">
        <v>270</v>
      </c>
      <c r="D1544" s="6" t="s">
        <v>15</v>
      </c>
      <c r="E1544" s="18" t="s">
        <v>263</v>
      </c>
      <c r="F1544" s="4">
        <v>40868</v>
      </c>
      <c r="G1544" s="4" t="s">
        <v>1</v>
      </c>
      <c r="H1544" s="4" t="s">
        <v>1</v>
      </c>
      <c r="I1544" s="3" t="s">
        <v>145</v>
      </c>
      <c r="J1544" s="3" t="s">
        <v>12</v>
      </c>
      <c r="K1544" s="3" t="s">
        <v>262</v>
      </c>
      <c r="L1544" s="3" t="s">
        <v>261</v>
      </c>
      <c r="M1544" s="3" t="s">
        <v>260</v>
      </c>
      <c r="N1544" s="3" t="s">
        <v>269</v>
      </c>
      <c r="O1544" s="3" t="s">
        <v>29</v>
      </c>
      <c r="P1544" s="3" t="s">
        <v>6</v>
      </c>
      <c r="Q1544" s="3" t="s">
        <v>20</v>
      </c>
      <c r="R1544" s="3" t="s">
        <v>4</v>
      </c>
      <c r="S1544" s="3" t="s">
        <v>3</v>
      </c>
      <c r="T1544" s="3" t="s">
        <v>29</v>
      </c>
      <c r="U1544" s="3" t="s">
        <v>1</v>
      </c>
      <c r="V1544" s="3" t="s">
        <v>18</v>
      </c>
      <c r="W1544" s="2">
        <v>38</v>
      </c>
    </row>
    <row r="1545" spans="1:24" hidden="1" x14ac:dyDescent="0.25">
      <c r="A1545" s="8">
        <v>726</v>
      </c>
      <c r="B1545" s="8" t="s">
        <v>268</v>
      </c>
      <c r="C1545" s="19" t="s">
        <v>267</v>
      </c>
      <c r="D1545" s="6" t="s">
        <v>15</v>
      </c>
      <c r="E1545" s="18" t="s">
        <v>266</v>
      </c>
      <c r="F1545" s="4">
        <v>37816</v>
      </c>
      <c r="G1545" s="4" t="s">
        <v>1</v>
      </c>
      <c r="H1545" s="4" t="s">
        <v>1</v>
      </c>
      <c r="I1545" s="3" t="s">
        <v>13</v>
      </c>
      <c r="J1545" s="3" t="s">
        <v>34</v>
      </c>
      <c r="K1545" s="3" t="s">
        <v>33</v>
      </c>
      <c r="L1545" s="3" t="s">
        <v>33</v>
      </c>
      <c r="M1545" s="3" t="s">
        <v>102</v>
      </c>
      <c r="N1545" s="3" t="s">
        <v>101</v>
      </c>
      <c r="O1545" s="3" t="s">
        <v>100</v>
      </c>
      <c r="P1545" s="3" t="s">
        <v>30</v>
      </c>
      <c r="Q1545" s="3" t="s">
        <v>20</v>
      </c>
      <c r="R1545" s="3" t="s">
        <v>4</v>
      </c>
      <c r="S1545" s="3" t="s">
        <v>3</v>
      </c>
      <c r="T1545" s="3" t="s">
        <v>2</v>
      </c>
      <c r="U1545" s="3" t="s">
        <v>1</v>
      </c>
      <c r="V1545" s="3" t="s">
        <v>0</v>
      </c>
      <c r="W1545" s="2">
        <v>41</v>
      </c>
    </row>
    <row r="1546" spans="1:24" hidden="1" x14ac:dyDescent="0.25">
      <c r="A1546" s="8" t="s">
        <v>265</v>
      </c>
      <c r="B1546" s="8" t="s">
        <v>265</v>
      </c>
      <c r="C1546" s="7" t="s">
        <v>264</v>
      </c>
      <c r="D1546" s="6" t="s">
        <v>15</v>
      </c>
      <c r="E1546" s="5" t="s">
        <v>263</v>
      </c>
      <c r="F1546" s="4">
        <v>40868</v>
      </c>
      <c r="G1546" s="4" t="s">
        <v>1</v>
      </c>
      <c r="H1546" s="4" t="s">
        <v>1</v>
      </c>
      <c r="I1546" s="3" t="s">
        <v>13</v>
      </c>
      <c r="J1546" s="3" t="s">
        <v>12</v>
      </c>
      <c r="K1546" s="3" t="s">
        <v>262</v>
      </c>
      <c r="L1546" s="3" t="s">
        <v>261</v>
      </c>
      <c r="M1546" s="3" t="s">
        <v>260</v>
      </c>
      <c r="N1546" s="3" t="s">
        <v>259</v>
      </c>
      <c r="O1546" s="3" t="s">
        <v>258</v>
      </c>
      <c r="P1546" s="3" t="s">
        <v>6</v>
      </c>
      <c r="Q1546" s="3" t="s">
        <v>5</v>
      </c>
      <c r="R1546" s="3" t="s">
        <v>4</v>
      </c>
      <c r="S1546" s="3" t="s">
        <v>3</v>
      </c>
      <c r="T1546" s="3" t="s">
        <v>2</v>
      </c>
      <c r="U1546" s="3" t="s">
        <v>1</v>
      </c>
      <c r="V1546" s="3" t="s">
        <v>18</v>
      </c>
      <c r="W1546" s="2">
        <v>33</v>
      </c>
    </row>
    <row r="1547" spans="1:24" hidden="1" x14ac:dyDescent="0.25">
      <c r="A1547" s="8">
        <v>1081</v>
      </c>
      <c r="B1547" s="8" t="s">
        <v>257</v>
      </c>
      <c r="C1547" s="7" t="s">
        <v>256</v>
      </c>
      <c r="D1547" s="6" t="s">
        <v>15</v>
      </c>
      <c r="E1547" s="5" t="s">
        <v>56</v>
      </c>
      <c r="F1547" s="4">
        <v>37887</v>
      </c>
      <c r="G1547" s="4" t="s">
        <v>1</v>
      </c>
      <c r="H1547" s="4" t="s">
        <v>1</v>
      </c>
      <c r="I1547" s="3" t="s">
        <v>13</v>
      </c>
      <c r="J1547" s="3" t="s">
        <v>34</v>
      </c>
      <c r="K1547" s="3" t="s">
        <v>33</v>
      </c>
      <c r="L1547" s="3" t="s">
        <v>33</v>
      </c>
      <c r="M1547" s="3" t="s">
        <v>102</v>
      </c>
      <c r="N1547" s="3" t="s">
        <v>194</v>
      </c>
      <c r="O1547" s="3" t="s">
        <v>100</v>
      </c>
      <c r="P1547" s="3" t="s">
        <v>30</v>
      </c>
      <c r="Q1547" s="3" t="s">
        <v>20</v>
      </c>
      <c r="R1547" s="3" t="s">
        <v>4</v>
      </c>
      <c r="S1547" s="3" t="s">
        <v>3</v>
      </c>
      <c r="T1547" s="3" t="s">
        <v>29</v>
      </c>
      <c r="U1547" s="3" t="s">
        <v>1</v>
      </c>
      <c r="V1547" s="3" t="s">
        <v>0</v>
      </c>
      <c r="W1547" s="2">
        <v>39</v>
      </c>
    </row>
    <row r="1548" spans="1:24" hidden="1" x14ac:dyDescent="0.25">
      <c r="A1548" s="8">
        <v>5796</v>
      </c>
      <c r="B1548" s="8" t="s">
        <v>255</v>
      </c>
      <c r="C1548" s="7" t="s">
        <v>254</v>
      </c>
      <c r="D1548" s="6" t="s">
        <v>15</v>
      </c>
      <c r="E1548" s="5" t="s">
        <v>251</v>
      </c>
      <c r="F1548" s="4">
        <v>39114</v>
      </c>
      <c r="G1548" s="4" t="s">
        <v>1</v>
      </c>
      <c r="H1548" s="4" t="s">
        <v>1</v>
      </c>
      <c r="I1548" s="3" t="s">
        <v>13</v>
      </c>
      <c r="J1548" s="3" t="s">
        <v>34</v>
      </c>
      <c r="K1548" s="3" t="s">
        <v>33</v>
      </c>
      <c r="L1548" s="3" t="s">
        <v>33</v>
      </c>
      <c r="M1548" s="3" t="s">
        <v>102</v>
      </c>
      <c r="N1548" s="3" t="s">
        <v>105</v>
      </c>
      <c r="O1548" s="3" t="s">
        <v>21</v>
      </c>
      <c r="P1548" s="3" t="s">
        <v>30</v>
      </c>
      <c r="Q1548" s="3" t="s">
        <v>20</v>
      </c>
      <c r="R1548" s="3" t="s">
        <v>4</v>
      </c>
      <c r="S1548" s="3" t="s">
        <v>3</v>
      </c>
      <c r="T1548" s="3" t="s">
        <v>19</v>
      </c>
      <c r="U1548" s="3" t="s">
        <v>1</v>
      </c>
      <c r="V1548" s="3" t="s">
        <v>0</v>
      </c>
      <c r="W1548" s="2">
        <v>38</v>
      </c>
    </row>
    <row r="1549" spans="1:24" hidden="1" x14ac:dyDescent="0.25">
      <c r="A1549" s="8">
        <v>5813</v>
      </c>
      <c r="B1549" s="8" t="s">
        <v>253</v>
      </c>
      <c r="C1549" s="19" t="s">
        <v>252</v>
      </c>
      <c r="D1549" s="6" t="s">
        <v>15</v>
      </c>
      <c r="E1549" s="18" t="s">
        <v>251</v>
      </c>
      <c r="F1549" s="4">
        <v>39114</v>
      </c>
      <c r="G1549" s="4" t="s">
        <v>1</v>
      </c>
      <c r="H1549" s="4" t="s">
        <v>1</v>
      </c>
      <c r="I1549" s="3" t="s">
        <v>13</v>
      </c>
      <c r="J1549" s="3" t="s">
        <v>34</v>
      </c>
      <c r="K1549" s="3" t="s">
        <v>153</v>
      </c>
      <c r="L1549" s="3" t="s">
        <v>33</v>
      </c>
      <c r="M1549" s="3" t="s">
        <v>102</v>
      </c>
      <c r="N1549" s="3" t="s">
        <v>152</v>
      </c>
      <c r="O1549" s="3" t="s">
        <v>29</v>
      </c>
      <c r="P1549" s="3" t="s">
        <v>30</v>
      </c>
      <c r="Q1549" s="3" t="s">
        <v>20</v>
      </c>
      <c r="R1549" s="3" t="s">
        <v>4</v>
      </c>
      <c r="S1549" s="3" t="s">
        <v>3</v>
      </c>
      <c r="T1549" s="3" t="s">
        <v>29</v>
      </c>
      <c r="U1549" s="3" t="s">
        <v>1</v>
      </c>
      <c r="V1549" s="3" t="s">
        <v>0</v>
      </c>
      <c r="W1549" s="2">
        <v>39</v>
      </c>
    </row>
    <row r="1550" spans="1:24" s="9" customFormat="1" hidden="1" x14ac:dyDescent="0.25">
      <c r="A1550" s="17">
        <v>5948</v>
      </c>
      <c r="B1550" s="17" t="s">
        <v>250</v>
      </c>
      <c r="C1550" s="16" t="s">
        <v>249</v>
      </c>
      <c r="D1550" s="15" t="s">
        <v>15</v>
      </c>
      <c r="E1550" s="14" t="s">
        <v>248</v>
      </c>
      <c r="F1550" s="13">
        <v>39129</v>
      </c>
      <c r="G1550" s="13" t="s">
        <v>1</v>
      </c>
      <c r="H1550" s="13" t="s">
        <v>1</v>
      </c>
      <c r="I1550" s="12" t="s">
        <v>13</v>
      </c>
      <c r="J1550" s="12" t="s">
        <v>34</v>
      </c>
      <c r="K1550" s="12" t="s">
        <v>33</v>
      </c>
      <c r="L1550" s="12" t="s">
        <v>33</v>
      </c>
      <c r="M1550" s="12" t="s">
        <v>102</v>
      </c>
      <c r="N1550" s="12" t="s">
        <v>105</v>
      </c>
      <c r="O1550" s="12" t="s">
        <v>29</v>
      </c>
      <c r="P1550" s="12" t="s">
        <v>30</v>
      </c>
      <c r="Q1550" s="12" t="s">
        <v>20</v>
      </c>
      <c r="R1550" s="12" t="s">
        <v>4</v>
      </c>
      <c r="S1550" s="12" t="s">
        <v>3</v>
      </c>
      <c r="T1550" s="12" t="s">
        <v>29</v>
      </c>
      <c r="U1550" s="12" t="s">
        <v>1</v>
      </c>
      <c r="V1550" s="12" t="s">
        <v>0</v>
      </c>
      <c r="W1550" s="11">
        <v>39</v>
      </c>
      <c r="X1550" s="10"/>
    </row>
    <row r="1551" spans="1:24" s="78" customFormat="1" hidden="1" x14ac:dyDescent="0.25">
      <c r="A1551" s="73" t="s">
        <v>247</v>
      </c>
      <c r="B1551" s="73" t="s">
        <v>247</v>
      </c>
      <c r="C1551" s="87" t="s">
        <v>246</v>
      </c>
      <c r="D1551" s="88" t="s">
        <v>15</v>
      </c>
      <c r="E1551" s="89" t="s">
        <v>245</v>
      </c>
      <c r="F1551" s="90">
        <v>40875</v>
      </c>
      <c r="G1551" s="90" t="s">
        <v>1</v>
      </c>
      <c r="H1551" s="90" t="s">
        <v>1</v>
      </c>
      <c r="I1551" s="89" t="s">
        <v>50</v>
      </c>
      <c r="J1551" s="89" t="s">
        <v>49</v>
      </c>
      <c r="K1551" s="89" t="s">
        <v>33</v>
      </c>
      <c r="L1551" s="89" t="s">
        <v>33</v>
      </c>
      <c r="M1551" s="89" t="s">
        <v>49</v>
      </c>
      <c r="N1551" s="89" t="s">
        <v>49</v>
      </c>
      <c r="O1551" s="89" t="s">
        <v>48</v>
      </c>
      <c r="P1551" s="89" t="s">
        <v>72</v>
      </c>
      <c r="Q1551" s="89" t="s">
        <v>47</v>
      </c>
      <c r="R1551" s="92" t="s">
        <v>4</v>
      </c>
      <c r="S1551" s="92" t="s">
        <v>3</v>
      </c>
      <c r="T1551" s="92" t="s">
        <v>2</v>
      </c>
      <c r="U1551" s="92" t="s">
        <v>1</v>
      </c>
      <c r="V1551" s="92" t="s">
        <v>18</v>
      </c>
      <c r="W1551" s="93">
        <v>38</v>
      </c>
      <c r="X1551" s="94"/>
    </row>
    <row r="1552" spans="1:24" hidden="1" x14ac:dyDescent="0.25">
      <c r="A1552" s="8" t="s">
        <v>244</v>
      </c>
      <c r="B1552" s="8" t="s">
        <v>244</v>
      </c>
      <c r="C1552" s="19" t="s">
        <v>243</v>
      </c>
      <c r="D1552" s="6" t="s">
        <v>15</v>
      </c>
      <c r="E1552" s="18" t="s">
        <v>234</v>
      </c>
      <c r="F1552" s="4">
        <v>40882</v>
      </c>
      <c r="G1552" s="4" t="s">
        <v>1</v>
      </c>
      <c r="H1552" s="4" t="s">
        <v>1</v>
      </c>
      <c r="I1552" s="3" t="s">
        <v>145</v>
      </c>
      <c r="J1552" s="3" t="s">
        <v>34</v>
      </c>
      <c r="K1552" s="3" t="s">
        <v>33</v>
      </c>
      <c r="L1552" s="3" t="s">
        <v>33</v>
      </c>
      <c r="M1552" s="3" t="s">
        <v>242</v>
      </c>
      <c r="N1552" s="3" t="s">
        <v>241</v>
      </c>
      <c r="O1552" s="3" t="s">
        <v>240</v>
      </c>
      <c r="P1552" s="3" t="s">
        <v>72</v>
      </c>
      <c r="Q1552" s="3" t="s">
        <v>47</v>
      </c>
      <c r="R1552" s="3" t="s">
        <v>4</v>
      </c>
      <c r="S1552" s="3" t="s">
        <v>3</v>
      </c>
      <c r="T1552" s="3" t="s">
        <v>2</v>
      </c>
      <c r="U1552" s="3" t="s">
        <v>1</v>
      </c>
      <c r="V1552" s="3" t="s">
        <v>18</v>
      </c>
      <c r="W1552" s="2">
        <v>33</v>
      </c>
    </row>
    <row r="1553" spans="1:24" s="78" customFormat="1" hidden="1" x14ac:dyDescent="0.25">
      <c r="A1553" s="73">
        <v>6061</v>
      </c>
      <c r="B1553" s="73" t="s">
        <v>239</v>
      </c>
      <c r="C1553" s="87" t="s">
        <v>238</v>
      </c>
      <c r="D1553" s="88" t="s">
        <v>15</v>
      </c>
      <c r="E1553" s="89" t="s">
        <v>237</v>
      </c>
      <c r="F1553" s="90">
        <v>39142</v>
      </c>
      <c r="G1553" s="90" t="s">
        <v>1</v>
      </c>
      <c r="H1553" s="90" t="s">
        <v>1</v>
      </c>
      <c r="I1553" s="92" t="s">
        <v>13</v>
      </c>
      <c r="J1553" s="92" t="s">
        <v>34</v>
      </c>
      <c r="K1553" s="92" t="s">
        <v>33</v>
      </c>
      <c r="L1553" s="92" t="s">
        <v>33</v>
      </c>
      <c r="M1553" s="92" t="s">
        <v>102</v>
      </c>
      <c r="N1553" s="92" t="s">
        <v>40</v>
      </c>
      <c r="O1553" s="92" t="s">
        <v>39</v>
      </c>
      <c r="P1553" s="92" t="s">
        <v>72</v>
      </c>
      <c r="Q1553" s="92" t="s">
        <v>20</v>
      </c>
      <c r="R1553" s="92" t="s">
        <v>4</v>
      </c>
      <c r="S1553" s="92" t="s">
        <v>3</v>
      </c>
      <c r="T1553" s="92" t="s">
        <v>38</v>
      </c>
      <c r="U1553" s="92" t="s">
        <v>1</v>
      </c>
      <c r="V1553" s="92" t="s">
        <v>0</v>
      </c>
      <c r="W1553" s="93">
        <v>39</v>
      </c>
    </row>
    <row r="1554" spans="1:24" hidden="1" x14ac:dyDescent="0.25">
      <c r="A1554" s="26" t="s">
        <v>236</v>
      </c>
      <c r="B1554" s="8" t="s">
        <v>236</v>
      </c>
      <c r="C1554" s="19" t="s">
        <v>235</v>
      </c>
      <c r="D1554" s="6" t="s">
        <v>15</v>
      </c>
      <c r="E1554" s="18" t="s">
        <v>234</v>
      </c>
      <c r="F1554" s="4">
        <v>40882</v>
      </c>
      <c r="G1554" s="4" t="s">
        <v>1</v>
      </c>
      <c r="H1554" s="4" t="s">
        <v>1</v>
      </c>
      <c r="I1554" s="3" t="s">
        <v>13</v>
      </c>
      <c r="J1554" s="3" t="s">
        <v>133</v>
      </c>
      <c r="K1554" s="3" t="s">
        <v>132</v>
      </c>
      <c r="L1554" s="3" t="s">
        <v>218</v>
      </c>
      <c r="M1554" s="3" t="s">
        <v>217</v>
      </c>
      <c r="N1554" s="3" t="s">
        <v>233</v>
      </c>
      <c r="O1554" s="3" t="s">
        <v>128</v>
      </c>
      <c r="P1554" s="3" t="s">
        <v>6</v>
      </c>
      <c r="Q1554" s="3" t="s">
        <v>5</v>
      </c>
      <c r="R1554" s="3" t="s">
        <v>4</v>
      </c>
      <c r="S1554" s="3" t="s">
        <v>3</v>
      </c>
      <c r="T1554" s="3" t="s">
        <v>2</v>
      </c>
      <c r="U1554" s="3" t="s">
        <v>1</v>
      </c>
      <c r="V1554" s="3" t="s">
        <v>0</v>
      </c>
      <c r="W1554" s="2">
        <v>34</v>
      </c>
    </row>
    <row r="1555" spans="1:24" hidden="1" x14ac:dyDescent="0.25">
      <c r="A1555" s="8" t="s">
        <v>232</v>
      </c>
      <c r="B1555" s="8" t="s">
        <v>232</v>
      </c>
      <c r="C1555" s="7" t="s">
        <v>231</v>
      </c>
      <c r="D1555" s="6" t="s">
        <v>15</v>
      </c>
      <c r="E1555" s="5" t="s">
        <v>230</v>
      </c>
      <c r="F1555" s="4">
        <v>40889</v>
      </c>
      <c r="G1555" s="4" t="s">
        <v>1</v>
      </c>
      <c r="H1555" s="4" t="s">
        <v>1</v>
      </c>
      <c r="I1555" s="3" t="s">
        <v>13</v>
      </c>
      <c r="J1555" s="3" t="s">
        <v>12</v>
      </c>
      <c r="K1555" s="3" t="s">
        <v>187</v>
      </c>
      <c r="L1555" s="3" t="s">
        <v>229</v>
      </c>
      <c r="M1555" s="3" t="s">
        <v>228</v>
      </c>
      <c r="N1555" s="3" t="s">
        <v>8</v>
      </c>
      <c r="O1555" s="3" t="s">
        <v>7</v>
      </c>
      <c r="P1555" s="3" t="s">
        <v>6</v>
      </c>
      <c r="Q1555" s="3" t="s">
        <v>5</v>
      </c>
      <c r="R1555" s="3" t="s">
        <v>4</v>
      </c>
      <c r="S1555" s="3" t="s">
        <v>3</v>
      </c>
      <c r="T1555" s="3" t="s">
        <v>2</v>
      </c>
      <c r="U1555" s="3" t="s">
        <v>1</v>
      </c>
      <c r="V1555" s="3" t="s">
        <v>0</v>
      </c>
      <c r="W1555" s="2">
        <v>36</v>
      </c>
    </row>
    <row r="1556" spans="1:24" hidden="1" x14ac:dyDescent="0.25">
      <c r="A1556" s="8">
        <v>8663</v>
      </c>
      <c r="B1556" s="8" t="s">
        <v>227</v>
      </c>
      <c r="C1556" s="7" t="s">
        <v>226</v>
      </c>
      <c r="D1556" s="6" t="s">
        <v>15</v>
      </c>
      <c r="E1556" s="5" t="s">
        <v>225</v>
      </c>
      <c r="F1556" s="4">
        <v>39878</v>
      </c>
      <c r="G1556" s="4" t="s">
        <v>1</v>
      </c>
      <c r="H1556" s="4" t="s">
        <v>1</v>
      </c>
      <c r="I1556" s="3" t="s">
        <v>13</v>
      </c>
      <c r="J1556" s="3" t="s">
        <v>34</v>
      </c>
      <c r="K1556" s="3" t="s">
        <v>33</v>
      </c>
      <c r="L1556" s="3" t="s">
        <v>33</v>
      </c>
      <c r="M1556" s="3" t="s">
        <v>102</v>
      </c>
      <c r="N1556" s="3" t="s">
        <v>105</v>
      </c>
      <c r="O1556" s="3" t="s">
        <v>29</v>
      </c>
      <c r="P1556" s="3" t="s">
        <v>30</v>
      </c>
      <c r="Q1556" s="3" t="s">
        <v>20</v>
      </c>
      <c r="R1556" s="3" t="s">
        <v>4</v>
      </c>
      <c r="S1556" s="3" t="s">
        <v>3</v>
      </c>
      <c r="T1556" s="3" t="s">
        <v>29</v>
      </c>
      <c r="U1556" s="3" t="s">
        <v>1</v>
      </c>
      <c r="V1556" s="3" t="s">
        <v>0</v>
      </c>
      <c r="W1556" s="2">
        <v>34</v>
      </c>
    </row>
    <row r="1557" spans="1:24" hidden="1" x14ac:dyDescent="0.25">
      <c r="A1557" s="8">
        <v>8798</v>
      </c>
      <c r="B1557" s="8" t="s">
        <v>224</v>
      </c>
      <c r="C1557" s="25" t="s">
        <v>223</v>
      </c>
      <c r="D1557" s="6" t="s">
        <v>15</v>
      </c>
      <c r="E1557" s="5" t="s">
        <v>222</v>
      </c>
      <c r="F1557" s="4">
        <v>39931</v>
      </c>
      <c r="G1557" s="4" t="s">
        <v>1</v>
      </c>
      <c r="H1557" s="4" t="s">
        <v>1</v>
      </c>
      <c r="I1557" s="3" t="s">
        <v>13</v>
      </c>
      <c r="J1557" s="3" t="s">
        <v>34</v>
      </c>
      <c r="K1557" s="3" t="s">
        <v>33</v>
      </c>
      <c r="L1557" s="3" t="s">
        <v>33</v>
      </c>
      <c r="M1557" s="3" t="s">
        <v>102</v>
      </c>
      <c r="N1557" s="3" t="s">
        <v>101</v>
      </c>
      <c r="O1557" s="3" t="s">
        <v>100</v>
      </c>
      <c r="P1557" s="3" t="s">
        <v>30</v>
      </c>
      <c r="Q1557" s="3" t="s">
        <v>20</v>
      </c>
      <c r="R1557" s="3" t="s">
        <v>4</v>
      </c>
      <c r="S1557" s="3" t="s">
        <v>3</v>
      </c>
      <c r="T1557" s="3" t="s">
        <v>2</v>
      </c>
      <c r="U1557" s="3" t="s">
        <v>1</v>
      </c>
      <c r="V1557" s="3" t="s">
        <v>0</v>
      </c>
      <c r="W1557" s="2">
        <v>35</v>
      </c>
    </row>
    <row r="1558" spans="1:24" hidden="1" x14ac:dyDescent="0.25">
      <c r="A1558" s="8" t="s">
        <v>221</v>
      </c>
      <c r="B1558" s="8" t="s">
        <v>221</v>
      </c>
      <c r="C1558" s="7" t="s">
        <v>220</v>
      </c>
      <c r="D1558" s="6" t="s">
        <v>15</v>
      </c>
      <c r="E1558" s="5" t="s">
        <v>219</v>
      </c>
      <c r="F1558" s="4">
        <v>40896</v>
      </c>
      <c r="G1558" s="4" t="s">
        <v>1</v>
      </c>
      <c r="H1558" s="4" t="s">
        <v>1</v>
      </c>
      <c r="I1558" s="3" t="s">
        <v>13</v>
      </c>
      <c r="J1558" s="3" t="s">
        <v>133</v>
      </c>
      <c r="K1558" s="3" t="s">
        <v>132</v>
      </c>
      <c r="L1558" s="3" t="s">
        <v>218</v>
      </c>
      <c r="M1558" s="3" t="s">
        <v>217</v>
      </c>
      <c r="N1558" s="3" t="s">
        <v>198</v>
      </c>
      <c r="O1558" s="3" t="s">
        <v>184</v>
      </c>
      <c r="P1558" s="3" t="s">
        <v>6</v>
      </c>
      <c r="Q1558" s="3" t="s">
        <v>20</v>
      </c>
      <c r="R1558" s="3" t="s">
        <v>4</v>
      </c>
      <c r="S1558" s="3" t="s">
        <v>3</v>
      </c>
      <c r="T1558" s="3" t="s">
        <v>2</v>
      </c>
      <c r="U1558" s="3" t="s">
        <v>1</v>
      </c>
      <c r="V1558" s="3" t="s">
        <v>0</v>
      </c>
      <c r="W1558" s="2">
        <v>36</v>
      </c>
    </row>
    <row r="1559" spans="1:24" hidden="1" x14ac:dyDescent="0.25">
      <c r="A1559" s="8">
        <v>8821</v>
      </c>
      <c r="B1559" s="8" t="s">
        <v>216</v>
      </c>
      <c r="C1559" s="7" t="s">
        <v>215</v>
      </c>
      <c r="D1559" s="6" t="s">
        <v>15</v>
      </c>
      <c r="E1559" s="5" t="s">
        <v>202</v>
      </c>
      <c r="F1559" s="4">
        <v>39937</v>
      </c>
      <c r="G1559" s="4" t="s">
        <v>1</v>
      </c>
      <c r="H1559" s="4" t="s">
        <v>1</v>
      </c>
      <c r="I1559" s="3" t="s">
        <v>13</v>
      </c>
      <c r="J1559" s="3" t="s">
        <v>34</v>
      </c>
      <c r="K1559" s="3" t="s">
        <v>33</v>
      </c>
      <c r="L1559" s="3" t="s">
        <v>33</v>
      </c>
      <c r="M1559" s="3" t="s">
        <v>102</v>
      </c>
      <c r="N1559" s="3" t="s">
        <v>152</v>
      </c>
      <c r="O1559" s="3" t="s">
        <v>29</v>
      </c>
      <c r="P1559" s="3" t="s">
        <v>72</v>
      </c>
      <c r="Q1559" s="3" t="s">
        <v>20</v>
      </c>
      <c r="R1559" s="3" t="s">
        <v>4</v>
      </c>
      <c r="S1559" s="3" t="s">
        <v>3</v>
      </c>
      <c r="T1559" s="3" t="s">
        <v>29</v>
      </c>
      <c r="U1559" s="3" t="s">
        <v>1</v>
      </c>
      <c r="V1559" s="3" t="s">
        <v>0</v>
      </c>
      <c r="W1559" s="2">
        <v>33</v>
      </c>
    </row>
    <row r="1560" spans="1:24" hidden="1" x14ac:dyDescent="0.25">
      <c r="A1560" s="8" t="s">
        <v>214</v>
      </c>
      <c r="B1560" s="8" t="s">
        <v>214</v>
      </c>
      <c r="C1560" s="19" t="s">
        <v>213</v>
      </c>
      <c r="D1560" s="6" t="s">
        <v>15</v>
      </c>
      <c r="E1560" s="18" t="s">
        <v>205</v>
      </c>
      <c r="F1560" s="4">
        <v>40904</v>
      </c>
      <c r="G1560" s="4" t="s">
        <v>1</v>
      </c>
      <c r="H1560" s="4" t="s">
        <v>1</v>
      </c>
      <c r="I1560" s="3" t="s">
        <v>145</v>
      </c>
      <c r="J1560" s="3" t="s">
        <v>133</v>
      </c>
      <c r="K1560" s="3" t="s">
        <v>212</v>
      </c>
      <c r="L1560" s="3" t="s">
        <v>211</v>
      </c>
      <c r="M1560" s="3" t="s">
        <v>210</v>
      </c>
      <c r="N1560" s="3" t="s">
        <v>209</v>
      </c>
      <c r="O1560" s="3" t="s">
        <v>208</v>
      </c>
      <c r="P1560" s="3" t="s">
        <v>72</v>
      </c>
      <c r="Q1560" s="3" t="s">
        <v>47</v>
      </c>
      <c r="R1560" s="3" t="s">
        <v>4</v>
      </c>
      <c r="S1560" s="3" t="s">
        <v>3</v>
      </c>
      <c r="T1560" s="3" t="s">
        <v>2</v>
      </c>
      <c r="U1560" s="3" t="s">
        <v>1</v>
      </c>
      <c r="V1560" s="3" t="s">
        <v>0</v>
      </c>
      <c r="W1560" s="2">
        <v>32</v>
      </c>
    </row>
    <row r="1561" spans="1:24" hidden="1" x14ac:dyDescent="0.25">
      <c r="A1561" s="8" t="s">
        <v>207</v>
      </c>
      <c r="B1561" s="8" t="s">
        <v>207</v>
      </c>
      <c r="C1561" s="7" t="s">
        <v>206</v>
      </c>
      <c r="D1561" s="6" t="s">
        <v>15</v>
      </c>
      <c r="E1561" s="5" t="s">
        <v>205</v>
      </c>
      <c r="F1561" s="4">
        <v>40904</v>
      </c>
      <c r="G1561" s="4" t="s">
        <v>1</v>
      </c>
      <c r="H1561" s="4" t="s">
        <v>1</v>
      </c>
      <c r="I1561" s="18" t="s">
        <v>100</v>
      </c>
      <c r="J1561" s="18" t="s">
        <v>124</v>
      </c>
      <c r="K1561" s="18" t="s">
        <v>33</v>
      </c>
      <c r="L1561" s="18" t="s">
        <v>33</v>
      </c>
      <c r="M1561" s="18" t="s">
        <v>124</v>
      </c>
      <c r="N1561" s="18" t="s">
        <v>194</v>
      </c>
      <c r="O1561" s="18" t="s">
        <v>122</v>
      </c>
      <c r="P1561" s="5" t="s">
        <v>1</v>
      </c>
      <c r="Q1561" s="5" t="s">
        <v>121</v>
      </c>
      <c r="R1561" s="3" t="s">
        <v>4</v>
      </c>
      <c r="S1561" s="3" t="s">
        <v>3</v>
      </c>
      <c r="T1561" s="3" t="s">
        <v>2</v>
      </c>
      <c r="U1561" s="3" t="s">
        <v>1</v>
      </c>
      <c r="V1561" s="3" t="s">
        <v>0</v>
      </c>
      <c r="W1561" s="2">
        <v>32</v>
      </c>
    </row>
    <row r="1562" spans="1:24" hidden="1" x14ac:dyDescent="0.25">
      <c r="A1562" s="8">
        <v>8846</v>
      </c>
      <c r="B1562" s="8" t="s">
        <v>204</v>
      </c>
      <c r="C1562" s="7" t="s">
        <v>203</v>
      </c>
      <c r="D1562" s="6" t="s">
        <v>15</v>
      </c>
      <c r="E1562" s="5" t="s">
        <v>202</v>
      </c>
      <c r="F1562" s="4">
        <v>39937</v>
      </c>
      <c r="G1562" s="4" t="s">
        <v>1</v>
      </c>
      <c r="H1562" s="4" t="s">
        <v>1</v>
      </c>
      <c r="I1562" s="3" t="s">
        <v>13</v>
      </c>
      <c r="J1562" s="3" t="s">
        <v>34</v>
      </c>
      <c r="K1562" s="3" t="s">
        <v>33</v>
      </c>
      <c r="L1562" s="3" t="s">
        <v>33</v>
      </c>
      <c r="M1562" s="3" t="s">
        <v>102</v>
      </c>
      <c r="N1562" s="3" t="s">
        <v>152</v>
      </c>
      <c r="O1562" s="3" t="s">
        <v>29</v>
      </c>
      <c r="P1562" s="3" t="s">
        <v>72</v>
      </c>
      <c r="Q1562" s="3" t="s">
        <v>20</v>
      </c>
      <c r="R1562" s="3" t="s">
        <v>4</v>
      </c>
      <c r="S1562" s="3" t="s">
        <v>3</v>
      </c>
      <c r="T1562" s="3" t="s">
        <v>29</v>
      </c>
      <c r="U1562" s="3" t="s">
        <v>1</v>
      </c>
      <c r="V1562" s="3" t="s">
        <v>0</v>
      </c>
      <c r="W1562" s="2">
        <v>35</v>
      </c>
    </row>
    <row r="1563" spans="1:24" hidden="1" x14ac:dyDescent="0.25">
      <c r="A1563" s="8" t="s">
        <v>201</v>
      </c>
      <c r="B1563" s="8" t="s">
        <v>201</v>
      </c>
      <c r="C1563" s="7" t="s">
        <v>200</v>
      </c>
      <c r="D1563" s="6" t="s">
        <v>15</v>
      </c>
      <c r="E1563" s="5" t="s">
        <v>195</v>
      </c>
      <c r="F1563" s="4">
        <v>40910</v>
      </c>
      <c r="G1563" s="4" t="s">
        <v>1</v>
      </c>
      <c r="H1563" s="4" t="s">
        <v>1</v>
      </c>
      <c r="I1563" s="3" t="s">
        <v>13</v>
      </c>
      <c r="J1563" s="3" t="s">
        <v>133</v>
      </c>
      <c r="K1563" s="3" t="s">
        <v>25</v>
      </c>
      <c r="L1563" s="3" t="s">
        <v>24</v>
      </c>
      <c r="M1563" s="3" t="s">
        <v>199</v>
      </c>
      <c r="N1563" s="3" t="s">
        <v>198</v>
      </c>
      <c r="O1563" s="3" t="s">
        <v>184</v>
      </c>
      <c r="P1563" s="3" t="s">
        <v>6</v>
      </c>
      <c r="Q1563" s="3" t="s">
        <v>20</v>
      </c>
      <c r="R1563" s="3" t="s">
        <v>4</v>
      </c>
      <c r="S1563" s="3" t="s">
        <v>3</v>
      </c>
      <c r="T1563" s="3" t="s">
        <v>2</v>
      </c>
      <c r="U1563" s="3" t="s">
        <v>1</v>
      </c>
      <c r="V1563" s="3" t="s">
        <v>0</v>
      </c>
      <c r="W1563" s="2">
        <v>31</v>
      </c>
    </row>
    <row r="1564" spans="1:24" hidden="1" x14ac:dyDescent="0.25">
      <c r="A1564" s="8" t="s">
        <v>197</v>
      </c>
      <c r="B1564" s="8" t="s">
        <v>197</v>
      </c>
      <c r="C1564" s="7" t="s">
        <v>196</v>
      </c>
      <c r="D1564" s="6" t="s">
        <v>15</v>
      </c>
      <c r="E1564" s="5" t="s">
        <v>195</v>
      </c>
      <c r="F1564" s="4">
        <v>40910</v>
      </c>
      <c r="G1564" s="4" t="s">
        <v>1</v>
      </c>
      <c r="H1564" s="4" t="s">
        <v>1</v>
      </c>
      <c r="I1564" s="18" t="s">
        <v>100</v>
      </c>
      <c r="J1564" s="18" t="s">
        <v>124</v>
      </c>
      <c r="K1564" s="18" t="s">
        <v>33</v>
      </c>
      <c r="L1564" s="18" t="s">
        <v>33</v>
      </c>
      <c r="M1564" s="18" t="s">
        <v>124</v>
      </c>
      <c r="N1564" s="18" t="s">
        <v>194</v>
      </c>
      <c r="O1564" s="18" t="s">
        <v>122</v>
      </c>
      <c r="P1564" s="5" t="s">
        <v>1</v>
      </c>
      <c r="Q1564" s="5" t="s">
        <v>121</v>
      </c>
      <c r="R1564" s="3" t="s">
        <v>4</v>
      </c>
      <c r="S1564" s="3" t="s">
        <v>3</v>
      </c>
      <c r="T1564" s="3" t="s">
        <v>2</v>
      </c>
      <c r="U1564" s="3" t="s">
        <v>1</v>
      </c>
      <c r="V1564" s="3" t="s">
        <v>0</v>
      </c>
      <c r="W1564" s="2">
        <v>31</v>
      </c>
    </row>
    <row r="1565" spans="1:24" hidden="1" x14ac:dyDescent="0.25">
      <c r="A1565" s="8">
        <v>8899</v>
      </c>
      <c r="B1565" s="8" t="s">
        <v>193</v>
      </c>
      <c r="C1565" s="7" t="s">
        <v>192</v>
      </c>
      <c r="D1565" s="6" t="s">
        <v>15</v>
      </c>
      <c r="E1565" s="5" t="s">
        <v>191</v>
      </c>
      <c r="F1565" s="4">
        <v>39961</v>
      </c>
      <c r="G1565" s="4" t="s">
        <v>1</v>
      </c>
      <c r="H1565" s="4" t="s">
        <v>1</v>
      </c>
      <c r="I1565" s="3" t="s">
        <v>13</v>
      </c>
      <c r="J1565" s="3" t="s">
        <v>34</v>
      </c>
      <c r="K1565" s="3" t="s">
        <v>153</v>
      </c>
      <c r="L1565" s="3" t="s">
        <v>33</v>
      </c>
      <c r="M1565" s="3" t="s">
        <v>102</v>
      </c>
      <c r="N1565" s="3" t="s">
        <v>152</v>
      </c>
      <c r="O1565" s="3" t="s">
        <v>29</v>
      </c>
      <c r="P1565" s="3" t="s">
        <v>30</v>
      </c>
      <c r="Q1565" s="3" t="s">
        <v>20</v>
      </c>
      <c r="R1565" s="3" t="s">
        <v>4</v>
      </c>
      <c r="S1565" s="3" t="s">
        <v>3</v>
      </c>
      <c r="T1565" s="3" t="s">
        <v>29</v>
      </c>
      <c r="U1565" s="3" t="s">
        <v>1</v>
      </c>
      <c r="V1565" s="3" t="s">
        <v>0</v>
      </c>
      <c r="W1565" s="2">
        <v>35</v>
      </c>
    </row>
    <row r="1566" spans="1:24" hidden="1" x14ac:dyDescent="0.25">
      <c r="A1566" s="8" t="s">
        <v>190</v>
      </c>
      <c r="B1566" s="8" t="s">
        <v>190</v>
      </c>
      <c r="C1566" s="7" t="s">
        <v>189</v>
      </c>
      <c r="D1566" s="6" t="s">
        <v>15</v>
      </c>
      <c r="E1566" s="5" t="s">
        <v>188</v>
      </c>
      <c r="F1566" s="4">
        <v>40917</v>
      </c>
      <c r="G1566" s="4" t="s">
        <v>1</v>
      </c>
      <c r="H1566" s="4" t="s">
        <v>1</v>
      </c>
      <c r="I1566" s="3" t="s">
        <v>13</v>
      </c>
      <c r="J1566" s="3" t="s">
        <v>133</v>
      </c>
      <c r="K1566" s="3" t="s">
        <v>187</v>
      </c>
      <c r="L1566" s="3" t="s">
        <v>187</v>
      </c>
      <c r="M1566" s="3" t="s">
        <v>186</v>
      </c>
      <c r="N1566" s="3" t="s">
        <v>185</v>
      </c>
      <c r="O1566" s="3" t="s">
        <v>184</v>
      </c>
      <c r="P1566" s="3" t="s">
        <v>6</v>
      </c>
      <c r="Q1566" s="3" t="s">
        <v>20</v>
      </c>
      <c r="R1566" s="3" t="s">
        <v>4</v>
      </c>
      <c r="S1566" s="3" t="s">
        <v>3</v>
      </c>
      <c r="T1566" s="3" t="s">
        <v>2</v>
      </c>
      <c r="U1566" s="3" t="s">
        <v>1</v>
      </c>
      <c r="V1566" s="3" t="s">
        <v>0</v>
      </c>
      <c r="W1566" s="2">
        <v>33</v>
      </c>
    </row>
    <row r="1567" spans="1:24" s="9" customFormat="1" hidden="1" x14ac:dyDescent="0.25">
      <c r="A1567" s="17">
        <v>9028</v>
      </c>
      <c r="B1567" s="17" t="s">
        <v>183</v>
      </c>
      <c r="C1567" s="16" t="s">
        <v>182</v>
      </c>
      <c r="D1567" s="15" t="s">
        <v>15</v>
      </c>
      <c r="E1567" s="14" t="s">
        <v>181</v>
      </c>
      <c r="F1567" s="13">
        <v>39975</v>
      </c>
      <c r="G1567" s="13" t="s">
        <v>1</v>
      </c>
      <c r="H1567" s="13" t="s">
        <v>1</v>
      </c>
      <c r="I1567" s="12" t="s">
        <v>13</v>
      </c>
      <c r="J1567" s="12" t="s">
        <v>34</v>
      </c>
      <c r="K1567" s="12" t="s">
        <v>33</v>
      </c>
      <c r="L1567" s="12" t="s">
        <v>33</v>
      </c>
      <c r="M1567" s="12" t="s">
        <v>102</v>
      </c>
      <c r="N1567" s="12" t="s">
        <v>152</v>
      </c>
      <c r="O1567" s="12" t="s">
        <v>29</v>
      </c>
      <c r="P1567" s="12" t="s">
        <v>30</v>
      </c>
      <c r="Q1567" s="12" t="s">
        <v>20</v>
      </c>
      <c r="R1567" s="12" t="s">
        <v>4</v>
      </c>
      <c r="S1567" s="12" t="s">
        <v>3</v>
      </c>
      <c r="T1567" s="12" t="s">
        <v>29</v>
      </c>
      <c r="U1567" s="12" t="s">
        <v>1</v>
      </c>
      <c r="V1567" s="12" t="s">
        <v>0</v>
      </c>
      <c r="W1567" s="11">
        <v>37</v>
      </c>
      <c r="X1567" s="10"/>
    </row>
    <row r="1568" spans="1:24" hidden="1" x14ac:dyDescent="0.25">
      <c r="A1568" s="8">
        <v>9598</v>
      </c>
      <c r="B1568" s="8" t="s">
        <v>180</v>
      </c>
      <c r="C1568" s="7" t="s">
        <v>179</v>
      </c>
      <c r="D1568" s="6" t="s">
        <v>15</v>
      </c>
      <c r="E1568" s="5" t="s">
        <v>178</v>
      </c>
      <c r="F1568" s="4">
        <v>40179</v>
      </c>
      <c r="G1568" s="4" t="s">
        <v>1</v>
      </c>
      <c r="H1568" s="4" t="s">
        <v>1</v>
      </c>
      <c r="I1568" s="3" t="s">
        <v>13</v>
      </c>
      <c r="J1568" s="3" t="s">
        <v>34</v>
      </c>
      <c r="K1568" s="3" t="s">
        <v>33</v>
      </c>
      <c r="L1568" s="3" t="s">
        <v>33</v>
      </c>
      <c r="M1568" s="3" t="s">
        <v>102</v>
      </c>
      <c r="N1568" s="3" t="s">
        <v>105</v>
      </c>
      <c r="O1568" s="3" t="s">
        <v>29</v>
      </c>
      <c r="P1568" s="3" t="s">
        <v>30</v>
      </c>
      <c r="Q1568" s="3" t="s">
        <v>20</v>
      </c>
      <c r="R1568" s="3" t="s">
        <v>4</v>
      </c>
      <c r="S1568" s="3" t="s">
        <v>3</v>
      </c>
      <c r="T1568" s="3" t="s">
        <v>29</v>
      </c>
      <c r="U1568" s="3" t="s">
        <v>1</v>
      </c>
      <c r="V1568" s="3" t="s">
        <v>18</v>
      </c>
      <c r="W1568" s="2">
        <v>36</v>
      </c>
    </row>
    <row r="1569" spans="1:24" hidden="1" x14ac:dyDescent="0.25">
      <c r="A1569" s="8" t="s">
        <v>177</v>
      </c>
      <c r="B1569" s="8" t="s">
        <v>177</v>
      </c>
      <c r="C1569" s="19" t="s">
        <v>176</v>
      </c>
      <c r="D1569" s="6" t="s">
        <v>15</v>
      </c>
      <c r="E1569" s="18" t="s">
        <v>175</v>
      </c>
      <c r="F1569" s="4">
        <v>40948</v>
      </c>
      <c r="G1569" s="4" t="s">
        <v>1</v>
      </c>
      <c r="H1569" s="4" t="s">
        <v>1</v>
      </c>
      <c r="I1569" s="3" t="s">
        <v>145</v>
      </c>
      <c r="J1569" s="3" t="s">
        <v>12</v>
      </c>
      <c r="K1569" s="3" t="s">
        <v>63</v>
      </c>
      <c r="L1569" s="3" t="s">
        <v>174</v>
      </c>
      <c r="M1569" s="3" t="s">
        <v>173</v>
      </c>
      <c r="N1569" s="3" t="s">
        <v>172</v>
      </c>
      <c r="O1569" s="3" t="s">
        <v>171</v>
      </c>
      <c r="P1569" s="3" t="s">
        <v>6</v>
      </c>
      <c r="Q1569" s="3" t="s">
        <v>20</v>
      </c>
      <c r="R1569" s="3" t="s">
        <v>4</v>
      </c>
      <c r="S1569" s="3" t="s">
        <v>3</v>
      </c>
      <c r="T1569" s="3" t="s">
        <v>2</v>
      </c>
      <c r="U1569" s="3" t="s">
        <v>1</v>
      </c>
      <c r="V1569" s="3" t="s">
        <v>0</v>
      </c>
      <c r="W1569" s="2">
        <v>31</v>
      </c>
    </row>
    <row r="1570" spans="1:24" hidden="1" x14ac:dyDescent="0.25">
      <c r="A1570" s="8">
        <v>10142</v>
      </c>
      <c r="B1570" s="8" t="s">
        <v>170</v>
      </c>
      <c r="C1570" s="7" t="s">
        <v>169</v>
      </c>
      <c r="D1570" s="6" t="s">
        <v>15</v>
      </c>
      <c r="E1570" s="5" t="s">
        <v>168</v>
      </c>
      <c r="F1570" s="4">
        <v>40452</v>
      </c>
      <c r="G1570" s="4" t="s">
        <v>1</v>
      </c>
      <c r="H1570" s="4" t="s">
        <v>1</v>
      </c>
      <c r="I1570" s="3" t="s">
        <v>13</v>
      </c>
      <c r="J1570" s="3" t="s">
        <v>34</v>
      </c>
      <c r="K1570" s="3" t="s">
        <v>33</v>
      </c>
      <c r="L1570" s="3" t="s">
        <v>33</v>
      </c>
      <c r="M1570" s="3" t="s">
        <v>102</v>
      </c>
      <c r="N1570" s="3" t="s">
        <v>105</v>
      </c>
      <c r="O1570" s="3" t="s">
        <v>29</v>
      </c>
      <c r="P1570" s="3" t="s">
        <v>30</v>
      </c>
      <c r="Q1570" s="3" t="s">
        <v>20</v>
      </c>
      <c r="R1570" s="3" t="s">
        <v>4</v>
      </c>
      <c r="S1570" s="3" t="s">
        <v>3</v>
      </c>
      <c r="T1570" s="3" t="s">
        <v>29</v>
      </c>
      <c r="U1570" s="3" t="s">
        <v>1</v>
      </c>
      <c r="V1570" s="3" t="s">
        <v>0</v>
      </c>
      <c r="W1570" s="2">
        <v>35</v>
      </c>
    </row>
    <row r="1571" spans="1:24" hidden="1" x14ac:dyDescent="0.25">
      <c r="A1571" s="8">
        <v>10485</v>
      </c>
      <c r="B1571" s="8" t="s">
        <v>167</v>
      </c>
      <c r="C1571" s="19" t="s">
        <v>166</v>
      </c>
      <c r="D1571" s="6" t="s">
        <v>15</v>
      </c>
      <c r="E1571" s="18" t="s">
        <v>165</v>
      </c>
      <c r="F1571" s="4">
        <v>40524</v>
      </c>
      <c r="G1571" s="4" t="s">
        <v>1</v>
      </c>
      <c r="H1571" s="4" t="s">
        <v>1</v>
      </c>
      <c r="I1571" s="3" t="s">
        <v>13</v>
      </c>
      <c r="J1571" s="3" t="s">
        <v>34</v>
      </c>
      <c r="K1571" s="3" t="s">
        <v>33</v>
      </c>
      <c r="L1571" s="3" t="s">
        <v>33</v>
      </c>
      <c r="M1571" s="3" t="s">
        <v>102</v>
      </c>
      <c r="N1571" s="3" t="s">
        <v>101</v>
      </c>
      <c r="O1571" s="3" t="s">
        <v>100</v>
      </c>
      <c r="P1571" s="3" t="s">
        <v>30</v>
      </c>
      <c r="Q1571" s="3" t="s">
        <v>20</v>
      </c>
      <c r="R1571" s="3" t="s">
        <v>4</v>
      </c>
      <c r="S1571" s="3" t="s">
        <v>3</v>
      </c>
      <c r="T1571" s="3" t="s">
        <v>2</v>
      </c>
      <c r="U1571" s="3" t="s">
        <v>1</v>
      </c>
      <c r="V1571" s="3" t="s">
        <v>0</v>
      </c>
      <c r="W1571" s="2">
        <v>32</v>
      </c>
    </row>
    <row r="1572" spans="1:24" hidden="1" x14ac:dyDescent="0.25">
      <c r="A1572" s="8" t="s">
        <v>164</v>
      </c>
      <c r="B1572" s="8" t="s">
        <v>164</v>
      </c>
      <c r="C1572" s="7" t="s">
        <v>163</v>
      </c>
      <c r="D1572" s="6" t="s">
        <v>15</v>
      </c>
      <c r="E1572" s="5" t="s">
        <v>162</v>
      </c>
      <c r="F1572" s="4">
        <v>41015</v>
      </c>
      <c r="G1572" s="4" t="s">
        <v>1</v>
      </c>
      <c r="H1572" s="4" t="s">
        <v>1</v>
      </c>
      <c r="I1572" s="3" t="s">
        <v>145</v>
      </c>
      <c r="J1572" s="3" t="s">
        <v>34</v>
      </c>
      <c r="K1572" s="3" t="s">
        <v>33</v>
      </c>
      <c r="L1572" s="3" t="s">
        <v>33</v>
      </c>
      <c r="M1572" s="3" t="s">
        <v>161</v>
      </c>
      <c r="N1572" s="3" t="s">
        <v>160</v>
      </c>
      <c r="O1572" s="3" t="s">
        <v>100</v>
      </c>
      <c r="P1572" s="3" t="s">
        <v>30</v>
      </c>
      <c r="Q1572" s="3" t="s">
        <v>20</v>
      </c>
      <c r="R1572" s="3" t="s">
        <v>4</v>
      </c>
      <c r="S1572" s="3" t="s">
        <v>3</v>
      </c>
      <c r="T1572" s="3" t="s">
        <v>2</v>
      </c>
      <c r="U1572" s="3" t="s">
        <v>1</v>
      </c>
      <c r="V1572" s="3" t="s">
        <v>0</v>
      </c>
      <c r="W1572" s="2">
        <v>31</v>
      </c>
    </row>
    <row r="1573" spans="1:24" hidden="1" x14ac:dyDescent="0.25">
      <c r="A1573" s="8">
        <v>10528</v>
      </c>
      <c r="B1573" s="8" t="s">
        <v>159</v>
      </c>
      <c r="C1573" s="19" t="s">
        <v>158</v>
      </c>
      <c r="D1573" s="6" t="s">
        <v>15</v>
      </c>
      <c r="E1573" s="18" t="s">
        <v>157</v>
      </c>
      <c r="F1573" s="4">
        <v>40535</v>
      </c>
      <c r="G1573" s="4" t="s">
        <v>1</v>
      </c>
      <c r="H1573" s="4" t="s">
        <v>1</v>
      </c>
      <c r="I1573" s="3" t="s">
        <v>13</v>
      </c>
      <c r="J1573" s="3" t="s">
        <v>34</v>
      </c>
      <c r="K1573" s="3" t="s">
        <v>33</v>
      </c>
      <c r="L1573" s="3" t="s">
        <v>33</v>
      </c>
      <c r="M1573" s="3" t="s">
        <v>102</v>
      </c>
      <c r="N1573" s="3" t="s">
        <v>101</v>
      </c>
      <c r="O1573" s="3" t="s">
        <v>100</v>
      </c>
      <c r="P1573" s="3" t="s">
        <v>30</v>
      </c>
      <c r="Q1573" s="3" t="s">
        <v>20</v>
      </c>
      <c r="R1573" s="3" t="s">
        <v>4</v>
      </c>
      <c r="S1573" s="3" t="s">
        <v>3</v>
      </c>
      <c r="T1573" s="3" t="s">
        <v>2</v>
      </c>
      <c r="U1573" s="3" t="s">
        <v>1</v>
      </c>
      <c r="V1573" s="3" t="s">
        <v>0</v>
      </c>
      <c r="W1573" s="2">
        <v>33</v>
      </c>
    </row>
    <row r="1574" spans="1:24" hidden="1" x14ac:dyDescent="0.25">
      <c r="A1574" s="8">
        <v>12477</v>
      </c>
      <c r="B1574" s="8" t="s">
        <v>156</v>
      </c>
      <c r="C1574" s="7" t="s">
        <v>155</v>
      </c>
      <c r="D1574" s="6" t="s">
        <v>15</v>
      </c>
      <c r="E1574" s="5" t="s">
        <v>154</v>
      </c>
      <c r="F1574" s="4">
        <v>40812</v>
      </c>
      <c r="G1574" s="4" t="s">
        <v>1</v>
      </c>
      <c r="H1574" s="4" t="s">
        <v>1</v>
      </c>
      <c r="I1574" s="3" t="s">
        <v>13</v>
      </c>
      <c r="J1574" s="3" t="s">
        <v>34</v>
      </c>
      <c r="K1574" s="3" t="s">
        <v>153</v>
      </c>
      <c r="L1574" s="3" t="s">
        <v>33</v>
      </c>
      <c r="M1574" s="3" t="s">
        <v>102</v>
      </c>
      <c r="N1574" s="3" t="s">
        <v>152</v>
      </c>
      <c r="O1574" s="3" t="s">
        <v>29</v>
      </c>
      <c r="P1574" s="3" t="s">
        <v>30</v>
      </c>
      <c r="Q1574" s="3" t="s">
        <v>20</v>
      </c>
      <c r="R1574" s="3" t="s">
        <v>4</v>
      </c>
      <c r="S1574" s="3" t="s">
        <v>3</v>
      </c>
      <c r="T1574" s="3" t="s">
        <v>29</v>
      </c>
      <c r="U1574" s="3" t="s">
        <v>1</v>
      </c>
      <c r="V1574" s="3" t="s">
        <v>18</v>
      </c>
      <c r="W1574" s="2">
        <v>35</v>
      </c>
    </row>
    <row r="1575" spans="1:24" s="9" customFormat="1" hidden="1" x14ac:dyDescent="0.25">
      <c r="A1575" s="17">
        <v>12727</v>
      </c>
      <c r="B1575" s="17" t="s">
        <v>151</v>
      </c>
      <c r="C1575" s="16" t="s">
        <v>150</v>
      </c>
      <c r="D1575" s="15" t="s">
        <v>15</v>
      </c>
      <c r="E1575" s="14" t="s">
        <v>149</v>
      </c>
      <c r="F1575" s="13">
        <v>40819</v>
      </c>
      <c r="G1575" s="13" t="s">
        <v>1</v>
      </c>
      <c r="H1575" s="13" t="s">
        <v>1</v>
      </c>
      <c r="I1575" s="12" t="s">
        <v>13</v>
      </c>
      <c r="J1575" s="12" t="s">
        <v>34</v>
      </c>
      <c r="K1575" s="12" t="s">
        <v>33</v>
      </c>
      <c r="L1575" s="12" t="s">
        <v>33</v>
      </c>
      <c r="M1575" s="12" t="s">
        <v>102</v>
      </c>
      <c r="N1575" s="12" t="s">
        <v>105</v>
      </c>
      <c r="O1575" s="12" t="s">
        <v>29</v>
      </c>
      <c r="P1575" s="12" t="s">
        <v>30</v>
      </c>
      <c r="Q1575" s="12" t="s">
        <v>20</v>
      </c>
      <c r="R1575" s="12" t="s">
        <v>4</v>
      </c>
      <c r="S1575" s="12" t="s">
        <v>3</v>
      </c>
      <c r="T1575" s="12" t="s">
        <v>29</v>
      </c>
      <c r="U1575" s="12" t="s">
        <v>1</v>
      </c>
      <c r="V1575" s="12" t="s">
        <v>18</v>
      </c>
      <c r="W1575" s="11">
        <v>33</v>
      </c>
      <c r="X1575" s="10"/>
    </row>
    <row r="1576" spans="1:24" s="9" customFormat="1" hidden="1" x14ac:dyDescent="0.25">
      <c r="A1576" s="17" t="s">
        <v>148</v>
      </c>
      <c r="B1576" s="17" t="s">
        <v>148</v>
      </c>
      <c r="C1576" s="24" t="s">
        <v>147</v>
      </c>
      <c r="D1576" s="15" t="s">
        <v>15</v>
      </c>
      <c r="E1576" s="22" t="s">
        <v>146</v>
      </c>
      <c r="F1576" s="13">
        <v>41078</v>
      </c>
      <c r="G1576" s="13" t="s">
        <v>1</v>
      </c>
      <c r="H1576" s="13" t="s">
        <v>1</v>
      </c>
      <c r="I1576" s="12" t="s">
        <v>145</v>
      </c>
      <c r="J1576" s="12" t="s">
        <v>34</v>
      </c>
      <c r="K1576" s="12" t="s">
        <v>33</v>
      </c>
      <c r="L1576" s="12" t="s">
        <v>33</v>
      </c>
      <c r="M1576" s="12" t="s">
        <v>144</v>
      </c>
      <c r="N1576" s="12" t="s">
        <v>143</v>
      </c>
      <c r="O1576" s="12" t="s">
        <v>142</v>
      </c>
      <c r="P1576" s="12" t="s">
        <v>72</v>
      </c>
      <c r="Q1576" s="12" t="s">
        <v>47</v>
      </c>
      <c r="R1576" s="12" t="s">
        <v>4</v>
      </c>
      <c r="S1576" s="12" t="s">
        <v>3</v>
      </c>
      <c r="T1576" s="12" t="s">
        <v>2</v>
      </c>
      <c r="U1576" s="12" t="s">
        <v>1</v>
      </c>
      <c r="V1576" s="12" t="s">
        <v>0</v>
      </c>
      <c r="W1576" s="11">
        <v>31</v>
      </c>
      <c r="X1576" s="10"/>
    </row>
    <row r="1577" spans="1:24" hidden="1" x14ac:dyDescent="0.25">
      <c r="A1577" s="8" t="s">
        <v>141</v>
      </c>
      <c r="B1577" s="8" t="s">
        <v>141</v>
      </c>
      <c r="C1577" s="19" t="s">
        <v>140</v>
      </c>
      <c r="D1577" s="6" t="s">
        <v>15</v>
      </c>
      <c r="E1577" s="18" t="s">
        <v>139</v>
      </c>
      <c r="F1577" s="4">
        <v>41087</v>
      </c>
      <c r="G1577" s="4" t="s">
        <v>1</v>
      </c>
      <c r="H1577" s="4" t="s">
        <v>1</v>
      </c>
      <c r="I1577" s="3" t="s">
        <v>13</v>
      </c>
      <c r="J1577" s="3" t="s">
        <v>12</v>
      </c>
      <c r="K1577" s="3" t="s">
        <v>63</v>
      </c>
      <c r="L1577" s="3" t="s">
        <v>138</v>
      </c>
      <c r="M1577" s="3" t="s">
        <v>137</v>
      </c>
      <c r="N1577" s="3" t="s">
        <v>136</v>
      </c>
      <c r="O1577" s="3" t="s">
        <v>100</v>
      </c>
      <c r="P1577" s="3" t="s">
        <v>6</v>
      </c>
      <c r="Q1577" s="3" t="s">
        <v>20</v>
      </c>
      <c r="R1577" s="3" t="s">
        <v>4</v>
      </c>
      <c r="S1577" s="3" t="s">
        <v>3</v>
      </c>
      <c r="T1577" s="3" t="s">
        <v>2</v>
      </c>
      <c r="U1577" s="3" t="s">
        <v>1</v>
      </c>
      <c r="V1577" s="3" t="s">
        <v>0</v>
      </c>
      <c r="W1577" s="2">
        <v>31</v>
      </c>
    </row>
    <row r="1578" spans="1:24" hidden="1" x14ac:dyDescent="0.25">
      <c r="A1578" s="8" t="s">
        <v>135</v>
      </c>
      <c r="B1578" s="8" t="s">
        <v>135</v>
      </c>
      <c r="C1578" s="7" t="s">
        <v>134</v>
      </c>
      <c r="D1578" s="6" t="s">
        <v>15</v>
      </c>
      <c r="E1578" s="5" t="s">
        <v>125</v>
      </c>
      <c r="F1578" s="4">
        <v>41099</v>
      </c>
      <c r="G1578" s="4" t="s">
        <v>1</v>
      </c>
      <c r="H1578" s="4" t="s">
        <v>1</v>
      </c>
      <c r="I1578" s="3" t="s">
        <v>13</v>
      </c>
      <c r="J1578" s="3" t="s">
        <v>133</v>
      </c>
      <c r="K1578" s="3" t="s">
        <v>132</v>
      </c>
      <c r="L1578" s="3" t="s">
        <v>131</v>
      </c>
      <c r="M1578" s="3" t="s">
        <v>130</v>
      </c>
      <c r="N1578" s="3" t="s">
        <v>129</v>
      </c>
      <c r="O1578" s="3" t="s">
        <v>128</v>
      </c>
      <c r="P1578" s="3" t="s">
        <v>6</v>
      </c>
      <c r="Q1578" s="3" t="s">
        <v>5</v>
      </c>
      <c r="R1578" s="3" t="s">
        <v>4</v>
      </c>
      <c r="S1578" s="3" t="s">
        <v>3</v>
      </c>
      <c r="T1578" s="3" t="s">
        <v>2</v>
      </c>
      <c r="U1578" s="3" t="s">
        <v>1</v>
      </c>
      <c r="V1578" s="3" t="s">
        <v>0</v>
      </c>
      <c r="W1578" s="2">
        <v>30</v>
      </c>
    </row>
    <row r="1579" spans="1:24" hidden="1" x14ac:dyDescent="0.25">
      <c r="A1579" s="8" t="s">
        <v>127</v>
      </c>
      <c r="B1579" s="8" t="s">
        <v>127</v>
      </c>
      <c r="C1579" s="7" t="s">
        <v>126</v>
      </c>
      <c r="D1579" s="6" t="s">
        <v>15</v>
      </c>
      <c r="E1579" s="5" t="s">
        <v>125</v>
      </c>
      <c r="F1579" s="4">
        <v>41099</v>
      </c>
      <c r="G1579" s="4" t="s">
        <v>1</v>
      </c>
      <c r="H1579" s="4" t="s">
        <v>1</v>
      </c>
      <c r="I1579" s="18" t="s">
        <v>100</v>
      </c>
      <c r="J1579" s="18" t="s">
        <v>124</v>
      </c>
      <c r="K1579" s="18" t="s">
        <v>33</v>
      </c>
      <c r="L1579" s="18" t="s">
        <v>33</v>
      </c>
      <c r="M1579" s="18" t="s">
        <v>124</v>
      </c>
      <c r="N1579" s="18" t="s">
        <v>123</v>
      </c>
      <c r="O1579" s="18" t="s">
        <v>122</v>
      </c>
      <c r="P1579" s="5" t="s">
        <v>1</v>
      </c>
      <c r="Q1579" s="5" t="s">
        <v>121</v>
      </c>
      <c r="R1579" s="3" t="s">
        <v>4</v>
      </c>
      <c r="S1579" s="3" t="s">
        <v>3</v>
      </c>
      <c r="T1579" s="3" t="s">
        <v>2</v>
      </c>
      <c r="U1579" s="3" t="s">
        <v>1</v>
      </c>
      <c r="V1579" s="3" t="s">
        <v>0</v>
      </c>
      <c r="W1579" s="2">
        <v>30</v>
      </c>
    </row>
    <row r="1580" spans="1:24" hidden="1" x14ac:dyDescent="0.25">
      <c r="A1580" s="8">
        <v>12936</v>
      </c>
      <c r="B1580" s="8" t="s">
        <v>120</v>
      </c>
      <c r="C1580" s="7" t="s">
        <v>119</v>
      </c>
      <c r="D1580" s="6" t="s">
        <v>15</v>
      </c>
      <c r="E1580" s="5" t="s">
        <v>118</v>
      </c>
      <c r="F1580" s="4">
        <v>40833</v>
      </c>
      <c r="G1580" s="4" t="s">
        <v>1</v>
      </c>
      <c r="H1580" s="4" t="s">
        <v>1</v>
      </c>
      <c r="I1580" s="3" t="s">
        <v>13</v>
      </c>
      <c r="J1580" s="3" t="s">
        <v>34</v>
      </c>
      <c r="K1580" s="3" t="s">
        <v>33</v>
      </c>
      <c r="L1580" s="3" t="s">
        <v>33</v>
      </c>
      <c r="M1580" s="3" t="s">
        <v>102</v>
      </c>
      <c r="N1580" s="3" t="s">
        <v>101</v>
      </c>
      <c r="O1580" s="3" t="s">
        <v>100</v>
      </c>
      <c r="P1580" s="3" t="s">
        <v>30</v>
      </c>
      <c r="Q1580" s="3" t="s">
        <v>20</v>
      </c>
      <c r="R1580" s="3" t="s">
        <v>4</v>
      </c>
      <c r="S1580" s="3" t="s">
        <v>3</v>
      </c>
      <c r="T1580" s="3" t="s">
        <v>2</v>
      </c>
      <c r="U1580" s="3" t="s">
        <v>1</v>
      </c>
      <c r="V1580" s="3" t="s">
        <v>0</v>
      </c>
      <c r="W1580" s="2">
        <v>31</v>
      </c>
    </row>
    <row r="1581" spans="1:24" hidden="1" x14ac:dyDescent="0.25">
      <c r="A1581" s="8">
        <v>13283</v>
      </c>
      <c r="B1581" s="8" t="s">
        <v>117</v>
      </c>
      <c r="C1581" s="19" t="s">
        <v>116</v>
      </c>
      <c r="D1581" s="6" t="s">
        <v>15</v>
      </c>
      <c r="E1581" s="18" t="s">
        <v>115</v>
      </c>
      <c r="F1581" s="4">
        <v>40917</v>
      </c>
      <c r="G1581" s="4" t="s">
        <v>1</v>
      </c>
      <c r="H1581" s="4" t="s">
        <v>1</v>
      </c>
      <c r="I1581" s="3" t="s">
        <v>13</v>
      </c>
      <c r="J1581" s="3" t="s">
        <v>34</v>
      </c>
      <c r="K1581" s="3" t="s">
        <v>33</v>
      </c>
      <c r="L1581" s="3" t="s">
        <v>33</v>
      </c>
      <c r="M1581" s="3" t="s">
        <v>102</v>
      </c>
      <c r="N1581" s="3" t="s">
        <v>101</v>
      </c>
      <c r="O1581" s="3" t="s">
        <v>100</v>
      </c>
      <c r="P1581" s="3" t="s">
        <v>30</v>
      </c>
      <c r="Q1581" s="3" t="s">
        <v>20</v>
      </c>
      <c r="R1581" s="3" t="s">
        <v>4</v>
      </c>
      <c r="S1581" s="3" t="s">
        <v>3</v>
      </c>
      <c r="T1581" s="3" t="s">
        <v>88</v>
      </c>
      <c r="U1581" s="3" t="s">
        <v>1</v>
      </c>
      <c r="V1581" s="3" t="s">
        <v>18</v>
      </c>
      <c r="W1581" s="2">
        <v>37</v>
      </c>
    </row>
    <row r="1582" spans="1:24" hidden="1" x14ac:dyDescent="0.25">
      <c r="A1582" s="8">
        <v>20613</v>
      </c>
      <c r="B1582" s="8" t="s">
        <v>114</v>
      </c>
      <c r="C1582" s="7" t="s">
        <v>113</v>
      </c>
      <c r="D1582" s="6" t="s">
        <v>15</v>
      </c>
      <c r="E1582" s="5" t="s">
        <v>112</v>
      </c>
      <c r="F1582" s="4">
        <v>42639</v>
      </c>
      <c r="G1582" s="4" t="s">
        <v>1</v>
      </c>
      <c r="H1582" s="4" t="s">
        <v>1</v>
      </c>
      <c r="I1582" s="3" t="s">
        <v>13</v>
      </c>
      <c r="J1582" s="3" t="s">
        <v>34</v>
      </c>
      <c r="K1582" s="3" t="s">
        <v>33</v>
      </c>
      <c r="L1582" s="3" t="s">
        <v>33</v>
      </c>
      <c r="M1582" s="3" t="s">
        <v>102</v>
      </c>
      <c r="N1582" s="3" t="s">
        <v>101</v>
      </c>
      <c r="O1582" s="3" t="s">
        <v>100</v>
      </c>
      <c r="P1582" s="3" t="s">
        <v>30</v>
      </c>
      <c r="Q1582" s="3" t="s">
        <v>20</v>
      </c>
      <c r="R1582" s="3" t="s">
        <v>4</v>
      </c>
      <c r="S1582" s="3" t="s">
        <v>3</v>
      </c>
      <c r="T1582" s="3" t="s">
        <v>2</v>
      </c>
      <c r="U1582" s="3" t="s">
        <v>1</v>
      </c>
      <c r="V1582" s="3" t="s">
        <v>0</v>
      </c>
      <c r="W1582" s="2">
        <v>26</v>
      </c>
    </row>
    <row r="1583" spans="1:24" hidden="1" x14ac:dyDescent="0.25">
      <c r="A1583" s="8" t="s">
        <v>111</v>
      </c>
      <c r="B1583" s="8" t="s">
        <v>111</v>
      </c>
      <c r="C1583" s="19" t="s">
        <v>110</v>
      </c>
      <c r="D1583" s="6" t="s">
        <v>15</v>
      </c>
      <c r="E1583" s="18" t="s">
        <v>109</v>
      </c>
      <c r="F1583" s="4">
        <v>40826</v>
      </c>
      <c r="G1583" s="4" t="s">
        <v>1</v>
      </c>
      <c r="H1583" s="4" t="s">
        <v>1</v>
      </c>
      <c r="I1583" s="3" t="s">
        <v>13</v>
      </c>
      <c r="J1583" s="3" t="s">
        <v>34</v>
      </c>
      <c r="K1583" s="3" t="s">
        <v>33</v>
      </c>
      <c r="L1583" s="3" t="s">
        <v>33</v>
      </c>
      <c r="M1583" s="3" t="s">
        <v>102</v>
      </c>
      <c r="N1583" s="3" t="s">
        <v>101</v>
      </c>
      <c r="O1583" s="3" t="s">
        <v>100</v>
      </c>
      <c r="P1583" s="3" t="s">
        <v>30</v>
      </c>
      <c r="Q1583" s="3" t="s">
        <v>20</v>
      </c>
      <c r="R1583" s="3" t="s">
        <v>4</v>
      </c>
      <c r="S1583" s="3" t="s">
        <v>3</v>
      </c>
      <c r="T1583" s="3" t="s">
        <v>2</v>
      </c>
      <c r="U1583" s="3" t="s">
        <v>1</v>
      </c>
      <c r="V1583" s="3" t="s">
        <v>0</v>
      </c>
      <c r="W1583" s="2">
        <v>31</v>
      </c>
    </row>
    <row r="1584" spans="1:24" hidden="1" x14ac:dyDescent="0.25">
      <c r="A1584" s="8" t="s">
        <v>108</v>
      </c>
      <c r="B1584" s="8" t="s">
        <v>108</v>
      </c>
      <c r="C1584" s="7" t="s">
        <v>107</v>
      </c>
      <c r="D1584" s="6" t="s">
        <v>15</v>
      </c>
      <c r="E1584" s="5" t="s">
        <v>106</v>
      </c>
      <c r="F1584" s="4">
        <v>40945</v>
      </c>
      <c r="G1584" s="4" t="s">
        <v>1</v>
      </c>
      <c r="H1584" s="4" t="s">
        <v>1</v>
      </c>
      <c r="I1584" s="3" t="s">
        <v>13</v>
      </c>
      <c r="J1584" s="3" t="s">
        <v>34</v>
      </c>
      <c r="K1584" s="3" t="s">
        <v>33</v>
      </c>
      <c r="L1584" s="3" t="s">
        <v>33</v>
      </c>
      <c r="M1584" s="3" t="s">
        <v>102</v>
      </c>
      <c r="N1584" s="3" t="s">
        <v>105</v>
      </c>
      <c r="O1584" s="3" t="s">
        <v>29</v>
      </c>
      <c r="P1584" s="3" t="s">
        <v>30</v>
      </c>
      <c r="Q1584" s="3" t="s">
        <v>20</v>
      </c>
      <c r="R1584" s="3" t="s">
        <v>4</v>
      </c>
      <c r="S1584" s="3" t="s">
        <v>3</v>
      </c>
      <c r="T1584" s="3" t="s">
        <v>29</v>
      </c>
      <c r="U1584" s="3" t="s">
        <v>1</v>
      </c>
      <c r="V1584" s="3" t="s">
        <v>18</v>
      </c>
      <c r="W1584" s="2">
        <v>34</v>
      </c>
    </row>
    <row r="1585" spans="1:24" hidden="1" x14ac:dyDescent="0.25">
      <c r="A1585" s="8" t="s">
        <v>104</v>
      </c>
      <c r="B1585" s="8" t="s">
        <v>104</v>
      </c>
      <c r="C1585" s="7" t="s">
        <v>103</v>
      </c>
      <c r="D1585" s="6" t="s">
        <v>15</v>
      </c>
      <c r="E1585" s="5" t="s">
        <v>94</v>
      </c>
      <c r="F1585" s="4">
        <v>41306</v>
      </c>
      <c r="G1585" s="4" t="s">
        <v>1</v>
      </c>
      <c r="H1585" s="4" t="s">
        <v>1</v>
      </c>
      <c r="I1585" s="3" t="s">
        <v>13</v>
      </c>
      <c r="J1585" s="3" t="s">
        <v>34</v>
      </c>
      <c r="K1585" s="3" t="s">
        <v>33</v>
      </c>
      <c r="L1585" s="3" t="s">
        <v>33</v>
      </c>
      <c r="M1585" s="3" t="s">
        <v>102</v>
      </c>
      <c r="N1585" s="3" t="s">
        <v>101</v>
      </c>
      <c r="O1585" s="3" t="s">
        <v>100</v>
      </c>
      <c r="P1585" s="3" t="s">
        <v>30</v>
      </c>
      <c r="Q1585" s="3" t="s">
        <v>20</v>
      </c>
      <c r="R1585" s="3" t="s">
        <v>4</v>
      </c>
      <c r="S1585" s="3" t="s">
        <v>3</v>
      </c>
      <c r="T1585" s="3" t="s">
        <v>88</v>
      </c>
      <c r="U1585" s="3" t="s">
        <v>1</v>
      </c>
      <c r="V1585" s="3" t="s">
        <v>18</v>
      </c>
      <c r="W1585" s="2">
        <v>40</v>
      </c>
    </row>
    <row r="1586" spans="1:24" hidden="1" x14ac:dyDescent="0.25">
      <c r="A1586" s="8">
        <v>607</v>
      </c>
      <c r="B1586" s="8" t="s">
        <v>99</v>
      </c>
      <c r="C1586" s="7" t="s">
        <v>98</v>
      </c>
      <c r="D1586" s="6" t="s">
        <v>15</v>
      </c>
      <c r="E1586" s="5" t="s">
        <v>97</v>
      </c>
      <c r="F1586" s="4">
        <v>37781</v>
      </c>
      <c r="G1586" s="4" t="s">
        <v>1</v>
      </c>
      <c r="H1586" s="4" t="s">
        <v>1</v>
      </c>
      <c r="I1586" s="3" t="s">
        <v>13</v>
      </c>
      <c r="J1586" s="3" t="s">
        <v>34</v>
      </c>
      <c r="K1586" s="3" t="s">
        <v>33</v>
      </c>
      <c r="L1586" s="3" t="s">
        <v>33</v>
      </c>
      <c r="M1586" s="3" t="s">
        <v>32</v>
      </c>
      <c r="N1586" s="3" t="s">
        <v>31</v>
      </c>
      <c r="O1586" s="3" t="s">
        <v>29</v>
      </c>
      <c r="P1586" s="3" t="s">
        <v>30</v>
      </c>
      <c r="Q1586" s="3" t="s">
        <v>20</v>
      </c>
      <c r="R1586" s="3" t="s">
        <v>4</v>
      </c>
      <c r="S1586" s="3" t="s">
        <v>3</v>
      </c>
      <c r="T1586" s="3" t="s">
        <v>29</v>
      </c>
      <c r="U1586" s="3" t="s">
        <v>1</v>
      </c>
      <c r="V1586" s="3" t="s">
        <v>0</v>
      </c>
      <c r="W1586" s="2">
        <v>42</v>
      </c>
    </row>
    <row r="1587" spans="1:24" s="9" customFormat="1" hidden="1" x14ac:dyDescent="0.25">
      <c r="A1587" s="17" t="s">
        <v>96</v>
      </c>
      <c r="B1587" s="17" t="s">
        <v>96</v>
      </c>
      <c r="C1587" s="23" t="s">
        <v>95</v>
      </c>
      <c r="D1587" s="15" t="s">
        <v>15</v>
      </c>
      <c r="E1587" s="14" t="s">
        <v>94</v>
      </c>
      <c r="F1587" s="13">
        <v>41306</v>
      </c>
      <c r="G1587" s="13" t="s">
        <v>1</v>
      </c>
      <c r="H1587" s="13" t="s">
        <v>1</v>
      </c>
      <c r="I1587" s="22" t="s">
        <v>93</v>
      </c>
      <c r="J1587" s="12" t="s">
        <v>92</v>
      </c>
      <c r="K1587" s="12" t="s">
        <v>33</v>
      </c>
      <c r="L1587" s="12" t="s">
        <v>33</v>
      </c>
      <c r="M1587" s="12" t="s">
        <v>91</v>
      </c>
      <c r="N1587" s="12" t="s">
        <v>90</v>
      </c>
      <c r="O1587" s="12" t="s">
        <v>89</v>
      </c>
      <c r="P1587" s="12" t="s">
        <v>72</v>
      </c>
      <c r="Q1587" s="12" t="s">
        <v>20</v>
      </c>
      <c r="R1587" s="12" t="s">
        <v>4</v>
      </c>
      <c r="S1587" s="12" t="s">
        <v>3</v>
      </c>
      <c r="T1587" s="12" t="s">
        <v>88</v>
      </c>
      <c r="U1587" s="12" t="s">
        <v>1</v>
      </c>
      <c r="V1587" s="12" t="s">
        <v>18</v>
      </c>
      <c r="W1587" s="11">
        <v>35</v>
      </c>
      <c r="X1587" s="10"/>
    </row>
    <row r="1588" spans="1:24" hidden="1" x14ac:dyDescent="0.25">
      <c r="A1588" s="8">
        <v>938</v>
      </c>
      <c r="B1588" s="8" t="s">
        <v>87</v>
      </c>
      <c r="C1588" s="7" t="s">
        <v>86</v>
      </c>
      <c r="D1588" s="6" t="s">
        <v>15</v>
      </c>
      <c r="E1588" s="5" t="s">
        <v>85</v>
      </c>
      <c r="F1588" s="4">
        <v>37865</v>
      </c>
      <c r="G1588" s="4" t="s">
        <v>1</v>
      </c>
      <c r="H1588" s="4" t="s">
        <v>1</v>
      </c>
      <c r="I1588" s="3" t="s">
        <v>13</v>
      </c>
      <c r="J1588" s="3" t="s">
        <v>34</v>
      </c>
      <c r="K1588" s="3" t="s">
        <v>33</v>
      </c>
      <c r="L1588" s="3" t="s">
        <v>33</v>
      </c>
      <c r="M1588" s="3" t="s">
        <v>32</v>
      </c>
      <c r="N1588" s="3" t="s">
        <v>40</v>
      </c>
      <c r="O1588" s="3" t="s">
        <v>39</v>
      </c>
      <c r="P1588" s="3" t="s">
        <v>30</v>
      </c>
      <c r="Q1588" s="3" t="s">
        <v>20</v>
      </c>
      <c r="R1588" s="3" t="s">
        <v>4</v>
      </c>
      <c r="S1588" s="3" t="s">
        <v>3</v>
      </c>
      <c r="T1588" s="3" t="s">
        <v>38</v>
      </c>
      <c r="U1588" s="3" t="s">
        <v>1</v>
      </c>
      <c r="V1588" s="3" t="s">
        <v>0</v>
      </c>
      <c r="W1588" s="2">
        <v>41</v>
      </c>
    </row>
    <row r="1589" spans="1:24" hidden="1" x14ac:dyDescent="0.25">
      <c r="A1589" s="8" t="s">
        <v>84</v>
      </c>
      <c r="B1589" s="8" t="s">
        <v>84</v>
      </c>
      <c r="C1589" s="7" t="s">
        <v>83</v>
      </c>
      <c r="D1589" s="6" t="s">
        <v>15</v>
      </c>
      <c r="E1589" s="5" t="s">
        <v>82</v>
      </c>
      <c r="F1589" s="4">
        <v>41435</v>
      </c>
      <c r="G1589" s="4" t="s">
        <v>1</v>
      </c>
      <c r="H1589" s="4" t="s">
        <v>1</v>
      </c>
      <c r="I1589" s="3" t="s">
        <v>13</v>
      </c>
      <c r="J1589" s="3" t="s">
        <v>12</v>
      </c>
      <c r="K1589" s="3" t="s">
        <v>63</v>
      </c>
      <c r="L1589" s="3" t="s">
        <v>81</v>
      </c>
      <c r="M1589" s="3" t="s">
        <v>80</v>
      </c>
      <c r="N1589" s="3" t="s">
        <v>79</v>
      </c>
      <c r="O1589" s="3" t="s">
        <v>59</v>
      </c>
      <c r="P1589" s="3" t="s">
        <v>6</v>
      </c>
      <c r="Q1589" s="3" t="s">
        <v>5</v>
      </c>
      <c r="R1589" s="3" t="s">
        <v>4</v>
      </c>
      <c r="S1589" s="3" t="s">
        <v>3</v>
      </c>
      <c r="T1589" s="3" t="s">
        <v>2</v>
      </c>
      <c r="U1589" s="3" t="s">
        <v>1</v>
      </c>
      <c r="V1589" s="3" t="s">
        <v>0</v>
      </c>
      <c r="W1589" s="2">
        <v>29</v>
      </c>
    </row>
    <row r="1590" spans="1:24" hidden="1" x14ac:dyDescent="0.25">
      <c r="A1590" s="8" t="s">
        <v>78</v>
      </c>
      <c r="B1590" s="8" t="s">
        <v>78</v>
      </c>
      <c r="C1590" s="7" t="s">
        <v>77</v>
      </c>
      <c r="D1590" s="6" t="s">
        <v>15</v>
      </c>
      <c r="E1590" s="5" t="s">
        <v>76</v>
      </c>
      <c r="F1590" s="4">
        <v>41445</v>
      </c>
      <c r="G1590" s="4" t="s">
        <v>1</v>
      </c>
      <c r="H1590" s="4" t="s">
        <v>1</v>
      </c>
      <c r="I1590" s="5" t="s">
        <v>50</v>
      </c>
      <c r="J1590" s="5" t="s">
        <v>75</v>
      </c>
      <c r="K1590" s="5" t="s">
        <v>33</v>
      </c>
      <c r="L1590" s="5" t="s">
        <v>33</v>
      </c>
      <c r="M1590" s="18" t="s">
        <v>75</v>
      </c>
      <c r="N1590" s="21" t="s">
        <v>74</v>
      </c>
      <c r="O1590" s="5" t="s">
        <v>73</v>
      </c>
      <c r="P1590" s="5" t="s">
        <v>72</v>
      </c>
      <c r="Q1590" s="5" t="s">
        <v>47</v>
      </c>
      <c r="R1590" s="3" t="s">
        <v>4</v>
      </c>
      <c r="S1590" s="3" t="s">
        <v>3</v>
      </c>
      <c r="T1590" s="3" t="s">
        <v>2</v>
      </c>
      <c r="U1590" s="3" t="s">
        <v>1</v>
      </c>
      <c r="V1590" s="3" t="s">
        <v>18</v>
      </c>
      <c r="W1590" s="2">
        <v>39</v>
      </c>
      <c r="X1590" s="20"/>
    </row>
    <row r="1591" spans="1:24" hidden="1" x14ac:dyDescent="0.25">
      <c r="A1591" s="8" t="s">
        <v>71</v>
      </c>
      <c r="B1591" s="8" t="s">
        <v>71</v>
      </c>
      <c r="C1591" s="7" t="s">
        <v>70</v>
      </c>
      <c r="D1591" s="6" t="s">
        <v>15</v>
      </c>
      <c r="E1591" s="5" t="s">
        <v>69</v>
      </c>
      <c r="F1591" s="4">
        <v>41452</v>
      </c>
      <c r="G1591" s="4" t="s">
        <v>1</v>
      </c>
      <c r="H1591" s="4" t="s">
        <v>1</v>
      </c>
      <c r="I1591" s="3" t="s">
        <v>13</v>
      </c>
      <c r="J1591" s="3" t="s">
        <v>12</v>
      </c>
      <c r="K1591" s="3" t="s">
        <v>25</v>
      </c>
      <c r="L1591" s="3" t="s">
        <v>24</v>
      </c>
      <c r="M1591" s="3" t="s">
        <v>23</v>
      </c>
      <c r="N1591" s="3" t="s">
        <v>68</v>
      </c>
      <c r="O1591" s="3" t="s">
        <v>67</v>
      </c>
      <c r="P1591" s="3" t="s">
        <v>6</v>
      </c>
      <c r="Q1591" s="3" t="s">
        <v>5</v>
      </c>
      <c r="R1591" s="3" t="s">
        <v>4</v>
      </c>
      <c r="S1591" s="3" t="s">
        <v>3</v>
      </c>
      <c r="T1591" s="3" t="s">
        <v>2</v>
      </c>
      <c r="U1591" s="3" t="s">
        <v>1</v>
      </c>
      <c r="V1591" s="3" t="s">
        <v>0</v>
      </c>
      <c r="W1591" s="2">
        <v>31</v>
      </c>
    </row>
    <row r="1592" spans="1:24" ht="11.25" hidden="1" customHeight="1" x14ac:dyDescent="0.25">
      <c r="A1592" s="8" t="s">
        <v>66</v>
      </c>
      <c r="B1592" s="8" t="s">
        <v>66</v>
      </c>
      <c r="C1592" s="19" t="s">
        <v>65</v>
      </c>
      <c r="D1592" s="6" t="s">
        <v>15</v>
      </c>
      <c r="E1592" s="18" t="s">
        <v>64</v>
      </c>
      <c r="F1592" s="4">
        <v>41654</v>
      </c>
      <c r="G1592" s="4" t="s">
        <v>1</v>
      </c>
      <c r="H1592" s="4" t="s">
        <v>1</v>
      </c>
      <c r="I1592" s="3" t="s">
        <v>13</v>
      </c>
      <c r="J1592" s="3" t="s">
        <v>12</v>
      </c>
      <c r="K1592" s="3" t="s">
        <v>63</v>
      </c>
      <c r="L1592" s="3" t="s">
        <v>62</v>
      </c>
      <c r="M1592" s="3" t="s">
        <v>61</v>
      </c>
      <c r="N1592" s="3" t="s">
        <v>60</v>
      </c>
      <c r="O1592" s="3" t="s">
        <v>59</v>
      </c>
      <c r="P1592" s="3" t="s">
        <v>6</v>
      </c>
      <c r="Q1592" s="3" t="s">
        <v>5</v>
      </c>
      <c r="R1592" s="3" t="s">
        <v>4</v>
      </c>
      <c r="S1592" s="3" t="s">
        <v>3</v>
      </c>
      <c r="T1592" s="3" t="s">
        <v>2</v>
      </c>
      <c r="U1592" s="3" t="s">
        <v>1</v>
      </c>
      <c r="V1592" s="3" t="s">
        <v>0</v>
      </c>
      <c r="W1592" s="2">
        <v>31</v>
      </c>
    </row>
    <row r="1593" spans="1:24" s="78" customFormat="1" hidden="1" x14ac:dyDescent="0.25">
      <c r="A1593" s="73">
        <v>1093</v>
      </c>
      <c r="B1593" s="73" t="s">
        <v>58</v>
      </c>
      <c r="C1593" s="87" t="s">
        <v>57</v>
      </c>
      <c r="D1593" s="88" t="s">
        <v>15</v>
      </c>
      <c r="E1593" s="89" t="s">
        <v>56</v>
      </c>
      <c r="F1593" s="90">
        <v>37887</v>
      </c>
      <c r="G1593" s="90" t="s">
        <v>1</v>
      </c>
      <c r="H1593" s="90" t="s">
        <v>1</v>
      </c>
      <c r="I1593" s="92" t="s">
        <v>13</v>
      </c>
      <c r="J1593" s="92" t="s">
        <v>34</v>
      </c>
      <c r="K1593" s="92" t="s">
        <v>33</v>
      </c>
      <c r="L1593" s="92" t="s">
        <v>33</v>
      </c>
      <c r="M1593" s="92" t="s">
        <v>32</v>
      </c>
      <c r="N1593" s="92" t="s">
        <v>31</v>
      </c>
      <c r="O1593" s="92" t="s">
        <v>29</v>
      </c>
      <c r="P1593" s="92" t="s">
        <v>30</v>
      </c>
      <c r="Q1593" s="92" t="s">
        <v>20</v>
      </c>
      <c r="R1593" s="92" t="s">
        <v>4</v>
      </c>
      <c r="S1593" s="92" t="s">
        <v>3</v>
      </c>
      <c r="T1593" s="92" t="s">
        <v>29</v>
      </c>
      <c r="U1593" s="92" t="s">
        <v>1</v>
      </c>
      <c r="V1593" s="92" t="s">
        <v>0</v>
      </c>
      <c r="W1593" s="93">
        <v>38</v>
      </c>
    </row>
    <row r="1594" spans="1:24" hidden="1" x14ac:dyDescent="0.25">
      <c r="A1594" s="8">
        <v>5401</v>
      </c>
      <c r="B1594" s="8" t="s">
        <v>55</v>
      </c>
      <c r="C1594" s="19" t="s">
        <v>54</v>
      </c>
      <c r="D1594" s="6" t="s">
        <v>15</v>
      </c>
      <c r="E1594" s="18" t="s">
        <v>44</v>
      </c>
      <c r="F1594" s="4">
        <v>38991</v>
      </c>
      <c r="G1594" s="4" t="s">
        <v>1</v>
      </c>
      <c r="H1594" s="4" t="s">
        <v>1</v>
      </c>
      <c r="I1594" s="3" t="s">
        <v>13</v>
      </c>
      <c r="J1594" s="3" t="s">
        <v>34</v>
      </c>
      <c r="K1594" s="3" t="s">
        <v>33</v>
      </c>
      <c r="L1594" s="3" t="s">
        <v>33</v>
      </c>
      <c r="M1594" s="3" t="s">
        <v>32</v>
      </c>
      <c r="N1594" s="3" t="s">
        <v>31</v>
      </c>
      <c r="O1594" s="3" t="s">
        <v>21</v>
      </c>
      <c r="P1594" s="3" t="s">
        <v>30</v>
      </c>
      <c r="Q1594" s="3" t="s">
        <v>20</v>
      </c>
      <c r="R1594" s="3" t="s">
        <v>4</v>
      </c>
      <c r="S1594" s="3" t="s">
        <v>3</v>
      </c>
      <c r="T1594" s="3" t="s">
        <v>19</v>
      </c>
      <c r="U1594" s="3" t="s">
        <v>1</v>
      </c>
      <c r="V1594" s="3" t="s">
        <v>0</v>
      </c>
      <c r="W1594" s="2">
        <v>40</v>
      </c>
    </row>
    <row r="1595" spans="1:24" hidden="1" x14ac:dyDescent="0.25">
      <c r="A1595" s="8" t="s">
        <v>53</v>
      </c>
      <c r="B1595" s="8" t="s">
        <v>53</v>
      </c>
      <c r="C1595" s="7" t="s">
        <v>52</v>
      </c>
      <c r="D1595" s="6" t="s">
        <v>15</v>
      </c>
      <c r="E1595" s="5" t="s">
        <v>51</v>
      </c>
      <c r="F1595" s="4">
        <v>41778</v>
      </c>
      <c r="G1595" s="4" t="s">
        <v>1</v>
      </c>
      <c r="H1595" s="4" t="s">
        <v>1</v>
      </c>
      <c r="I1595" s="5" t="s">
        <v>50</v>
      </c>
      <c r="J1595" s="5" t="s">
        <v>49</v>
      </c>
      <c r="K1595" s="5" t="s">
        <v>33</v>
      </c>
      <c r="L1595" s="5" t="s">
        <v>33</v>
      </c>
      <c r="M1595" s="5" t="s">
        <v>49</v>
      </c>
      <c r="N1595" s="5" t="s">
        <v>49</v>
      </c>
      <c r="O1595" s="5" t="s">
        <v>48</v>
      </c>
      <c r="P1595" s="5" t="s">
        <v>6</v>
      </c>
      <c r="Q1595" s="5" t="s">
        <v>47</v>
      </c>
      <c r="R1595" s="3" t="s">
        <v>4</v>
      </c>
      <c r="S1595" s="3" t="s">
        <v>3</v>
      </c>
      <c r="T1595" s="3" t="s">
        <v>2</v>
      </c>
      <c r="U1595" s="3" t="s">
        <v>1</v>
      </c>
      <c r="V1595" s="3" t="s">
        <v>18</v>
      </c>
      <c r="W1595" s="2">
        <v>36</v>
      </c>
    </row>
    <row r="1596" spans="1:24" hidden="1" x14ac:dyDescent="0.25">
      <c r="A1596" s="8">
        <v>5421</v>
      </c>
      <c r="B1596" s="8" t="s">
        <v>46</v>
      </c>
      <c r="C1596" s="7" t="s">
        <v>45</v>
      </c>
      <c r="D1596" s="6" t="s">
        <v>15</v>
      </c>
      <c r="E1596" s="5" t="s">
        <v>44</v>
      </c>
      <c r="F1596" s="4">
        <v>38991</v>
      </c>
      <c r="G1596" s="4" t="s">
        <v>1</v>
      </c>
      <c r="H1596" s="4" t="s">
        <v>1</v>
      </c>
      <c r="I1596" s="3" t="s">
        <v>13</v>
      </c>
      <c r="J1596" s="3" t="s">
        <v>34</v>
      </c>
      <c r="K1596" s="3" t="s">
        <v>33</v>
      </c>
      <c r="L1596" s="3" t="s">
        <v>33</v>
      </c>
      <c r="M1596" s="3" t="s">
        <v>32</v>
      </c>
      <c r="N1596" s="3" t="s">
        <v>31</v>
      </c>
      <c r="O1596" s="3" t="s">
        <v>29</v>
      </c>
      <c r="P1596" s="3" t="s">
        <v>30</v>
      </c>
      <c r="Q1596" s="3" t="s">
        <v>20</v>
      </c>
      <c r="R1596" s="3" t="s">
        <v>4</v>
      </c>
      <c r="S1596" s="3" t="s">
        <v>3</v>
      </c>
      <c r="T1596" s="3" t="s">
        <v>29</v>
      </c>
      <c r="U1596" s="3" t="s">
        <v>1</v>
      </c>
      <c r="V1596" s="3" t="s">
        <v>0</v>
      </c>
      <c r="W1596" s="2">
        <v>41</v>
      </c>
    </row>
    <row r="1597" spans="1:24" s="9" customFormat="1" hidden="1" x14ac:dyDescent="0.25">
      <c r="A1597" s="17">
        <v>5550</v>
      </c>
      <c r="B1597" s="17" t="s">
        <v>43</v>
      </c>
      <c r="C1597" s="16" t="s">
        <v>42</v>
      </c>
      <c r="D1597" s="15" t="s">
        <v>15</v>
      </c>
      <c r="E1597" s="14" t="s">
        <v>41</v>
      </c>
      <c r="F1597" s="13">
        <v>39052</v>
      </c>
      <c r="G1597" s="13" t="s">
        <v>1</v>
      </c>
      <c r="H1597" s="13" t="s">
        <v>1</v>
      </c>
      <c r="I1597" s="12" t="s">
        <v>13</v>
      </c>
      <c r="J1597" s="12" t="s">
        <v>34</v>
      </c>
      <c r="K1597" s="12" t="s">
        <v>33</v>
      </c>
      <c r="L1597" s="12" t="s">
        <v>33</v>
      </c>
      <c r="M1597" s="12" t="s">
        <v>32</v>
      </c>
      <c r="N1597" s="12" t="s">
        <v>40</v>
      </c>
      <c r="O1597" s="12" t="s">
        <v>39</v>
      </c>
      <c r="P1597" s="12" t="s">
        <v>30</v>
      </c>
      <c r="Q1597" s="12" t="s">
        <v>20</v>
      </c>
      <c r="R1597" s="12" t="s">
        <v>4</v>
      </c>
      <c r="S1597" s="12" t="s">
        <v>3</v>
      </c>
      <c r="T1597" s="12" t="s">
        <v>38</v>
      </c>
      <c r="U1597" s="12" t="s">
        <v>1</v>
      </c>
      <c r="V1597" s="12" t="s">
        <v>18</v>
      </c>
      <c r="W1597" s="11">
        <v>40</v>
      </c>
      <c r="X1597" s="10"/>
    </row>
    <row r="1598" spans="1:24" ht="18" hidden="1" customHeight="1" x14ac:dyDescent="0.25">
      <c r="A1598" s="8">
        <v>9753</v>
      </c>
      <c r="B1598" s="8" t="s">
        <v>37</v>
      </c>
      <c r="C1598" s="7" t="s">
        <v>36</v>
      </c>
      <c r="D1598" s="6" t="s">
        <v>15</v>
      </c>
      <c r="E1598" s="5" t="s">
        <v>35</v>
      </c>
      <c r="F1598" s="4">
        <v>40301</v>
      </c>
      <c r="G1598" s="4" t="s">
        <v>1</v>
      </c>
      <c r="H1598" s="4" t="s">
        <v>1</v>
      </c>
      <c r="I1598" s="3" t="s">
        <v>13</v>
      </c>
      <c r="J1598" s="3" t="s">
        <v>34</v>
      </c>
      <c r="K1598" s="3" t="s">
        <v>33</v>
      </c>
      <c r="L1598" s="3" t="s">
        <v>33</v>
      </c>
      <c r="M1598" s="3" t="s">
        <v>32</v>
      </c>
      <c r="N1598" s="3" t="s">
        <v>31</v>
      </c>
      <c r="O1598" s="3" t="s">
        <v>29</v>
      </c>
      <c r="P1598" s="3" t="s">
        <v>30</v>
      </c>
      <c r="Q1598" s="3" t="s">
        <v>20</v>
      </c>
      <c r="R1598" s="3" t="s">
        <v>4</v>
      </c>
      <c r="S1598" s="3" t="s">
        <v>3</v>
      </c>
      <c r="T1598" s="3" t="s">
        <v>29</v>
      </c>
      <c r="U1598" s="3" t="s">
        <v>1</v>
      </c>
      <c r="V1598" s="3" t="s">
        <v>0</v>
      </c>
      <c r="W1598" s="2">
        <v>33</v>
      </c>
    </row>
    <row r="1599" spans="1:24" ht="19.5" hidden="1" customHeight="1" x14ac:dyDescent="0.25">
      <c r="A1599" s="8" t="s">
        <v>28</v>
      </c>
      <c r="B1599" s="8" t="s">
        <v>28</v>
      </c>
      <c r="C1599" s="7" t="s">
        <v>27</v>
      </c>
      <c r="D1599" s="6" t="s">
        <v>15</v>
      </c>
      <c r="E1599" s="5" t="s">
        <v>26</v>
      </c>
      <c r="F1599" s="4">
        <v>42289</v>
      </c>
      <c r="G1599" s="4" t="s">
        <v>1</v>
      </c>
      <c r="H1599" s="4" t="s">
        <v>1</v>
      </c>
      <c r="I1599" s="3" t="s">
        <v>13</v>
      </c>
      <c r="J1599" s="3" t="s">
        <v>12</v>
      </c>
      <c r="K1599" s="3" t="s">
        <v>25</v>
      </c>
      <c r="L1599" s="3" t="s">
        <v>24</v>
      </c>
      <c r="M1599" s="3" t="s">
        <v>23</v>
      </c>
      <c r="N1599" s="3" t="s">
        <v>22</v>
      </c>
      <c r="O1599" s="3" t="s">
        <v>21</v>
      </c>
      <c r="P1599" s="3" t="s">
        <v>6</v>
      </c>
      <c r="Q1599" s="3" t="s">
        <v>20</v>
      </c>
      <c r="R1599" s="3" t="s">
        <v>4</v>
      </c>
      <c r="S1599" s="3" t="s">
        <v>3</v>
      </c>
      <c r="T1599" s="3" t="s">
        <v>19</v>
      </c>
      <c r="U1599" s="3" t="s">
        <v>1</v>
      </c>
      <c r="V1599" s="3" t="s">
        <v>18</v>
      </c>
      <c r="W1599" s="2">
        <v>27</v>
      </c>
    </row>
    <row r="1600" spans="1:24" ht="18" hidden="1" customHeight="1" x14ac:dyDescent="0.25">
      <c r="A1600" s="8" t="s">
        <v>17</v>
      </c>
      <c r="B1600" s="8" t="s">
        <v>17</v>
      </c>
      <c r="C1600" s="7" t="s">
        <v>16</v>
      </c>
      <c r="D1600" s="6" t="s">
        <v>15</v>
      </c>
      <c r="E1600" s="5" t="s">
        <v>14</v>
      </c>
      <c r="F1600" s="4">
        <v>42390</v>
      </c>
      <c r="G1600" s="4" t="s">
        <v>1</v>
      </c>
      <c r="H1600" s="4" t="s">
        <v>1</v>
      </c>
      <c r="I1600" s="3" t="s">
        <v>13</v>
      </c>
      <c r="J1600" s="3" t="s">
        <v>12</v>
      </c>
      <c r="K1600" s="3" t="s">
        <v>11</v>
      </c>
      <c r="L1600" s="3" t="s">
        <v>10</v>
      </c>
      <c r="M1600" s="3" t="s">
        <v>9</v>
      </c>
      <c r="N1600" s="3" t="s">
        <v>8</v>
      </c>
      <c r="O1600" s="3" t="s">
        <v>7</v>
      </c>
      <c r="P1600" s="3" t="s">
        <v>6</v>
      </c>
      <c r="Q1600" s="3" t="s">
        <v>5</v>
      </c>
      <c r="R1600" s="3" t="s">
        <v>4</v>
      </c>
      <c r="S1600" s="3" t="s">
        <v>3</v>
      </c>
      <c r="T1600" s="3" t="s">
        <v>2</v>
      </c>
      <c r="U1600" s="3" t="s">
        <v>1</v>
      </c>
      <c r="V1600" s="3" t="s">
        <v>0</v>
      </c>
      <c r="W1600" s="2">
        <v>27</v>
      </c>
    </row>
    <row r="1621" spans="10:10" x14ac:dyDescent="0.25">
      <c r="J1621" s="1"/>
    </row>
  </sheetData>
  <autoFilter ref="A1:X1600" xr:uid="{2127A64B-BA0A-4A57-8E3E-5DB3178964B9}">
    <filterColumn colId="2">
      <filters>
        <filter val="YANWAR NURJIYANTO"/>
      </filters>
    </filterColumn>
    <filterColumn colId="15">
      <filters>
        <filter val="A"/>
        <filter val="A (NS)"/>
      </filters>
    </filterColumn>
    <sortState xmlns:xlrd2="http://schemas.microsoft.com/office/spreadsheetml/2017/richdata2" ref="A8:X1598">
      <sortCondition ref="M8:M160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3C9A-CA20-43F6-8039-48902460086A}">
  <dimension ref="A1:N36"/>
  <sheetViews>
    <sheetView topLeftCell="A13" workbookViewId="0">
      <selection activeCell="C22" sqref="C22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72">
        <v>1</v>
      </c>
      <c r="B12" s="73">
        <v>1651</v>
      </c>
      <c r="C12" s="74" t="str">
        <f>VLOOKUP(B12,'[1]DATA MP'!$A$1:$W$1600,3,0)</f>
        <v>AHMAD MUBARAK</v>
      </c>
      <c r="D12" s="74" t="str">
        <f>VLOOKUP(B12,'[1]DATA MP'!$A$1:$W$1600,9,0)</f>
        <v>PRD</v>
      </c>
      <c r="E12" s="74" t="str">
        <f>VLOOKUP(B12,'[1]DATA MP'!$A$1:$W$1600,13,0)</f>
        <v>MANAGEMENT</v>
      </c>
      <c r="F12" s="74" t="str">
        <f>VLOOKUP(B12,'[1]DATA MP'!$A$1:$W$1600,16,0)</f>
        <v>A (NS)</v>
      </c>
      <c r="G12" s="74" t="str">
        <f>VLOOKUP(B12,'[1]DATA MP'!$A$1:$W$1600,22,0)</f>
        <v>L</v>
      </c>
      <c r="H12" s="74">
        <f>VLOOKUP(B12,'[1]DATA MP'!$A$1:$W$1600,23,0)</f>
        <v>42</v>
      </c>
      <c r="I12" s="75" t="s">
        <v>4337</v>
      </c>
      <c r="J12" s="76">
        <v>1</v>
      </c>
      <c r="K12" s="77">
        <v>2</v>
      </c>
    </row>
    <row r="13" spans="1:14" s="78" customFormat="1" ht="24.95" customHeight="1" x14ac:dyDescent="0.25">
      <c r="A13" s="72">
        <v>2</v>
      </c>
      <c r="B13" s="73">
        <v>37</v>
      </c>
      <c r="C13" s="74" t="str">
        <f>VLOOKUP(B13,'[1]DATA MP'!$A$1:$W$1600,3,0)</f>
        <v>SUWANDI</v>
      </c>
      <c r="D13" s="74" t="str">
        <f>VLOOKUP(B13,'[1]DATA MP'!$A$1:$W$1600,9,0)</f>
        <v>LOG</v>
      </c>
      <c r="E13" s="74" t="str">
        <f>VLOOKUP(B13,'[1]DATA MP'!$A$1:$W$1600,13,0)</f>
        <v>WHS</v>
      </c>
      <c r="F13" s="74" t="str">
        <f>VLOOKUP(B13,'[1]DATA MP'!$A$1:$W$1600,16,0)</f>
        <v>A (NS)</v>
      </c>
      <c r="G13" s="74" t="str">
        <f>VLOOKUP(B13,'[1]DATA MP'!$A$1:$W$1600,22,0)</f>
        <v>L</v>
      </c>
      <c r="H13" s="74">
        <f>VLOOKUP(B13,'[1]DATA MP'!$A$1:$W$1600,23,0)</f>
        <v>47</v>
      </c>
      <c r="I13" s="75" t="s">
        <v>4337</v>
      </c>
      <c r="J13" s="79"/>
      <c r="K13" s="80"/>
    </row>
    <row r="14" spans="1:14" s="78" customFormat="1" ht="24.95" customHeight="1" x14ac:dyDescent="0.25">
      <c r="A14" s="72">
        <v>3</v>
      </c>
      <c r="B14" s="73">
        <v>197</v>
      </c>
      <c r="C14" s="74" t="str">
        <f>VLOOKUP(B14,'[1]DATA MP'!$A$1:$W$1600,3,0)</f>
        <v>EDY ISMANTO</v>
      </c>
      <c r="D14" s="74" t="str">
        <f>VLOOKUP(B14,'[1]DATA MP'!$A$1:$W$1600,9,0)</f>
        <v>PE</v>
      </c>
      <c r="E14" s="74" t="str">
        <f>VLOOKUP(B14,'[1]DATA MP'!$A$1:$W$1600,13,0)</f>
        <v>MODIF</v>
      </c>
      <c r="F14" s="74" t="str">
        <f>VLOOKUP(B14,'[1]DATA MP'!$A$1:$W$1600,16,0)</f>
        <v>A (NS)</v>
      </c>
      <c r="G14" s="74" t="str">
        <f>VLOOKUP(B14,'[1]DATA MP'!$A$1:$W$1600,22,0)</f>
        <v>L</v>
      </c>
      <c r="H14" s="74">
        <f>VLOOKUP(B14,'[1]DATA MP'!$A$1:$W$1600,23,0)</f>
        <v>41</v>
      </c>
      <c r="I14" s="75" t="s">
        <v>4337</v>
      </c>
      <c r="J14" s="81">
        <v>3</v>
      </c>
      <c r="K14" s="82">
        <v>4</v>
      </c>
    </row>
    <row r="15" spans="1:14" ht="24.95" customHeight="1" x14ac:dyDescent="0.25">
      <c r="A15" s="72">
        <v>4</v>
      </c>
      <c r="B15" s="73">
        <v>206</v>
      </c>
      <c r="C15" s="74" t="str">
        <f>VLOOKUP(B15,'[1]DATA MP'!$A$1:$W$1600,3,0)</f>
        <v>IRMA TRI WAHYUNINGRUM</v>
      </c>
      <c r="D15" s="74" t="str">
        <f>VLOOKUP(B15,'[1]DATA MP'!$A$1:$W$1600,9,0)</f>
        <v>QA</v>
      </c>
      <c r="E15" s="74" t="str">
        <f>VLOOKUP(B15,'[1]DATA MP'!$A$1:$W$1600,13,0)</f>
        <v>CV HV 04A</v>
      </c>
      <c r="F15" s="74" t="str">
        <f>VLOOKUP(B15,'[1]DATA MP'!$A$1:$W$1600,16,0)</f>
        <v>A</v>
      </c>
      <c r="G15" s="74" t="str">
        <f>VLOOKUP(B15,'[1]DATA MP'!$A$1:$W$1600,22,0)</f>
        <v>P</v>
      </c>
      <c r="H15" s="74">
        <f>VLOOKUP(B15,'[1]DATA MP'!$A$1:$W$1600,23,0)</f>
        <v>41</v>
      </c>
      <c r="I15" s="75" t="s">
        <v>4337</v>
      </c>
      <c r="J15" s="81"/>
      <c r="K15" s="82"/>
    </row>
    <row r="16" spans="1:14" ht="24.95" customHeight="1" x14ac:dyDescent="0.25">
      <c r="A16" s="72">
        <v>5</v>
      </c>
      <c r="B16" s="73">
        <v>233</v>
      </c>
      <c r="C16" s="74" t="str">
        <f>VLOOKUP(B16,'[1]DATA MP'!$A$1:$W$1600,3,0)</f>
        <v>MARDIYANTI WIDY ASTUTI</v>
      </c>
      <c r="D16" s="74" t="str">
        <f>VLOOKUP(B16,'[1]DATA MP'!$A$1:$W$1600,9,0)</f>
        <v>PP</v>
      </c>
      <c r="E16" s="74" t="str">
        <f>VLOOKUP(B16,'[1]DATA MP'!$A$1:$W$1600,13,0)</f>
        <v>PD 2</v>
      </c>
      <c r="F16" s="74" t="str">
        <f>VLOOKUP(B16,'[1]DATA MP'!$A$1:$W$1600,16,0)</f>
        <v>A (NS)</v>
      </c>
      <c r="G16" s="74" t="str">
        <f>VLOOKUP(B16,'[1]DATA MP'!$A$1:$W$1600,22,0)</f>
        <v>P</v>
      </c>
      <c r="H16" s="74">
        <f>VLOOKUP(B16,'[1]DATA MP'!$A$1:$W$1600,23,0)</f>
        <v>41</v>
      </c>
      <c r="I16" s="75" t="s">
        <v>4337</v>
      </c>
      <c r="J16" s="81">
        <v>5</v>
      </c>
      <c r="K16" s="82">
        <v>6</v>
      </c>
    </row>
    <row r="17" spans="1:11" ht="24.95" customHeight="1" x14ac:dyDescent="0.25">
      <c r="A17" s="72">
        <v>6</v>
      </c>
      <c r="B17" s="73">
        <v>624</v>
      </c>
      <c r="C17" s="74" t="str">
        <f>VLOOKUP(B17,'[1]DATA MP'!$A$1:$W$1600,3,0)</f>
        <v>NUR HASANAH</v>
      </c>
      <c r="D17" s="74" t="str">
        <f>VLOOKUP(B17,'[1]DATA MP'!$A$1:$W$1600,9,0)</f>
        <v>PRD</v>
      </c>
      <c r="E17" s="74" t="str">
        <f>VLOOKUP(B17,'[1]DATA MP'!$A$1:$W$1600,13,0)</f>
        <v>CPA HONDA 33FA</v>
      </c>
      <c r="F17" s="74" t="str">
        <f>VLOOKUP(B17,'[1]DATA MP'!$A$1:$W$1600,16,0)</f>
        <v>A (NS)</v>
      </c>
      <c r="G17" s="74" t="str">
        <f>VLOOKUP(B17,'[1]DATA MP'!$A$1:$W$1600,22,0)</f>
        <v>P</v>
      </c>
      <c r="H17" s="74">
        <f>VLOOKUP(B17,'[1]DATA MP'!$A$1:$W$1600,23,0)</f>
        <v>41</v>
      </c>
      <c r="I17" s="75" t="s">
        <v>4337</v>
      </c>
      <c r="J17" s="81"/>
      <c r="K17" s="82"/>
    </row>
    <row r="18" spans="1:11" ht="24.95" customHeight="1" x14ac:dyDescent="0.25">
      <c r="A18" s="72">
        <v>7</v>
      </c>
      <c r="B18" s="73">
        <v>345</v>
      </c>
      <c r="C18" s="74" t="str">
        <f>VLOOKUP(B18,'[1]DATA MP'!$A$1:$W$1600,3,0)</f>
        <v>DEBORA KRISTIANA SETIYANINGRUM</v>
      </c>
      <c r="D18" s="74" t="str">
        <f>VLOOKUP(B18,'[1]DATA MP'!$A$1:$W$1600,9,0)</f>
        <v>PGA</v>
      </c>
      <c r="E18" s="74" t="str">
        <f>VLOOKUP(B18,'[1]DATA MP'!$A$1:$W$1600,13,0)</f>
        <v>HR</v>
      </c>
      <c r="F18" s="74" t="str">
        <f>VLOOKUP(B18,'[1]DATA MP'!$A$1:$W$1600,16,0)</f>
        <v>A (NS)</v>
      </c>
      <c r="G18" s="74" t="str">
        <f>VLOOKUP(B18,'[1]DATA MP'!$A$1:$W$1600,22,0)</f>
        <v>P</v>
      </c>
      <c r="H18" s="74">
        <f>VLOOKUP(B18,'[1]DATA MP'!$A$1:$W$1600,23,0)</f>
        <v>43</v>
      </c>
      <c r="I18" s="75" t="s">
        <v>4337</v>
      </c>
      <c r="J18" s="81">
        <v>7</v>
      </c>
      <c r="K18" s="82">
        <v>8</v>
      </c>
    </row>
    <row r="19" spans="1:11" ht="24.95" customHeight="1" x14ac:dyDescent="0.25">
      <c r="A19" s="72">
        <v>8</v>
      </c>
      <c r="B19" s="73">
        <v>356</v>
      </c>
      <c r="C19" s="74" t="str">
        <f>VLOOKUP(B19,'[1]DATA MP'!$A$1:$W$1600,3,0)</f>
        <v>ANI DWI SETYONINGSIH</v>
      </c>
      <c r="D19" s="74" t="str">
        <f>VLOOKUP(B19,'[1]DATA MP'!$A$1:$W$1600,9,0)</f>
        <v>QA</v>
      </c>
      <c r="E19" s="74" t="str">
        <f>VLOOKUP(B19,'[1]DATA MP'!$A$1:$W$1600,13,0)</f>
        <v>CV 4</v>
      </c>
      <c r="F19" s="74" t="str">
        <f>VLOOKUP(B19,'[1]DATA MP'!$A$1:$W$1600,16,0)</f>
        <v>A</v>
      </c>
      <c r="G19" s="74" t="str">
        <f>VLOOKUP(B19,'[1]DATA MP'!$A$1:$W$1600,22,0)</f>
        <v>P</v>
      </c>
      <c r="H19" s="74">
        <f>VLOOKUP(B19,'[1]DATA MP'!$A$1:$W$1600,23,0)</f>
        <v>41</v>
      </c>
      <c r="I19" s="75" t="s">
        <v>4337</v>
      </c>
      <c r="J19" s="81"/>
      <c r="K19" s="82"/>
    </row>
    <row r="20" spans="1:11" ht="24.95" customHeight="1" x14ac:dyDescent="0.25">
      <c r="A20" s="72">
        <v>9</v>
      </c>
      <c r="B20" s="73">
        <v>395</v>
      </c>
      <c r="C20" s="74" t="str">
        <f>VLOOKUP(B20,'[1]DATA MP'!$A$1:$W$1600,3,0)</f>
        <v>TRI NOVI PUJIYANTI</v>
      </c>
      <c r="D20" s="74" t="str">
        <f>VLOOKUP(B20,'[1]DATA MP'!$A$1:$W$1600,9,0)</f>
        <v>LOG</v>
      </c>
      <c r="E20" s="74" t="str">
        <f>VLOOKUP(B20,'[1]DATA MP'!$A$1:$W$1600,13,0)</f>
        <v>L. DOCK</v>
      </c>
      <c r="F20" s="74" t="str">
        <f>VLOOKUP(B20,'[1]DATA MP'!$A$1:$W$1600,16,0)</f>
        <v>A (NS)</v>
      </c>
      <c r="G20" s="74" t="str">
        <f>VLOOKUP(B20,'[1]DATA MP'!$A$1:$W$1600,22,0)</f>
        <v>P</v>
      </c>
      <c r="H20" s="74">
        <f>VLOOKUP(B20,'[1]DATA MP'!$A$1:$W$1600,23,0)</f>
        <v>43</v>
      </c>
      <c r="I20" s="75" t="s">
        <v>4337</v>
      </c>
      <c r="J20" s="81">
        <v>9</v>
      </c>
      <c r="K20" s="82">
        <v>10</v>
      </c>
    </row>
    <row r="21" spans="1:11" s="99" customFormat="1" ht="24.95" customHeight="1" x14ac:dyDescent="0.25">
      <c r="A21" s="96">
        <v>10</v>
      </c>
      <c r="B21" s="97">
        <v>430</v>
      </c>
      <c r="C21" s="98" t="str">
        <f>VLOOKUP(B21,'[1]DATA MP'!$A$1:$W$1600,3,0)</f>
        <v>TEGUH NUR HIDAYAH</v>
      </c>
      <c r="D21" s="98" t="str">
        <f>VLOOKUP(B21,'[1]DATA MP'!$A$1:$W$1600,9,0)</f>
        <v>PE</v>
      </c>
      <c r="E21" s="98" t="str">
        <f>VLOOKUP(B21,'[1]DATA MP'!$A$1:$W$1600,13,0)</f>
        <v>JCP</v>
      </c>
      <c r="F21" s="98" t="str">
        <f>VLOOKUP(B21,'[1]DATA MP'!$A$1:$W$1600,16,0)</f>
        <v>A (NS)</v>
      </c>
      <c r="G21" s="98" t="str">
        <f>VLOOKUP(B21,'[1]DATA MP'!$A$1:$W$1600,22,0)</f>
        <v>P</v>
      </c>
      <c r="H21" s="98">
        <f>VLOOKUP(B21,'[1]DATA MP'!$A$1:$W$1600,23,0)</f>
        <v>40</v>
      </c>
      <c r="I21" s="98" t="s">
        <v>4337</v>
      </c>
      <c r="J21" s="81"/>
      <c r="K21" s="82"/>
    </row>
    <row r="22" spans="1:11" s="99" customFormat="1" ht="24.95" customHeight="1" x14ac:dyDescent="0.25">
      <c r="A22" s="96">
        <v>11</v>
      </c>
      <c r="B22" s="97">
        <v>814</v>
      </c>
      <c r="C22" s="98" t="str">
        <f>VLOOKUP(B22,'[1]DATA MP'!$A$1:$W$1600,3,0)</f>
        <v>HELLIN DEWI RIZQIYAH</v>
      </c>
      <c r="D22" s="98" t="str">
        <f>VLOOKUP(B22,'[1]DATA MP'!$A$1:$W$1600,9,0)</f>
        <v>PRD</v>
      </c>
      <c r="E22" s="98" t="str">
        <f>VLOOKUP(B22,'[1]DATA MP'!$A$1:$W$1600,13,0)</f>
        <v>CPA HONDA EXPORT</v>
      </c>
      <c r="F22" s="98" t="str">
        <f>VLOOKUP(B22,'[1]DATA MP'!$A$1:$W$1600,16,0)</f>
        <v>A</v>
      </c>
      <c r="G22" s="98" t="str">
        <f>VLOOKUP(B22,'[1]DATA MP'!$A$1:$W$1600,22,0)</f>
        <v>P</v>
      </c>
      <c r="H22" s="98">
        <f>VLOOKUP(B22,'[1]DATA MP'!$A$1:$W$1600,23,0)</f>
        <v>40</v>
      </c>
      <c r="I22" s="98" t="s">
        <v>4337</v>
      </c>
      <c r="J22" s="100">
        <v>11</v>
      </c>
      <c r="K22" s="101">
        <v>12</v>
      </c>
    </row>
    <row r="23" spans="1:11" s="99" customFormat="1" ht="24.95" customHeight="1" x14ac:dyDescent="0.25">
      <c r="A23" s="96">
        <v>12</v>
      </c>
      <c r="B23" s="97">
        <v>515</v>
      </c>
      <c r="C23" s="98" t="str">
        <f>VLOOKUP(B23,'[1]DATA MP'!$A$1:$W$1600,3,0)</f>
        <v>TRI HARYANTI</v>
      </c>
      <c r="D23" s="98" t="str">
        <f>VLOOKUP(B23,'[1]DATA MP'!$A$1:$W$1600,9,0)</f>
        <v>PP</v>
      </c>
      <c r="E23" s="98" t="str">
        <f>VLOOKUP(B23,'[1]DATA MP'!$A$1:$W$1600,13,0)</f>
        <v>PD 2</v>
      </c>
      <c r="F23" s="98" t="str">
        <f>VLOOKUP(B23,'[1]DATA MP'!$A$1:$W$1600,16,0)</f>
        <v>A (NS)</v>
      </c>
      <c r="G23" s="98" t="str">
        <f>VLOOKUP(B23,'[1]DATA MP'!$A$1:$W$1600,22,0)</f>
        <v>P</v>
      </c>
      <c r="H23" s="98">
        <f>VLOOKUP(B23,'[1]DATA MP'!$A$1:$W$1600,23,0)</f>
        <v>40</v>
      </c>
      <c r="I23" s="98" t="s">
        <v>4337</v>
      </c>
      <c r="J23" s="100"/>
      <c r="K23" s="101"/>
    </row>
    <row r="24" spans="1:11" s="99" customFormat="1" ht="24.95" customHeight="1" x14ac:dyDescent="0.25">
      <c r="A24" s="96" t="s">
        <v>4332</v>
      </c>
      <c r="B24" s="97">
        <v>5705</v>
      </c>
      <c r="C24" s="98" t="str">
        <f>VLOOKUP(B24,'[1]DATA MP'!$A$1:$W$1600,3,0)</f>
        <v>INDRI SETIYOWATI</v>
      </c>
      <c r="D24" s="98" t="str">
        <f>VLOOKUP(B24,'[1]DATA MP'!$A$1:$W$1600,9,0)</f>
        <v>PRD</v>
      </c>
      <c r="E24" s="98" t="str">
        <f>VLOOKUP(B24,'[1]DATA MP'!$A$1:$W$1600,13,0)</f>
        <v>CPA HONDA EXPORT</v>
      </c>
      <c r="F24" s="98" t="str">
        <f>VLOOKUP(B24,'[1]DATA MP'!$A$1:$W$1600,16,0)</f>
        <v>A</v>
      </c>
      <c r="G24" s="98" t="str">
        <f>VLOOKUP(B24,'[1]DATA MP'!$A$1:$W$1600,22,0)</f>
        <v>P</v>
      </c>
      <c r="H24" s="98">
        <f>VLOOKUP(B24,'[1]DATA MP'!$A$1:$W$1600,23,0)</f>
        <v>38</v>
      </c>
      <c r="I24" s="98" t="s">
        <v>4337</v>
      </c>
      <c r="J24" s="81">
        <v>13</v>
      </c>
      <c r="K24" s="82">
        <v>14</v>
      </c>
    </row>
    <row r="25" spans="1:11" ht="24.95" customHeight="1" x14ac:dyDescent="0.25">
      <c r="A25" s="72">
        <v>14</v>
      </c>
      <c r="B25" s="73">
        <v>541</v>
      </c>
      <c r="C25" s="74" t="str">
        <f>VLOOKUP(B25,'[1]DATA MP'!$A$1:$W$1600,3,0)</f>
        <v>YUS SANTI</v>
      </c>
      <c r="D25" s="74" t="str">
        <f>VLOOKUP(B25,'[1]DATA MP'!$A$1:$W$1600,9,0)</f>
        <v>PP</v>
      </c>
      <c r="E25" s="74" t="str">
        <f>VLOOKUP(B25,'[1]DATA MP'!$A$1:$W$1600,13,0)</f>
        <v>PP-2</v>
      </c>
      <c r="F25" s="74" t="str">
        <f>VLOOKUP(B25,'[1]DATA MP'!$A$1:$W$1600,16,0)</f>
        <v>A (NS)</v>
      </c>
      <c r="G25" s="74" t="str">
        <f>VLOOKUP(B25,'[1]DATA MP'!$A$1:$W$1600,22,0)</f>
        <v>P</v>
      </c>
      <c r="H25" s="74">
        <f>VLOOKUP(B25,'[1]DATA MP'!$A$1:$W$1600,23,0)</f>
        <v>41</v>
      </c>
      <c r="I25" s="75" t="s">
        <v>4337</v>
      </c>
      <c r="J25" s="81"/>
      <c r="K25" s="82"/>
    </row>
    <row r="26" spans="1:11" ht="24.95" customHeight="1" x14ac:dyDescent="0.25">
      <c r="A26" s="96">
        <v>15</v>
      </c>
      <c r="B26" s="97">
        <v>10207</v>
      </c>
      <c r="C26" s="98" t="str">
        <f>VLOOKUP(B26,'[1]DATA MP'!$A$1:$W$1600,3,0)</f>
        <v>YENI</v>
      </c>
      <c r="D26" s="98" t="str">
        <f>VLOOKUP(B26,'[1]DATA MP'!$A$1:$W$1600,9,0)</f>
        <v>PRD</v>
      </c>
      <c r="E26" s="98" t="str">
        <f>VLOOKUP(B26,'[1]DATA MP'!$A$1:$W$1600,13,0)</f>
        <v>BUFFER 2</v>
      </c>
      <c r="F26" s="98" t="str">
        <f>VLOOKUP(B26,'[1]DATA MP'!$A$1:$W$1600,16,0)</f>
        <v>A (NS)</v>
      </c>
      <c r="G26" s="98" t="str">
        <f>VLOOKUP(B26,'[1]DATA MP'!$A$1:$W$1600,22,0)</f>
        <v>P</v>
      </c>
      <c r="H26" s="98">
        <f>VLOOKUP(B26,'[1]DATA MP'!$A$1:$W$1600,23,0)</f>
        <v>33</v>
      </c>
      <c r="I26" s="75" t="s">
        <v>4337</v>
      </c>
      <c r="J26" s="132">
        <v>15</v>
      </c>
      <c r="K26" s="133"/>
    </row>
    <row r="28" spans="1:11" x14ac:dyDescent="0.25">
      <c r="B28" s="84"/>
    </row>
    <row r="30" spans="1:11" x14ac:dyDescent="0.25">
      <c r="A30" s="78"/>
      <c r="B30" t="s">
        <v>4338</v>
      </c>
    </row>
    <row r="31" spans="1:11" x14ac:dyDescent="0.25">
      <c r="A31" s="85"/>
      <c r="B31" t="s">
        <v>4339</v>
      </c>
      <c r="D31" s="86"/>
      <c r="E31" s="86"/>
    </row>
    <row r="32" spans="1:11" x14ac:dyDescent="0.25">
      <c r="D32" s="118"/>
      <c r="E32" s="86"/>
    </row>
    <row r="33" spans="4:5" x14ac:dyDescent="0.25">
      <c r="D33" s="135"/>
    </row>
    <row r="34" spans="4:5" x14ac:dyDescent="0.25">
      <c r="D34" s="118"/>
    </row>
    <row r="35" spans="4:5" x14ac:dyDescent="0.25">
      <c r="D35" s="118"/>
      <c r="E35" s="118"/>
    </row>
    <row r="36" spans="4:5" x14ac:dyDescent="0.25">
      <c r="D36" s="118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conditionalFormatting sqref="E27:E30 E1:E11 E33:E34 E36:E1048576">
    <cfRule type="duplicateValues" dxfId="49" priority="1"/>
    <cfRule type="duplicateValues" dxfId="48" priority="2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50E7-80C4-4B9C-84A4-1DFD30F3D854}">
  <dimension ref="A1:N33"/>
  <sheetViews>
    <sheetView topLeftCell="A4" workbookViewId="0">
      <selection activeCell="M11" sqref="M11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72">
        <v>1</v>
      </c>
      <c r="B12" s="73">
        <v>589</v>
      </c>
      <c r="C12" s="74" t="str">
        <f>VLOOKUP(B12,'[1]DATA MP'!$A$1:$W$1600,3,0)</f>
        <v>KURNIATI</v>
      </c>
      <c r="D12" s="74" t="str">
        <f>VLOOKUP(B12,'[1]DATA MP'!$A$1:$W$1600,9,0)</f>
        <v>QA</v>
      </c>
      <c r="E12" s="74" t="str">
        <f>VLOOKUP(B12,'[1]DATA MP'!$A$1:$W$1600,13,0)</f>
        <v>RCV - CANDI</v>
      </c>
      <c r="F12" s="74" t="str">
        <f>VLOOKUP(B12,'[1]DATA MP'!$A$1:$W$1600,16,0)</f>
        <v>A (NS)</v>
      </c>
      <c r="G12" s="74" t="str">
        <f>VLOOKUP(B12,'[1]DATA MP'!$A$1:$W$1600,22,0)</f>
        <v>P</v>
      </c>
      <c r="H12" s="74">
        <f>VLOOKUP(B12,'[1]DATA MP'!$A$1:$W$1600,23,0)</f>
        <v>41</v>
      </c>
      <c r="I12" s="75" t="s">
        <v>4340</v>
      </c>
      <c r="J12" s="76">
        <v>1</v>
      </c>
      <c r="K12" s="77">
        <v>2</v>
      </c>
    </row>
    <row r="13" spans="1:14" s="99" customFormat="1" ht="24.95" customHeight="1" x14ac:dyDescent="0.25">
      <c r="A13" s="96">
        <v>2</v>
      </c>
      <c r="B13" s="97">
        <v>10136</v>
      </c>
      <c r="C13" s="98" t="str">
        <f>VLOOKUP(B13,'[1]DATA MP'!$A$1:$W$1600,3,0)</f>
        <v>YUTIKA TRI LISTIYA</v>
      </c>
      <c r="D13" s="98" t="str">
        <f>VLOOKUP(B13,'[1]DATA MP'!$A$1:$W$1600,9,0)</f>
        <v>PRD</v>
      </c>
      <c r="E13" s="98" t="str">
        <f>VLOOKUP(B13,'[1]DATA MP'!$A$1:$W$1600,13,0)</f>
        <v>CPA HONDA EXPORT</v>
      </c>
      <c r="F13" s="98" t="str">
        <f>VLOOKUP(B13,'[1]DATA MP'!$A$1:$W$1600,16,0)</f>
        <v>A</v>
      </c>
      <c r="G13" s="98" t="str">
        <f>VLOOKUP(B13,'[1]DATA MP'!$A$1:$W$1600,22,0)</f>
        <v>P</v>
      </c>
      <c r="H13" s="98">
        <f>VLOOKUP(B13,'[1]DATA MP'!$A$1:$W$1600,23,0)</f>
        <v>32</v>
      </c>
      <c r="I13" s="75" t="s">
        <v>4340</v>
      </c>
      <c r="J13" s="79"/>
      <c r="K13" s="80"/>
    </row>
    <row r="14" spans="1:14" s="78" customFormat="1" ht="24.95" customHeight="1" x14ac:dyDescent="0.25">
      <c r="A14" s="72">
        <v>3</v>
      </c>
      <c r="B14" s="73">
        <v>702</v>
      </c>
      <c r="C14" s="74" t="str">
        <f>VLOOKUP(B14,'[1]DATA MP'!$A$1:$W$1600,3,0)</f>
        <v>ARI KRISTANTO</v>
      </c>
      <c r="D14" s="74" t="str">
        <f>VLOOKUP(B14,'[1]DATA MP'!$A$1:$W$1600,9,0)</f>
        <v>LOG</v>
      </c>
      <c r="E14" s="74" t="str">
        <f>VLOOKUP(B14,'[1]DATA MP'!$A$1:$W$1600,13,0)</f>
        <v>PPIC</v>
      </c>
      <c r="F14" s="74" t="str">
        <f>VLOOKUP(B14,'[1]DATA MP'!$A$1:$W$1600,16,0)</f>
        <v>A (NS)</v>
      </c>
      <c r="G14" s="74" t="str">
        <f>VLOOKUP(B14,'[1]DATA MP'!$A$1:$W$1600,22,0)</f>
        <v>L</v>
      </c>
      <c r="H14" s="74">
        <f>VLOOKUP(B14,'[1]DATA MP'!$A$1:$W$1600,23,0)</f>
        <v>46</v>
      </c>
      <c r="I14" s="75" t="s">
        <v>4340</v>
      </c>
      <c r="J14" s="81">
        <v>3</v>
      </c>
      <c r="K14" s="82">
        <v>4</v>
      </c>
    </row>
    <row r="15" spans="1:14" ht="24.95" customHeight="1" x14ac:dyDescent="0.25">
      <c r="A15" s="72">
        <v>4</v>
      </c>
      <c r="B15" s="73">
        <v>723</v>
      </c>
      <c r="C15" s="74" t="str">
        <f>VLOOKUP(B15,'[1]DATA MP'!$A$1:$W$1600,3,0)</f>
        <v>ATIK KRISTIYANTI</v>
      </c>
      <c r="D15" s="74" t="str">
        <f>VLOOKUP(B15,'[1]DATA MP'!$A$1:$W$1600,9,0)</f>
        <v>QA</v>
      </c>
      <c r="E15" s="74" t="str">
        <f>VLOOKUP(B15,'[1]DATA MP'!$A$1:$W$1600,13,0)</f>
        <v>QA LL</v>
      </c>
      <c r="F15" s="74" t="str">
        <f>VLOOKUP(B15,'[1]DATA MP'!$A$1:$W$1600,16,0)</f>
        <v>A</v>
      </c>
      <c r="G15" s="74" t="str">
        <f>VLOOKUP(B15,'[1]DATA MP'!$A$1:$W$1600,22,0)</f>
        <v>P</v>
      </c>
      <c r="H15" s="74">
        <f>VLOOKUP(B15,'[1]DATA MP'!$A$1:$W$1600,23,0)</f>
        <v>41</v>
      </c>
      <c r="I15" s="75" t="s">
        <v>4340</v>
      </c>
      <c r="J15" s="81"/>
      <c r="K15" s="82"/>
    </row>
    <row r="16" spans="1:14" s="99" customFormat="1" ht="24.95" customHeight="1" x14ac:dyDescent="0.25">
      <c r="A16" s="96">
        <v>5</v>
      </c>
      <c r="B16" s="73">
        <v>4356</v>
      </c>
      <c r="C16" s="74" t="str">
        <f>VLOOKUP(B16,'[1]DATA MP'!$A$1:$W$1600,3,0)</f>
        <v>KUS HERYYONO</v>
      </c>
      <c r="D16" s="74" t="str">
        <f>VLOOKUP(B16,'[1]DATA MP'!$A$1:$W$1600,9,0)</f>
        <v>PP</v>
      </c>
      <c r="E16" s="74" t="str">
        <f>VLOOKUP(B16,'[1]DATA MP'!$A$1:$W$1600,13,0)</f>
        <v>PPM/PPC/PLCT</v>
      </c>
      <c r="F16" s="74" t="str">
        <f>VLOOKUP(B16,'[1]DATA MP'!$A$1:$W$1600,16,0)</f>
        <v>A (NS)</v>
      </c>
      <c r="G16" s="74" t="str">
        <f>VLOOKUP(B16,'[1]DATA MP'!$A$1:$W$1600,22,0)</f>
        <v>L</v>
      </c>
      <c r="H16" s="74">
        <f>VLOOKUP(B16,'[1]DATA MP'!$A$1:$W$1600,23,0)</f>
        <v>42</v>
      </c>
      <c r="I16" s="75" t="s">
        <v>4340</v>
      </c>
      <c r="J16" s="81">
        <v>5</v>
      </c>
      <c r="K16" s="82">
        <v>6</v>
      </c>
    </row>
    <row r="17" spans="1:11" s="99" customFormat="1" ht="24.95" customHeight="1" x14ac:dyDescent="0.25">
      <c r="A17" s="96">
        <v>6</v>
      </c>
      <c r="B17" s="97">
        <v>8841</v>
      </c>
      <c r="C17" s="98" t="str">
        <f>VLOOKUP(B17,'[1]DATA MP'!$A$1:$W$1600,3,0)</f>
        <v>MUSHTAFIDAH</v>
      </c>
      <c r="D17" s="98" t="str">
        <f>VLOOKUP(B17,'[1]DATA MP'!$A$1:$W$1600,9,0)</f>
        <v>PRD</v>
      </c>
      <c r="E17" s="98" t="str">
        <f>VLOOKUP(B17,'[1]DATA MP'!$A$1:$W$1600,13,0)</f>
        <v>CPA HONDA FIT HEV/PET</v>
      </c>
      <c r="F17" s="98" t="str">
        <f>VLOOKUP(B17,'[1]DATA MP'!$A$1:$W$1600,16,0)</f>
        <v>A</v>
      </c>
      <c r="G17" s="98" t="str">
        <f>VLOOKUP(B17,'[1]DATA MP'!$A$1:$W$1600,22,0)</f>
        <v>P</v>
      </c>
      <c r="H17" s="98">
        <f>VLOOKUP(B17,'[1]DATA MP'!$A$1:$W$1600,23,0)</f>
        <v>34</v>
      </c>
      <c r="I17" s="75" t="s">
        <v>4340</v>
      </c>
      <c r="J17" s="81"/>
      <c r="K17" s="82"/>
    </row>
    <row r="18" spans="1:11" s="99" customFormat="1" ht="24.95" customHeight="1" x14ac:dyDescent="0.25">
      <c r="A18" s="96">
        <v>7</v>
      </c>
      <c r="B18" s="97" t="s">
        <v>3492</v>
      </c>
      <c r="C18" s="98" t="str">
        <f>VLOOKUP(B18,'[1]DATA MP'!$A$1:$W$1600,3,0)</f>
        <v>HEQMATUL KASANAH</v>
      </c>
      <c r="D18" s="98" t="str">
        <f>VLOOKUP(B18,'[1]DATA MP'!$A$1:$W$1600,9,0)</f>
        <v>PRD</v>
      </c>
      <c r="E18" s="98" t="str">
        <f>VLOOKUP(B18,'[1]DATA MP'!$A$1:$W$1600,13,0)</f>
        <v>CPA MAZDA J03</v>
      </c>
      <c r="F18" s="98" t="str">
        <f>VLOOKUP(B18,'[1]DATA MP'!$A$1:$W$1600,16,0)</f>
        <v>A</v>
      </c>
      <c r="G18" s="98" t="str">
        <f>VLOOKUP(B18,'[1]DATA MP'!$A$1:$W$1600,22,0)</f>
        <v>P</v>
      </c>
      <c r="H18" s="98">
        <f>VLOOKUP(B18,'[1]DATA MP'!$A$1:$W$1600,23,0)</f>
        <v>31</v>
      </c>
      <c r="I18" s="75" t="s">
        <v>4340</v>
      </c>
      <c r="J18" s="81">
        <v>7</v>
      </c>
      <c r="K18" s="82">
        <v>8</v>
      </c>
    </row>
    <row r="19" spans="1:11" s="99" customFormat="1" ht="24.95" customHeight="1" x14ac:dyDescent="0.25">
      <c r="A19" s="96">
        <v>8</v>
      </c>
      <c r="B19" s="97">
        <v>1060</v>
      </c>
      <c r="C19" s="98" t="str">
        <f>VLOOKUP(B19,'[1]DATA MP'!$A$1:$W$1600,3,0)</f>
        <v>NUR KOSIM</v>
      </c>
      <c r="D19" s="98" t="str">
        <f>VLOOKUP(B19,'[1]DATA MP'!$A$1:$W$1600,9,0)</f>
        <v>LOG</v>
      </c>
      <c r="E19" s="98" t="str">
        <f>VLOOKUP(B19,'[1]DATA MP'!$A$1:$W$1600,13,0)</f>
        <v>WHS</v>
      </c>
      <c r="F19" s="98" t="str">
        <f>VLOOKUP(B19,'[1]DATA MP'!$A$1:$W$1600,16,0)</f>
        <v>A (NS)</v>
      </c>
      <c r="G19" s="98" t="str">
        <f>VLOOKUP(B19,'[1]DATA MP'!$A$1:$W$1600,22,0)</f>
        <v>L</v>
      </c>
      <c r="H19" s="98">
        <f>VLOOKUP(B19,'[1]DATA MP'!$A$1:$W$1600,23,0)</f>
        <v>39</v>
      </c>
      <c r="I19" s="75" t="s">
        <v>4340</v>
      </c>
      <c r="J19" s="81"/>
      <c r="K19" s="82"/>
    </row>
    <row r="20" spans="1:11" s="99" customFormat="1" ht="24.95" customHeight="1" x14ac:dyDescent="0.25">
      <c r="A20" s="96">
        <v>9</v>
      </c>
      <c r="B20" s="97" t="s">
        <v>3863</v>
      </c>
      <c r="C20" s="98" t="str">
        <f>VLOOKUP(B20,'[1]DATA MP'!$A$1:$W$1600,3,0)</f>
        <v>MILA AYU KORITA PUTRI</v>
      </c>
      <c r="D20" s="98" t="str">
        <f>VLOOKUP(B20,'[1]DATA MP'!$A$1:$W$1600,9,0)</f>
        <v>PRD</v>
      </c>
      <c r="E20" s="98" t="str">
        <f>VLOOKUP(B20,'[1]DATA MP'!$A$1:$W$1600,13,0)</f>
        <v>CPA HONDA FIT HEV/PET</v>
      </c>
      <c r="F20" s="98" t="str">
        <f>VLOOKUP(B20,'[1]DATA MP'!$A$1:$W$1600,16,0)</f>
        <v>A</v>
      </c>
      <c r="G20" s="98" t="str">
        <f>VLOOKUP(B20,'[1]DATA MP'!$A$1:$W$1600,22,0)</f>
        <v>P</v>
      </c>
      <c r="H20" s="98">
        <f>VLOOKUP(B20,'[1]DATA MP'!$A$1:$W$1600,23,0)</f>
        <v>31</v>
      </c>
      <c r="I20" s="75" t="s">
        <v>4340</v>
      </c>
      <c r="J20" s="100">
        <v>9</v>
      </c>
      <c r="K20" s="101">
        <v>10</v>
      </c>
    </row>
    <row r="21" spans="1:11" s="99" customFormat="1" ht="24.95" customHeight="1" x14ac:dyDescent="0.25">
      <c r="A21" s="96">
        <v>10</v>
      </c>
      <c r="B21" s="97">
        <v>13871</v>
      </c>
      <c r="C21" s="98" t="str">
        <f>VLOOKUP(B21,'[1]DATA MP'!$A$1:$W$1600,3,0)</f>
        <v>MAHFIROH</v>
      </c>
      <c r="D21" s="98" t="str">
        <f>VLOOKUP(B21,'[1]DATA MP'!$A$1:$W$1600,9,0)</f>
        <v>PRD</v>
      </c>
      <c r="E21" s="98" t="str">
        <f>VLOOKUP(B21,'[1]DATA MP'!$A$1:$W$1600,13,0)</f>
        <v>CPA HONDA HV</v>
      </c>
      <c r="F21" s="98" t="str">
        <f>VLOOKUP(B21,'[1]DATA MP'!$A$1:$W$1600,16,0)</f>
        <v>A</v>
      </c>
      <c r="G21" s="98" t="str">
        <f>VLOOKUP(B21,'[1]DATA MP'!$A$1:$W$1600,22,0)</f>
        <v>P</v>
      </c>
      <c r="H21" s="98">
        <f>VLOOKUP(B21,'[1]DATA MP'!$A$1:$W$1600,23,0)</f>
        <v>31</v>
      </c>
      <c r="I21" s="75" t="s">
        <v>4340</v>
      </c>
      <c r="J21" s="100"/>
      <c r="K21" s="101"/>
    </row>
    <row r="22" spans="1:11" ht="24.95" customHeight="1" x14ac:dyDescent="0.25">
      <c r="A22" s="72">
        <v>11</v>
      </c>
      <c r="B22" s="73">
        <v>1193</v>
      </c>
      <c r="C22" s="74" t="str">
        <f>VLOOKUP(B22,'[1]DATA MP'!$A$1:$W$1600,3,0)</f>
        <v>EXI MULYATI</v>
      </c>
      <c r="D22" s="74" t="str">
        <f>VLOOKUP(B22,'[1]DATA MP'!$A$1:$W$1600,9,0)</f>
        <v>PP</v>
      </c>
      <c r="E22" s="74" t="str">
        <f>VLOOKUP(B22,'[1]DATA MP'!$A$1:$W$1600,13,0)</f>
        <v>PP-3</v>
      </c>
      <c r="F22" s="74" t="str">
        <f>VLOOKUP(B22,'[1]DATA MP'!$A$1:$W$1600,16,0)</f>
        <v>A (NS)</v>
      </c>
      <c r="G22" s="74" t="str">
        <f>VLOOKUP(B22,'[1]DATA MP'!$A$1:$W$1600,22,0)</f>
        <v>P</v>
      </c>
      <c r="H22" s="74">
        <f>VLOOKUP(B22,'[1]DATA MP'!$A$1:$W$1600,23,0)</f>
        <v>42</v>
      </c>
      <c r="I22" s="75" t="s">
        <v>4340</v>
      </c>
      <c r="J22" s="81">
        <v>11</v>
      </c>
      <c r="K22" s="82">
        <v>12</v>
      </c>
    </row>
    <row r="23" spans="1:11" ht="24.95" customHeight="1" x14ac:dyDescent="0.25">
      <c r="A23" s="96">
        <v>12</v>
      </c>
      <c r="B23" s="97" t="s">
        <v>3404</v>
      </c>
      <c r="C23" s="98" t="str">
        <f>VLOOKUP(B23,'[1]DATA MP'!$A$1:$W$1600,3,0)</f>
        <v>MURTI ARUM MAWARNI</v>
      </c>
      <c r="D23" s="98" t="str">
        <f>VLOOKUP(B23,'[1]DATA MP'!$A$1:$W$1600,9,0)</f>
        <v>PRD</v>
      </c>
      <c r="E23" s="98" t="str">
        <f>VLOOKUP(B23,'[1]DATA MP'!$A$1:$W$1600,13,0)</f>
        <v>CPA SUZUKI</v>
      </c>
      <c r="F23" s="98" t="str">
        <f>VLOOKUP(B23,'[1]DATA MP'!$A$1:$W$1600,16,0)</f>
        <v>A</v>
      </c>
      <c r="G23" s="98" t="str">
        <f>VLOOKUP(B23,'[1]DATA MP'!$A$1:$W$1600,22,0)</f>
        <v>P</v>
      </c>
      <c r="H23" s="98">
        <f>VLOOKUP(B23,'[1]DATA MP'!$A$1:$W$1600,23,0)</f>
        <v>32</v>
      </c>
      <c r="I23" s="75" t="s">
        <v>4340</v>
      </c>
      <c r="J23" s="81"/>
      <c r="K23" s="82"/>
    </row>
    <row r="24" spans="1:11" s="99" customFormat="1" ht="24.95" customHeight="1" x14ac:dyDescent="0.25">
      <c r="A24" s="96">
        <v>13</v>
      </c>
      <c r="B24" s="97">
        <v>1269</v>
      </c>
      <c r="C24" s="98" t="str">
        <f>VLOOKUP(B24,'[1]DATA MP'!$A$1:$W$1600,3,0)</f>
        <v>WIWIN INDRIYANI</v>
      </c>
      <c r="D24" s="98" t="str">
        <f>VLOOKUP(B24,'[1]DATA MP'!$A$1:$W$1600,9,0)</f>
        <v>PP</v>
      </c>
      <c r="E24" s="98" t="str">
        <f>VLOOKUP(B24,'[1]DATA MP'!$A$1:$W$1600,13,0)</f>
        <v>PP-2</v>
      </c>
      <c r="F24" s="98" t="str">
        <f>VLOOKUP(B24,'[1]DATA MP'!$A$1:$W$1600,16,0)</f>
        <v>A (NS)</v>
      </c>
      <c r="G24" s="98" t="str">
        <f>VLOOKUP(B24,'[1]DATA MP'!$A$1:$W$1600,22,0)</f>
        <v>P</v>
      </c>
      <c r="H24" s="98">
        <f>VLOOKUP(B24,'[1]DATA MP'!$A$1:$W$1600,23,0)</f>
        <v>40</v>
      </c>
      <c r="I24" s="75" t="s">
        <v>4340</v>
      </c>
      <c r="J24" s="100">
        <v>13</v>
      </c>
      <c r="K24" s="101">
        <v>14</v>
      </c>
    </row>
    <row r="25" spans="1:11" s="99" customFormat="1" ht="24.95" customHeight="1" x14ac:dyDescent="0.25">
      <c r="A25" s="96">
        <v>14</v>
      </c>
      <c r="B25" s="97">
        <v>11645</v>
      </c>
      <c r="C25" s="98" t="str">
        <f>VLOOKUP(B25,'[1]DATA MP'!$A$1:$W$1600,3,0)</f>
        <v>YETTI APRILLIANINGSIH</v>
      </c>
      <c r="D25" s="98" t="str">
        <f>VLOOKUP(B25,'[1]DATA MP'!$A$1:$W$1600,9,0)</f>
        <v>PRD</v>
      </c>
      <c r="E25" s="98" t="str">
        <f>VLOOKUP(B25,'[1]DATA MP'!$A$1:$W$1600,13,0)</f>
        <v>CPA HONDA NES HEV/PET</v>
      </c>
      <c r="F25" s="98" t="str">
        <f>VLOOKUP(B25,'[1]DATA MP'!$A$1:$W$1600,16,0)</f>
        <v>A</v>
      </c>
      <c r="G25" s="98" t="str">
        <f>VLOOKUP(B25,'[1]DATA MP'!$A$1:$W$1600,22,0)</f>
        <v>P</v>
      </c>
      <c r="H25" s="98">
        <f>VLOOKUP(B25,'[1]DATA MP'!$A$1:$W$1600,23,0)</f>
        <v>32</v>
      </c>
      <c r="I25" s="75" t="s">
        <v>4340</v>
      </c>
      <c r="J25" s="100"/>
      <c r="K25" s="101"/>
    </row>
    <row r="26" spans="1:11" ht="24.95" customHeight="1" x14ac:dyDescent="0.25">
      <c r="A26" s="140">
        <v>15</v>
      </c>
      <c r="B26" s="73">
        <v>3644</v>
      </c>
      <c r="C26" s="74" t="str">
        <f>VLOOKUP(B26,'[1]DATA MP'!$A$1:$W$1600,3,0)</f>
        <v>HENDRIA AYUNITA SAPUTRA</v>
      </c>
      <c r="D26" s="74" t="str">
        <f>VLOOKUP(B26,'[1]DATA MP'!$A$1:$W$1600,9,0)</f>
        <v>QA</v>
      </c>
      <c r="E26" s="74" t="str">
        <f>VLOOKUP(B26,'[1]DATA MP'!$A$1:$W$1600,13,0)</f>
        <v>SUPERVISOR</v>
      </c>
      <c r="F26" s="74" t="str">
        <f>VLOOKUP(B26,'[1]DATA MP'!$A$1:$W$1600,16,0)</f>
        <v>A (NS)</v>
      </c>
      <c r="G26" s="74" t="str">
        <f>VLOOKUP(B26,'[1]DATA MP'!$A$1:$W$1600,22,0)</f>
        <v>L</v>
      </c>
      <c r="H26" s="74">
        <f>VLOOKUP(B26,'[1]DATA MP'!$A$1:$W$1600,23,0)</f>
        <v>42</v>
      </c>
      <c r="I26" s="75" t="s">
        <v>4340</v>
      </c>
      <c r="J26" s="132">
        <v>15</v>
      </c>
      <c r="K26" s="141"/>
    </row>
    <row r="27" spans="1:11" s="134" customFormat="1" ht="24.95" customHeight="1" x14ac:dyDescent="0.25">
      <c r="A27" s="136"/>
      <c r="B27" s="118"/>
      <c r="C27" s="137"/>
      <c r="D27" s="137"/>
      <c r="E27" s="137"/>
      <c r="F27" s="137"/>
      <c r="G27" s="137"/>
      <c r="H27" s="137"/>
      <c r="I27" s="138"/>
      <c r="J27" s="139"/>
      <c r="K27" s="139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4:E1048576">
    <cfRule type="duplicateValues" dxfId="47" priority="1"/>
    <cfRule type="duplicateValues" dxfId="46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7CCE-EC48-4036-9349-93ECF04ABB93}">
  <dimension ref="A1:N33"/>
  <sheetViews>
    <sheetView topLeftCell="A13" workbookViewId="0">
      <selection activeCell="D23" sqref="D23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72">
        <v>1</v>
      </c>
      <c r="B12" s="73">
        <v>5698</v>
      </c>
      <c r="C12" s="74" t="str">
        <f>VLOOKUP(B12,'[1]DATA MP'!$A$1:$W$1600,3,0)</f>
        <v>EDY PURWITO</v>
      </c>
      <c r="D12" s="74" t="str">
        <f>VLOOKUP(B12,'[1]DATA MP'!$A$1:$W$1600,9,0)</f>
        <v>PRD</v>
      </c>
      <c r="E12" s="74" t="str">
        <f>VLOOKUP(B12,'[1]DATA MP'!$A$1:$W$1600,13,0)</f>
        <v>CPA HONDA FIT HEV/PET</v>
      </c>
      <c r="F12" s="74" t="str">
        <f>VLOOKUP(B12,'[1]DATA MP'!$A$1:$W$1600,16,0)</f>
        <v>A</v>
      </c>
      <c r="G12" s="74" t="str">
        <f>VLOOKUP(B12,'[1]DATA MP'!$A$1:$W$1600,22,0)</f>
        <v>L</v>
      </c>
      <c r="H12" s="74">
        <f>VLOOKUP(B12,'[1]DATA MP'!$A$1:$W$1600,23,0)</f>
        <v>41</v>
      </c>
      <c r="I12" s="75" t="s">
        <v>4341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4657</v>
      </c>
      <c r="C13" s="98" t="str">
        <f>VLOOKUP(B13,'[1]DATA MP'!$A$1:$W$1600,3,0)</f>
        <v>DEDEK KUSMANA</v>
      </c>
      <c r="D13" s="98" t="str">
        <f>VLOOKUP(B13,'[1]DATA MP'!$A$1:$W$1600,9,0)</f>
        <v>PE</v>
      </c>
      <c r="E13" s="98" t="str">
        <f>VLOOKUP(B13,'[1]DATA MP'!$A$1:$W$1600,13,0)</f>
        <v>PrE</v>
      </c>
      <c r="F13" s="98" t="str">
        <f>VLOOKUP(B13,'[1]DATA MP'!$A$1:$W$1600,16,0)</f>
        <v>A (NS)</v>
      </c>
      <c r="G13" s="98" t="str">
        <f>VLOOKUP(B13,'[1]DATA MP'!$A$1:$W$1600,22,0)</f>
        <v>L</v>
      </c>
      <c r="H13" s="98">
        <f>VLOOKUP(B13,'[1]DATA MP'!$A$1:$W$1600,23,0)</f>
        <v>40</v>
      </c>
      <c r="I13" s="75" t="s">
        <v>4341</v>
      </c>
      <c r="J13" s="79"/>
      <c r="K13" s="80"/>
    </row>
    <row r="14" spans="1:14" s="78" customFormat="1" ht="24.95" customHeight="1" x14ac:dyDescent="0.25">
      <c r="A14" s="96">
        <v>3</v>
      </c>
      <c r="B14" s="97" t="s">
        <v>3621</v>
      </c>
      <c r="C14" s="98" t="str">
        <f>VLOOKUP(B14,'[1]DATA MP'!$A$1:$W$1600,3,0)</f>
        <v>UMI ATIKA</v>
      </c>
      <c r="D14" s="98" t="str">
        <f>VLOOKUP(B14,'[1]DATA MP'!$A$1:$W$1600,9,0)</f>
        <v>PRD</v>
      </c>
      <c r="E14" s="98" t="str">
        <f>VLOOKUP(B14,'[1]DATA MP'!$A$1:$W$1600,13,0)</f>
        <v>CPA MAZDA ATENZA</v>
      </c>
      <c r="F14" s="98" t="str">
        <f>VLOOKUP(B14,'[1]DATA MP'!$A$1:$W$1600,16,0)</f>
        <v>A (NS)</v>
      </c>
      <c r="G14" s="98" t="str">
        <f>VLOOKUP(B14,'[1]DATA MP'!$A$1:$W$1600,22,0)</f>
        <v>P</v>
      </c>
      <c r="H14" s="98">
        <f>VLOOKUP(B14,'[1]DATA MP'!$A$1:$W$1600,23,0)</f>
        <v>35</v>
      </c>
      <c r="I14" s="75" t="s">
        <v>4341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>
        <v>4960</v>
      </c>
      <c r="C15" s="98" t="str">
        <f>VLOOKUP(B15,'[1]DATA MP'!$A$1:$W$1600,3,0)</f>
        <v>WAHYUDI</v>
      </c>
      <c r="D15" s="98" t="str">
        <f>VLOOKUP(B15,'[1]DATA MP'!$A$1:$W$1600,9,0)</f>
        <v>LOG</v>
      </c>
      <c r="E15" s="98" t="str">
        <f>VLOOKUP(B15,'[1]DATA MP'!$A$1:$W$1600,13,0)</f>
        <v>PPIC</v>
      </c>
      <c r="F15" s="98" t="str">
        <f>VLOOKUP(B15,'[1]DATA MP'!$A$1:$W$1600,16,0)</f>
        <v>A (NS)</v>
      </c>
      <c r="G15" s="98" t="str">
        <f>VLOOKUP(B15,'[1]DATA MP'!$A$1:$W$1600,22,0)</f>
        <v>L</v>
      </c>
      <c r="H15" s="98">
        <f>VLOOKUP(B15,'[1]DATA MP'!$A$1:$W$1600,23,0)</f>
        <v>40</v>
      </c>
      <c r="I15" s="75" t="s">
        <v>4341</v>
      </c>
      <c r="J15" s="81"/>
      <c r="K15" s="82"/>
    </row>
    <row r="16" spans="1:14" ht="24.95" customHeight="1" x14ac:dyDescent="0.25">
      <c r="A16" s="96">
        <v>5</v>
      </c>
      <c r="B16" s="97">
        <v>5220</v>
      </c>
      <c r="C16" s="98" t="str">
        <f>VLOOKUP(B16,'[1]DATA MP'!$A$1:$W$1600,3,0)</f>
        <v>PURWANTORO</v>
      </c>
      <c r="D16" s="98" t="str">
        <f>VLOOKUP(B16,'[1]DATA MP'!$A$1:$W$1600,9,0)</f>
        <v>PE</v>
      </c>
      <c r="E16" s="98" t="str">
        <f>VLOOKUP(B16,'[1]DATA MP'!$A$1:$W$1600,13,0)</f>
        <v>CT</v>
      </c>
      <c r="F16" s="98" t="str">
        <f>VLOOKUP(B16,'[1]DATA MP'!$A$1:$W$1600,16,0)</f>
        <v>A (NS)</v>
      </c>
      <c r="G16" s="98" t="str">
        <f>VLOOKUP(B16,'[1]DATA MP'!$A$1:$W$1600,22,0)</f>
        <v>L</v>
      </c>
      <c r="H16" s="98">
        <f>VLOOKUP(B16,'[1]DATA MP'!$A$1:$W$1600,23,0)</f>
        <v>39</v>
      </c>
      <c r="I16" s="75" t="s">
        <v>4341</v>
      </c>
      <c r="J16" s="81">
        <v>5</v>
      </c>
      <c r="K16" s="82">
        <v>6</v>
      </c>
    </row>
    <row r="17" spans="1:11" ht="24.95" customHeight="1" x14ac:dyDescent="0.25">
      <c r="A17" s="96">
        <v>6</v>
      </c>
      <c r="B17" s="97">
        <v>9615</v>
      </c>
      <c r="C17" s="98" t="str">
        <f>VLOOKUP(B17,'[1]DATA MP'!$A$1:$W$1600,3,0)</f>
        <v>NANING HASANAH</v>
      </c>
      <c r="D17" s="98" t="str">
        <f>VLOOKUP(B17,'[1]DATA MP'!$A$1:$W$1600,9,0)</f>
        <v>PRD</v>
      </c>
      <c r="E17" s="98" t="str">
        <f>VLOOKUP(B17,'[1]DATA MP'!$A$1:$W$1600,13,0)</f>
        <v>CPA MAZDA CX-5</v>
      </c>
      <c r="F17" s="98" t="str">
        <f>VLOOKUP(B17,'[1]DATA MP'!$A$1:$W$1600,16,0)</f>
        <v>A</v>
      </c>
      <c r="G17" s="98" t="str">
        <f>VLOOKUP(B17,'[1]DATA MP'!$A$1:$W$1600,22,0)</f>
        <v>P</v>
      </c>
      <c r="H17" s="98">
        <f>VLOOKUP(B17,'[1]DATA MP'!$A$1:$W$1600,23,0)</f>
        <v>33</v>
      </c>
      <c r="I17" s="75" t="s">
        <v>4341</v>
      </c>
      <c r="J17" s="81"/>
      <c r="K17" s="82"/>
    </row>
    <row r="18" spans="1:11" ht="24.95" customHeight="1" x14ac:dyDescent="0.25">
      <c r="A18" s="96">
        <v>7</v>
      </c>
      <c r="B18" s="97">
        <v>5256</v>
      </c>
      <c r="C18" s="98" t="str">
        <f>VLOOKUP(B18,'[1]DATA MP'!$A$1:$W$1600,3,0)</f>
        <v>MUKHAYATI</v>
      </c>
      <c r="D18" s="98" t="str">
        <f>VLOOKUP(B18,'[1]DATA MP'!$A$1:$W$1600,9,0)</f>
        <v>QA</v>
      </c>
      <c r="E18" s="98" t="str">
        <f>VLOOKUP(B18,'[1]DATA MP'!$A$1:$W$1600,13,0)</f>
        <v>CV HV 07</v>
      </c>
      <c r="F18" s="98" t="str">
        <f>VLOOKUP(B18,'[1]DATA MP'!$A$1:$W$1600,16,0)</f>
        <v>A</v>
      </c>
      <c r="G18" s="98" t="str">
        <f>VLOOKUP(B18,'[1]DATA MP'!$A$1:$W$1600,22,0)</f>
        <v>P</v>
      </c>
      <c r="H18" s="98">
        <f>VLOOKUP(B18,'[1]DATA MP'!$A$1:$W$1600,23,0)</f>
        <v>39</v>
      </c>
      <c r="I18" s="75" t="s">
        <v>4341</v>
      </c>
      <c r="J18" s="81">
        <v>7</v>
      </c>
      <c r="K18" s="82">
        <v>8</v>
      </c>
    </row>
    <row r="19" spans="1:11" ht="24.95" customHeight="1" x14ac:dyDescent="0.25">
      <c r="A19" s="96">
        <v>8</v>
      </c>
      <c r="B19" s="97">
        <v>5751</v>
      </c>
      <c r="C19" s="98" t="str">
        <f>VLOOKUP(B19,'[1]DATA MP'!$A$1:$W$1600,3,0)</f>
        <v>YULI SETIAWATI</v>
      </c>
      <c r="D19" s="98" t="str">
        <f>VLOOKUP(B19,'[1]DATA MP'!$A$1:$W$1600,9,0)</f>
        <v>QA</v>
      </c>
      <c r="E19" s="98" t="str">
        <f>VLOOKUP(B19,'[1]DATA MP'!$A$1:$W$1600,13,0)</f>
        <v>CV M01</v>
      </c>
      <c r="F19" s="98" t="str">
        <f>VLOOKUP(B19,'[1]DATA MP'!$A$1:$W$1600,16,0)</f>
        <v>A</v>
      </c>
      <c r="G19" s="98" t="str">
        <f>VLOOKUP(B19,'[1]DATA MP'!$A$1:$W$1600,22,0)</f>
        <v>P</v>
      </c>
      <c r="H19" s="98">
        <f>VLOOKUP(B19,'[1]DATA MP'!$A$1:$W$1600,23,0)</f>
        <v>39</v>
      </c>
      <c r="I19" s="75" t="s">
        <v>4341</v>
      </c>
      <c r="J19" s="81"/>
      <c r="K19" s="82"/>
    </row>
    <row r="20" spans="1:11" ht="24.95" customHeight="1" x14ac:dyDescent="0.25">
      <c r="A20" s="72">
        <v>9</v>
      </c>
      <c r="B20" s="73">
        <v>5754</v>
      </c>
      <c r="C20" s="74" t="str">
        <f>VLOOKUP(B20,'[1]DATA MP'!$A$1:$W$1600,3,0)</f>
        <v>ABIL HUDA</v>
      </c>
      <c r="D20" s="74" t="str">
        <f>VLOOKUP(B20,'[1]DATA MP'!$A$1:$W$1600,9,0)</f>
        <v>PE</v>
      </c>
      <c r="E20" s="74" t="str">
        <f>VLOOKUP(B20,'[1]DATA MP'!$A$1:$W$1600,13,0)</f>
        <v>NIP</v>
      </c>
      <c r="F20" s="74" t="str">
        <f>VLOOKUP(B20,'[1]DATA MP'!$A$1:$W$1600,16,0)</f>
        <v>A (NS)</v>
      </c>
      <c r="G20" s="74" t="str">
        <f>VLOOKUP(B20,'[1]DATA MP'!$A$1:$W$1600,22,0)</f>
        <v>L</v>
      </c>
      <c r="H20" s="74">
        <f>VLOOKUP(B20,'[1]DATA MP'!$A$1:$W$1600,23,0)</f>
        <v>41</v>
      </c>
      <c r="I20" s="75" t="s">
        <v>4341</v>
      </c>
      <c r="J20" s="81">
        <v>9</v>
      </c>
      <c r="K20" s="82">
        <v>10</v>
      </c>
    </row>
    <row r="21" spans="1:11" ht="24.95" customHeight="1" x14ac:dyDescent="0.25">
      <c r="A21" s="83">
        <v>10</v>
      </c>
      <c r="B21" s="97">
        <v>21905</v>
      </c>
      <c r="C21" s="98" t="str">
        <f>VLOOKUP(B21,'[1]DATA MP'!$A$1:$W$1600,3,0)</f>
        <v>SITI NUR KHOLIJAH</v>
      </c>
      <c r="D21" s="98" t="str">
        <f>VLOOKUP(B21,'[1]DATA MP'!$A$1:$W$1600,9,0)</f>
        <v>PRD</v>
      </c>
      <c r="E21" s="98" t="str">
        <f>VLOOKUP(B21,'[1]DATA MP'!$A$1:$W$1600,13,0)</f>
        <v>CPA TOYOTA 10 PL</v>
      </c>
      <c r="F21" s="98" t="str">
        <f>VLOOKUP(B21,'[1]DATA MP'!$A$1:$W$1600,16,0)</f>
        <v>A</v>
      </c>
      <c r="G21" s="98" t="str">
        <f>VLOOKUP(B21,'[1]DATA MP'!$A$1:$W$1600,22,0)</f>
        <v>P</v>
      </c>
      <c r="H21" s="98">
        <f>VLOOKUP(B21,'[1]DATA MP'!$A$1:$W$1600,23,0)</f>
        <v>25</v>
      </c>
      <c r="I21" s="75" t="s">
        <v>4341</v>
      </c>
      <c r="J21" s="81"/>
      <c r="K21" s="82"/>
    </row>
    <row r="22" spans="1:11" ht="24.95" customHeight="1" x14ac:dyDescent="0.25">
      <c r="A22" s="83">
        <v>11</v>
      </c>
      <c r="B22" s="97">
        <v>5789</v>
      </c>
      <c r="C22" s="98" t="str">
        <f>VLOOKUP(B22,'[1]DATA MP'!$A$1:$W$1600,3,0)</f>
        <v>NOVITA</v>
      </c>
      <c r="D22" s="98" t="str">
        <f>VLOOKUP(B22,'[1]DATA MP'!$A$1:$W$1600,9,0)</f>
        <v>QA</v>
      </c>
      <c r="E22" s="98" t="str">
        <f>VLOOKUP(B22,'[1]DATA MP'!$A$1:$W$1600,13,0)</f>
        <v>RCV - CANDI</v>
      </c>
      <c r="F22" s="98" t="str">
        <f>VLOOKUP(B22,'[1]DATA MP'!$A$1:$W$1600,16,0)</f>
        <v>A</v>
      </c>
      <c r="G22" s="98" t="str">
        <f>VLOOKUP(B22,'[1]DATA MP'!$A$1:$W$1600,22,0)</f>
        <v>P</v>
      </c>
      <c r="H22" s="98">
        <f>VLOOKUP(B22,'[1]DATA MP'!$A$1:$W$1600,23,0)</f>
        <v>39</v>
      </c>
      <c r="I22" s="75" t="s">
        <v>4341</v>
      </c>
      <c r="J22" s="81">
        <v>11</v>
      </c>
      <c r="K22" s="82">
        <v>12</v>
      </c>
    </row>
    <row r="23" spans="1:11" ht="24.95" customHeight="1" x14ac:dyDescent="0.25">
      <c r="A23" s="83">
        <v>12</v>
      </c>
      <c r="B23" s="97">
        <v>5794</v>
      </c>
      <c r="C23" s="98" t="str">
        <f>VLOOKUP(B23,'[1]DATA MP'!$A$1:$W$1600,3,0)</f>
        <v>NURUL KHOIRIYAH</v>
      </c>
      <c r="D23" s="98" t="str">
        <f>VLOOKUP(B23,'[1]DATA MP'!$A$1:$W$1600,9,0)</f>
        <v>QA</v>
      </c>
      <c r="E23" s="98" t="str">
        <f>VLOOKUP(B23,'[1]DATA MP'!$A$1:$W$1600,13,0)</f>
        <v>CV M03</v>
      </c>
      <c r="F23" s="98" t="str">
        <f>VLOOKUP(B23,'[1]DATA MP'!$A$1:$W$1600,16,0)</f>
        <v>A</v>
      </c>
      <c r="G23" s="98" t="str">
        <f>VLOOKUP(B23,'[1]DATA MP'!$A$1:$W$1600,22,0)</f>
        <v>P</v>
      </c>
      <c r="H23" s="98">
        <f>VLOOKUP(B23,'[1]DATA MP'!$A$1:$W$1600,23,0)</f>
        <v>40</v>
      </c>
      <c r="I23" s="75" t="s">
        <v>4341</v>
      </c>
      <c r="J23" s="81"/>
      <c r="K23" s="82"/>
    </row>
    <row r="24" spans="1:11" ht="24.95" customHeight="1" x14ac:dyDescent="0.25">
      <c r="A24" s="72">
        <v>13</v>
      </c>
      <c r="B24" s="73">
        <v>315</v>
      </c>
      <c r="C24" s="74" t="str">
        <f>VLOOKUP(B24,'[1]DATA MP'!$A$1:$W$1600,3,0)</f>
        <v>MURNIASIH</v>
      </c>
      <c r="D24" s="74" t="str">
        <f>VLOOKUP(B24,'[1]DATA MP'!$A$1:$W$1600,9,0)</f>
        <v>PRD</v>
      </c>
      <c r="E24" s="74" t="str">
        <f>VLOOKUP(B24,'[1]DATA MP'!$A$1:$W$1600,13,0)</f>
        <v>CPA TOYOTA LV</v>
      </c>
      <c r="F24" s="74" t="str">
        <f>VLOOKUP(B24,'[1]DATA MP'!$A$1:$W$1600,16,0)</f>
        <v>A</v>
      </c>
      <c r="G24" s="74" t="str">
        <f>VLOOKUP(B24,'[1]DATA MP'!$A$1:$W$1600,22,0)</f>
        <v>P</v>
      </c>
      <c r="H24" s="74">
        <f>VLOOKUP(B24,'[1]DATA MP'!$A$1:$W$1600,23,0)</f>
        <v>42</v>
      </c>
      <c r="I24" s="75" t="s">
        <v>4341</v>
      </c>
      <c r="J24" s="81">
        <v>13</v>
      </c>
      <c r="K24" s="82">
        <v>14</v>
      </c>
    </row>
    <row r="25" spans="1:11" ht="24.95" customHeight="1" x14ac:dyDescent="0.25">
      <c r="A25" s="72">
        <v>14</v>
      </c>
      <c r="B25" s="73">
        <v>198</v>
      </c>
      <c r="C25" s="74" t="str">
        <f>VLOOKUP(B25,'[1]DATA MP'!$A$1:$W$1600,3,0)</f>
        <v>AGUS TRIYONO</v>
      </c>
      <c r="D25" s="74" t="str">
        <f>VLOOKUP(B25,'[1]DATA MP'!$A$1:$W$1600,9,0)</f>
        <v>PE</v>
      </c>
      <c r="E25" s="74" t="str">
        <f>VLOOKUP(B25,'[1]DATA MP'!$A$1:$W$1600,13,0)</f>
        <v>MESIN LOADING</v>
      </c>
      <c r="F25" s="74" t="str">
        <f>VLOOKUP(B25,'[1]DATA MP'!$A$1:$W$1600,16,0)</f>
        <v>A (NS)</v>
      </c>
      <c r="G25" s="74" t="str">
        <f>VLOOKUP(B25,'[1]DATA MP'!$A$1:$W$1600,22,0)</f>
        <v>L</v>
      </c>
      <c r="H25" s="74">
        <f>VLOOKUP(B25,'[1]DATA MP'!$A$1:$W$1600,23,0)</f>
        <v>42</v>
      </c>
      <c r="I25" s="75" t="s">
        <v>4341</v>
      </c>
      <c r="J25" s="81"/>
      <c r="K25" s="82"/>
    </row>
    <row r="26" spans="1:11" ht="24.95" customHeight="1" x14ac:dyDescent="0.25">
      <c r="A26" s="140">
        <v>15</v>
      </c>
      <c r="B26" s="73">
        <v>3723</v>
      </c>
      <c r="C26" s="74" t="str">
        <f>VLOOKUP(B26,'[1]DATA MP'!$A$1:$W$1600,3,0)</f>
        <v>NURUL KHASANAH</v>
      </c>
      <c r="D26" s="74" t="str">
        <f>VLOOKUP(B26,'[1]DATA MP'!$A$1:$W$1600,9,0)</f>
        <v>QA</v>
      </c>
      <c r="E26" s="74" t="str">
        <f>VLOOKUP(B26,'[1]DATA MP'!$A$1:$W$1600,13,0)</f>
        <v>CV H05</v>
      </c>
      <c r="F26" s="74" t="str">
        <f>VLOOKUP(B26,'[1]DATA MP'!$A$1:$W$1600,16,0)</f>
        <v>A (NS)</v>
      </c>
      <c r="G26" s="74" t="str">
        <f>VLOOKUP(B26,'[1]DATA MP'!$A$1:$W$1600,22,0)</f>
        <v>P</v>
      </c>
      <c r="H26" s="74">
        <f>VLOOKUP(B26,'[1]DATA MP'!$A$1:$W$1600,23,0)</f>
        <v>42</v>
      </c>
      <c r="I26" s="75" t="s">
        <v>4341</v>
      </c>
      <c r="J26" s="132">
        <v>15</v>
      </c>
      <c r="K26" s="141"/>
    </row>
    <row r="27" spans="1:11" ht="24.95" customHeight="1" x14ac:dyDescent="0.25">
      <c r="A27" s="142"/>
      <c r="B27" s="143"/>
      <c r="C27" s="138"/>
      <c r="D27" s="138"/>
      <c r="E27" s="138"/>
      <c r="F27" s="138"/>
      <c r="G27" s="138"/>
      <c r="H27" s="138"/>
      <c r="I27" s="138"/>
      <c r="J27" s="139"/>
      <c r="K27" s="139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4:E1048576">
    <cfRule type="duplicateValues" dxfId="45" priority="1"/>
    <cfRule type="duplicateValues" dxfId="44" priority="2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3807-712B-4EE9-8E23-5C7E1C8A9D87}">
  <dimension ref="A1:N34"/>
  <sheetViews>
    <sheetView topLeftCell="A10" workbookViewId="0">
      <selection activeCell="H27" sqref="H27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>
        <v>11089</v>
      </c>
      <c r="C12" s="98" t="str">
        <f>VLOOKUP(B12,'[1]DATA MP'!$A$1:$W$1600,3,0)</f>
        <v>SUMIYATI</v>
      </c>
      <c r="D12" s="98" t="str">
        <f>VLOOKUP(B12,'[1]DATA MP'!$A$1:$W$1600,9,0)</f>
        <v>PRD</v>
      </c>
      <c r="E12" s="98" t="str">
        <f>VLOOKUP(B12,'[1]DATA MP'!$A$1:$W$1600,13,0)</f>
        <v>CPA HONDA FIT HEV/PET</v>
      </c>
      <c r="F12" s="98" t="str">
        <f>VLOOKUP(B12,'[1]DATA MP'!$A$1:$W$1600,16,0)</f>
        <v>A</v>
      </c>
      <c r="G12" s="98" t="str">
        <f>VLOOKUP(B12,'[1]DATA MP'!$A$1:$W$1600,22,0)</f>
        <v>P</v>
      </c>
      <c r="H12" s="98">
        <f>VLOOKUP(B12,'[1]DATA MP'!$A$1:$W$1600,23,0)</f>
        <v>34</v>
      </c>
      <c r="I12" s="75" t="s">
        <v>4342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5431</v>
      </c>
      <c r="C13" s="98" t="str">
        <f>VLOOKUP(B13,'[1]DATA MP'!$A$1:$W$1600,3,0)</f>
        <v>MOCHAMAT SOBIRIN</v>
      </c>
      <c r="D13" s="98" t="str">
        <f>VLOOKUP(B13,'[1]DATA MP'!$A$1:$W$1600,9,0)</f>
        <v>LOG</v>
      </c>
      <c r="E13" s="98" t="str">
        <f>VLOOKUP(B13,'[1]DATA MP'!$A$1:$W$1600,13,0)</f>
        <v>WHS</v>
      </c>
      <c r="F13" s="98" t="str">
        <f>VLOOKUP(B13,'[1]DATA MP'!$A$1:$W$1600,16,0)</f>
        <v>A</v>
      </c>
      <c r="G13" s="98" t="str">
        <f>VLOOKUP(B13,'[1]DATA MP'!$A$1:$W$1600,22,0)</f>
        <v>L</v>
      </c>
      <c r="H13" s="98">
        <f>VLOOKUP(B13,'[1]DATA MP'!$A$1:$W$1600,23,0)</f>
        <v>39</v>
      </c>
      <c r="I13" s="75" t="s">
        <v>4342</v>
      </c>
      <c r="J13" s="79"/>
      <c r="K13" s="80"/>
    </row>
    <row r="14" spans="1:14" s="78" customFormat="1" ht="24.95" customHeight="1" x14ac:dyDescent="0.25">
      <c r="A14" s="96">
        <v>3</v>
      </c>
      <c r="B14" s="97">
        <v>1205</v>
      </c>
      <c r="C14" s="98" t="str">
        <f>VLOOKUP(B14,'[1]DATA MP'!$A$1:$W$1600,3,0)</f>
        <v>AULIYA RAHMAN</v>
      </c>
      <c r="D14" s="98" t="str">
        <f>VLOOKUP(B14,'[1]DATA MP'!$A$1:$W$1600,9,0)</f>
        <v>PRD</v>
      </c>
      <c r="E14" s="98" t="str">
        <f>VLOOKUP(B14,'[1]DATA MP'!$A$1:$W$1600,13,0)</f>
        <v>CPA MAZDA J03</v>
      </c>
      <c r="F14" s="98" t="str">
        <f>VLOOKUP(B14,'[1]DATA MP'!$A$1:$W$1600,16,0)</f>
        <v>A</v>
      </c>
      <c r="G14" s="98" t="str">
        <f>VLOOKUP(B14,'[1]DATA MP'!$A$1:$W$1600,22,0)</f>
        <v>L</v>
      </c>
      <c r="H14" s="98">
        <f>VLOOKUP(B14,'[1]DATA MP'!$A$1:$W$1600,23,0)</f>
        <v>40</v>
      </c>
      <c r="I14" s="75" t="s">
        <v>4342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>
        <v>5465</v>
      </c>
      <c r="C15" s="98" t="str">
        <f>VLOOKUP(B15,'[1]DATA MP'!$A$1:$W$1600,3,0)</f>
        <v>TITIK WAHYUNI</v>
      </c>
      <c r="D15" s="98" t="str">
        <f>VLOOKUP(B15,'[1]DATA MP'!$A$1:$W$1600,9,0)</f>
        <v>PP</v>
      </c>
      <c r="E15" s="98" t="str">
        <f>VLOOKUP(B15,'[1]DATA MP'!$A$1:$W$1600,13,0)</f>
        <v>PP-2</v>
      </c>
      <c r="F15" s="98" t="str">
        <f>VLOOKUP(B15,'[1]DATA MP'!$A$1:$W$1600,16,0)</f>
        <v>A (NS)</v>
      </c>
      <c r="G15" s="98" t="str">
        <f>VLOOKUP(B15,'[1]DATA MP'!$A$1:$W$1600,22,0)</f>
        <v>P</v>
      </c>
      <c r="H15" s="98">
        <f>VLOOKUP(B15,'[1]DATA MP'!$A$1:$W$1600,23,0)</f>
        <v>40</v>
      </c>
      <c r="I15" s="75" t="s">
        <v>4342</v>
      </c>
      <c r="J15" s="81"/>
      <c r="K15" s="82"/>
    </row>
    <row r="16" spans="1:14" ht="24.95" customHeight="1" x14ac:dyDescent="0.25">
      <c r="A16" s="96">
        <v>5</v>
      </c>
      <c r="B16" s="97">
        <v>5467</v>
      </c>
      <c r="C16" s="98" t="str">
        <f>VLOOKUP(B16,'[1]DATA MP'!$A$1:$W$1600,3,0)</f>
        <v>WAHYU NUR DIYANINGSIH</v>
      </c>
      <c r="D16" s="98" t="str">
        <f>VLOOKUP(B16,'[1]DATA MP'!$A$1:$W$1600,9,0)</f>
        <v>PP</v>
      </c>
      <c r="E16" s="98" t="str">
        <f>VLOOKUP(B16,'[1]DATA MP'!$A$1:$W$1600,13,0)</f>
        <v>SWCT</v>
      </c>
      <c r="F16" s="98" t="str">
        <f>VLOOKUP(B16,'[1]DATA MP'!$A$1:$W$1600,16,0)</f>
        <v>A (NS)</v>
      </c>
      <c r="G16" s="98" t="str">
        <f>VLOOKUP(B16,'[1]DATA MP'!$A$1:$W$1600,22,0)</f>
        <v>P</v>
      </c>
      <c r="H16" s="98">
        <f>VLOOKUP(B16,'[1]DATA MP'!$A$1:$W$1600,23,0)</f>
        <v>40</v>
      </c>
      <c r="I16" s="75" t="s">
        <v>4342</v>
      </c>
      <c r="J16" s="81">
        <v>5</v>
      </c>
      <c r="K16" s="82">
        <v>6</v>
      </c>
    </row>
    <row r="17" spans="1:11" ht="24.95" customHeight="1" x14ac:dyDescent="0.25">
      <c r="A17" s="72">
        <v>6</v>
      </c>
      <c r="B17" s="73">
        <v>1204</v>
      </c>
      <c r="C17" s="74" t="str">
        <f>VLOOKUP(B17,'[1]DATA MP'!$A$1:$W$1600,3,0)</f>
        <v>JEHEZKIEL KURNIAWAN</v>
      </c>
      <c r="D17" s="74" t="str">
        <f>VLOOKUP(B17,'[1]DATA MP'!$A$1:$W$1600,9,0)</f>
        <v>PE</v>
      </c>
      <c r="E17" s="74" t="str">
        <f>VLOOKUP(B17,'[1]DATA MP'!$A$1:$W$1600,13,0)</f>
        <v>JBP</v>
      </c>
      <c r="F17" s="74" t="str">
        <f>VLOOKUP(B17,'[1]DATA MP'!$A$1:$W$1600,16,0)</f>
        <v>A (NS)</v>
      </c>
      <c r="G17" s="74" t="str">
        <f>VLOOKUP(B17,'[1]DATA MP'!$A$1:$W$1600,22,0)</f>
        <v>L</v>
      </c>
      <c r="H17" s="74">
        <f>VLOOKUP(B17,'[1]DATA MP'!$A$1:$W$1600,23,0)</f>
        <v>42</v>
      </c>
      <c r="I17" s="75" t="s">
        <v>4342</v>
      </c>
      <c r="J17" s="81"/>
      <c r="K17" s="82"/>
    </row>
    <row r="18" spans="1:11" ht="24.95" customHeight="1" x14ac:dyDescent="0.25">
      <c r="A18" s="96">
        <v>7</v>
      </c>
      <c r="B18" s="97">
        <v>6129</v>
      </c>
      <c r="C18" s="98" t="str">
        <f>VLOOKUP(B18,'[1]DATA MP'!$A$1:$W$1600,3,0)</f>
        <v>DIAN ANGGRAENI</v>
      </c>
      <c r="D18" s="98" t="str">
        <f>VLOOKUP(B18,'[1]DATA MP'!$A$1:$W$1600,9,0)</f>
        <v>PRD</v>
      </c>
      <c r="E18" s="98" t="str">
        <f>VLOOKUP(B18,'[1]DATA MP'!$A$1:$W$1600,13,0)</f>
        <v>CPA HONDA SOLENOID</v>
      </c>
      <c r="F18" s="98" t="str">
        <f>VLOOKUP(B18,'[1]DATA MP'!$A$1:$W$1600,16,0)</f>
        <v>A</v>
      </c>
      <c r="G18" s="98" t="str">
        <f>VLOOKUP(B18,'[1]DATA MP'!$A$1:$W$1600,22,0)</f>
        <v>P</v>
      </c>
      <c r="H18" s="98">
        <f>VLOOKUP(B18,'[1]DATA MP'!$A$1:$W$1600,23,0)</f>
        <v>39</v>
      </c>
      <c r="I18" s="75" t="s">
        <v>4342</v>
      </c>
      <c r="J18" s="81">
        <v>7</v>
      </c>
      <c r="K18" s="82">
        <v>8</v>
      </c>
    </row>
    <row r="19" spans="1:11" ht="24.95" customHeight="1" x14ac:dyDescent="0.25">
      <c r="A19" s="72">
        <v>8</v>
      </c>
      <c r="B19" s="73">
        <v>1908</v>
      </c>
      <c r="C19" s="74" t="str">
        <f>VLOOKUP(B19,'[1]DATA MP'!$A$1:$W$1600,3,0)</f>
        <v>AGUS FREDDY KURNIAWAN</v>
      </c>
      <c r="D19" s="74" t="str">
        <f>VLOOKUP(B19,'[1]DATA MP'!$A$1:$W$1600,9,0)</f>
        <v>PGA</v>
      </c>
      <c r="E19" s="74" t="str">
        <f>VLOOKUP(B19,'[1]DATA MP'!$A$1:$W$1600,13,0)</f>
        <v>IT</v>
      </c>
      <c r="F19" s="74" t="str">
        <f>VLOOKUP(B19,'[1]DATA MP'!$A$1:$W$1600,16,0)</f>
        <v>A (NS)</v>
      </c>
      <c r="G19" s="74" t="str">
        <f>VLOOKUP(B19,'[1]DATA MP'!$A$1:$W$1600,22,0)</f>
        <v>L</v>
      </c>
      <c r="H19" s="74">
        <f>VLOOKUP(B19,'[1]DATA MP'!$A$1:$W$1600,23,0)</f>
        <v>43</v>
      </c>
      <c r="I19" s="75" t="s">
        <v>4342</v>
      </c>
      <c r="J19" s="81"/>
      <c r="K19" s="82"/>
    </row>
    <row r="20" spans="1:11" ht="24.95" customHeight="1" x14ac:dyDescent="0.25">
      <c r="A20" s="72">
        <v>9</v>
      </c>
      <c r="B20" s="73">
        <v>4849</v>
      </c>
      <c r="C20" s="74" t="str">
        <f>VLOOKUP(B20,'[1]DATA MP'!$A$1:$W$1600,3,0)</f>
        <v>YENY FADILAH</v>
      </c>
      <c r="D20" s="74" t="str">
        <f>VLOOKUP(B20,'[1]DATA MP'!$A$1:$W$1600,9,0)</f>
        <v>PGA</v>
      </c>
      <c r="E20" s="74" t="str">
        <f>VLOOKUP(B20,'[1]DATA MP'!$A$1:$W$1600,13,0)</f>
        <v>TRN</v>
      </c>
      <c r="F20" s="74" t="str">
        <f>VLOOKUP(B20,'[1]DATA MP'!$A$1:$W$1600,16,0)</f>
        <v>A (NS)</v>
      </c>
      <c r="G20" s="74" t="str">
        <f>VLOOKUP(B20,'[1]DATA MP'!$A$1:$W$1600,22,0)</f>
        <v>P</v>
      </c>
      <c r="H20" s="74">
        <f>VLOOKUP(B20,'[1]DATA MP'!$A$1:$W$1600,23,0)</f>
        <v>41</v>
      </c>
      <c r="I20" s="75" t="s">
        <v>4342</v>
      </c>
      <c r="J20" s="81">
        <v>9</v>
      </c>
      <c r="K20" s="82">
        <v>10</v>
      </c>
    </row>
    <row r="21" spans="1:11" s="99" customFormat="1" ht="24.95" customHeight="1" x14ac:dyDescent="0.25">
      <c r="A21" s="96">
        <v>10</v>
      </c>
      <c r="B21" s="97">
        <v>1455</v>
      </c>
      <c r="C21" s="98" t="str">
        <f>VLOOKUP(B21,'[1]DATA MP'!$A$1:$W$1600,3,0)</f>
        <v>NUR BAETI</v>
      </c>
      <c r="D21" s="98" t="str">
        <f>VLOOKUP(B21,'[1]DATA MP'!$A$1:$W$1600,9,0)</f>
        <v>PRD</v>
      </c>
      <c r="E21" s="98" t="str">
        <f>VLOOKUP(B21,'[1]DATA MP'!$A$1:$W$1600,13,0)</f>
        <v>CPA TOYOTA 10 PL</v>
      </c>
      <c r="F21" s="98" t="str">
        <f>VLOOKUP(B21,'[1]DATA MP'!$A$1:$W$1600,16,0)</f>
        <v>A</v>
      </c>
      <c r="G21" s="98" t="str">
        <f>VLOOKUP(B21,'[1]DATA MP'!$A$1:$W$1600,22,0)</f>
        <v>P</v>
      </c>
      <c r="H21" s="98">
        <f>VLOOKUP(B21,'[1]DATA MP'!$A$1:$W$1600,23,0)</f>
        <v>39</v>
      </c>
      <c r="I21" s="75" t="s">
        <v>4342</v>
      </c>
      <c r="J21" s="81"/>
      <c r="K21" s="82"/>
    </row>
    <row r="22" spans="1:11" s="99" customFormat="1" ht="24.95" customHeight="1" x14ac:dyDescent="0.25">
      <c r="A22" s="96">
        <v>11</v>
      </c>
      <c r="B22" s="97">
        <v>5743</v>
      </c>
      <c r="C22" s="98" t="str">
        <f>VLOOKUP(B22,'[1]DATA MP'!$A$1:$W$1600,3,0)</f>
        <v>SUTIYONO</v>
      </c>
      <c r="D22" s="98" t="str">
        <f>VLOOKUP(B22,'[1]DATA MP'!$A$1:$W$1600,9,0)</f>
        <v>LOG</v>
      </c>
      <c r="E22" s="98" t="str">
        <f>VLOOKUP(B22,'[1]DATA MP'!$A$1:$W$1600,13,0)</f>
        <v>WHS</v>
      </c>
      <c r="F22" s="98" t="str">
        <f>VLOOKUP(B22,'[1]DATA MP'!$A$1:$W$1600,16,0)</f>
        <v>A</v>
      </c>
      <c r="G22" s="98" t="str">
        <f>VLOOKUP(B22,'[1]DATA MP'!$A$1:$W$1600,22,0)</f>
        <v>L</v>
      </c>
      <c r="H22" s="98">
        <f>VLOOKUP(B22,'[1]DATA MP'!$A$1:$W$1600,23,0)</f>
        <v>40</v>
      </c>
      <c r="I22" s="75" t="s">
        <v>4342</v>
      </c>
      <c r="J22" s="100">
        <v>11</v>
      </c>
      <c r="K22" s="101">
        <v>12</v>
      </c>
    </row>
    <row r="23" spans="1:11" s="99" customFormat="1" ht="24.95" customHeight="1" x14ac:dyDescent="0.25">
      <c r="A23" s="96">
        <v>12</v>
      </c>
      <c r="B23" s="97">
        <v>5786</v>
      </c>
      <c r="C23" s="98" t="str">
        <f>VLOOKUP(B23,'[1]DATA MP'!$A$1:$W$1600,3,0)</f>
        <v>MINTARSIH</v>
      </c>
      <c r="D23" s="98" t="str">
        <f>VLOOKUP(B23,'[1]DATA MP'!$A$1:$W$1600,9,0)</f>
        <v>PRD</v>
      </c>
      <c r="E23" s="98" t="str">
        <f>VLOOKUP(B23,'[1]DATA MP'!$A$1:$W$1600,13,0)</f>
        <v>CPA TOYOTA LV</v>
      </c>
      <c r="F23" s="98" t="str">
        <f>VLOOKUP(B23,'[1]DATA MP'!$A$1:$W$1600,16,0)</f>
        <v>A</v>
      </c>
      <c r="G23" s="98" t="str">
        <f>VLOOKUP(B23,'[1]DATA MP'!$A$1:$W$1600,22,0)</f>
        <v>P</v>
      </c>
      <c r="H23" s="98">
        <f>VLOOKUP(B23,'[1]DATA MP'!$A$1:$W$1600,23,0)</f>
        <v>40</v>
      </c>
      <c r="I23" s="75" t="s">
        <v>4342</v>
      </c>
      <c r="J23" s="100"/>
      <c r="K23" s="101"/>
    </row>
    <row r="24" spans="1:11" s="99" customFormat="1" ht="24.95" customHeight="1" x14ac:dyDescent="0.25">
      <c r="A24" s="96">
        <v>13</v>
      </c>
      <c r="B24" s="97">
        <v>4851</v>
      </c>
      <c r="C24" s="98" t="str">
        <f>VLOOKUP(B24,'[1]DATA MP'!$A$1:$W$1600,3,0)</f>
        <v>ROHMAT</v>
      </c>
      <c r="D24" s="98" t="str">
        <f>VLOOKUP(B24,'[1]DATA MP'!$A$1:$W$1600,9,0)</f>
        <v>PRD</v>
      </c>
      <c r="E24" s="98" t="str">
        <f>VLOOKUP(B24,'[1]DATA MP'!$A$1:$W$1600,13,0)</f>
        <v>CUTTING PROJECT</v>
      </c>
      <c r="F24" s="98" t="str">
        <f>VLOOKUP(B24,'[1]DATA MP'!$A$1:$W$1600,16,0)</f>
        <v>A (NS)</v>
      </c>
      <c r="G24" s="98" t="str">
        <f>VLOOKUP(B24,'[1]DATA MP'!$A$1:$W$1600,22,0)</f>
        <v>L</v>
      </c>
      <c r="H24" s="98">
        <f>VLOOKUP(B24,'[1]DATA MP'!$A$1:$W$1600,23,0)</f>
        <v>40</v>
      </c>
      <c r="I24" s="75" t="s">
        <v>4342</v>
      </c>
      <c r="J24" s="100">
        <v>13</v>
      </c>
      <c r="K24" s="101">
        <v>14</v>
      </c>
    </row>
    <row r="25" spans="1:11" s="99" customFormat="1" ht="24.95" customHeight="1" x14ac:dyDescent="0.25">
      <c r="A25" s="96">
        <v>14</v>
      </c>
      <c r="B25" s="130">
        <v>11167</v>
      </c>
      <c r="C25" s="146" t="str">
        <f>VLOOKUP(B25,'[1]DATA MP'!$A$1:$W$1600,3,0)</f>
        <v>DEWI SURYANI</v>
      </c>
      <c r="D25" s="146" t="str">
        <f>VLOOKUP(B25,'[1]DATA MP'!$A$1:$W$1600,9,0)</f>
        <v>PRD</v>
      </c>
      <c r="E25" s="146" t="str">
        <f>VLOOKUP(B25,'[1]DATA MP'!$A$1:$W$1600,13,0)</f>
        <v>CV H02</v>
      </c>
      <c r="F25" s="146" t="str">
        <f>VLOOKUP(B25,'[1]DATA MP'!$A$1:$W$1600,16,0)</f>
        <v>A</v>
      </c>
      <c r="G25" s="146" t="str">
        <f>VLOOKUP(B25,'[1]DATA MP'!$A$1:$W$1600,22,0)</f>
        <v>P</v>
      </c>
      <c r="H25" s="146">
        <f>VLOOKUP(B25,'[1]DATA MP'!$A$1:$W$1600,23,0)</f>
        <v>35</v>
      </c>
      <c r="I25" s="75" t="s">
        <v>4342</v>
      </c>
      <c r="J25" s="144"/>
      <c r="K25" s="145"/>
    </row>
    <row r="26" spans="1:11" ht="24.95" customHeight="1" x14ac:dyDescent="0.25">
      <c r="A26" s="140">
        <v>15</v>
      </c>
      <c r="B26" s="73">
        <v>340</v>
      </c>
      <c r="C26" s="74" t="str">
        <f>VLOOKUP(B26,'[1]DATA MP'!$A$1:$W$1600,3,0)</f>
        <v>NUR WAHYUNI</v>
      </c>
      <c r="D26" s="74" t="str">
        <f>VLOOKUP(B26,'[1]DATA MP'!$A$1:$W$1600,9,0)</f>
        <v>PRD</v>
      </c>
      <c r="E26" s="74" t="str">
        <f>VLOOKUP(B26,'[1]DATA MP'!$A$1:$W$1600,13,0)</f>
        <v>CUTTING TUBE</v>
      </c>
      <c r="F26" s="74" t="str">
        <f>VLOOKUP(B26,'[1]DATA MP'!$A$1:$W$1600,16,0)</f>
        <v>A</v>
      </c>
      <c r="G26" s="74" t="str">
        <f>VLOOKUP(B26,'[1]DATA MP'!$A$1:$W$1600,22,0)</f>
        <v>P</v>
      </c>
      <c r="H26" s="74">
        <f>VLOOKUP(B26,'[1]DATA MP'!$A$1:$W$1600,23,0)</f>
        <v>42</v>
      </c>
      <c r="I26" s="75" t="s">
        <v>4342</v>
      </c>
      <c r="J26" s="132">
        <v>15</v>
      </c>
      <c r="K26" s="141"/>
    </row>
    <row r="27" spans="1:11" s="134" customFormat="1" ht="24.95" customHeight="1" x14ac:dyDescent="0.25">
      <c r="A27" s="136"/>
      <c r="B27" s="143"/>
      <c r="C27" s="138"/>
      <c r="D27" s="138"/>
      <c r="E27" s="138"/>
      <c r="F27" s="138"/>
      <c r="G27" s="138"/>
      <c r="H27" s="138"/>
      <c r="I27" s="138"/>
      <c r="J27" s="139"/>
      <c r="K27" s="139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  <row r="34" spans="4:5" x14ac:dyDescent="0.25">
      <c r="D34" s="73">
        <v>11167</v>
      </c>
      <c r="E34" s="97">
        <v>307</v>
      </c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5:E1048576">
    <cfRule type="duplicateValues" dxfId="43" priority="5"/>
    <cfRule type="duplicateValues" dxfId="42" priority="6"/>
  </conditionalFormatting>
  <conditionalFormatting sqref="D34">
    <cfRule type="duplicateValues" dxfId="3" priority="3"/>
    <cfRule type="duplicateValues" dxfId="2" priority="4"/>
  </conditionalFormatting>
  <conditionalFormatting sqref="B25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34EC-A5AA-4F60-AC83-FABE6D7DDA0C}">
  <dimension ref="A1:N33"/>
  <sheetViews>
    <sheetView topLeftCell="A10" workbookViewId="0">
      <selection activeCell="G25" sqref="G25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>
        <v>8834</v>
      </c>
      <c r="C12" s="98" t="str">
        <f>VLOOKUP(B12,'[1]DATA MP'!$A$1:$W$1600,3,0)</f>
        <v>LULUK ATUL FATKHIYYAH</v>
      </c>
      <c r="D12" s="98" t="str">
        <f>VLOOKUP(B12,'[1]DATA MP'!$A$1:$W$1600,9,0)</f>
        <v>PRD</v>
      </c>
      <c r="E12" s="98" t="str">
        <f>VLOOKUP(B12,'[1]DATA MP'!$A$1:$W$1600,13,0)</f>
        <v>CPA HONDA NES HEV/PET</v>
      </c>
      <c r="F12" s="98" t="str">
        <f>VLOOKUP(B12,'[1]DATA MP'!$A$1:$W$1600,16,0)</f>
        <v>A</v>
      </c>
      <c r="G12" s="98" t="str">
        <f>VLOOKUP(B12,'[1]DATA MP'!$A$1:$W$1600,22,0)</f>
        <v>P</v>
      </c>
      <c r="H12" s="98">
        <f>VLOOKUP(B12,'[1]DATA MP'!$A$1:$W$1600,23,0)</f>
        <v>34</v>
      </c>
      <c r="I12" s="75" t="s">
        <v>4343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11268</v>
      </c>
      <c r="C13" s="98" t="str">
        <f>VLOOKUP(B13,'[1]DATA MP'!$A$1:$W$1600,3,0)</f>
        <v>NOVI KARTIKA SETYANINGRUM</v>
      </c>
      <c r="D13" s="98" t="str">
        <f>VLOOKUP(B13,'[1]DATA MP'!$A$1:$W$1600,9,0)</f>
        <v>PRD</v>
      </c>
      <c r="E13" s="98" t="str">
        <f>VLOOKUP(B13,'[1]DATA MP'!$A$1:$W$1600,13,0)</f>
        <v>CPA MAZDA J03</v>
      </c>
      <c r="F13" s="98" t="str">
        <f>VLOOKUP(B13,'[1]DATA MP'!$A$1:$W$1600,16,0)</f>
        <v>A</v>
      </c>
      <c r="G13" s="98" t="str">
        <f>VLOOKUP(B13,'[1]DATA MP'!$A$1:$W$1600,22,0)</f>
        <v>P</v>
      </c>
      <c r="H13" s="98">
        <f>VLOOKUP(B13,'[1]DATA MP'!$A$1:$W$1600,23,0)</f>
        <v>33</v>
      </c>
      <c r="I13" s="75" t="s">
        <v>4343</v>
      </c>
      <c r="J13" s="79"/>
      <c r="K13" s="80"/>
    </row>
    <row r="14" spans="1:14" s="78" customFormat="1" ht="24.95" customHeight="1" x14ac:dyDescent="0.25">
      <c r="A14" s="96">
        <v>3</v>
      </c>
      <c r="B14" s="97">
        <v>5480</v>
      </c>
      <c r="C14" s="98" t="str">
        <f>VLOOKUP(B14,'[1]DATA MP'!$A$1:$W$1600,3,0)</f>
        <v>TOYI'IN</v>
      </c>
      <c r="D14" s="98" t="str">
        <f>VLOOKUP(B14,'[1]DATA MP'!$A$1:$W$1600,9,0)</f>
        <v>LOG</v>
      </c>
      <c r="E14" s="98" t="str">
        <f>VLOOKUP(B14,'[1]DATA MP'!$A$1:$W$1600,13,0)</f>
        <v>L. DOCK</v>
      </c>
      <c r="F14" s="98" t="str">
        <f>VLOOKUP(B14,'[1]DATA MP'!$A$1:$W$1600,16,0)</f>
        <v>A (NS)</v>
      </c>
      <c r="G14" s="98" t="str">
        <f>VLOOKUP(B14,'[1]DATA MP'!$A$1:$W$1600,22,0)</f>
        <v>L</v>
      </c>
      <c r="H14" s="98">
        <f>VLOOKUP(B14,'[1]DATA MP'!$A$1:$W$1600,23,0)</f>
        <v>40</v>
      </c>
      <c r="I14" s="75" t="s">
        <v>4343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 t="s">
        <v>3557</v>
      </c>
      <c r="C15" s="98" t="str">
        <f>VLOOKUP(B15,'[1]DATA MP'!$A$1:$W$1600,3,0)</f>
        <v>SUNARTI</v>
      </c>
      <c r="D15" s="98" t="str">
        <f>VLOOKUP(B15,'[1]DATA MP'!$A$1:$W$1600,9,0)</f>
        <v>PRD</v>
      </c>
      <c r="E15" s="98" t="str">
        <f>VLOOKUP(B15,'[1]DATA MP'!$A$1:$W$1600,13,0)</f>
        <v>CPA MAZDA CX-5</v>
      </c>
      <c r="F15" s="98" t="str">
        <f>VLOOKUP(B15,'[1]DATA MP'!$A$1:$W$1600,16,0)</f>
        <v>A</v>
      </c>
      <c r="G15" s="98" t="str">
        <f>VLOOKUP(B15,'[1]DATA MP'!$A$1:$W$1600,22,0)</f>
        <v>P</v>
      </c>
      <c r="H15" s="98">
        <f>VLOOKUP(B15,'[1]DATA MP'!$A$1:$W$1600,23,0)</f>
        <v>34</v>
      </c>
      <c r="I15" s="75" t="s">
        <v>4343</v>
      </c>
      <c r="J15" s="81"/>
      <c r="K15" s="82"/>
    </row>
    <row r="16" spans="1:14" ht="24.95" customHeight="1" x14ac:dyDescent="0.25">
      <c r="A16" s="96">
        <v>5</v>
      </c>
      <c r="B16" s="97">
        <v>649</v>
      </c>
      <c r="C16" s="98" t="str">
        <f>VLOOKUP(B16,'[1]DATA MP'!$A$1:$W$1600,3,0)</f>
        <v>FAJARINI DWI WAHYUNI</v>
      </c>
      <c r="D16" s="98" t="str">
        <f>VLOOKUP(B16,'[1]DATA MP'!$A$1:$W$1600,9,0)</f>
        <v>PRD</v>
      </c>
      <c r="E16" s="98" t="str">
        <f>VLOOKUP(B16,'[1]DATA MP'!$A$1:$W$1600,13,0)</f>
        <v>CPA MAZDA J03</v>
      </c>
      <c r="F16" s="98" t="str">
        <f>VLOOKUP(B16,'[1]DATA MP'!$A$1:$W$1600,16,0)</f>
        <v>A</v>
      </c>
      <c r="G16" s="98" t="str">
        <f>VLOOKUP(B16,'[1]DATA MP'!$A$1:$W$1600,22,0)</f>
        <v>P</v>
      </c>
      <c r="H16" s="98">
        <f>VLOOKUP(B16,'[1]DATA MP'!$A$1:$W$1600,23,0)</f>
        <v>43</v>
      </c>
      <c r="I16" s="75" t="s">
        <v>4343</v>
      </c>
      <c r="J16" s="81">
        <v>5</v>
      </c>
      <c r="K16" s="82">
        <v>6</v>
      </c>
    </row>
    <row r="17" spans="1:11" ht="24.95" customHeight="1" x14ac:dyDescent="0.25">
      <c r="A17" s="96">
        <v>6</v>
      </c>
      <c r="B17" s="97">
        <v>10870</v>
      </c>
      <c r="C17" s="98" t="str">
        <f>VLOOKUP(B17,'[1]DATA MP'!$A$1:$W$1600,3,0)</f>
        <v>WATI NURJANAH</v>
      </c>
      <c r="D17" s="98" t="str">
        <f>VLOOKUP(B17,'[1]DATA MP'!$A$1:$W$1600,9,0)</f>
        <v>PRD</v>
      </c>
      <c r="E17" s="98" t="str">
        <f>VLOOKUP(B17,'[1]DATA MP'!$A$1:$W$1600,13,0)</f>
        <v>CPA TOYOTA LV</v>
      </c>
      <c r="F17" s="98" t="str">
        <f>VLOOKUP(B17,'[1]DATA MP'!$A$1:$W$1600,16,0)</f>
        <v>A</v>
      </c>
      <c r="G17" s="98" t="str">
        <f>VLOOKUP(B17,'[1]DATA MP'!$A$1:$W$1600,22,0)</f>
        <v>P</v>
      </c>
      <c r="H17" s="98">
        <f>VLOOKUP(B17,'[1]DATA MP'!$A$1:$W$1600,23,0)</f>
        <v>32</v>
      </c>
      <c r="I17" s="75" t="s">
        <v>4343</v>
      </c>
      <c r="J17" s="81"/>
      <c r="K17" s="82"/>
    </row>
    <row r="18" spans="1:11" s="78" customFormat="1" ht="24.95" customHeight="1" x14ac:dyDescent="0.25">
      <c r="A18" s="72">
        <v>7</v>
      </c>
      <c r="B18" s="73">
        <v>5484</v>
      </c>
      <c r="C18" s="74" t="str">
        <f>VLOOKUP(B18,'[1]DATA MP'!$A$1:$W$1600,3,0)</f>
        <v>SUMARTONO</v>
      </c>
      <c r="D18" s="74" t="str">
        <f>VLOOKUP(B18,'[1]DATA MP'!$A$1:$W$1600,9,0)</f>
        <v>PRD</v>
      </c>
      <c r="E18" s="74" t="str">
        <f>VLOOKUP(B18,'[1]DATA MP'!$A$1:$W$1600,13,0)</f>
        <v>CUTTING PROJECT</v>
      </c>
      <c r="F18" s="74" t="str">
        <f>VLOOKUP(B18,'[1]DATA MP'!$A$1:$W$1600,16,0)</f>
        <v>A (NS)</v>
      </c>
      <c r="G18" s="74" t="str">
        <f>VLOOKUP(B18,'[1]DATA MP'!$A$1:$W$1600,22,0)</f>
        <v>L</v>
      </c>
      <c r="H18" s="74">
        <f>VLOOKUP(B18,'[1]DATA MP'!$A$1:$W$1600,23,0)</f>
        <v>41</v>
      </c>
      <c r="I18" s="75" t="s">
        <v>4343</v>
      </c>
      <c r="J18" s="81">
        <v>7</v>
      </c>
      <c r="K18" s="82">
        <v>8</v>
      </c>
    </row>
    <row r="19" spans="1:11" ht="24.95" customHeight="1" x14ac:dyDescent="0.25">
      <c r="A19" s="96">
        <v>8</v>
      </c>
      <c r="B19" s="97">
        <v>6029</v>
      </c>
      <c r="C19" s="98" t="str">
        <f>VLOOKUP(B19,'[1]DATA MP'!$A$1:$W$1600,3,0)</f>
        <v>AGUS VRIYANTO</v>
      </c>
      <c r="D19" s="98" t="str">
        <f>VLOOKUP(B19,'[1]DATA MP'!$A$1:$W$1600,9,0)</f>
        <v>LOG</v>
      </c>
      <c r="E19" s="98" t="str">
        <f>VLOOKUP(B19,'[1]DATA MP'!$A$1:$W$1600,13,0)</f>
        <v>WHS</v>
      </c>
      <c r="F19" s="98" t="str">
        <f>VLOOKUP(B19,'[1]DATA MP'!$A$1:$W$1600,16,0)</f>
        <v>A</v>
      </c>
      <c r="G19" s="98" t="str">
        <f>VLOOKUP(B19,'[1]DATA MP'!$A$1:$W$1600,22,0)</f>
        <v>L</v>
      </c>
      <c r="H19" s="98">
        <f>VLOOKUP(B19,'[1]DATA MP'!$A$1:$W$1600,23,0)</f>
        <v>40</v>
      </c>
      <c r="I19" s="75" t="s">
        <v>4343</v>
      </c>
      <c r="J19" s="81"/>
      <c r="K19" s="82"/>
    </row>
    <row r="20" spans="1:11" ht="24.95" customHeight="1" x14ac:dyDescent="0.25">
      <c r="A20" s="96">
        <v>9</v>
      </c>
      <c r="B20" s="97">
        <v>6058</v>
      </c>
      <c r="C20" s="98" t="str">
        <f>VLOOKUP(B20,'[1]DATA MP'!$A$1:$W$1600,3,0)</f>
        <v>ISTINI</v>
      </c>
      <c r="D20" s="98" t="str">
        <f>VLOOKUP(B20,'[1]DATA MP'!$A$1:$W$1600,9,0)</f>
        <v>OTHERS</v>
      </c>
      <c r="E20" s="98" t="str">
        <f>VLOOKUP(B20,'[1]DATA MP'!$A$1:$W$1600,13,0)</f>
        <v>BUFFER MP SAMI</v>
      </c>
      <c r="F20" s="98" t="str">
        <f>VLOOKUP(B20,'[1]DATA MP'!$A$1:$W$1600,16,0)</f>
        <v>A (NS)</v>
      </c>
      <c r="G20" s="98" t="str">
        <f>VLOOKUP(B20,'[1]DATA MP'!$A$1:$W$1600,22,0)</f>
        <v>P</v>
      </c>
      <c r="H20" s="98">
        <f>VLOOKUP(B20,'[1]DATA MP'!$A$1:$W$1600,23,0)</f>
        <v>38</v>
      </c>
      <c r="I20" s="75" t="s">
        <v>4343</v>
      </c>
      <c r="J20" s="81">
        <v>9</v>
      </c>
      <c r="K20" s="82">
        <v>10</v>
      </c>
    </row>
    <row r="21" spans="1:11" ht="24.95" customHeight="1" x14ac:dyDescent="0.25">
      <c r="A21" s="96">
        <v>10</v>
      </c>
      <c r="B21" s="97">
        <v>6099</v>
      </c>
      <c r="C21" s="98" t="str">
        <f>VLOOKUP(B21,'[1]DATA MP'!$A$1:$W$1600,3,0)</f>
        <v>SUTIYANI</v>
      </c>
      <c r="D21" s="98" t="str">
        <f>VLOOKUP(B21,'[1]DATA MP'!$A$1:$W$1600,9,0)</f>
        <v>LOG</v>
      </c>
      <c r="E21" s="98" t="str">
        <f>VLOOKUP(B21,'[1]DATA MP'!$A$1:$W$1600,13,0)</f>
        <v>PPIC</v>
      </c>
      <c r="F21" s="98" t="str">
        <f>VLOOKUP(B21,'[1]DATA MP'!$A$1:$W$1600,16,0)</f>
        <v>A (NS)</v>
      </c>
      <c r="G21" s="98" t="str">
        <f>VLOOKUP(B21,'[1]DATA MP'!$A$1:$W$1600,22,0)</f>
        <v>P</v>
      </c>
      <c r="H21" s="98">
        <f>VLOOKUP(B21,'[1]DATA MP'!$A$1:$W$1600,23,0)</f>
        <v>38</v>
      </c>
      <c r="I21" s="75" t="s">
        <v>4343</v>
      </c>
      <c r="J21" s="81"/>
      <c r="K21" s="82"/>
    </row>
    <row r="22" spans="1:11" ht="24.95" customHeight="1" x14ac:dyDescent="0.25">
      <c r="A22" s="72">
        <v>11</v>
      </c>
      <c r="B22" s="73">
        <v>119</v>
      </c>
      <c r="C22" s="74" t="str">
        <f>VLOOKUP(B22,'[1]DATA MP'!$A$1:$W$1600,3,0)</f>
        <v>SRI SURAMI</v>
      </c>
      <c r="D22" s="74" t="str">
        <f>VLOOKUP(B22,'[1]DATA MP'!$A$1:$W$1600,9,0)</f>
        <v>LOG</v>
      </c>
      <c r="E22" s="74" t="str">
        <f>VLOOKUP(B22,'[1]DATA MP'!$A$1:$W$1600,13,0)</f>
        <v>PPIC</v>
      </c>
      <c r="F22" s="74" t="str">
        <f>VLOOKUP(B22,'[1]DATA MP'!$A$1:$W$1600,16,0)</f>
        <v>A (NS)</v>
      </c>
      <c r="G22" s="74" t="str">
        <f>VLOOKUP(B22,'[1]DATA MP'!$A$1:$W$1600,22,0)</f>
        <v>P</v>
      </c>
      <c r="H22" s="74">
        <f>VLOOKUP(B22,'[1]DATA MP'!$A$1:$W$1600,23,0)</f>
        <v>41</v>
      </c>
      <c r="I22" s="75" t="s">
        <v>4343</v>
      </c>
      <c r="J22" s="81">
        <v>11</v>
      </c>
      <c r="K22" s="82">
        <v>12</v>
      </c>
    </row>
    <row r="23" spans="1:11" ht="24.95" customHeight="1" x14ac:dyDescent="0.25">
      <c r="A23" s="72">
        <v>12</v>
      </c>
      <c r="B23" s="73">
        <v>871</v>
      </c>
      <c r="C23" s="74" t="str">
        <f>VLOOKUP(B23,'[1]DATA MP'!$A$1:$W$1600,3,0)</f>
        <v>KHOLILAH</v>
      </c>
      <c r="D23" s="74" t="str">
        <f>VLOOKUP(B23,'[1]DATA MP'!$A$1:$W$1600,9,0)</f>
        <v>QA</v>
      </c>
      <c r="E23" s="74" t="str">
        <f>VLOOKUP(B23,'[1]DATA MP'!$A$1:$W$1600,13,0)</f>
        <v>PROTOTYPE</v>
      </c>
      <c r="F23" s="74" t="str">
        <f>VLOOKUP(B23,'[1]DATA MP'!$A$1:$W$1600,16,0)</f>
        <v>A (NS)</v>
      </c>
      <c r="G23" s="74" t="str">
        <f>VLOOKUP(B23,'[1]DATA MP'!$A$1:$W$1600,22,0)</f>
        <v>P</v>
      </c>
      <c r="H23" s="74">
        <f>VLOOKUP(B23,'[1]DATA MP'!$A$1:$W$1600,23,0)</f>
        <v>42</v>
      </c>
      <c r="I23" s="75" t="s">
        <v>4343</v>
      </c>
      <c r="J23" s="81"/>
      <c r="K23" s="82"/>
    </row>
    <row r="24" spans="1:11" ht="24.95" customHeight="1" x14ac:dyDescent="0.25">
      <c r="A24" s="72">
        <v>13</v>
      </c>
      <c r="B24" s="73">
        <v>928</v>
      </c>
      <c r="C24" s="74" t="str">
        <f>VLOOKUP(B24,'[1]DATA MP'!$A$1:$W$1600,3,0)</f>
        <v>SITI NUR KUMALASARI</v>
      </c>
      <c r="D24" s="74" t="str">
        <f>VLOOKUP(B24,'[1]DATA MP'!$A$1:$W$1600,9,0)</f>
        <v>LOG</v>
      </c>
      <c r="E24" s="74" t="str">
        <f>VLOOKUP(B24,'[1]DATA MP'!$A$1:$W$1600,13,0)</f>
        <v>PPIC</v>
      </c>
      <c r="F24" s="74" t="str">
        <f>VLOOKUP(B24,'[1]DATA MP'!$A$1:$W$1600,16,0)</f>
        <v>A (NS)</v>
      </c>
      <c r="G24" s="74" t="str">
        <f>VLOOKUP(B24,'[1]DATA MP'!$A$1:$W$1600,22,0)</f>
        <v>P</v>
      </c>
      <c r="H24" s="74">
        <f>VLOOKUP(B24,'[1]DATA MP'!$A$1:$W$1600,23,0)</f>
        <v>43</v>
      </c>
      <c r="I24" s="75" t="s">
        <v>4343</v>
      </c>
      <c r="J24" s="81">
        <v>13</v>
      </c>
      <c r="K24" s="82">
        <v>14</v>
      </c>
    </row>
    <row r="25" spans="1:11" ht="24.95" customHeight="1" x14ac:dyDescent="0.25">
      <c r="A25" s="72">
        <v>14</v>
      </c>
      <c r="B25" s="73">
        <v>389</v>
      </c>
      <c r="C25" s="74" t="str">
        <f>VLOOKUP(B25,'[1]DATA MP'!$A$1:$W$1600,3,0)</f>
        <v>SITI AISAH</v>
      </c>
      <c r="D25" s="74" t="str">
        <f>VLOOKUP(B25,'[1]DATA MP'!$A$1:$W$1600,9,0)</f>
        <v>PRD</v>
      </c>
      <c r="E25" s="74" t="str">
        <f>VLOOKUP(B25,'[1]DATA MP'!$A$1:$W$1600,13,0)</f>
        <v>TRAINER 2</v>
      </c>
      <c r="F25" s="74" t="str">
        <f>VLOOKUP(B25,'[1]DATA MP'!$A$1:$W$1600,16,0)</f>
        <v>A (NS)</v>
      </c>
      <c r="G25" s="74" t="str">
        <f>VLOOKUP(B25,'[1]DATA MP'!$A$1:$W$1600,22,0)</f>
        <v>P</v>
      </c>
      <c r="H25" s="74">
        <f>VLOOKUP(B25,'[1]DATA MP'!$A$1:$W$1600,23,0)</f>
        <v>41</v>
      </c>
      <c r="I25" s="75" t="s">
        <v>4343</v>
      </c>
      <c r="J25" s="81"/>
      <c r="K25" s="82"/>
    </row>
    <row r="26" spans="1:11" ht="24.95" customHeight="1" x14ac:dyDescent="0.25">
      <c r="A26" s="140">
        <v>15</v>
      </c>
      <c r="B26" s="73">
        <v>610</v>
      </c>
      <c r="C26" s="74" t="str">
        <f>VLOOKUP(B26,'[1]DATA MP'!$A$1:$W$1600,3,0)</f>
        <v>EKO DANIATI</v>
      </c>
      <c r="D26" s="74" t="str">
        <f>VLOOKUP(B26,'[1]DATA MP'!$A$1:$W$1600,9,0)</f>
        <v>PRD</v>
      </c>
      <c r="E26" s="74" t="str">
        <f>VLOOKUP(B26,'[1]DATA MP'!$A$1:$W$1600,13,0)</f>
        <v>TRAINER 2</v>
      </c>
      <c r="F26" s="74" t="str">
        <f>VLOOKUP(B26,'[1]DATA MP'!$A$1:$W$1600,16,0)</f>
        <v>A (NS)</v>
      </c>
      <c r="G26" s="74" t="str">
        <f>VLOOKUP(B26,'[1]DATA MP'!$A$1:$W$1600,22,0)</f>
        <v>P</v>
      </c>
      <c r="H26" s="74">
        <f>VLOOKUP(B26,'[1]DATA MP'!$A$1:$W$1600,23,0)</f>
        <v>41</v>
      </c>
      <c r="I26" s="75" t="s">
        <v>4343</v>
      </c>
      <c r="J26" s="132">
        <v>15</v>
      </c>
      <c r="K26" s="141"/>
    </row>
    <row r="27" spans="1:11" ht="24.95" customHeight="1" x14ac:dyDescent="0.25">
      <c r="A27" s="136"/>
      <c r="B27" s="118"/>
      <c r="C27" s="137"/>
      <c r="D27" s="137"/>
      <c r="E27" s="137"/>
      <c r="F27" s="137"/>
      <c r="G27" s="137"/>
      <c r="H27" s="137"/>
      <c r="I27" s="138"/>
      <c r="J27" s="139"/>
      <c r="K27" s="139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4:E1048576">
    <cfRule type="duplicateValues" dxfId="41" priority="1"/>
    <cfRule type="duplicateValues" dxfId="40" priority="2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0942-AFC5-4EEA-BAEE-8B8E30FF3E91}">
  <dimension ref="A1:N33"/>
  <sheetViews>
    <sheetView topLeftCell="A10" workbookViewId="0">
      <selection activeCell="J22" sqref="J22:J23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 t="s">
        <v>3863</v>
      </c>
      <c r="C12" s="98" t="str">
        <f>VLOOKUP(B12,'[1]DATA MP'!$A$1:$W$1600,3,0)</f>
        <v>MILA AYU KORITA PUTRI</v>
      </c>
      <c r="D12" s="98" t="str">
        <f>VLOOKUP(B12,'[1]DATA MP'!$A$1:$W$1600,9,0)</f>
        <v>PRD</v>
      </c>
      <c r="E12" s="98" t="str">
        <f>VLOOKUP(B12,'[1]DATA MP'!$A$1:$W$1600,13,0)</f>
        <v>CPA HONDA FIT HEV/PET</v>
      </c>
      <c r="F12" s="98" t="str">
        <f>VLOOKUP(B12,'[1]DATA MP'!$A$1:$W$1600,16,0)</f>
        <v>A</v>
      </c>
      <c r="G12" s="98" t="str">
        <f>VLOOKUP(B12,'[1]DATA MP'!$A$1:$W$1600,22,0)</f>
        <v>P</v>
      </c>
      <c r="H12" s="98">
        <f>VLOOKUP(B12,'[1]DATA MP'!$A$1:$W$1600,23,0)</f>
        <v>31</v>
      </c>
      <c r="I12" s="75" t="s">
        <v>4344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11243</v>
      </c>
      <c r="C13" s="98" t="str">
        <f>VLOOKUP(B13,'[1]DATA MP'!$A$1:$W$1600,3,0)</f>
        <v>ANIK EKA HARYANTI</v>
      </c>
      <c r="D13" s="98" t="str">
        <f>VLOOKUP(B13,'[1]DATA MP'!$A$1:$W$1600,9,0)</f>
        <v>PRD</v>
      </c>
      <c r="E13" s="98" t="str">
        <f>VLOOKUP(B13,'[1]DATA MP'!$A$1:$W$1600,13,0)</f>
        <v>CPA TOYOTA LV</v>
      </c>
      <c r="F13" s="98" t="str">
        <f>VLOOKUP(B13,'[1]DATA MP'!$A$1:$W$1600,16,0)</f>
        <v>A</v>
      </c>
      <c r="G13" s="98" t="str">
        <f>VLOOKUP(B13,'[1]DATA MP'!$A$1:$W$1600,22,0)</f>
        <v>P</v>
      </c>
      <c r="H13" s="98">
        <f>VLOOKUP(B13,'[1]DATA MP'!$A$1:$W$1600,23,0)</f>
        <v>32</v>
      </c>
      <c r="I13" s="75" t="s">
        <v>4344</v>
      </c>
      <c r="J13" s="79"/>
      <c r="K13" s="80"/>
    </row>
    <row r="14" spans="1:14" s="78" customFormat="1" ht="24.95" customHeight="1" x14ac:dyDescent="0.25">
      <c r="A14" s="96">
        <v>3</v>
      </c>
      <c r="B14" s="97">
        <v>641</v>
      </c>
      <c r="C14" s="98" t="str">
        <f>VLOOKUP(B14,'[1]DATA MP'!$A$1:$W$1600,3,0)</f>
        <v>RIRIN HARINI</v>
      </c>
      <c r="D14" s="98" t="str">
        <f>VLOOKUP(B14,'[1]DATA MP'!$A$1:$W$1600,9,0)</f>
        <v>PRD</v>
      </c>
      <c r="E14" s="98" t="str">
        <f>VLOOKUP(B14,'[1]DATA MP'!$A$1:$W$1600,13,0)</f>
        <v>CUTTING PROJECT</v>
      </c>
      <c r="F14" s="98" t="str">
        <f>VLOOKUP(B14,'[1]DATA MP'!$A$1:$W$1600,16,0)</f>
        <v>A (NS)</v>
      </c>
      <c r="G14" s="98" t="str">
        <f>VLOOKUP(B14,'[1]DATA MP'!$A$1:$W$1600,22,0)</f>
        <v>P</v>
      </c>
      <c r="H14" s="98">
        <f>VLOOKUP(B14,'[1]DATA MP'!$A$1:$W$1600,23,0)</f>
        <v>43</v>
      </c>
      <c r="I14" s="75" t="s">
        <v>4344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>
        <v>10512</v>
      </c>
      <c r="C15" s="98" t="str">
        <f>VLOOKUP(B15,'[1]DATA MP'!$A$1:$W$1600,3,0)</f>
        <v>MUASSAMAH</v>
      </c>
      <c r="D15" s="98" t="str">
        <f>VLOOKUP(B15,'[1]DATA MP'!$A$1:$W$1600,9,0)</f>
        <v>PRD</v>
      </c>
      <c r="E15" s="98" t="str">
        <f>VLOOKUP(B15,'[1]DATA MP'!$A$1:$W$1600,13,0)</f>
        <v>CPA TOYOTA LV</v>
      </c>
      <c r="F15" s="98" t="str">
        <f>VLOOKUP(B15,'[1]DATA MP'!$A$1:$W$1600,16,0)</f>
        <v>A</v>
      </c>
      <c r="G15" s="98" t="str">
        <f>VLOOKUP(B15,'[1]DATA MP'!$A$1:$W$1600,22,0)</f>
        <v>P</v>
      </c>
      <c r="H15" s="98">
        <f>VLOOKUP(B15,'[1]DATA MP'!$A$1:$W$1600,23,0)</f>
        <v>32</v>
      </c>
      <c r="I15" s="75" t="s">
        <v>4344</v>
      </c>
      <c r="J15" s="81"/>
      <c r="K15" s="82"/>
    </row>
    <row r="16" spans="1:14" s="78" customFormat="1" ht="24.95" customHeight="1" x14ac:dyDescent="0.25">
      <c r="A16" s="72">
        <v>5</v>
      </c>
      <c r="B16" s="73">
        <v>678</v>
      </c>
      <c r="C16" s="74" t="str">
        <f>VLOOKUP(B16,'[1]DATA MP'!$A$1:$W$1600,3,0)</f>
        <v>SITI NURAINI</v>
      </c>
      <c r="D16" s="74" t="str">
        <f>VLOOKUP(B16,'[1]DATA MP'!$A$1:$W$1600,9,0)</f>
        <v>PRD</v>
      </c>
      <c r="E16" s="74" t="str">
        <f>VLOOKUP(B16,'[1]DATA MP'!$A$1:$W$1600,13,0)</f>
        <v>CPA HONDA 33FA</v>
      </c>
      <c r="F16" s="74" t="str">
        <f>VLOOKUP(B16,'[1]DATA MP'!$A$1:$W$1600,16,0)</f>
        <v>A (NS)</v>
      </c>
      <c r="G16" s="74" t="str">
        <f>VLOOKUP(B16,'[1]DATA MP'!$A$1:$W$1600,22,0)</f>
        <v>P</v>
      </c>
      <c r="H16" s="74">
        <f>VLOOKUP(B16,'[1]DATA MP'!$A$1:$W$1600,23,0)</f>
        <v>41</v>
      </c>
      <c r="I16" s="75" t="s">
        <v>4344</v>
      </c>
      <c r="J16" s="100">
        <v>5</v>
      </c>
      <c r="K16" s="101">
        <v>6</v>
      </c>
    </row>
    <row r="17" spans="1:11" s="78" customFormat="1" ht="24.95" customHeight="1" x14ac:dyDescent="0.25">
      <c r="A17" s="72">
        <v>6</v>
      </c>
      <c r="B17" s="73">
        <v>5462</v>
      </c>
      <c r="C17" s="74" t="str">
        <f>VLOOKUP(B17,'[1]DATA MP'!$A$1:$W$1600,3,0)</f>
        <v>SUSILOWATI</v>
      </c>
      <c r="D17" s="74" t="str">
        <f>VLOOKUP(B17,'[1]DATA MP'!$A$1:$W$1600,9,0)</f>
        <v>PRD</v>
      </c>
      <c r="E17" s="74" t="str">
        <f>VLOOKUP(B17,'[1]DATA MP'!$A$1:$W$1600,13,0)</f>
        <v>CPA HONDA EXPORT</v>
      </c>
      <c r="F17" s="74" t="str">
        <f>VLOOKUP(B17,'[1]DATA MP'!$A$1:$W$1600,16,0)</f>
        <v>A</v>
      </c>
      <c r="G17" s="74" t="str">
        <f>VLOOKUP(B17,'[1]DATA MP'!$A$1:$W$1600,22,0)</f>
        <v>P</v>
      </c>
      <c r="H17" s="74">
        <f>VLOOKUP(B17,'[1]DATA MP'!$A$1:$W$1600,23,0)</f>
        <v>41</v>
      </c>
      <c r="I17" s="75" t="s">
        <v>4344</v>
      </c>
      <c r="J17" s="100"/>
      <c r="K17" s="101"/>
    </row>
    <row r="18" spans="1:11" s="78" customFormat="1" ht="24.95" customHeight="1" x14ac:dyDescent="0.25">
      <c r="A18" s="72">
        <v>7</v>
      </c>
      <c r="B18" s="73">
        <v>1013</v>
      </c>
      <c r="C18" s="74" t="str">
        <f>VLOOKUP(B18,'[1]DATA MP'!$A$1:$W$1600,3,0)</f>
        <v>ZAENAL ARIFIN</v>
      </c>
      <c r="D18" s="74" t="str">
        <f>VLOOKUP(B18,'[1]DATA MP'!$A$1:$W$1600,9,0)</f>
        <v>PE</v>
      </c>
      <c r="E18" s="74" t="str">
        <f>VLOOKUP(B18,'[1]DATA MP'!$A$1:$W$1600,13,0)</f>
        <v>BREAKDOWN</v>
      </c>
      <c r="F18" s="74" t="str">
        <f>VLOOKUP(B18,'[1]DATA MP'!$A$1:$W$1600,16,0)</f>
        <v>A</v>
      </c>
      <c r="G18" s="74" t="str">
        <f>VLOOKUP(B18,'[1]DATA MP'!$A$1:$W$1600,22,0)</f>
        <v>L</v>
      </c>
      <c r="H18" s="74">
        <f>VLOOKUP(B18,'[1]DATA MP'!$A$1:$W$1600,23,0)</f>
        <v>45</v>
      </c>
      <c r="I18" s="75" t="s">
        <v>4344</v>
      </c>
      <c r="J18" s="100">
        <v>7</v>
      </c>
      <c r="K18" s="101">
        <v>8</v>
      </c>
    </row>
    <row r="19" spans="1:11" s="78" customFormat="1" ht="24.95" customHeight="1" x14ac:dyDescent="0.25">
      <c r="A19" s="72">
        <v>8</v>
      </c>
      <c r="B19" s="73">
        <v>1160</v>
      </c>
      <c r="C19" s="74" t="str">
        <f>VLOOKUP(B19,'[1]DATA MP'!$A$1:$W$1600,3,0)</f>
        <v>FAJAR ADIDEWA</v>
      </c>
      <c r="D19" s="74" t="str">
        <f>VLOOKUP(B19,'[1]DATA MP'!$A$1:$W$1600,9,0)</f>
        <v>PGA</v>
      </c>
      <c r="E19" s="74" t="str">
        <f>VLOOKUP(B19,'[1]DATA MP'!$A$1:$W$1600,13,0)</f>
        <v>HR</v>
      </c>
      <c r="F19" s="74" t="str">
        <f>VLOOKUP(B19,'[1]DATA MP'!$A$1:$W$1600,16,0)</f>
        <v>A (NS)</v>
      </c>
      <c r="G19" s="74" t="str">
        <f>VLOOKUP(B19,'[1]DATA MP'!$A$1:$W$1600,22,0)</f>
        <v>L</v>
      </c>
      <c r="H19" s="74">
        <f>VLOOKUP(B19,'[1]DATA MP'!$A$1:$W$1600,23,0)</f>
        <v>44</v>
      </c>
      <c r="I19" s="75" t="s">
        <v>4344</v>
      </c>
      <c r="J19" s="100"/>
      <c r="K19" s="101"/>
    </row>
    <row r="20" spans="1:11" s="78" customFormat="1" ht="24.95" customHeight="1" x14ac:dyDescent="0.25">
      <c r="A20" s="72">
        <v>9</v>
      </c>
      <c r="B20" s="73">
        <v>586</v>
      </c>
      <c r="C20" s="74" t="str">
        <f>VLOOKUP(B20,'[1]DATA MP'!$A$1:$W$1600,3,0)</f>
        <v>DIAN BERLIAN PERDANA S.</v>
      </c>
      <c r="D20" s="74" t="str">
        <f>VLOOKUP(B20,'[1]DATA MP'!$A$1:$W$1600,9,0)</f>
        <v>PGA</v>
      </c>
      <c r="E20" s="74" t="str">
        <f>VLOOKUP(B20,'[1]DATA MP'!$A$1:$W$1600,13,0)</f>
        <v>GA</v>
      </c>
      <c r="F20" s="74" t="str">
        <f>VLOOKUP(B20,'[1]DATA MP'!$A$1:$W$1600,16,0)</f>
        <v>A (NS)</v>
      </c>
      <c r="G20" s="74" t="str">
        <f>VLOOKUP(B20,'[1]DATA MP'!$A$1:$W$1600,22,0)</f>
        <v>L</v>
      </c>
      <c r="H20" s="74">
        <f>VLOOKUP(B20,'[1]DATA MP'!$A$1:$W$1600,23,0)</f>
        <v>42</v>
      </c>
      <c r="I20" s="75" t="s">
        <v>4344</v>
      </c>
      <c r="J20" s="100">
        <v>9</v>
      </c>
      <c r="K20" s="101">
        <v>10</v>
      </c>
    </row>
    <row r="21" spans="1:11" s="78" customFormat="1" ht="24.95" customHeight="1" x14ac:dyDescent="0.25">
      <c r="A21" s="72">
        <v>10</v>
      </c>
      <c r="B21" s="73">
        <v>1128</v>
      </c>
      <c r="C21" s="74" t="str">
        <f>VLOOKUP(B21,'[1]DATA MP'!$A$1:$W$1600,3,0)</f>
        <v>TUTUK APRIYANTI</v>
      </c>
      <c r="D21" s="74" t="str">
        <f>VLOOKUP(B21,'[1]DATA MP'!$A$1:$W$1600,9,0)</f>
        <v>PRD</v>
      </c>
      <c r="E21" s="74" t="str">
        <f>VLOOKUP(B21,'[1]DATA MP'!$A$1:$W$1600,13,0)</f>
        <v>PRODUCTION NAME PLATE</v>
      </c>
      <c r="F21" s="74" t="str">
        <f>VLOOKUP(B21,'[1]DATA MP'!$A$1:$W$1600,16,0)</f>
        <v>A</v>
      </c>
      <c r="G21" s="74" t="str">
        <f>VLOOKUP(B21,'[1]DATA MP'!$A$1:$W$1600,22,0)</f>
        <v>P</v>
      </c>
      <c r="H21" s="74">
        <f>VLOOKUP(B21,'[1]DATA MP'!$A$1:$W$1600,23,0)</f>
        <v>42</v>
      </c>
      <c r="I21" s="75" t="s">
        <v>4344</v>
      </c>
      <c r="J21" s="100"/>
      <c r="K21" s="101"/>
    </row>
    <row r="22" spans="1:11" s="78" customFormat="1" ht="24.95" customHeight="1" x14ac:dyDescent="0.25">
      <c r="A22" s="72">
        <v>11</v>
      </c>
      <c r="B22" s="73">
        <v>5473</v>
      </c>
      <c r="C22" s="74" t="str">
        <f>VLOOKUP(B22,'[1]DATA MP'!$A$1:$W$1600,3,0)</f>
        <v>ABDUL MANAN</v>
      </c>
      <c r="D22" s="74" t="str">
        <f>VLOOKUP(B22,'[1]DATA MP'!$A$1:$W$1600,9,0)</f>
        <v>PRD</v>
      </c>
      <c r="E22" s="74" t="str">
        <f>VLOOKUP(B22,'[1]DATA MP'!$A$1:$W$1600,13,0)</f>
        <v>PRODUCTION SYSTEM</v>
      </c>
      <c r="F22" s="74" t="str">
        <f>VLOOKUP(B22,'[1]DATA MP'!$A$1:$W$1600,16,0)</f>
        <v>A (NS)</v>
      </c>
      <c r="G22" s="74" t="str">
        <f>VLOOKUP(B22,'[1]DATA MP'!$A$1:$W$1600,22,0)</f>
        <v>L</v>
      </c>
      <c r="H22" s="74">
        <f>VLOOKUP(B22,'[1]DATA MP'!$A$1:$W$1600,23,0)</f>
        <v>41</v>
      </c>
      <c r="I22" s="75" t="s">
        <v>4344</v>
      </c>
      <c r="J22" s="100">
        <v>11</v>
      </c>
      <c r="K22" s="101">
        <v>12</v>
      </c>
    </row>
    <row r="23" spans="1:11" ht="24.95" customHeight="1" x14ac:dyDescent="0.25">
      <c r="A23" s="72">
        <v>12</v>
      </c>
      <c r="B23" s="73">
        <v>74</v>
      </c>
      <c r="C23" s="74" t="str">
        <f>VLOOKUP(B23,'[1]DATA MP'!$A$1:$W$1600,3,0)</f>
        <v>TRI UTARI</v>
      </c>
      <c r="D23" s="74" t="str">
        <f>VLOOKUP(B23,'[1]DATA MP'!$A$1:$W$1600,9,0)</f>
        <v>PRD</v>
      </c>
      <c r="E23" s="74" t="str">
        <f>VLOOKUP(B23,'[1]DATA MP'!$A$1:$W$1600,13,0)</f>
        <v>TRAINER 2</v>
      </c>
      <c r="F23" s="74" t="str">
        <f>VLOOKUP(B23,'[1]DATA MP'!$A$1:$W$1600,16,0)</f>
        <v>A (NS)</v>
      </c>
      <c r="G23" s="74" t="str">
        <f>VLOOKUP(B23,'[1]DATA MP'!$A$1:$W$1600,22,0)</f>
        <v>P</v>
      </c>
      <c r="H23" s="74">
        <f>VLOOKUP(B23,'[1]DATA MP'!$A$1:$W$1600,23,0)</f>
        <v>41</v>
      </c>
      <c r="I23" s="75" t="s">
        <v>4344</v>
      </c>
      <c r="J23" s="100"/>
      <c r="K23" s="101"/>
    </row>
    <row r="24" spans="1:11" ht="24.95" customHeight="1" x14ac:dyDescent="0.25">
      <c r="A24" s="96">
        <v>13</v>
      </c>
      <c r="B24" s="97">
        <v>11404</v>
      </c>
      <c r="C24" s="98" t="str">
        <f>VLOOKUP(B24,'[1]DATA MP'!$A$1:$W$1600,3,0)</f>
        <v>ANNA TRIWININGSIH</v>
      </c>
      <c r="D24" s="98" t="str">
        <f>VLOOKUP(B24,'[1]DATA MP'!$A$1:$W$1600,9,0)</f>
        <v>PRD</v>
      </c>
      <c r="E24" s="98" t="str">
        <f>VLOOKUP(B24,'[1]DATA MP'!$A$1:$W$1600,13,0)</f>
        <v>BUFFER 2</v>
      </c>
      <c r="F24" s="98" t="str">
        <f>VLOOKUP(B24,'[1]DATA MP'!$A$1:$W$1600,16,0)</f>
        <v>A (NS)</v>
      </c>
      <c r="G24" s="98" t="str">
        <f>VLOOKUP(B24,'[1]DATA MP'!$A$1:$W$1600,22,0)</f>
        <v>P</v>
      </c>
      <c r="H24" s="98">
        <f>VLOOKUP(B24,'[1]DATA MP'!$A$1:$W$1600,23,0)</f>
        <v>31</v>
      </c>
      <c r="I24" s="75" t="s">
        <v>4344</v>
      </c>
      <c r="J24" s="81">
        <v>13</v>
      </c>
      <c r="K24" s="82">
        <v>14</v>
      </c>
    </row>
    <row r="25" spans="1:11" ht="24.95" customHeight="1" x14ac:dyDescent="0.25">
      <c r="A25" s="96">
        <v>14</v>
      </c>
      <c r="B25" s="97">
        <v>10969</v>
      </c>
      <c r="C25" s="98" t="str">
        <f>VLOOKUP(B25,'[1]DATA MP'!$A$1:$W$1600,3,0)</f>
        <v>YUVITA ICA WARDHANY</v>
      </c>
      <c r="D25" s="98" t="str">
        <f>VLOOKUP(B25,'[1]DATA MP'!$A$1:$W$1600,9,0)</f>
        <v>PRD</v>
      </c>
      <c r="E25" s="98" t="str">
        <f>VLOOKUP(B25,'[1]DATA MP'!$A$1:$W$1600,13,0)</f>
        <v>CV H02</v>
      </c>
      <c r="F25" s="98" t="str">
        <f>VLOOKUP(B25,'[1]DATA MP'!$A$1:$W$1600,16,0)</f>
        <v>A</v>
      </c>
      <c r="G25" s="98" t="str">
        <f>VLOOKUP(B25,'[1]DATA MP'!$A$1:$W$1600,22,0)</f>
        <v>P</v>
      </c>
      <c r="H25" s="98">
        <f>VLOOKUP(B25,'[1]DATA MP'!$A$1:$W$1600,23,0)</f>
        <v>32</v>
      </c>
      <c r="I25" s="75" t="s">
        <v>4344</v>
      </c>
      <c r="J25" s="81"/>
      <c r="K25" s="82"/>
    </row>
    <row r="26" spans="1:11" ht="24.95" customHeight="1" x14ac:dyDescent="0.25">
      <c r="A26" s="147">
        <v>15</v>
      </c>
      <c r="B26" s="97">
        <v>1012</v>
      </c>
      <c r="C26" s="98" t="str">
        <f>VLOOKUP(B26,'[1]DATA MP'!$A$1:$W$1600,3,0)</f>
        <v>MUH. ABDUL M.</v>
      </c>
      <c r="D26" s="98" t="str">
        <f>VLOOKUP(B26,'[1]DATA MP'!$A$1:$W$1600,9,0)</f>
        <v>PE</v>
      </c>
      <c r="E26" s="98" t="str">
        <f>VLOOKUP(B26,'[1]DATA MP'!$A$1:$W$1600,13,0)</f>
        <v>JCN</v>
      </c>
      <c r="F26" s="98" t="str">
        <f>VLOOKUP(B26,'[1]DATA MP'!$A$1:$W$1600,16,0)</f>
        <v>A (NS)</v>
      </c>
      <c r="G26" s="98" t="str">
        <f>VLOOKUP(B26,'[1]DATA MP'!$A$1:$W$1600,22,0)</f>
        <v>L</v>
      </c>
      <c r="H26" s="98">
        <f>VLOOKUP(B26,'[1]DATA MP'!$A$1:$W$1600,23,0)</f>
        <v>40</v>
      </c>
      <c r="I26" s="75" t="s">
        <v>4344</v>
      </c>
      <c r="J26" s="132">
        <v>15</v>
      </c>
      <c r="K26" s="141"/>
    </row>
    <row r="27" spans="1:11" ht="24.95" customHeight="1" x14ac:dyDescent="0.25">
      <c r="A27" s="142"/>
      <c r="B27" s="143"/>
      <c r="C27" s="138"/>
      <c r="D27" s="138"/>
      <c r="E27" s="138"/>
      <c r="F27" s="138"/>
      <c r="G27" s="138"/>
      <c r="H27" s="138"/>
      <c r="I27" s="138"/>
      <c r="J27" s="139"/>
      <c r="K27" s="139"/>
    </row>
    <row r="29" spans="1:11" x14ac:dyDescent="0.25">
      <c r="B29" s="84"/>
    </row>
    <row r="30" spans="1:11" x14ac:dyDescent="0.25">
      <c r="D30" s="134"/>
      <c r="E30" s="134"/>
    </row>
    <row r="31" spans="1:11" x14ac:dyDescent="0.25">
      <c r="A31" s="78"/>
      <c r="B31" t="s">
        <v>4338</v>
      </c>
      <c r="D31" s="134"/>
      <c r="E31" s="118"/>
    </row>
    <row r="32" spans="1:11" x14ac:dyDescent="0.25">
      <c r="A32" s="85"/>
      <c r="B32" t="s">
        <v>4339</v>
      </c>
      <c r="D32" s="118"/>
      <c r="E32" s="143"/>
    </row>
    <row r="33" spans="4:5" x14ac:dyDescent="0.25">
      <c r="D33" s="143"/>
      <c r="E33" s="143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0 E34:E1048576">
    <cfRule type="duplicateValues" dxfId="39" priority="5"/>
    <cfRule type="duplicateValues" dxfId="38" priority="6"/>
  </conditionalFormatting>
  <conditionalFormatting sqref="D32">
    <cfRule type="duplicateValues" dxfId="7" priority="3"/>
    <cfRule type="duplicateValues" dxfId="6" priority="4"/>
  </conditionalFormatting>
  <conditionalFormatting sqref="B25">
    <cfRule type="duplicateValues" dxfId="5" priority="1"/>
    <cfRule type="duplicateValues" dxfId="4" priority="2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5BAC-1920-40CC-B2D8-79495665280C}">
  <dimension ref="A1:N40"/>
  <sheetViews>
    <sheetView tabSelected="1" topLeftCell="A15" workbookViewId="0">
      <selection activeCell="F32" sqref="F32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>
        <v>5738</v>
      </c>
      <c r="C12" s="98" t="str">
        <f>VLOOKUP(B12,'[1]DATA MP'!$A$1:$W$1600,3,0)</f>
        <v>SUMIYATI</v>
      </c>
      <c r="D12" s="98" t="str">
        <f>VLOOKUP(B12,'[1]DATA MP'!$A$1:$W$1600,9,0)</f>
        <v>PRD</v>
      </c>
      <c r="E12" s="98" t="str">
        <f>VLOOKUP(B12,'[1]DATA MP'!$A$1:$W$1600,13,0)</f>
        <v>CUTTING PROJECT</v>
      </c>
      <c r="F12" s="98" t="str">
        <f>VLOOKUP(B12,'[1]DATA MP'!$A$1:$W$1600,16,0)</f>
        <v>A (NS)</v>
      </c>
      <c r="G12" s="98" t="str">
        <f>VLOOKUP(B12,'[1]DATA MP'!$A$1:$W$1600,22,0)</f>
        <v>P</v>
      </c>
      <c r="H12" s="98">
        <f>VLOOKUP(B12,'[1]DATA MP'!$A$1:$W$1600,23,0)</f>
        <v>39</v>
      </c>
      <c r="I12" s="75" t="s">
        <v>4345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10763</v>
      </c>
      <c r="C13" s="98" t="str">
        <f>VLOOKUP(B13,'[1]DATA MP'!$A$1:$W$1600,3,0)</f>
        <v>YOSSI MAULITA GIAS</v>
      </c>
      <c r="D13" s="98" t="str">
        <f>VLOOKUP(B13,'[1]DATA MP'!$A$1:$W$1600,9,0)</f>
        <v>PRD</v>
      </c>
      <c r="E13" s="98" t="str">
        <f>VLOOKUP(B13,'[1]DATA MP'!$A$1:$W$1600,13,0)</f>
        <v>CPA HONDA 33FA</v>
      </c>
      <c r="F13" s="98" t="str">
        <f>VLOOKUP(B13,'[1]DATA MP'!$A$1:$W$1600,16,0)</f>
        <v>A (NS)</v>
      </c>
      <c r="G13" s="98" t="str">
        <f>VLOOKUP(B13,'[1]DATA MP'!$A$1:$W$1600,22,0)</f>
        <v>P</v>
      </c>
      <c r="H13" s="98">
        <f>VLOOKUP(B13,'[1]DATA MP'!$A$1:$W$1600,23,0)</f>
        <v>33</v>
      </c>
      <c r="I13" s="75" t="s">
        <v>4345</v>
      </c>
      <c r="J13" s="79"/>
      <c r="K13" s="80"/>
    </row>
    <row r="14" spans="1:14" s="78" customFormat="1" ht="24.95" customHeight="1" x14ac:dyDescent="0.25">
      <c r="A14" s="96">
        <v>3</v>
      </c>
      <c r="B14" s="97">
        <v>4521</v>
      </c>
      <c r="C14" s="98" t="str">
        <f>VLOOKUP(B14,'[1]DATA MP'!$A$1:$W$1600,3,0)</f>
        <v>INDAH MAWADDAH</v>
      </c>
      <c r="D14" s="98" t="str">
        <f>VLOOKUP(B14,'[1]DATA MP'!$A$1:$W$1600,9,0)</f>
        <v>PRD</v>
      </c>
      <c r="E14" s="98" t="str">
        <f>VLOOKUP(B14,'[1]DATA MP'!$A$1:$W$1600,13,0)</f>
        <v>CPA HONDA EXPORT</v>
      </c>
      <c r="F14" s="98" t="str">
        <f>VLOOKUP(B14,'[1]DATA MP'!$A$1:$W$1600,16,0)</f>
        <v>A</v>
      </c>
      <c r="G14" s="98" t="str">
        <f>VLOOKUP(B14,'[1]DATA MP'!$A$1:$W$1600,22,0)</f>
        <v>P</v>
      </c>
      <c r="H14" s="98">
        <f>VLOOKUP(B14,'[1]DATA MP'!$A$1:$W$1600,23,0)</f>
        <v>39</v>
      </c>
      <c r="I14" s="75" t="s">
        <v>4345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 t="s">
        <v>247</v>
      </c>
      <c r="C15" s="98" t="str">
        <f>VLOOKUP(B15,'[1]DATA MP'!$A$1:$W$1600,3,0)</f>
        <v>YULFAN TAUFIK</v>
      </c>
      <c r="D15" s="98" t="str">
        <f>VLOOKUP(B15,'[1]DATA MP'!$A$1:$W$1600,9,0)</f>
        <v>LOG</v>
      </c>
      <c r="E15" s="98" t="str">
        <f>VLOOKUP(B15,'[1]DATA MP'!$A$1:$W$1600,13,0)</f>
        <v>L. DOCK</v>
      </c>
      <c r="F15" s="98" t="str">
        <f>VLOOKUP(B15,'[1]DATA MP'!$A$1:$W$1600,16,0)</f>
        <v>A</v>
      </c>
      <c r="G15" s="98" t="str">
        <f>VLOOKUP(B15,'[1]DATA MP'!$A$1:$W$1600,22,0)</f>
        <v>L</v>
      </c>
      <c r="H15" s="98">
        <f>VLOOKUP(B15,'[1]DATA MP'!$A$1:$W$1600,23,0)</f>
        <v>38</v>
      </c>
      <c r="I15" s="75" t="s">
        <v>4345</v>
      </c>
      <c r="J15" s="81"/>
      <c r="K15" s="82"/>
    </row>
    <row r="16" spans="1:14" ht="24.95" customHeight="1" x14ac:dyDescent="0.25">
      <c r="A16" s="96">
        <v>5</v>
      </c>
      <c r="B16" s="97">
        <v>28106</v>
      </c>
      <c r="C16" s="98" t="str">
        <f>VLOOKUP(B16,'[1]DATA MP'!$A$1:$W$1600,3,0)</f>
        <v>ANISA FETI AZIZAH</v>
      </c>
      <c r="D16" s="98" t="str">
        <f>VLOOKUP(B16,'[1]DATA MP'!$A$1:$W$1600,9,0)</f>
        <v>FA</v>
      </c>
      <c r="E16" s="98" t="str">
        <f>VLOOKUP(B16,'[1]DATA MP'!$A$1:$W$1600,13,0)</f>
        <v>ACCOUNTING</v>
      </c>
      <c r="F16" s="98" t="str">
        <f>VLOOKUP(B16,'[1]DATA MP'!$A$1:$W$1600,16,0)</f>
        <v>A (NS)</v>
      </c>
      <c r="G16" s="98" t="str">
        <f>VLOOKUP(B16,'[1]DATA MP'!$A$1:$W$1600,22,0)</f>
        <v>P</v>
      </c>
      <c r="H16" s="98">
        <f>VLOOKUP(B16,'[1]DATA MP'!$A$1:$W$1600,23,0)</f>
        <v>25</v>
      </c>
      <c r="I16" s="75" t="s">
        <v>4345</v>
      </c>
      <c r="J16" s="81">
        <v>5</v>
      </c>
      <c r="K16" s="82">
        <v>6</v>
      </c>
    </row>
    <row r="17" spans="1:11" ht="24.95" customHeight="1" x14ac:dyDescent="0.25">
      <c r="A17" s="96">
        <v>6</v>
      </c>
      <c r="B17" s="97">
        <v>25998</v>
      </c>
      <c r="C17" s="98" t="str">
        <f>VLOOKUP(B17,'[1]DATA MP'!$A$1:$W$1600,3,0)</f>
        <v>ELFIRA LUTFIA WAHYUDIN</v>
      </c>
      <c r="D17" s="98" t="str">
        <f>VLOOKUP(B17,'[1]DATA MP'!$A$1:$W$1600,9,0)</f>
        <v>PP</v>
      </c>
      <c r="E17" s="98" t="str">
        <f>VLOOKUP(B17,'[1]DATA MP'!$A$1:$W$1600,13,0)</f>
        <v>PPM/PPC/PLCT</v>
      </c>
      <c r="F17" s="98" t="str">
        <f>VLOOKUP(B17,'[1]DATA MP'!$A$1:$W$1600,16,0)</f>
        <v>A (NS)</v>
      </c>
      <c r="G17" s="98" t="str">
        <f>VLOOKUP(B17,'[1]DATA MP'!$A$1:$W$1600,22,0)</f>
        <v>P</v>
      </c>
      <c r="H17" s="98">
        <f>VLOOKUP(B17,'[1]DATA MP'!$A$1:$W$1600,23,0)</f>
        <v>28</v>
      </c>
      <c r="I17" s="75" t="s">
        <v>4345</v>
      </c>
      <c r="J17" s="81"/>
      <c r="K17" s="82"/>
    </row>
    <row r="18" spans="1:11" ht="24.95" customHeight="1" x14ac:dyDescent="0.25">
      <c r="A18" s="96">
        <v>7</v>
      </c>
      <c r="B18" s="105">
        <v>19456</v>
      </c>
      <c r="C18" s="98" t="str">
        <f>VLOOKUP(B18,'[1]DATA MP'!$A$1:$W$1600,3,0)</f>
        <v>DYAH PUTRI PUSPITASARI</v>
      </c>
      <c r="D18" s="98" t="str">
        <f>VLOOKUP(B18,'[1]DATA MP'!$A$1:$W$1600,9,0)</f>
        <v>PGA</v>
      </c>
      <c r="E18" s="98" t="str">
        <f>VLOOKUP(B18,'[1]DATA MP'!$A$1:$W$1600,13,0)</f>
        <v>TRN</v>
      </c>
      <c r="F18" s="98" t="str">
        <f>VLOOKUP(B18,'[1]DATA MP'!$A$1:$W$1600,16,0)</f>
        <v>A (NS)</v>
      </c>
      <c r="G18" s="98" t="str">
        <f>VLOOKUP(B18,'[1]DATA MP'!$A$1:$W$1600,22,0)</f>
        <v>P</v>
      </c>
      <c r="H18" s="98">
        <f>VLOOKUP(B18,'[1]DATA MP'!$A$1:$W$1600,23,0)</f>
        <v>30</v>
      </c>
      <c r="I18" s="75" t="s">
        <v>4345</v>
      </c>
      <c r="J18" s="81">
        <v>7</v>
      </c>
      <c r="K18" s="82">
        <v>8</v>
      </c>
    </row>
    <row r="19" spans="1:11" ht="24.95" customHeight="1" x14ac:dyDescent="0.25">
      <c r="A19" s="96">
        <v>8</v>
      </c>
      <c r="B19" s="97">
        <v>15479</v>
      </c>
      <c r="C19" s="98" t="str">
        <f>VLOOKUP(B19,'[1]DATA MP'!$A$1:$W$1600,3,0)</f>
        <v>ACHMAD SHODIQ</v>
      </c>
      <c r="D19" s="98" t="str">
        <f>VLOOKUP(B19,'[1]DATA MP'!$A$1:$W$1600,9,0)</f>
        <v>PE</v>
      </c>
      <c r="E19" s="98" t="str">
        <f>VLOOKUP(B19,'[1]DATA MP'!$A$1:$W$1600,13,0)</f>
        <v>JBP</v>
      </c>
      <c r="F19" s="98" t="str">
        <f>VLOOKUP(B19,'[1]DATA MP'!$A$1:$W$1600,16,0)</f>
        <v>A (NS)</v>
      </c>
      <c r="G19" s="98" t="str">
        <f>VLOOKUP(B19,'[1]DATA MP'!$A$1:$W$1600,22,0)</f>
        <v>L</v>
      </c>
      <c r="H19" s="98">
        <f>VLOOKUP(B19,'[1]DATA MP'!$A$1:$W$1600,23,0)</f>
        <v>33</v>
      </c>
      <c r="I19" s="75" t="s">
        <v>4345</v>
      </c>
      <c r="J19" s="81"/>
      <c r="K19" s="82"/>
    </row>
    <row r="20" spans="1:11" ht="24.95" customHeight="1" x14ac:dyDescent="0.25">
      <c r="A20" s="96">
        <v>9</v>
      </c>
      <c r="B20" s="97">
        <v>11824</v>
      </c>
      <c r="C20" s="98" t="str">
        <f>VLOOKUP(B20,'[1]DATA MP'!$A$1:$W$1600,3,0)</f>
        <v>NIKEN RAHAYU</v>
      </c>
      <c r="D20" s="98" t="str">
        <f>VLOOKUP(B20,'[1]DATA MP'!$A$1:$W$1600,9,0)</f>
        <v>PP</v>
      </c>
      <c r="E20" s="98" t="str">
        <f>VLOOKUP(B20,'[1]DATA MP'!$A$1:$W$1600,13,0)</f>
        <v>SWCT</v>
      </c>
      <c r="F20" s="98" t="str">
        <f>VLOOKUP(B20,'[1]DATA MP'!$A$1:$W$1600,16,0)</f>
        <v>A (NS)</v>
      </c>
      <c r="G20" s="98" t="str">
        <f>VLOOKUP(B20,'[1]DATA MP'!$A$1:$W$1600,22,0)</f>
        <v>P</v>
      </c>
      <c r="H20" s="98">
        <f>VLOOKUP(B20,'[1]DATA MP'!$A$1:$W$1600,23,0)</f>
        <v>31</v>
      </c>
      <c r="I20" s="75" t="s">
        <v>4345</v>
      </c>
      <c r="J20" s="81">
        <v>9</v>
      </c>
      <c r="K20" s="82">
        <v>10</v>
      </c>
    </row>
    <row r="21" spans="1:11" ht="24.95" customHeight="1" x14ac:dyDescent="0.25">
      <c r="A21" s="96">
        <v>10</v>
      </c>
      <c r="B21" s="97">
        <v>12163</v>
      </c>
      <c r="C21" s="98" t="str">
        <f>VLOOKUP(B21,'[1]DATA MP'!$A$1:$W$1600,3,0)</f>
        <v>OKI DIDI GUNAWAN</v>
      </c>
      <c r="D21" s="98" t="str">
        <f>VLOOKUP(B21,'[1]DATA MP'!$A$1:$W$1600,9,0)</f>
        <v>PE</v>
      </c>
      <c r="E21" s="98" t="str">
        <f>VLOOKUP(B21,'[1]DATA MP'!$A$1:$W$1600,13,0)</f>
        <v>NIP</v>
      </c>
      <c r="F21" s="98" t="str">
        <f>VLOOKUP(B21,'[1]DATA MP'!$A$1:$W$1600,16,0)</f>
        <v>A</v>
      </c>
      <c r="G21" s="98" t="str">
        <f>VLOOKUP(B21,'[1]DATA MP'!$A$1:$W$1600,22,0)</f>
        <v>L</v>
      </c>
      <c r="H21" s="98">
        <f>VLOOKUP(B21,'[1]DATA MP'!$A$1:$W$1600,23,0)</f>
        <v>33</v>
      </c>
      <c r="I21" s="75" t="s">
        <v>4345</v>
      </c>
      <c r="J21" s="81"/>
      <c r="K21" s="82"/>
    </row>
    <row r="22" spans="1:11" ht="24.95" customHeight="1" x14ac:dyDescent="0.25">
      <c r="A22" s="96">
        <v>11</v>
      </c>
      <c r="B22" s="97">
        <v>11709</v>
      </c>
      <c r="C22" s="98" t="str">
        <f>VLOOKUP(B22,'[1]DATA MP'!$A$1:$W$1600,3,0)</f>
        <v>INTANSARI</v>
      </c>
      <c r="D22" s="98" t="str">
        <f>VLOOKUP(B22,'[1]DATA MP'!$A$1:$W$1600,9,0)</f>
        <v>PRD</v>
      </c>
      <c r="E22" s="98" t="str">
        <f>VLOOKUP(B22,'[1]DATA MP'!$A$1:$W$1600,13,0)</f>
        <v>CPA HONDA 33FA</v>
      </c>
      <c r="F22" s="98" t="str">
        <f>VLOOKUP(B22,'[1]DATA MP'!$A$1:$W$1600,16,0)</f>
        <v>A (NS)</v>
      </c>
      <c r="G22" s="98" t="str">
        <f>VLOOKUP(B22,'[1]DATA MP'!$A$1:$W$1600,22,0)</f>
        <v>P</v>
      </c>
      <c r="H22" s="98">
        <f>VLOOKUP(B22,'[1]DATA MP'!$A$1:$W$1600,23,0)</f>
        <v>31</v>
      </c>
      <c r="I22" s="75" t="s">
        <v>4345</v>
      </c>
      <c r="J22" s="81">
        <v>11</v>
      </c>
      <c r="K22" s="82">
        <v>12</v>
      </c>
    </row>
    <row r="23" spans="1:11" ht="24.95" customHeight="1" x14ac:dyDescent="0.25">
      <c r="A23" s="96">
        <v>12</v>
      </c>
      <c r="B23" s="97">
        <v>21249</v>
      </c>
      <c r="C23" s="98" t="str">
        <f>VLOOKUP(B23,'[1]DATA MP'!$A$1:$W$1600,3,0)</f>
        <v>RADZIATUL FITRIANI</v>
      </c>
      <c r="D23" s="98" t="str">
        <f>VLOOKUP(B23,'[1]DATA MP'!$A$1:$W$1600,9,0)</f>
        <v>PRD</v>
      </c>
      <c r="E23" s="98" t="str">
        <f>VLOOKUP(B23,'[1]DATA MP'!$A$1:$W$1600,13,0)</f>
        <v>BUFFER 2</v>
      </c>
      <c r="F23" s="98" t="str">
        <f>VLOOKUP(B23,'[1]DATA MP'!$A$1:$W$1600,16,0)</f>
        <v>A (NS)</v>
      </c>
      <c r="G23" s="98" t="str">
        <f>VLOOKUP(B23,'[1]DATA MP'!$A$1:$W$1600,22,0)</f>
        <v>P</v>
      </c>
      <c r="H23" s="98">
        <f>VLOOKUP(B23,'[1]DATA MP'!$A$1:$W$1600,23,0)</f>
        <v>26</v>
      </c>
      <c r="I23" s="75" t="s">
        <v>4345</v>
      </c>
      <c r="J23" s="81"/>
      <c r="K23" s="82"/>
    </row>
    <row r="24" spans="1:11" ht="24.95" customHeight="1" x14ac:dyDescent="0.25">
      <c r="A24" s="96">
        <v>13</v>
      </c>
      <c r="B24" s="97">
        <v>11938</v>
      </c>
      <c r="C24" s="98" t="str">
        <f>VLOOKUP(B24,'[1]DATA MP'!$A$1:$W$1600,3,0)</f>
        <v>LINDA LESTARI</v>
      </c>
      <c r="D24" s="98" t="str">
        <f>VLOOKUP(B24,'[1]DATA MP'!$A$1:$W$1600,9,0)</f>
        <v>PRD</v>
      </c>
      <c r="E24" s="98" t="str">
        <f>VLOOKUP(B24,'[1]DATA MP'!$A$1:$W$1600,13,0)</f>
        <v>CV 4</v>
      </c>
      <c r="F24" s="98" t="str">
        <f>VLOOKUP(B24,'[1]DATA MP'!$A$1:$W$1600,16,0)</f>
        <v>A</v>
      </c>
      <c r="G24" s="98" t="str">
        <f>VLOOKUP(B24,'[1]DATA MP'!$A$1:$W$1600,22,0)</f>
        <v>P</v>
      </c>
      <c r="H24" s="98">
        <f>VLOOKUP(B24,'[1]DATA MP'!$A$1:$W$1600,23,0)</f>
        <v>31</v>
      </c>
      <c r="I24" s="75" t="s">
        <v>4345</v>
      </c>
      <c r="J24" s="81">
        <v>13</v>
      </c>
      <c r="K24" s="82">
        <v>14</v>
      </c>
    </row>
    <row r="25" spans="1:11" ht="24.95" customHeight="1" x14ac:dyDescent="0.25">
      <c r="A25" s="96">
        <v>14</v>
      </c>
      <c r="B25" s="97">
        <v>19696</v>
      </c>
      <c r="C25" s="98" t="str">
        <f>VLOOKUP(B25,'[1]DATA MP'!$A$1:$W$1600,3,0)</f>
        <v>FAHRI KHUSAENI</v>
      </c>
      <c r="D25" s="98" t="str">
        <f>VLOOKUP(B25,'[1]DATA MP'!$A$1:$W$1600,9,0)</f>
        <v>PRD</v>
      </c>
      <c r="E25" s="98" t="str">
        <f>VLOOKUP(B25,'[1]DATA MP'!$A$1:$W$1600,13,0)</f>
        <v>CV B01</v>
      </c>
      <c r="F25" s="98" t="str">
        <f>VLOOKUP(B25,'[1]DATA MP'!$A$1:$W$1600,16,0)</f>
        <v>A</v>
      </c>
      <c r="G25" s="98" t="str">
        <f>VLOOKUP(B25,'[1]DATA MP'!$A$1:$W$1600,22,0)</f>
        <v>L</v>
      </c>
      <c r="H25" s="98">
        <f>VLOOKUP(B25,'[1]DATA MP'!$A$1:$W$1600,23,0)</f>
        <v>29</v>
      </c>
      <c r="I25" s="75" t="s">
        <v>4345</v>
      </c>
      <c r="J25" s="81"/>
      <c r="K25" s="82"/>
    </row>
    <row r="26" spans="1:11" ht="24.95" customHeight="1" x14ac:dyDescent="0.25">
      <c r="A26" s="147">
        <v>15</v>
      </c>
      <c r="B26" s="97">
        <v>10244</v>
      </c>
      <c r="C26" s="98" t="str">
        <f>VLOOKUP(B26,'[1]DATA MP'!$A$1:$W$1600,3,0)</f>
        <v>FINA PRATIWI</v>
      </c>
      <c r="D26" s="98" t="str">
        <f>VLOOKUP(B26,'[1]DATA MP'!$A$1:$W$1600,9,0)</f>
        <v>PRD</v>
      </c>
      <c r="E26" s="98" t="str">
        <f>VLOOKUP(B26,'[1]DATA MP'!$A$1:$W$1600,13,0)</f>
        <v>CV H02</v>
      </c>
      <c r="F26" s="98" t="str">
        <f>VLOOKUP(B26,'[1]DATA MP'!$A$1:$W$1600,16,0)</f>
        <v>A</v>
      </c>
      <c r="G26" s="98" t="str">
        <f>VLOOKUP(B26,'[1]DATA MP'!$A$1:$W$1600,22,0)</f>
        <v>P</v>
      </c>
      <c r="H26" s="98">
        <f>VLOOKUP(B26,'[1]DATA MP'!$A$1:$W$1600,23,0)</f>
        <v>36</v>
      </c>
      <c r="I26" s="75" t="s">
        <v>4345</v>
      </c>
      <c r="J26" s="132">
        <v>15</v>
      </c>
      <c r="K26" s="141"/>
    </row>
    <row r="27" spans="1:11" ht="24.95" customHeight="1" x14ac:dyDescent="0.25">
      <c r="A27" s="136"/>
      <c r="B27" s="143"/>
      <c r="C27" s="138"/>
      <c r="D27" s="138"/>
      <c r="E27" s="138"/>
      <c r="F27" s="138"/>
      <c r="G27" s="138"/>
      <c r="H27" s="138"/>
      <c r="I27" s="138"/>
      <c r="J27" s="139"/>
      <c r="K27" s="139"/>
    </row>
    <row r="29" spans="1:11" x14ac:dyDescent="0.25">
      <c r="B29" s="84"/>
    </row>
    <row r="31" spans="1:11" x14ac:dyDescent="0.25">
      <c r="A31" s="78"/>
      <c r="B31" t="s">
        <v>4338</v>
      </c>
      <c r="D31" s="118"/>
      <c r="E31" s="135"/>
    </row>
    <row r="32" spans="1:11" x14ac:dyDescent="0.25">
      <c r="A32" s="85"/>
      <c r="B32" t="s">
        <v>4339</v>
      </c>
      <c r="D32" s="118"/>
      <c r="E32" s="118"/>
    </row>
    <row r="33" spans="4:5" x14ac:dyDescent="0.25">
      <c r="D33" s="118"/>
      <c r="E33" s="118"/>
    </row>
    <row r="34" spans="4:5" x14ac:dyDescent="0.25">
      <c r="D34" s="118"/>
      <c r="E34" s="118"/>
    </row>
    <row r="35" spans="4:5" x14ac:dyDescent="0.25">
      <c r="D35" s="118"/>
      <c r="E35" s="118"/>
    </row>
    <row r="36" spans="4:5" x14ac:dyDescent="0.25">
      <c r="D36" s="118"/>
      <c r="E36" s="118"/>
    </row>
    <row r="37" spans="4:5" x14ac:dyDescent="0.25">
      <c r="E37" s="118"/>
    </row>
    <row r="38" spans="4:5" x14ac:dyDescent="0.25">
      <c r="E38" s="118"/>
    </row>
    <row r="39" spans="4:5" x14ac:dyDescent="0.25">
      <c r="E39" s="135"/>
    </row>
    <row r="40" spans="4:5" x14ac:dyDescent="0.25">
      <c r="E40" s="135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4:E1048576">
    <cfRule type="duplicateValues" dxfId="37" priority="1"/>
    <cfRule type="duplicateValues" dxfId="36" priority="2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91FD-10CF-45DD-AC05-0FFB637307D0}">
  <dimension ref="A1:N33"/>
  <sheetViews>
    <sheetView topLeftCell="A13" workbookViewId="0">
      <selection activeCell="F27" sqref="F27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>
        <v>5249</v>
      </c>
      <c r="C12" s="98" t="str">
        <f>VLOOKUP(B12,'[1]DATA MP'!$A$1:$W$1600,3,0)</f>
        <v>RINA KURNIASARI</v>
      </c>
      <c r="D12" s="98" t="str">
        <f>VLOOKUP(B12,'[1]DATA MP'!$A$1:$W$1600,9,0)</f>
        <v>PRD</v>
      </c>
      <c r="E12" s="98" t="str">
        <f>VLOOKUP(B12,'[1]DATA MP'!$A$1:$W$1600,13,0)</f>
        <v>CPA HONDA 33FA</v>
      </c>
      <c r="F12" s="98" t="str">
        <f>VLOOKUP(B12,'[1]DATA MP'!$A$1:$W$1600,16,0)</f>
        <v>A (NS)</v>
      </c>
      <c r="G12" s="98" t="str">
        <f>VLOOKUP(B12,'[1]DATA MP'!$A$1:$W$1600,22,0)</f>
        <v>P</v>
      </c>
      <c r="H12" s="98">
        <f>VLOOKUP(B12,'[1]DATA MP'!$A$1:$W$1600,23,0)</f>
        <v>40</v>
      </c>
      <c r="I12" s="75" t="s">
        <v>4346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23185</v>
      </c>
      <c r="C13" s="98" t="str">
        <f>VLOOKUP(B13,'[1]DATA MP'!$A$1:$W$1600,3,0)</f>
        <v>ALFI MUSMAWATI</v>
      </c>
      <c r="D13" s="98" t="str">
        <f>VLOOKUP(B13,'[1]DATA MP'!$A$1:$W$1600,9,0)</f>
        <v>PE</v>
      </c>
      <c r="E13" s="98" t="str">
        <f>VLOOKUP(B13,'[1]DATA MP'!$A$1:$W$1600,13,0)</f>
        <v>MTP</v>
      </c>
      <c r="F13" s="98" t="str">
        <f>VLOOKUP(B13,'[1]DATA MP'!$A$1:$W$1600,16,0)</f>
        <v>A (NS)</v>
      </c>
      <c r="G13" s="98" t="str">
        <f>VLOOKUP(B13,'[1]DATA MP'!$A$1:$W$1600,22,0)</f>
        <v>P</v>
      </c>
      <c r="H13" s="98">
        <f>VLOOKUP(B13,'[1]DATA MP'!$A$1:$W$1600,23,0)</f>
        <v>27</v>
      </c>
      <c r="I13" s="75" t="s">
        <v>4346</v>
      </c>
      <c r="J13" s="79"/>
      <c r="K13" s="80"/>
    </row>
    <row r="14" spans="1:14" s="78" customFormat="1" ht="24.95" customHeight="1" x14ac:dyDescent="0.25">
      <c r="A14" s="96">
        <v>3</v>
      </c>
      <c r="B14" s="97">
        <v>19437</v>
      </c>
      <c r="C14" s="98" t="str">
        <f>VLOOKUP(B14,'[1]DATA MP'!$A$1:$W$1600,3,0)</f>
        <v>HABIBUL MUHTAR</v>
      </c>
      <c r="D14" s="98" t="str">
        <f>VLOOKUP(B14,'[1]DATA MP'!$A$1:$W$1600,9,0)</f>
        <v>PE</v>
      </c>
      <c r="E14" s="98" t="str">
        <f>VLOOKUP(B14,'[1]DATA MP'!$A$1:$W$1600,13,0)</f>
        <v>WORKSHOP</v>
      </c>
      <c r="F14" s="98" t="str">
        <f>VLOOKUP(B14,'[1]DATA MP'!$A$1:$W$1600,16,0)</f>
        <v>A</v>
      </c>
      <c r="G14" s="98" t="str">
        <f>VLOOKUP(B14,'[1]DATA MP'!$A$1:$W$1600,22,0)</f>
        <v>L</v>
      </c>
      <c r="H14" s="98">
        <f>VLOOKUP(B14,'[1]DATA MP'!$A$1:$W$1600,23,0)</f>
        <v>30</v>
      </c>
      <c r="I14" s="75" t="s">
        <v>4346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>
        <v>12193</v>
      </c>
      <c r="C15" s="98" t="str">
        <f>VLOOKUP(B15,'[1]DATA MP'!$A$1:$W$1600,3,0)</f>
        <v>MERLIN SANJAYA</v>
      </c>
      <c r="D15" s="98" t="str">
        <f>VLOOKUP(B15,'[1]DATA MP'!$A$1:$W$1600,9,0)</f>
        <v>PRD</v>
      </c>
      <c r="E15" s="98" t="str">
        <f>VLOOKUP(B15,'[1]DATA MP'!$A$1:$W$1600,13,0)</f>
        <v>CV 4</v>
      </c>
      <c r="F15" s="98" t="str">
        <f>VLOOKUP(B15,'[1]DATA MP'!$A$1:$W$1600,16,0)</f>
        <v>A</v>
      </c>
      <c r="G15" s="98" t="str">
        <f>VLOOKUP(B15,'[1]DATA MP'!$A$1:$W$1600,22,0)</f>
        <v>P</v>
      </c>
      <c r="H15" s="98">
        <f>VLOOKUP(B15,'[1]DATA MP'!$A$1:$W$1600,23,0)</f>
        <v>32</v>
      </c>
      <c r="I15" s="75" t="s">
        <v>4346</v>
      </c>
      <c r="J15" s="81"/>
      <c r="K15" s="82"/>
    </row>
    <row r="16" spans="1:14" ht="24.95" customHeight="1" x14ac:dyDescent="0.25">
      <c r="A16" s="96">
        <v>5</v>
      </c>
      <c r="B16" s="97">
        <v>21848</v>
      </c>
      <c r="C16" s="98" t="str">
        <f>VLOOKUP(B16,'[1]DATA MP'!$A$1:$W$1600,3,0)</f>
        <v>RISDIYANTI</v>
      </c>
      <c r="D16" s="98" t="str">
        <f>VLOOKUP(B16,'[1]DATA MP'!$A$1:$W$1600,9,0)</f>
        <v>PRD</v>
      </c>
      <c r="E16" s="98" t="str">
        <f>VLOOKUP(B16,'[1]DATA MP'!$A$1:$W$1600,13,0)</f>
        <v>CV B01</v>
      </c>
      <c r="F16" s="98" t="str">
        <f>VLOOKUP(B16,'[1]DATA MP'!$A$1:$W$1600,16,0)</f>
        <v>A</v>
      </c>
      <c r="G16" s="98" t="str">
        <f>VLOOKUP(B16,'[1]DATA MP'!$A$1:$W$1600,22,0)</f>
        <v>P</v>
      </c>
      <c r="H16" s="98">
        <f>VLOOKUP(B16,'[1]DATA MP'!$A$1:$W$1600,23,0)</f>
        <v>25</v>
      </c>
      <c r="I16" s="75" t="s">
        <v>4346</v>
      </c>
      <c r="J16" s="81">
        <v>5</v>
      </c>
      <c r="K16" s="82">
        <v>6</v>
      </c>
    </row>
    <row r="17" spans="1:11" ht="24.95" customHeight="1" x14ac:dyDescent="0.25">
      <c r="A17" s="96">
        <v>6</v>
      </c>
      <c r="B17" s="97">
        <v>10517</v>
      </c>
      <c r="C17" s="98" t="str">
        <f>VLOOKUP(B17,'[1]DATA MP'!$A$1:$W$1600,3,0)</f>
        <v>NURUL FATONAH</v>
      </c>
      <c r="D17" s="98" t="str">
        <f>VLOOKUP(B17,'[1]DATA MP'!$A$1:$W$1600,9,0)</f>
        <v>PRD</v>
      </c>
      <c r="E17" s="98" t="str">
        <f>VLOOKUP(B17,'[1]DATA MP'!$A$1:$W$1600,13,0)</f>
        <v>CV H02</v>
      </c>
      <c r="F17" s="98" t="str">
        <f>VLOOKUP(B17,'[1]DATA MP'!$A$1:$W$1600,16,0)</f>
        <v>A</v>
      </c>
      <c r="G17" s="98" t="str">
        <f>VLOOKUP(B17,'[1]DATA MP'!$A$1:$W$1600,22,0)</f>
        <v>P</v>
      </c>
      <c r="H17" s="98">
        <f>VLOOKUP(B17,'[1]DATA MP'!$A$1:$W$1600,23,0)</f>
        <v>33</v>
      </c>
      <c r="I17" s="75" t="s">
        <v>4346</v>
      </c>
      <c r="J17" s="81"/>
      <c r="K17" s="82"/>
    </row>
    <row r="18" spans="1:11" ht="24.95" customHeight="1" x14ac:dyDescent="0.25">
      <c r="A18" s="96">
        <v>7</v>
      </c>
      <c r="B18" s="97">
        <v>900</v>
      </c>
      <c r="C18" s="98" t="str">
        <f>VLOOKUP(B18,'[1]DATA MP'!$A$1:$W$1600,3,0)</f>
        <v>SRI AYU MANDANI</v>
      </c>
      <c r="D18" s="98" t="str">
        <f>VLOOKUP(B18,'[1]DATA MP'!$A$1:$W$1600,9,0)</f>
        <v>QA</v>
      </c>
      <c r="E18" s="98" t="str">
        <f>VLOOKUP(B18,'[1]DATA MP'!$A$1:$W$1600,13,0)</f>
        <v>QA ADM</v>
      </c>
      <c r="F18" s="98" t="str">
        <f>VLOOKUP(B18,'[1]DATA MP'!$A$1:$W$1600,16,0)</f>
        <v>A (NS)</v>
      </c>
      <c r="G18" s="98" t="str">
        <f>VLOOKUP(B18,'[1]DATA MP'!$A$1:$W$1600,22,0)</f>
        <v>P</v>
      </c>
      <c r="H18" s="98">
        <f>VLOOKUP(B18,'[1]DATA MP'!$A$1:$W$1600,23,0)</f>
        <v>39</v>
      </c>
      <c r="I18" s="75" t="s">
        <v>4346</v>
      </c>
      <c r="J18" s="81">
        <v>7</v>
      </c>
      <c r="K18" s="82">
        <v>8</v>
      </c>
    </row>
    <row r="19" spans="1:11" ht="24.95" customHeight="1" x14ac:dyDescent="0.25">
      <c r="A19" s="96">
        <v>8</v>
      </c>
      <c r="B19" s="97">
        <v>1271</v>
      </c>
      <c r="C19" s="98" t="str">
        <f>VLOOKUP(B19,'[1]DATA MP'!$A$1:$W$1600,3,0)</f>
        <v>YUNITA</v>
      </c>
      <c r="D19" s="98" t="str">
        <f>VLOOKUP(B19,'[1]DATA MP'!$A$1:$W$1600,9,0)</f>
        <v>PRD</v>
      </c>
      <c r="E19" s="98" t="str">
        <f>VLOOKUP(B19,'[1]DATA MP'!$A$1:$W$1600,13,0)</f>
        <v>CV 24</v>
      </c>
      <c r="F19" s="98" t="str">
        <f>VLOOKUP(B19,'[1]DATA MP'!$A$1:$W$1600,16,0)</f>
        <v>A</v>
      </c>
      <c r="G19" s="98" t="str">
        <f>VLOOKUP(B19,'[1]DATA MP'!$A$1:$W$1600,22,0)</f>
        <v>P</v>
      </c>
      <c r="H19" s="98">
        <f>VLOOKUP(B19,'[1]DATA MP'!$A$1:$W$1600,23,0)</f>
        <v>40</v>
      </c>
      <c r="I19" s="75" t="s">
        <v>4346</v>
      </c>
      <c r="J19" s="81"/>
      <c r="K19" s="82"/>
    </row>
    <row r="20" spans="1:11" ht="24.95" customHeight="1" x14ac:dyDescent="0.25">
      <c r="A20" s="96">
        <v>9</v>
      </c>
      <c r="B20" s="97">
        <v>8808</v>
      </c>
      <c r="C20" s="98" t="str">
        <f>VLOOKUP(B20,'[1]DATA MP'!$A$1:$W$1600,3,0)</f>
        <v>YASTIKA YUAN RIFANA</v>
      </c>
      <c r="D20" s="98" t="str">
        <f>VLOOKUP(B20,'[1]DATA MP'!$A$1:$W$1600,9,0)</f>
        <v>PRD</v>
      </c>
      <c r="E20" s="98" t="str">
        <f>VLOOKUP(B20,'[1]DATA MP'!$A$1:$W$1600,13,0)</f>
        <v>CV H03</v>
      </c>
      <c r="F20" s="98" t="str">
        <f>VLOOKUP(B20,'[1]DATA MP'!$A$1:$W$1600,16,0)</f>
        <v>A</v>
      </c>
      <c r="G20" s="98" t="str">
        <f>VLOOKUP(B20,'[1]DATA MP'!$A$1:$W$1600,22,0)</f>
        <v>P</v>
      </c>
      <c r="H20" s="98">
        <f>VLOOKUP(B20,'[1]DATA MP'!$A$1:$W$1600,23,0)</f>
        <v>34</v>
      </c>
      <c r="I20" s="75" t="s">
        <v>4346</v>
      </c>
      <c r="J20" s="81">
        <v>9</v>
      </c>
      <c r="K20" s="82">
        <v>10</v>
      </c>
    </row>
    <row r="21" spans="1:11" ht="24.95" customHeight="1" x14ac:dyDescent="0.25">
      <c r="A21" s="96">
        <v>10</v>
      </c>
      <c r="B21" s="97">
        <v>11324</v>
      </c>
      <c r="C21" s="98" t="str">
        <f>VLOOKUP(B21,'[1]DATA MP'!$A$1:$W$1600,3,0)</f>
        <v>ISWATUN HASANAH</v>
      </c>
      <c r="D21" s="98" t="str">
        <f>VLOOKUP(B21,'[1]DATA MP'!$A$1:$W$1600,9,0)</f>
        <v>PRD</v>
      </c>
      <c r="E21" s="98" t="str">
        <f>VLOOKUP(B21,'[1]DATA MP'!$A$1:$W$1600,13,0)</f>
        <v>CV H03</v>
      </c>
      <c r="F21" s="98" t="str">
        <f>VLOOKUP(B21,'[1]DATA MP'!$A$1:$W$1600,16,0)</f>
        <v>A</v>
      </c>
      <c r="G21" s="98" t="str">
        <f>VLOOKUP(B21,'[1]DATA MP'!$A$1:$W$1600,22,0)</f>
        <v>P</v>
      </c>
      <c r="H21" s="98">
        <f>VLOOKUP(B21,'[1]DATA MP'!$A$1:$W$1600,23,0)</f>
        <v>33</v>
      </c>
      <c r="I21" s="75" t="s">
        <v>4346</v>
      </c>
      <c r="J21" s="81"/>
      <c r="K21" s="82"/>
    </row>
    <row r="22" spans="1:11" ht="24.95" customHeight="1" x14ac:dyDescent="0.25">
      <c r="A22" s="96">
        <v>11</v>
      </c>
      <c r="B22" s="97" t="s">
        <v>2808</v>
      </c>
      <c r="C22" s="98" t="str">
        <f>VLOOKUP(B22,'[1]DATA MP'!$A$1:$W$1600,3,0)</f>
        <v>EKO HARTANTO</v>
      </c>
      <c r="D22" s="98" t="str">
        <f>VLOOKUP(B22,'[1]DATA MP'!$A$1:$W$1600,9,0)</f>
        <v>PRD</v>
      </c>
      <c r="E22" s="98" t="str">
        <f>VLOOKUP(B22,'[1]DATA MP'!$A$1:$W$1600,13,0)</f>
        <v>CV H02</v>
      </c>
      <c r="F22" s="98" t="str">
        <f>VLOOKUP(B22,'[1]DATA MP'!$A$1:$W$1600,16,0)</f>
        <v>A</v>
      </c>
      <c r="G22" s="98" t="str">
        <f>VLOOKUP(B22,'[1]DATA MP'!$A$1:$W$1600,22,0)</f>
        <v>L</v>
      </c>
      <c r="H22" s="98">
        <f>VLOOKUP(B22,'[1]DATA MP'!$A$1:$W$1600,23,0)</f>
        <v>33</v>
      </c>
      <c r="I22" s="75" t="s">
        <v>4346</v>
      </c>
      <c r="J22" s="81">
        <v>11</v>
      </c>
      <c r="K22" s="82">
        <v>12</v>
      </c>
    </row>
    <row r="23" spans="1:11" ht="24.95" customHeight="1" x14ac:dyDescent="0.25">
      <c r="A23" s="96">
        <v>12</v>
      </c>
      <c r="B23" s="97">
        <v>10102</v>
      </c>
      <c r="C23" s="98" t="str">
        <f>VLOOKUP(B23,'[1]DATA MP'!$A$1:$W$1600,3,0)</f>
        <v>MUSTAAROH</v>
      </c>
      <c r="D23" s="98" t="str">
        <f>VLOOKUP(B23,'[1]DATA MP'!$A$1:$W$1600,9,0)</f>
        <v>PRD</v>
      </c>
      <c r="E23" s="98" t="str">
        <f>VLOOKUP(B23,'[1]DATA MP'!$A$1:$W$1600,13,0)</f>
        <v>PRODUCTION ADM MAN POWER</v>
      </c>
      <c r="F23" s="98" t="str">
        <f>VLOOKUP(B23,'[1]DATA MP'!$A$1:$W$1600,16,0)</f>
        <v>A (NS)</v>
      </c>
      <c r="G23" s="98" t="str">
        <f>VLOOKUP(B23,'[1]DATA MP'!$A$1:$W$1600,22,0)</f>
        <v>P</v>
      </c>
      <c r="H23" s="98">
        <f>VLOOKUP(B23,'[1]DATA MP'!$A$1:$W$1600,23,0)</f>
        <v>32</v>
      </c>
      <c r="I23" s="75" t="s">
        <v>4346</v>
      </c>
      <c r="J23" s="81"/>
      <c r="K23" s="82"/>
    </row>
    <row r="24" spans="1:11" ht="24.95" customHeight="1" x14ac:dyDescent="0.25">
      <c r="A24" s="96">
        <v>13</v>
      </c>
      <c r="B24" s="97">
        <v>4658</v>
      </c>
      <c r="C24" s="98" t="str">
        <f>VLOOKUP(B24,'[1]DATA MP'!$A$1:$W$1600,3,0)</f>
        <v>AGUS TRIYONO</v>
      </c>
      <c r="D24" s="98" t="str">
        <f>VLOOKUP(B24,'[1]DATA MP'!$A$1:$W$1600,9,0)</f>
        <v>PRD</v>
      </c>
      <c r="E24" s="98" t="str">
        <f>VLOOKUP(B24,'[1]DATA MP'!$A$1:$W$1600,13,0)</f>
        <v>PRODUCTION SYSTEM</v>
      </c>
      <c r="F24" s="98" t="str">
        <f>VLOOKUP(B24,'[1]DATA MP'!$A$1:$W$1600,16,0)</f>
        <v>A (NS)</v>
      </c>
      <c r="G24" s="98" t="str">
        <f>VLOOKUP(B24,'[1]DATA MP'!$A$1:$W$1600,22,0)</f>
        <v>L</v>
      </c>
      <c r="H24" s="98">
        <f>VLOOKUP(B24,'[1]DATA MP'!$A$1:$W$1600,23,0)</f>
        <v>40</v>
      </c>
      <c r="I24" s="75" t="s">
        <v>4346</v>
      </c>
      <c r="J24" s="81">
        <v>13</v>
      </c>
      <c r="K24" s="82">
        <v>14</v>
      </c>
    </row>
    <row r="25" spans="1:11" ht="24.95" customHeight="1" x14ac:dyDescent="0.25">
      <c r="A25" s="96">
        <v>14</v>
      </c>
      <c r="B25" s="97">
        <v>5690</v>
      </c>
      <c r="C25" s="98" t="str">
        <f>VLOOKUP(B25,'[1]DATA MP'!$A$1:$W$1600,3,0)</f>
        <v>BEKTI RAHAYU</v>
      </c>
      <c r="D25" s="98" t="str">
        <f>VLOOKUP(B25,'[1]DATA MP'!$A$1:$W$1600,9,0)</f>
        <v>PRD</v>
      </c>
      <c r="E25" s="98" t="str">
        <f>VLOOKUP(B25,'[1]DATA MP'!$A$1:$W$1600,13,0)</f>
        <v>PROTOTYPE</v>
      </c>
      <c r="F25" s="98" t="str">
        <f>VLOOKUP(B25,'[1]DATA MP'!$A$1:$W$1600,16,0)</f>
        <v>A (NS)</v>
      </c>
      <c r="G25" s="98" t="str">
        <f>VLOOKUP(B25,'[1]DATA MP'!$A$1:$W$1600,22,0)</f>
        <v>P</v>
      </c>
      <c r="H25" s="98">
        <f>VLOOKUP(B25,'[1]DATA MP'!$A$1:$W$1600,23,0)</f>
        <v>40</v>
      </c>
      <c r="I25" s="75" t="s">
        <v>4346</v>
      </c>
      <c r="J25" s="81"/>
      <c r="K25" s="82"/>
    </row>
    <row r="26" spans="1:11" ht="24.95" customHeight="1" x14ac:dyDescent="0.25">
      <c r="A26" s="147">
        <v>15</v>
      </c>
      <c r="B26" s="97">
        <v>13649</v>
      </c>
      <c r="C26" s="98" t="str">
        <f>VLOOKUP(B26,'[1]DATA MP'!$A$1:$W$1600,3,0)</f>
        <v>HERLAMBANG DIAN INDRA PRAJA</v>
      </c>
      <c r="D26" s="98" t="str">
        <f>VLOOKUP(B26,'[1]DATA MP'!$A$1:$W$1600,9,0)</f>
        <v>PRD</v>
      </c>
      <c r="E26" s="98" t="str">
        <f>VLOOKUP(B26,'[1]DATA MP'!$A$1:$W$1600,13,0)</f>
        <v>SUPERVISOR FA</v>
      </c>
      <c r="F26" s="98" t="str">
        <f>VLOOKUP(B26,'[1]DATA MP'!$A$1:$W$1600,16,0)</f>
        <v>A</v>
      </c>
      <c r="G26" s="98" t="str">
        <f>VLOOKUP(B26,'[1]DATA MP'!$A$1:$W$1600,22,0)</f>
        <v>L</v>
      </c>
      <c r="H26" s="98">
        <f>VLOOKUP(B26,'[1]DATA MP'!$A$1:$W$1600,23,0)</f>
        <v>36</v>
      </c>
      <c r="I26" s="75" t="s">
        <v>4346</v>
      </c>
      <c r="J26" s="132">
        <v>15</v>
      </c>
      <c r="K26" s="141"/>
    </row>
    <row r="27" spans="1:11" ht="24.95" customHeight="1" x14ac:dyDescent="0.25">
      <c r="A27" s="136"/>
      <c r="B27" s="118"/>
      <c r="C27" s="137"/>
      <c r="D27" s="137"/>
      <c r="E27" s="137"/>
      <c r="F27" s="137"/>
      <c r="G27" s="137"/>
      <c r="H27" s="137"/>
      <c r="I27" s="138"/>
      <c r="J27" s="139"/>
      <c r="K27" s="139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4:E1048576">
    <cfRule type="duplicateValues" dxfId="35" priority="5"/>
    <cfRule type="duplicateValues" dxfId="34" priority="6"/>
  </conditionalFormatting>
  <conditionalFormatting sqref="B17">
    <cfRule type="duplicateValues" dxfId="23" priority="3"/>
    <cfRule type="duplicateValues" dxfId="22" priority="4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CCAD-34F9-4394-A0E8-837EB26A56D9}">
  <dimension ref="A1:N33"/>
  <sheetViews>
    <sheetView topLeftCell="A10" workbookViewId="0">
      <selection activeCell="J26" sqref="J26:K26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>
        <v>12209</v>
      </c>
      <c r="C12" s="98" t="str">
        <f>VLOOKUP(B12,'[1]DATA MP'!$A$1:$W$1600,3,0)</f>
        <v>ROKHIYATI</v>
      </c>
      <c r="D12" s="98" t="str">
        <f>VLOOKUP(B12,'[1]DATA MP'!$A$1:$W$1600,9,0)</f>
        <v>PRD</v>
      </c>
      <c r="E12" s="98" t="str">
        <f>VLOOKUP(B12,'[1]DATA MP'!$A$1:$W$1600,13,0)</f>
        <v>CV 4</v>
      </c>
      <c r="F12" s="98" t="str">
        <f>VLOOKUP(B12,'[1]DATA MP'!$A$1:$W$1600,16,0)</f>
        <v>A</v>
      </c>
      <c r="G12" s="98" t="str">
        <f>VLOOKUP(B12,'[1]DATA MP'!$A$1:$W$1600,22,0)</f>
        <v>P</v>
      </c>
      <c r="H12" s="98">
        <f>VLOOKUP(B12,'[1]DATA MP'!$A$1:$W$1600,23,0)</f>
        <v>34</v>
      </c>
      <c r="I12" s="75" t="s">
        <v>4347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22856</v>
      </c>
      <c r="C13" s="98" t="str">
        <f>VLOOKUP(B13,'[1]DATA MP'!$A$1:$W$1600,3,0)</f>
        <v>MUHAMMAD FAHMI FARIZ</v>
      </c>
      <c r="D13" s="98" t="str">
        <f>VLOOKUP(B13,'[1]DATA MP'!$A$1:$W$1600,9,0)</f>
        <v>PRD</v>
      </c>
      <c r="E13" s="98" t="str">
        <f>VLOOKUP(B13,'[1]DATA MP'!$A$1:$W$1600,13,0)</f>
        <v>CV B01</v>
      </c>
      <c r="F13" s="98" t="str">
        <f>VLOOKUP(B13,'[1]DATA MP'!$A$1:$W$1600,16,0)</f>
        <v>A</v>
      </c>
      <c r="G13" s="98" t="str">
        <f>VLOOKUP(B13,'[1]DATA MP'!$A$1:$W$1600,22,0)</f>
        <v>L</v>
      </c>
      <c r="H13" s="98">
        <f>VLOOKUP(B13,'[1]DATA MP'!$A$1:$W$1600,23,0)</f>
        <v>25</v>
      </c>
      <c r="I13" s="75" t="s">
        <v>4347</v>
      </c>
      <c r="J13" s="79"/>
      <c r="K13" s="80"/>
    </row>
    <row r="14" spans="1:14" s="78" customFormat="1" ht="24.95" customHeight="1" x14ac:dyDescent="0.25">
      <c r="A14" s="96">
        <v>3</v>
      </c>
      <c r="B14" s="97">
        <v>10558</v>
      </c>
      <c r="C14" s="98" t="str">
        <f>VLOOKUP(B14,'[1]DATA MP'!$A$1:$W$1600,3,0)</f>
        <v>RETNO LISTIYONINGRUM</v>
      </c>
      <c r="D14" s="98" t="str">
        <f>VLOOKUP(B14,'[1]DATA MP'!$A$1:$W$1600,9,0)</f>
        <v>PRD</v>
      </c>
      <c r="E14" s="98" t="str">
        <f>VLOOKUP(B14,'[1]DATA MP'!$A$1:$W$1600,13,0)</f>
        <v>CV H02</v>
      </c>
      <c r="F14" s="98" t="str">
        <f>VLOOKUP(B14,'[1]DATA MP'!$A$1:$W$1600,16,0)</f>
        <v>A</v>
      </c>
      <c r="G14" s="98" t="str">
        <f>VLOOKUP(B14,'[1]DATA MP'!$A$1:$W$1600,22,0)</f>
        <v>P</v>
      </c>
      <c r="H14" s="98">
        <f>VLOOKUP(B14,'[1]DATA MP'!$A$1:$W$1600,23,0)</f>
        <v>32</v>
      </c>
      <c r="I14" s="75" t="s">
        <v>4347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>
        <v>8766</v>
      </c>
      <c r="C15" s="98" t="str">
        <f>VLOOKUP(B15,'[1]DATA MP'!$A$1:$W$1600,3,0)</f>
        <v>BEKTI LARASATI</v>
      </c>
      <c r="D15" s="98" t="str">
        <f>VLOOKUP(B15,'[1]DATA MP'!$A$1:$W$1600,9,0)</f>
        <v>PRD</v>
      </c>
      <c r="E15" s="98" t="str">
        <f>VLOOKUP(B15,'[1]DATA MP'!$A$1:$W$1600,13,0)</f>
        <v>CV 24</v>
      </c>
      <c r="F15" s="98" t="str">
        <f>VLOOKUP(B15,'[1]DATA MP'!$A$1:$W$1600,16,0)</f>
        <v>A</v>
      </c>
      <c r="G15" s="98" t="str">
        <f>VLOOKUP(B15,'[1]DATA MP'!$A$1:$W$1600,22,0)</f>
        <v>P</v>
      </c>
      <c r="H15" s="98">
        <f>VLOOKUP(B15,'[1]DATA MP'!$A$1:$W$1600,23,0)</f>
        <v>36</v>
      </c>
      <c r="I15" s="75" t="s">
        <v>4347</v>
      </c>
      <c r="J15" s="81"/>
      <c r="K15" s="82"/>
    </row>
    <row r="16" spans="1:14" ht="24.95" customHeight="1" x14ac:dyDescent="0.25">
      <c r="A16" s="96">
        <v>5</v>
      </c>
      <c r="B16" s="97">
        <v>9030</v>
      </c>
      <c r="C16" s="98" t="str">
        <f>VLOOKUP(B16,'[1]DATA MP'!$A$1:$W$1600,3,0)</f>
        <v>WANTI</v>
      </c>
      <c r="D16" s="98" t="str">
        <f>VLOOKUP(B16,'[1]DATA MP'!$A$1:$W$1600,9,0)</f>
        <v>PRD</v>
      </c>
      <c r="E16" s="98" t="str">
        <f>VLOOKUP(B16,'[1]DATA MP'!$A$1:$W$1600,13,0)</f>
        <v>CV H03</v>
      </c>
      <c r="F16" s="98" t="str">
        <f>VLOOKUP(B16,'[1]DATA MP'!$A$1:$W$1600,16,0)</f>
        <v>A</v>
      </c>
      <c r="G16" s="98" t="str">
        <f>VLOOKUP(B16,'[1]DATA MP'!$A$1:$W$1600,22,0)</f>
        <v>P</v>
      </c>
      <c r="H16" s="98">
        <f>VLOOKUP(B16,'[1]DATA MP'!$A$1:$W$1600,23,0)</f>
        <v>36</v>
      </c>
      <c r="I16" s="75" t="s">
        <v>4347</v>
      </c>
      <c r="J16" s="81">
        <v>5</v>
      </c>
      <c r="K16" s="82">
        <v>6</v>
      </c>
    </row>
    <row r="17" spans="1:11" ht="24.95" customHeight="1" x14ac:dyDescent="0.25">
      <c r="A17" s="96">
        <v>6</v>
      </c>
      <c r="B17" s="97">
        <v>5812</v>
      </c>
      <c r="C17" s="98" t="str">
        <f>VLOOKUP(B17,'[1]DATA MP'!$A$1:$W$1600,3,0)</f>
        <v>SITI RONDIYAH</v>
      </c>
      <c r="D17" s="98" t="str">
        <f>VLOOKUP(B17,'[1]DATA MP'!$A$1:$W$1600,9,0)</f>
        <v>PRD</v>
      </c>
      <c r="E17" s="98" t="str">
        <f>VLOOKUP(B17,'[1]DATA MP'!$A$1:$W$1600,13,0)</f>
        <v>PRODUCTION SYSTEM</v>
      </c>
      <c r="F17" s="98" t="str">
        <f>VLOOKUP(B17,'[1]DATA MP'!$A$1:$W$1600,16,0)</f>
        <v>A (NS)</v>
      </c>
      <c r="G17" s="98" t="str">
        <f>VLOOKUP(B17,'[1]DATA MP'!$A$1:$W$1600,22,0)</f>
        <v>P</v>
      </c>
      <c r="H17" s="98">
        <f>VLOOKUP(B17,'[1]DATA MP'!$A$1:$W$1600,23,0)</f>
        <v>38</v>
      </c>
      <c r="I17" s="75" t="s">
        <v>4347</v>
      </c>
      <c r="J17" s="81"/>
      <c r="K17" s="82"/>
    </row>
    <row r="18" spans="1:11" ht="24.95" customHeight="1" x14ac:dyDescent="0.25">
      <c r="A18" s="96">
        <v>7</v>
      </c>
      <c r="B18" s="97">
        <v>5770</v>
      </c>
      <c r="C18" s="98" t="str">
        <f>VLOOKUP(B18,'[1]DATA MP'!$A$1:$W$1600,3,0)</f>
        <v>FITRI AMALIA</v>
      </c>
      <c r="D18" s="98" t="str">
        <f>VLOOKUP(B18,'[1]DATA MP'!$A$1:$W$1600,9,0)</f>
        <v>PRD</v>
      </c>
      <c r="E18" s="98" t="str">
        <f>VLOOKUP(B18,'[1]DATA MP'!$A$1:$W$1600,13,0)</f>
        <v>PROTOTYPE</v>
      </c>
      <c r="F18" s="98" t="str">
        <f>VLOOKUP(B18,'[1]DATA MP'!$A$1:$W$1600,16,0)</f>
        <v>A (NS)</v>
      </c>
      <c r="G18" s="98" t="str">
        <f>VLOOKUP(B18,'[1]DATA MP'!$A$1:$W$1600,22,0)</f>
        <v>P</v>
      </c>
      <c r="H18" s="98">
        <f>VLOOKUP(B18,'[1]DATA MP'!$A$1:$W$1600,23,0)</f>
        <v>38</v>
      </c>
      <c r="I18" s="75" t="s">
        <v>4347</v>
      </c>
      <c r="J18" s="81">
        <v>7</v>
      </c>
      <c r="K18" s="82">
        <v>8</v>
      </c>
    </row>
    <row r="19" spans="1:11" ht="24.95" customHeight="1" x14ac:dyDescent="0.25">
      <c r="A19" s="96">
        <v>8</v>
      </c>
      <c r="B19" s="97">
        <v>1170</v>
      </c>
      <c r="C19" s="98" t="str">
        <f>VLOOKUP(B19,'[1]DATA MP'!$A$1:$W$1600,3,0)</f>
        <v>PUDJI IDAYANI</v>
      </c>
      <c r="D19" s="98" t="str">
        <f>VLOOKUP(B19,'[1]DATA MP'!$A$1:$W$1600,9,0)</f>
        <v>PRD</v>
      </c>
      <c r="E19" s="98" t="str">
        <f>VLOOKUP(B19,'[1]DATA MP'!$A$1:$W$1600,13,0)</f>
        <v>SUPERVISOR NON LINE</v>
      </c>
      <c r="F19" s="98" t="str">
        <f>VLOOKUP(B19,'[1]DATA MP'!$A$1:$W$1600,16,0)</f>
        <v>A (NS)</v>
      </c>
      <c r="G19" s="98" t="str">
        <f>VLOOKUP(B19,'[1]DATA MP'!$A$1:$W$1600,22,0)</f>
        <v>P</v>
      </c>
      <c r="H19" s="98">
        <f>VLOOKUP(B19,'[1]DATA MP'!$A$1:$W$1600,23,0)</f>
        <v>40</v>
      </c>
      <c r="I19" s="75" t="s">
        <v>4347</v>
      </c>
      <c r="J19" s="81"/>
      <c r="K19" s="82"/>
    </row>
    <row r="20" spans="1:11" ht="24.95" customHeight="1" x14ac:dyDescent="0.25">
      <c r="A20" s="96">
        <v>9</v>
      </c>
      <c r="B20" s="97">
        <v>5728</v>
      </c>
      <c r="C20" s="98" t="str">
        <f>VLOOKUP(B20,'[1]DATA MP'!$A$1:$W$1600,3,0)</f>
        <v>RITA ERTA ARI WINARNI</v>
      </c>
      <c r="D20" s="98" t="str">
        <f>VLOOKUP(B20,'[1]DATA MP'!$A$1:$W$1600,9,0)</f>
        <v>PRD</v>
      </c>
      <c r="E20" s="98" t="str">
        <f>VLOOKUP(B20,'[1]DATA MP'!$A$1:$W$1600,13,0)</f>
        <v>TRAINER 1</v>
      </c>
      <c r="F20" s="98" t="str">
        <f>VLOOKUP(B20,'[1]DATA MP'!$A$1:$W$1600,16,0)</f>
        <v>A (NS)</v>
      </c>
      <c r="G20" s="98" t="str">
        <f>VLOOKUP(B20,'[1]DATA MP'!$A$1:$W$1600,22,0)</f>
        <v>P</v>
      </c>
      <c r="H20" s="98">
        <f>VLOOKUP(B20,'[1]DATA MP'!$A$1:$W$1600,23,0)</f>
        <v>39</v>
      </c>
      <c r="I20" s="75" t="s">
        <v>4347</v>
      </c>
      <c r="J20" s="81">
        <v>9</v>
      </c>
      <c r="K20" s="82">
        <v>10</v>
      </c>
    </row>
    <row r="21" spans="1:11" ht="24.95" customHeight="1" x14ac:dyDescent="0.25">
      <c r="A21" s="96">
        <v>10</v>
      </c>
      <c r="B21" s="97">
        <v>6061</v>
      </c>
      <c r="C21" s="98" t="str">
        <f>VLOOKUP(B21,'[1]DATA MP'!$A$1:$W$1600,3,0)</f>
        <v>KALISTIYAH</v>
      </c>
      <c r="D21" s="98" t="str">
        <f>VLOOKUP(B21,'[1]DATA MP'!$A$1:$W$1600,9,0)</f>
        <v>PRD</v>
      </c>
      <c r="E21" s="98" t="str">
        <f>VLOOKUP(B21,'[1]DATA MP'!$A$1:$W$1600,13,0)</f>
        <v>TRAINER 2</v>
      </c>
      <c r="F21" s="98" t="str">
        <f>VLOOKUP(B21,'[1]DATA MP'!$A$1:$W$1600,16,0)</f>
        <v>A</v>
      </c>
      <c r="G21" s="98" t="str">
        <f>VLOOKUP(B21,'[1]DATA MP'!$A$1:$W$1600,22,0)</f>
        <v>P</v>
      </c>
      <c r="H21" s="98">
        <f>VLOOKUP(B21,'[1]DATA MP'!$A$1:$W$1600,23,0)</f>
        <v>39</v>
      </c>
      <c r="I21" s="75" t="s">
        <v>4347</v>
      </c>
      <c r="J21" s="81"/>
      <c r="K21" s="82"/>
    </row>
    <row r="22" spans="1:11" ht="24.95" customHeight="1" x14ac:dyDescent="0.25">
      <c r="A22" s="96">
        <v>11</v>
      </c>
      <c r="B22" s="97">
        <v>1093</v>
      </c>
      <c r="C22" s="98" t="str">
        <f>VLOOKUP(B22,'[1]DATA MP'!$A$1:$W$1600,3,0)</f>
        <v>ARI WIDIYANTI</v>
      </c>
      <c r="D22" s="98" t="str">
        <f>VLOOKUP(B22,'[1]DATA MP'!$A$1:$W$1600,9,0)</f>
        <v>PRD</v>
      </c>
      <c r="E22" s="98" t="str">
        <f>VLOOKUP(B22,'[1]DATA MP'!$A$1:$W$1600,13,0)</f>
        <v>TRAINER CPA</v>
      </c>
      <c r="F22" s="98" t="str">
        <f>VLOOKUP(B22,'[1]DATA MP'!$A$1:$W$1600,16,0)</f>
        <v>A (NS)</v>
      </c>
      <c r="G22" s="98" t="str">
        <f>VLOOKUP(B22,'[1]DATA MP'!$A$1:$W$1600,22,0)</f>
        <v>P</v>
      </c>
      <c r="H22" s="98">
        <f>VLOOKUP(B22,'[1]DATA MP'!$A$1:$W$1600,23,0)</f>
        <v>38</v>
      </c>
      <c r="I22" s="75" t="s">
        <v>4347</v>
      </c>
      <c r="J22" s="81">
        <v>11</v>
      </c>
      <c r="K22" s="82">
        <v>12</v>
      </c>
    </row>
    <row r="23" spans="1:11" ht="24.95" customHeight="1" x14ac:dyDescent="0.25">
      <c r="A23" s="96">
        <v>12</v>
      </c>
      <c r="B23" s="97">
        <v>9212</v>
      </c>
      <c r="C23" s="98" t="str">
        <f>VLOOKUP(B23,'[1]DATA MP'!$A$1:$W$1600,3,0)</f>
        <v>SARAS NURAENI</v>
      </c>
      <c r="D23" s="98" t="str">
        <f>VLOOKUP(B23,'[1]DATA MP'!$A$1:$W$1600,9,0)</f>
        <v>PRD</v>
      </c>
      <c r="E23" s="98" t="str">
        <f>VLOOKUP(B23,'[1]DATA MP'!$A$1:$W$1600,13,0)</f>
        <v>CV T01</v>
      </c>
      <c r="F23" s="98" t="str">
        <f>VLOOKUP(B23,'[1]DATA MP'!$A$1:$W$1600,16,0)</f>
        <v>A</v>
      </c>
      <c r="G23" s="98" t="str">
        <f>VLOOKUP(B23,'[1]DATA MP'!$A$1:$W$1600,22,0)</f>
        <v>P</v>
      </c>
      <c r="H23" s="98">
        <f>VLOOKUP(B23,'[1]DATA MP'!$A$1:$W$1600,23,0)</f>
        <v>34</v>
      </c>
      <c r="I23" s="75" t="s">
        <v>4347</v>
      </c>
      <c r="J23" s="81"/>
      <c r="K23" s="82"/>
    </row>
    <row r="24" spans="1:11" ht="24.95" customHeight="1" x14ac:dyDescent="0.25">
      <c r="A24" s="96">
        <v>13</v>
      </c>
      <c r="B24" s="97">
        <v>20699</v>
      </c>
      <c r="C24" s="98" t="str">
        <f>VLOOKUP(B24,'[1]DATA MP'!$A$1:$W$1600,3,0)</f>
        <v>ARINA KHAQ</v>
      </c>
      <c r="D24" s="98" t="str">
        <f>VLOOKUP(B24,'[1]DATA MP'!$A$1:$W$1600,9,0)</f>
        <v>PRD</v>
      </c>
      <c r="E24" s="98" t="str">
        <f>VLOOKUP(B24,'[1]DATA MP'!$A$1:$W$1600,13,0)</f>
        <v>CV M03</v>
      </c>
      <c r="F24" s="98" t="str">
        <f>VLOOKUP(B24,'[1]DATA MP'!$A$1:$W$1600,16,0)</f>
        <v>A</v>
      </c>
      <c r="G24" s="98" t="str">
        <f>VLOOKUP(B24,'[1]DATA MP'!$A$1:$W$1600,22,0)</f>
        <v>P</v>
      </c>
      <c r="H24" s="98">
        <f>VLOOKUP(B24,'[1]DATA MP'!$A$1:$W$1600,23,0)</f>
        <v>25</v>
      </c>
      <c r="I24" s="75" t="s">
        <v>4347</v>
      </c>
      <c r="J24" s="81">
        <v>13</v>
      </c>
      <c r="K24" s="82">
        <v>14</v>
      </c>
    </row>
    <row r="25" spans="1:11" ht="24.95" customHeight="1" x14ac:dyDescent="0.25">
      <c r="A25" s="96">
        <v>14</v>
      </c>
      <c r="B25" s="97">
        <v>10936</v>
      </c>
      <c r="C25" s="98" t="str">
        <f>VLOOKUP(B25,'[1]DATA MP'!$A$1:$W$1600,3,0)</f>
        <v>NENSI WIDYAWATI</v>
      </c>
      <c r="D25" s="98" t="str">
        <f>VLOOKUP(B25,'[1]DATA MP'!$A$1:$W$1600,9,0)</f>
        <v>PRD</v>
      </c>
      <c r="E25" s="98" t="str">
        <f>VLOOKUP(B25,'[1]DATA MP'!$A$1:$W$1600,13,0)</f>
        <v>CV S01</v>
      </c>
      <c r="F25" s="98" t="str">
        <f>VLOOKUP(B25,'[1]DATA MP'!$A$1:$W$1600,16,0)</f>
        <v>A</v>
      </c>
      <c r="G25" s="98" t="str">
        <f>VLOOKUP(B25,'[1]DATA MP'!$A$1:$W$1600,22,0)</f>
        <v>P</v>
      </c>
      <c r="H25" s="98">
        <f>VLOOKUP(B25,'[1]DATA MP'!$A$1:$W$1600,23,0)</f>
        <v>32</v>
      </c>
      <c r="I25" s="75" t="s">
        <v>4347</v>
      </c>
      <c r="J25" s="81"/>
      <c r="K25" s="82"/>
    </row>
    <row r="26" spans="1:11" ht="24.95" customHeight="1" x14ac:dyDescent="0.25">
      <c r="A26" s="147">
        <v>15</v>
      </c>
      <c r="B26" s="97">
        <v>12080</v>
      </c>
      <c r="C26" s="98" t="str">
        <f>VLOOKUP(B26,'[1]DATA MP'!$A$1:$W$1600,3,0)</f>
        <v>DESI APRIYANI</v>
      </c>
      <c r="D26" s="98" t="str">
        <f>VLOOKUP(B26,'[1]DATA MP'!$A$1:$W$1600,9,0)</f>
        <v>PRD</v>
      </c>
      <c r="E26" s="98" t="str">
        <f>VLOOKUP(B26,'[1]DATA MP'!$A$1:$W$1600,13,0)</f>
        <v>CV M04</v>
      </c>
      <c r="F26" s="98" t="str">
        <f>VLOOKUP(B26,'[1]DATA MP'!$A$1:$W$1600,16,0)</f>
        <v>A (NS)</v>
      </c>
      <c r="G26" s="98" t="str">
        <f>VLOOKUP(B26,'[1]DATA MP'!$A$1:$W$1600,22,0)</f>
        <v>P</v>
      </c>
      <c r="H26" s="98">
        <f>VLOOKUP(B26,'[1]DATA MP'!$A$1:$W$1600,23,0)</f>
        <v>32</v>
      </c>
      <c r="I26" s="75" t="s">
        <v>4347</v>
      </c>
      <c r="J26" s="132">
        <v>15</v>
      </c>
      <c r="K26" s="141"/>
    </row>
    <row r="27" spans="1:11" ht="24.95" customHeight="1" x14ac:dyDescent="0.25">
      <c r="A27" s="142"/>
      <c r="B27" s="143"/>
      <c r="C27" s="138"/>
      <c r="D27" s="138"/>
      <c r="E27" s="138"/>
      <c r="F27" s="138"/>
      <c r="G27" s="138"/>
      <c r="H27" s="138"/>
      <c r="I27" s="138"/>
      <c r="J27" s="139"/>
      <c r="K27" s="139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4:E1048576">
    <cfRule type="duplicateValues" dxfId="33" priority="5"/>
    <cfRule type="duplicateValues" dxfId="32" priority="6"/>
  </conditionalFormatting>
  <conditionalFormatting sqref="B14">
    <cfRule type="duplicateValues" dxfId="21" priority="3"/>
    <cfRule type="duplicateValues" dxfId="20" priority="4"/>
  </conditionalFormatting>
  <conditionalFormatting sqref="B15">
    <cfRule type="duplicateValues" dxfId="11" priority="1"/>
    <cfRule type="duplicateValues" dxfId="10" priority="2"/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CC2B-5864-44CC-BAC9-D795099B2695}">
  <dimension ref="A1:N33"/>
  <sheetViews>
    <sheetView topLeftCell="A10" workbookViewId="0">
      <selection activeCell="I22" sqref="I22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>
        <v>12609</v>
      </c>
      <c r="C12" s="98" t="str">
        <f>VLOOKUP(B12,'[1]DATA MP'!$A$1:$W$1600,3,0)</f>
        <v>ERNI YULIANTI</v>
      </c>
      <c r="D12" s="98" t="str">
        <f>VLOOKUP(B12,'[1]DATA MP'!$A$1:$W$1600,9,0)</f>
        <v>PRD</v>
      </c>
      <c r="E12" s="98" t="str">
        <f>VLOOKUP(B12,'[1]DATA MP'!$A$1:$W$1600,13,0)</f>
        <v>CV 4</v>
      </c>
      <c r="F12" s="98" t="str">
        <f>VLOOKUP(B12,'[1]DATA MP'!$A$1:$W$1600,16,0)</f>
        <v>A</v>
      </c>
      <c r="G12" s="98" t="str">
        <f>VLOOKUP(B12,'[1]DATA MP'!$A$1:$W$1600,22,0)</f>
        <v>P</v>
      </c>
      <c r="H12" s="98">
        <f>VLOOKUP(B12,'[1]DATA MP'!$A$1:$W$1600,23,0)</f>
        <v>34</v>
      </c>
      <c r="I12" s="75" t="s">
        <v>4348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1032</v>
      </c>
      <c r="C13" s="98" t="str">
        <f>VLOOKUP(B13,'[1]DATA MP'!$A$1:$W$1600,3,0)</f>
        <v>DARNI</v>
      </c>
      <c r="D13" s="98" t="str">
        <f>VLOOKUP(B13,'[1]DATA MP'!$A$1:$W$1600,9,0)</f>
        <v>PRD</v>
      </c>
      <c r="E13" s="98" t="str">
        <f>VLOOKUP(B13,'[1]DATA MP'!$A$1:$W$1600,13,0)</f>
        <v>CV H02</v>
      </c>
      <c r="F13" s="98" t="str">
        <f>VLOOKUP(B13,'[1]DATA MP'!$A$1:$W$1600,16,0)</f>
        <v>A</v>
      </c>
      <c r="G13" s="98" t="str">
        <f>VLOOKUP(B13,'[1]DATA MP'!$A$1:$W$1600,22,0)</f>
        <v>P</v>
      </c>
      <c r="H13" s="98">
        <f>VLOOKUP(B13,'[1]DATA MP'!$A$1:$W$1600,23,0)</f>
        <v>40</v>
      </c>
      <c r="I13" s="75" t="s">
        <v>4348</v>
      </c>
      <c r="J13" s="79"/>
      <c r="K13" s="80"/>
    </row>
    <row r="14" spans="1:14" s="78" customFormat="1" ht="24.95" customHeight="1" x14ac:dyDescent="0.25">
      <c r="A14" s="96">
        <v>3</v>
      </c>
      <c r="B14" s="97">
        <v>10201</v>
      </c>
      <c r="C14" s="98" t="str">
        <f>VLOOKUP(B14,'[1]DATA MP'!$A$1:$W$1600,3,0)</f>
        <v>SILMA MULIANA</v>
      </c>
      <c r="D14" s="98" t="str">
        <f>VLOOKUP(B14,'[1]DATA MP'!$A$1:$W$1600,9,0)</f>
        <v>PRD</v>
      </c>
      <c r="E14" s="98" t="str">
        <f>VLOOKUP(B14,'[1]DATA MP'!$A$1:$W$1600,13,0)</f>
        <v>CV 24</v>
      </c>
      <c r="F14" s="98" t="str">
        <f>VLOOKUP(B14,'[1]DATA MP'!$A$1:$W$1600,16,0)</f>
        <v>A</v>
      </c>
      <c r="G14" s="98" t="str">
        <f>VLOOKUP(B14,'[1]DATA MP'!$A$1:$W$1600,22,0)</f>
        <v>P</v>
      </c>
      <c r="H14" s="98">
        <f>VLOOKUP(B14,'[1]DATA MP'!$A$1:$W$1600,23,0)</f>
        <v>32</v>
      </c>
      <c r="I14" s="75" t="s">
        <v>4348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>
        <v>22966</v>
      </c>
      <c r="C15" s="98" t="str">
        <f>VLOOKUP(B15,'[1]DATA MP'!$A$1:$W$1600,3,0)</f>
        <v>NURUL AINI</v>
      </c>
      <c r="D15" s="98" t="str">
        <f>VLOOKUP(B15,'[1]DATA MP'!$A$1:$W$1600,9,0)</f>
        <v>PRD</v>
      </c>
      <c r="E15" s="98" t="str">
        <f>VLOOKUP(B15,'[1]DATA MP'!$A$1:$W$1600,13,0)</f>
        <v>CV H02</v>
      </c>
      <c r="F15" s="98" t="str">
        <f>VLOOKUP(B15,'[1]DATA MP'!$A$1:$W$1600,16,0)</f>
        <v>A</v>
      </c>
      <c r="G15" s="98" t="str">
        <f>VLOOKUP(B15,'[1]DATA MP'!$A$1:$W$1600,22,0)</f>
        <v>P</v>
      </c>
      <c r="H15" s="98">
        <f>VLOOKUP(B15,'[1]DATA MP'!$A$1:$W$1600,23,0)</f>
        <v>25</v>
      </c>
      <c r="I15" s="75" t="s">
        <v>4348</v>
      </c>
      <c r="J15" s="81"/>
      <c r="K15" s="82"/>
    </row>
    <row r="16" spans="1:14" ht="24.95" customHeight="1" x14ac:dyDescent="0.25">
      <c r="A16" s="96">
        <v>5</v>
      </c>
      <c r="B16" s="97">
        <v>11442</v>
      </c>
      <c r="C16" s="98" t="str">
        <f>VLOOKUP(B16,'[1]DATA MP'!$A$1:$W$1600,3,0)</f>
        <v>IKA SARI</v>
      </c>
      <c r="D16" s="98" t="str">
        <f>VLOOKUP(B16,'[1]DATA MP'!$A$1:$W$1600,9,0)</f>
        <v>PRD</v>
      </c>
      <c r="E16" s="98" t="str">
        <f>VLOOKUP(B16,'[1]DATA MP'!$A$1:$W$1600,13,0)</f>
        <v>CV H03</v>
      </c>
      <c r="F16" s="98" t="str">
        <f>VLOOKUP(B16,'[1]DATA MP'!$A$1:$W$1600,16,0)</f>
        <v>A</v>
      </c>
      <c r="G16" s="98" t="str">
        <f>VLOOKUP(B16,'[1]DATA MP'!$A$1:$W$1600,22,0)</f>
        <v>P</v>
      </c>
      <c r="H16" s="98">
        <f>VLOOKUP(B16,'[1]DATA MP'!$A$1:$W$1600,23,0)</f>
        <v>32</v>
      </c>
      <c r="I16" s="75" t="s">
        <v>4348</v>
      </c>
      <c r="J16" s="81">
        <v>5</v>
      </c>
      <c r="K16" s="82">
        <v>6</v>
      </c>
    </row>
    <row r="17" spans="1:11" ht="24.95" customHeight="1" x14ac:dyDescent="0.25">
      <c r="A17" s="96">
        <v>6</v>
      </c>
      <c r="B17" s="97">
        <v>12969</v>
      </c>
      <c r="C17" s="98" t="str">
        <f>VLOOKUP(B17,'[1]DATA MP'!$A$1:$W$1600,3,0)</f>
        <v>CITRA SUSILOWATI</v>
      </c>
      <c r="D17" s="98" t="str">
        <f>VLOOKUP(B17,'[1]DATA MP'!$A$1:$W$1600,9,0)</f>
        <v>PRD</v>
      </c>
      <c r="E17" s="98" t="str">
        <f>VLOOKUP(B17,'[1]DATA MP'!$A$1:$W$1600,13,0)</f>
        <v>CV S01</v>
      </c>
      <c r="F17" s="98" t="str">
        <f>VLOOKUP(B17,'[1]DATA MP'!$A$1:$W$1600,16,0)</f>
        <v>A</v>
      </c>
      <c r="G17" s="98" t="str">
        <f>VLOOKUP(B17,'[1]DATA MP'!$A$1:$W$1600,22,0)</f>
        <v>P</v>
      </c>
      <c r="H17" s="98">
        <f>VLOOKUP(B17,'[1]DATA MP'!$A$1:$W$1600,23,0)</f>
        <v>36</v>
      </c>
      <c r="I17" s="75" t="s">
        <v>4348</v>
      </c>
      <c r="J17" s="81"/>
      <c r="K17" s="82"/>
    </row>
    <row r="18" spans="1:11" ht="24.95" customHeight="1" x14ac:dyDescent="0.25">
      <c r="A18" s="96">
        <v>7</v>
      </c>
      <c r="B18" s="97">
        <v>6149</v>
      </c>
      <c r="C18" s="98" t="str">
        <f>VLOOKUP(B18,'[1]DATA MP'!$A$1:$W$1600,3,0)</f>
        <v>NUR CHASANAH</v>
      </c>
      <c r="D18" s="98" t="str">
        <f>VLOOKUP(B18,'[1]DATA MP'!$A$1:$W$1600,9,0)</f>
        <v>PRD</v>
      </c>
      <c r="E18" s="98" t="str">
        <f>VLOOKUP(B18,'[1]DATA MP'!$A$1:$W$1600,13,0)</f>
        <v>CV T01</v>
      </c>
      <c r="F18" s="98" t="str">
        <f>VLOOKUP(B18,'[1]DATA MP'!$A$1:$W$1600,16,0)</f>
        <v>A</v>
      </c>
      <c r="G18" s="98" t="str">
        <f>VLOOKUP(B18,'[1]DATA MP'!$A$1:$W$1600,22,0)</f>
        <v>P</v>
      </c>
      <c r="H18" s="98">
        <f>VLOOKUP(B18,'[1]DATA MP'!$A$1:$W$1600,23,0)</f>
        <v>38</v>
      </c>
      <c r="I18" s="75" t="s">
        <v>4348</v>
      </c>
      <c r="J18" s="81">
        <v>7</v>
      </c>
      <c r="K18" s="82">
        <v>8</v>
      </c>
    </row>
    <row r="19" spans="1:11" ht="24.95" customHeight="1" x14ac:dyDescent="0.25">
      <c r="A19" s="96">
        <v>8</v>
      </c>
      <c r="B19" s="97" t="s">
        <v>1730</v>
      </c>
      <c r="C19" s="98" t="str">
        <f>VLOOKUP(B19,'[1]DATA MP'!$A$1:$W$1600,3,0)</f>
        <v>TOPAN SAPUTRO</v>
      </c>
      <c r="D19" s="98" t="str">
        <f>VLOOKUP(B19,'[1]DATA MP'!$A$1:$W$1600,9,0)</f>
        <v>PRD</v>
      </c>
      <c r="E19" s="98" t="str">
        <f>VLOOKUP(B19,'[1]DATA MP'!$A$1:$W$1600,13,0)</f>
        <v>CV M03</v>
      </c>
      <c r="F19" s="98" t="str">
        <f>VLOOKUP(B19,'[1]DATA MP'!$A$1:$W$1600,16,0)</f>
        <v>A</v>
      </c>
      <c r="G19" s="98" t="str">
        <f>VLOOKUP(B19,'[1]DATA MP'!$A$1:$W$1600,22,0)</f>
        <v>L</v>
      </c>
      <c r="H19" s="98">
        <f>VLOOKUP(B19,'[1]DATA MP'!$A$1:$W$1600,23,0)</f>
        <v>31</v>
      </c>
      <c r="I19" s="75" t="s">
        <v>4348</v>
      </c>
      <c r="J19" s="81"/>
      <c r="K19" s="82"/>
    </row>
    <row r="20" spans="1:11" ht="24.95" customHeight="1" x14ac:dyDescent="0.25">
      <c r="A20" s="96">
        <v>9</v>
      </c>
      <c r="B20" s="97">
        <v>9872</v>
      </c>
      <c r="C20" s="98" t="str">
        <f>VLOOKUP(B20,'[1]DATA MP'!$A$1:$W$1600,3,0)</f>
        <v>SIFA'UL MUYASSAROH</v>
      </c>
      <c r="D20" s="98" t="str">
        <f>VLOOKUP(B20,'[1]DATA MP'!$A$1:$W$1600,9,0)</f>
        <v>PRD</v>
      </c>
      <c r="E20" s="98" t="str">
        <f>VLOOKUP(B20,'[1]DATA MP'!$A$1:$W$1600,13,0)</f>
        <v>CV M04</v>
      </c>
      <c r="F20" s="98" t="str">
        <f>VLOOKUP(B20,'[1]DATA MP'!$A$1:$W$1600,16,0)</f>
        <v>A (NS)</v>
      </c>
      <c r="G20" s="98" t="str">
        <f>VLOOKUP(B20,'[1]DATA MP'!$A$1:$W$1600,22,0)</f>
        <v>P</v>
      </c>
      <c r="H20" s="98">
        <f>VLOOKUP(B20,'[1]DATA MP'!$A$1:$W$1600,23,0)</f>
        <v>33</v>
      </c>
      <c r="I20" s="75" t="s">
        <v>4348</v>
      </c>
      <c r="J20" s="81">
        <v>9</v>
      </c>
      <c r="K20" s="82">
        <v>10</v>
      </c>
    </row>
    <row r="21" spans="1:11" ht="24.95" customHeight="1" x14ac:dyDescent="0.25">
      <c r="A21" s="96">
        <v>10</v>
      </c>
      <c r="B21" s="97">
        <v>11733</v>
      </c>
      <c r="C21" s="98" t="str">
        <f>VLOOKUP(B21,'[1]DATA MP'!$A$1:$W$1600,3,0)</f>
        <v>MAR'ATUS SHOLIKAH</v>
      </c>
      <c r="D21" s="98" t="str">
        <f>VLOOKUP(B21,'[1]DATA MP'!$A$1:$W$1600,9,0)</f>
        <v>PRD</v>
      </c>
      <c r="E21" s="98" t="str">
        <f>VLOOKUP(B21,'[1]DATA MP'!$A$1:$W$1600,13,0)</f>
        <v>CV HV 07</v>
      </c>
      <c r="F21" s="98" t="str">
        <f>VLOOKUP(B21,'[1]DATA MP'!$A$1:$W$1600,16,0)</f>
        <v>A</v>
      </c>
      <c r="G21" s="98" t="str">
        <f>VLOOKUP(B21,'[1]DATA MP'!$A$1:$W$1600,22,0)</f>
        <v>P</v>
      </c>
      <c r="H21" s="98">
        <f>VLOOKUP(B21,'[1]DATA MP'!$A$1:$W$1600,23,0)</f>
        <v>31</v>
      </c>
      <c r="I21" s="75" t="s">
        <v>4348</v>
      </c>
      <c r="J21" s="81"/>
      <c r="K21" s="82"/>
    </row>
    <row r="22" spans="1:11" ht="24.95" customHeight="1" x14ac:dyDescent="0.25">
      <c r="A22" s="96">
        <v>11</v>
      </c>
      <c r="B22" s="97">
        <v>20584</v>
      </c>
      <c r="C22" s="98" t="str">
        <f>VLOOKUP(B22,'[1]DATA MP'!$A$1:$W$1600,3,0)</f>
        <v>FEBRY HARJANTO</v>
      </c>
      <c r="D22" s="98" t="str">
        <f>VLOOKUP(B22,'[1]DATA MP'!$A$1:$W$1600,9,0)</f>
        <v>PRD</v>
      </c>
      <c r="E22" s="98" t="str">
        <f>VLOOKUP(B22,'[1]DATA MP'!$A$1:$W$1600,13,0)</f>
        <v>CV H06</v>
      </c>
      <c r="F22" s="98" t="str">
        <f>VLOOKUP(B22,'[1]DATA MP'!$A$1:$W$1600,16,0)</f>
        <v>A (NS)</v>
      </c>
      <c r="G22" s="98" t="str">
        <f>VLOOKUP(B22,'[1]DATA MP'!$A$1:$W$1600,22,0)</f>
        <v>L</v>
      </c>
      <c r="H22" s="98">
        <f>VLOOKUP(B22,'[1]DATA MP'!$A$1:$W$1600,23,0)</f>
        <v>31</v>
      </c>
      <c r="I22" s="75" t="s">
        <v>4348</v>
      </c>
      <c r="J22" s="81">
        <v>11</v>
      </c>
      <c r="K22" s="82">
        <v>12</v>
      </c>
    </row>
    <row r="23" spans="1:11" ht="24.95" customHeight="1" x14ac:dyDescent="0.25">
      <c r="A23" s="96">
        <v>12</v>
      </c>
      <c r="B23" s="97">
        <v>10899</v>
      </c>
      <c r="C23" s="98" t="str">
        <f>VLOOKUP(B23,'[1]DATA MP'!$A$1:$W$1600,3,0)</f>
        <v>SITI INAYAHWATI</v>
      </c>
      <c r="D23" s="98" t="str">
        <f>VLOOKUP(B23,'[1]DATA MP'!$A$1:$W$1600,9,0)</f>
        <v>PRD</v>
      </c>
      <c r="E23" s="98" t="str">
        <f>VLOOKUP(B23,'[1]DATA MP'!$A$1:$W$1600,13,0)</f>
        <v>CV H05</v>
      </c>
      <c r="F23" s="98" t="str">
        <f>VLOOKUP(B23,'[1]DATA MP'!$A$1:$W$1600,16,0)</f>
        <v>A (NS)</v>
      </c>
      <c r="G23" s="98" t="str">
        <f>VLOOKUP(B23,'[1]DATA MP'!$A$1:$W$1600,22,0)</f>
        <v>P</v>
      </c>
      <c r="H23" s="98">
        <f>VLOOKUP(B23,'[1]DATA MP'!$A$1:$W$1600,23,0)</f>
        <v>33</v>
      </c>
      <c r="I23" s="75" t="s">
        <v>4348</v>
      </c>
      <c r="J23" s="81"/>
      <c r="K23" s="82"/>
    </row>
    <row r="24" spans="1:11" ht="24.95" customHeight="1" x14ac:dyDescent="0.25">
      <c r="A24" s="96">
        <v>13</v>
      </c>
      <c r="B24" s="97">
        <v>11061</v>
      </c>
      <c r="C24" s="98" t="str">
        <f>VLOOKUP(B24,'[1]DATA MP'!$A$1:$W$1600,3,0)</f>
        <v>EKA FITRIYANI</v>
      </c>
      <c r="D24" s="98" t="str">
        <f>VLOOKUP(B24,'[1]DATA MP'!$A$1:$W$1600,9,0)</f>
        <v>PRD</v>
      </c>
      <c r="E24" s="98" t="str">
        <f>VLOOKUP(B24,'[1]DATA MP'!$A$1:$W$1600,13,0)</f>
        <v>CV HV 04A</v>
      </c>
      <c r="F24" s="98" t="str">
        <f>VLOOKUP(B24,'[1]DATA MP'!$A$1:$W$1600,16,0)</f>
        <v>A</v>
      </c>
      <c r="G24" s="98" t="str">
        <f>VLOOKUP(B24,'[1]DATA MP'!$A$1:$W$1600,22,0)</f>
        <v>P</v>
      </c>
      <c r="H24" s="98">
        <f>VLOOKUP(B24,'[1]DATA MP'!$A$1:$W$1600,23,0)</f>
        <v>32</v>
      </c>
      <c r="I24" s="75" t="s">
        <v>4348</v>
      </c>
      <c r="J24" s="81">
        <v>13</v>
      </c>
      <c r="K24" s="82">
        <v>14</v>
      </c>
    </row>
    <row r="25" spans="1:11" ht="24.95" customHeight="1" x14ac:dyDescent="0.25">
      <c r="A25" s="96">
        <v>14</v>
      </c>
      <c r="B25" s="97">
        <v>8952</v>
      </c>
      <c r="C25" s="98" t="str">
        <f>VLOOKUP(B25,'[1]DATA MP'!$A$1:$W$1600,3,0)</f>
        <v>SRI HARYANTI</v>
      </c>
      <c r="D25" s="98" t="str">
        <f>VLOOKUP(B25,'[1]DATA MP'!$A$1:$W$1600,9,0)</f>
        <v>PRD</v>
      </c>
      <c r="E25" s="98" t="str">
        <f>VLOOKUP(B25,'[1]DATA MP'!$A$1:$W$1600,13,0)</f>
        <v>CV HV 04B</v>
      </c>
      <c r="F25" s="98" t="str">
        <f>VLOOKUP(B25,'[1]DATA MP'!$A$1:$W$1600,16,0)</f>
        <v>A</v>
      </c>
      <c r="G25" s="98" t="str">
        <f>VLOOKUP(B25,'[1]DATA MP'!$A$1:$W$1600,22,0)</f>
        <v>P</v>
      </c>
      <c r="H25" s="98">
        <f>VLOOKUP(B25,'[1]DATA MP'!$A$1:$W$1600,23,0)</f>
        <v>37</v>
      </c>
      <c r="I25" s="75" t="s">
        <v>4348</v>
      </c>
      <c r="J25" s="81"/>
      <c r="K25" s="82"/>
    </row>
    <row r="26" spans="1:11" ht="24.95" customHeight="1" x14ac:dyDescent="0.25">
      <c r="A26" s="147">
        <v>15</v>
      </c>
      <c r="B26" s="97">
        <v>8695</v>
      </c>
      <c r="C26" s="98" t="str">
        <f>VLOOKUP(B26,'[1]DATA MP'!$A$1:$W$1600,3,0)</f>
        <v>RUWAIDAH</v>
      </c>
      <c r="D26" s="98" t="str">
        <f>VLOOKUP(B26,'[1]DATA MP'!$A$1:$W$1600,9,0)</f>
        <v>PRD</v>
      </c>
      <c r="E26" s="98" t="str">
        <f>VLOOKUP(B26,'[1]DATA MP'!$A$1:$W$1600,13,0)</f>
        <v>CV HV 10A</v>
      </c>
      <c r="F26" s="98" t="str">
        <f>VLOOKUP(B26,'[1]DATA MP'!$A$1:$W$1600,16,0)</f>
        <v>A</v>
      </c>
      <c r="G26" s="98" t="str">
        <f>VLOOKUP(B26,'[1]DATA MP'!$A$1:$W$1600,22,0)</f>
        <v>P</v>
      </c>
      <c r="H26" s="98">
        <f>VLOOKUP(B26,'[1]DATA MP'!$A$1:$W$1600,23,0)</f>
        <v>35</v>
      </c>
      <c r="I26" s="75" t="s">
        <v>4348</v>
      </c>
      <c r="J26" s="132">
        <v>15</v>
      </c>
      <c r="K26" s="141"/>
    </row>
    <row r="27" spans="1:11" ht="24.95" customHeight="1" x14ac:dyDescent="0.25">
      <c r="A27" s="142"/>
      <c r="B27" s="118"/>
      <c r="C27" s="138"/>
      <c r="D27" s="138"/>
      <c r="E27" s="137"/>
      <c r="F27" s="138"/>
      <c r="G27" s="138"/>
      <c r="H27" s="138"/>
      <c r="I27" s="138"/>
      <c r="J27" s="139"/>
      <c r="K27" s="139"/>
    </row>
    <row r="28" spans="1:11" x14ac:dyDescent="0.25">
      <c r="A28" s="136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4:E1048576">
    <cfRule type="duplicateValues" dxfId="31" priority="3"/>
    <cfRule type="duplicateValues" dxfId="30" priority="4"/>
  </conditionalFormatting>
  <conditionalFormatting sqref="B14">
    <cfRule type="duplicateValues" dxfId="17" priority="1"/>
    <cfRule type="duplicateValues" dxfId="16" priority="2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843F-6B1C-4BEE-A8BA-96A2C10F0381}">
  <dimension ref="A1:N33"/>
  <sheetViews>
    <sheetView topLeftCell="A12" workbookViewId="0">
      <selection activeCell="F25" sqref="F25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>
        <v>5965</v>
      </c>
      <c r="C12" s="98" t="str">
        <f>VLOOKUP(B12,'[1]DATA MP'!$A$1:$W$1600,3,0)</f>
        <v>YANUR LISA MIKIYANTI</v>
      </c>
      <c r="D12" s="98" t="str">
        <f>VLOOKUP(B12,'[1]DATA MP'!$A$1:$W$1600,9,0)</f>
        <v>PRD</v>
      </c>
      <c r="E12" s="98" t="str">
        <f>VLOOKUP(B12,'[1]DATA MP'!$A$1:$W$1600,13,0)</f>
        <v>CV H02</v>
      </c>
      <c r="F12" s="98" t="str">
        <f>VLOOKUP(B12,'[1]DATA MP'!$A$1:$W$1600,16,0)</f>
        <v>A</v>
      </c>
      <c r="G12" s="98" t="str">
        <f>VLOOKUP(B12,'[1]DATA MP'!$A$1:$W$1600,22,0)</f>
        <v>P</v>
      </c>
      <c r="H12" s="98">
        <f>VLOOKUP(B12,'[1]DATA MP'!$A$1:$W$1600,23,0)</f>
        <v>38</v>
      </c>
      <c r="I12" s="75" t="s">
        <v>4337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 t="s">
        <v>2811</v>
      </c>
      <c r="C13" s="98" t="str">
        <f>VLOOKUP(B13,'[1]DATA MP'!$A$1:$W$1600,3,0)</f>
        <v>YUNI UTAMI</v>
      </c>
      <c r="D13" s="98" t="str">
        <f>VLOOKUP(B13,'[1]DATA MP'!$A$1:$W$1600,9,0)</f>
        <v>PRD</v>
      </c>
      <c r="E13" s="98" t="str">
        <f>VLOOKUP(B13,'[1]DATA MP'!$A$1:$W$1600,13,0)</f>
        <v>CV H02</v>
      </c>
      <c r="F13" s="98" t="str">
        <f>VLOOKUP(B13,'[1]DATA MP'!$A$1:$W$1600,16,0)</f>
        <v>A (NS)</v>
      </c>
      <c r="G13" s="98" t="str">
        <f>VLOOKUP(B13,'[1]DATA MP'!$A$1:$W$1600,22,0)</f>
        <v>P</v>
      </c>
      <c r="H13" s="98">
        <f>VLOOKUP(B13,'[1]DATA MP'!$A$1:$W$1600,23,0)</f>
        <v>33</v>
      </c>
      <c r="I13" s="75" t="s">
        <v>4337</v>
      </c>
      <c r="J13" s="79"/>
      <c r="K13" s="80"/>
    </row>
    <row r="14" spans="1:14" s="78" customFormat="1" ht="24.95" customHeight="1" x14ac:dyDescent="0.25">
      <c r="A14" s="96">
        <v>3</v>
      </c>
      <c r="B14" s="97">
        <v>307</v>
      </c>
      <c r="C14" s="98" t="str">
        <f>VLOOKUP(B14,'[1]DATA MP'!$A$1:$W$1600,3,0)</f>
        <v>SRI LISTIANI</v>
      </c>
      <c r="D14" s="98" t="str">
        <f>VLOOKUP(B14,'[1]DATA MP'!$A$1:$W$1600,9,0)</f>
        <v>PRD</v>
      </c>
      <c r="E14" s="98" t="str">
        <f>VLOOKUP(B14,'[1]DATA MP'!$A$1:$W$1600,13,0)</f>
        <v>CV 24</v>
      </c>
      <c r="F14" s="98" t="str">
        <f>VLOOKUP(B14,'[1]DATA MP'!$A$1:$W$1600,16,0)</f>
        <v>A</v>
      </c>
      <c r="G14" s="98" t="str">
        <f>VLOOKUP(B14,'[1]DATA MP'!$A$1:$W$1600,22,0)</f>
        <v>P</v>
      </c>
      <c r="H14" s="98">
        <f>VLOOKUP(B14,'[1]DATA MP'!$A$1:$W$1600,23,0)</f>
        <v>40</v>
      </c>
      <c r="I14" s="75" t="s">
        <v>4337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>
        <v>20963</v>
      </c>
      <c r="C15" s="98" t="str">
        <f>VLOOKUP(B15,'[1]DATA MP'!$A$1:$W$1600,3,0)</f>
        <v>ULIL ALBAB SAPUTRA</v>
      </c>
      <c r="D15" s="98" t="str">
        <f>VLOOKUP(B15,'[1]DATA MP'!$A$1:$W$1600,9,0)</f>
        <v>PRD</v>
      </c>
      <c r="E15" s="98" t="str">
        <f>VLOOKUP(B15,'[1]DATA MP'!$A$1:$W$1600,13,0)</f>
        <v>CV HV 07</v>
      </c>
      <c r="F15" s="98" t="str">
        <f>VLOOKUP(B15,'[1]DATA MP'!$A$1:$W$1600,16,0)</f>
        <v>A</v>
      </c>
      <c r="G15" s="98" t="str">
        <f>VLOOKUP(B15,'[1]DATA MP'!$A$1:$W$1600,22,0)</f>
        <v>L</v>
      </c>
      <c r="H15" s="98">
        <f>VLOOKUP(B15,'[1]DATA MP'!$A$1:$W$1600,23,0)</f>
        <v>25</v>
      </c>
      <c r="I15" s="75" t="s">
        <v>4337</v>
      </c>
      <c r="J15" s="81"/>
      <c r="K15" s="82"/>
    </row>
    <row r="16" spans="1:14" ht="24.95" customHeight="1" x14ac:dyDescent="0.25">
      <c r="A16" s="96">
        <v>5</v>
      </c>
      <c r="B16" s="97">
        <v>20628</v>
      </c>
      <c r="C16" s="98" t="str">
        <f>VLOOKUP(B16,'[1]DATA MP'!$A$1:$W$1600,3,0)</f>
        <v>NUR KONDRAN</v>
      </c>
      <c r="D16" s="98" t="str">
        <f>VLOOKUP(B16,'[1]DATA MP'!$A$1:$W$1600,9,0)</f>
        <v>PRD</v>
      </c>
      <c r="E16" s="98" t="str">
        <f>VLOOKUP(B16,'[1]DATA MP'!$A$1:$W$1600,13,0)</f>
        <v>CV H06</v>
      </c>
      <c r="F16" s="98" t="str">
        <f>VLOOKUP(B16,'[1]DATA MP'!$A$1:$W$1600,16,0)</f>
        <v>A (NS)</v>
      </c>
      <c r="G16" s="98" t="str">
        <f>VLOOKUP(B16,'[1]DATA MP'!$A$1:$W$1600,22,0)</f>
        <v>L</v>
      </c>
      <c r="H16" s="98">
        <f>VLOOKUP(B16,'[1]DATA MP'!$A$1:$W$1600,23,0)</f>
        <v>27</v>
      </c>
      <c r="I16" s="75" t="s">
        <v>4337</v>
      </c>
      <c r="J16" s="81">
        <v>5</v>
      </c>
      <c r="K16" s="82">
        <v>6</v>
      </c>
    </row>
    <row r="17" spans="1:11" ht="24.95" customHeight="1" x14ac:dyDescent="0.25">
      <c r="A17" s="96">
        <v>6</v>
      </c>
      <c r="B17" s="97">
        <v>10986</v>
      </c>
      <c r="C17" s="98" t="str">
        <f>VLOOKUP(B17,'[1]DATA MP'!$A$1:$W$1600,3,0)</f>
        <v>NUNIK SURYATI</v>
      </c>
      <c r="D17" s="98" t="str">
        <f>VLOOKUP(B17,'[1]DATA MP'!$A$1:$W$1600,9,0)</f>
        <v>PRD</v>
      </c>
      <c r="E17" s="98" t="str">
        <f>VLOOKUP(B17,'[1]DATA MP'!$A$1:$W$1600,13,0)</f>
        <v>CV H05</v>
      </c>
      <c r="F17" s="98" t="str">
        <f>VLOOKUP(B17,'[1]DATA MP'!$A$1:$W$1600,16,0)</f>
        <v>A (NS)</v>
      </c>
      <c r="G17" s="98" t="str">
        <f>VLOOKUP(B17,'[1]DATA MP'!$A$1:$W$1600,22,0)</f>
        <v>P</v>
      </c>
      <c r="H17" s="98">
        <f>VLOOKUP(B17,'[1]DATA MP'!$A$1:$W$1600,23,0)</f>
        <v>33</v>
      </c>
      <c r="I17" s="75" t="s">
        <v>4337</v>
      </c>
      <c r="J17" s="81"/>
      <c r="K17" s="82"/>
    </row>
    <row r="18" spans="1:11" ht="24.95" customHeight="1" x14ac:dyDescent="0.25">
      <c r="A18" s="96">
        <v>7</v>
      </c>
      <c r="B18" s="97">
        <v>12709</v>
      </c>
      <c r="C18" s="98" t="str">
        <f>VLOOKUP(B18,'[1]DATA MP'!$A$1:$W$1600,3,0)</f>
        <v>PRISANTI DWI A.</v>
      </c>
      <c r="D18" s="98" t="str">
        <f>VLOOKUP(B18,'[1]DATA MP'!$A$1:$W$1600,9,0)</f>
        <v>PRD</v>
      </c>
      <c r="E18" s="98" t="str">
        <f>VLOOKUP(B18,'[1]DATA MP'!$A$1:$W$1600,13,0)</f>
        <v>CV HV 04A</v>
      </c>
      <c r="F18" s="98" t="str">
        <f>VLOOKUP(B18,'[1]DATA MP'!$A$1:$W$1600,16,0)</f>
        <v>A</v>
      </c>
      <c r="G18" s="98" t="str">
        <f>VLOOKUP(B18,'[1]DATA MP'!$A$1:$W$1600,22,0)</f>
        <v>P</v>
      </c>
      <c r="H18" s="98">
        <f>VLOOKUP(B18,'[1]DATA MP'!$A$1:$W$1600,23,0)</f>
        <v>33</v>
      </c>
      <c r="I18" s="75" t="s">
        <v>4337</v>
      </c>
      <c r="J18" s="81">
        <v>7</v>
      </c>
      <c r="K18" s="82">
        <v>8</v>
      </c>
    </row>
    <row r="19" spans="1:11" ht="24.95" customHeight="1" x14ac:dyDescent="0.25">
      <c r="A19" s="96">
        <v>8</v>
      </c>
      <c r="B19" s="97">
        <v>10366</v>
      </c>
      <c r="C19" s="98" t="str">
        <f>VLOOKUP(B19,'[1]DATA MP'!$A$1:$W$1600,3,0)</f>
        <v>ENDANG SRI REJEKI</v>
      </c>
      <c r="D19" s="98" t="str">
        <f>VLOOKUP(B19,'[1]DATA MP'!$A$1:$W$1600,9,0)</f>
        <v>PRD</v>
      </c>
      <c r="E19" s="98" t="str">
        <f>VLOOKUP(B19,'[1]DATA MP'!$A$1:$W$1600,13,0)</f>
        <v>CV HV 04B</v>
      </c>
      <c r="F19" s="98" t="str">
        <f>VLOOKUP(B19,'[1]DATA MP'!$A$1:$W$1600,16,0)</f>
        <v>A</v>
      </c>
      <c r="G19" s="98" t="str">
        <f>VLOOKUP(B19,'[1]DATA MP'!$A$1:$W$1600,22,0)</f>
        <v>P</v>
      </c>
      <c r="H19" s="98">
        <f>VLOOKUP(B19,'[1]DATA MP'!$A$1:$W$1600,23,0)</f>
        <v>34</v>
      </c>
      <c r="I19" s="75" t="s">
        <v>4337</v>
      </c>
      <c r="J19" s="81"/>
      <c r="K19" s="82"/>
    </row>
    <row r="20" spans="1:11" ht="24.95" customHeight="1" x14ac:dyDescent="0.25">
      <c r="A20" s="96">
        <v>9</v>
      </c>
      <c r="B20" s="97">
        <v>10497</v>
      </c>
      <c r="C20" s="98" t="str">
        <f>VLOOKUP(B20,'[1]DATA MP'!$A$1:$W$1600,3,0)</f>
        <v>DEVI RATNA PUTRI</v>
      </c>
      <c r="D20" s="98" t="str">
        <f>VLOOKUP(B20,'[1]DATA MP'!$A$1:$W$1600,9,0)</f>
        <v>PRD</v>
      </c>
      <c r="E20" s="98" t="str">
        <f>VLOOKUP(B20,'[1]DATA MP'!$A$1:$W$1600,13,0)</f>
        <v>CV HV 10A</v>
      </c>
      <c r="F20" s="98" t="str">
        <f>VLOOKUP(B20,'[1]DATA MP'!$A$1:$W$1600,16,0)</f>
        <v>A</v>
      </c>
      <c r="G20" s="98" t="str">
        <f>VLOOKUP(B20,'[1]DATA MP'!$A$1:$W$1600,22,0)</f>
        <v>P</v>
      </c>
      <c r="H20" s="98">
        <f>VLOOKUP(B20,'[1]DATA MP'!$A$1:$W$1600,23,0)</f>
        <v>33</v>
      </c>
      <c r="I20" s="75" t="s">
        <v>4337</v>
      </c>
      <c r="J20" s="81">
        <v>9</v>
      </c>
      <c r="K20" s="82">
        <v>10</v>
      </c>
    </row>
    <row r="21" spans="1:11" ht="24.95" customHeight="1" x14ac:dyDescent="0.25">
      <c r="A21" s="96">
        <v>10</v>
      </c>
      <c r="B21" s="97">
        <v>5548</v>
      </c>
      <c r="C21" s="98" t="str">
        <f>VLOOKUP(B21,'[1]DATA MP'!$A$1:$W$1600,3,0)</f>
        <v>SRI LESTARI</v>
      </c>
      <c r="D21" s="98" t="str">
        <f>VLOOKUP(B21,'[1]DATA MP'!$A$1:$W$1600,9,0)</f>
        <v>PRD</v>
      </c>
      <c r="E21" s="98" t="str">
        <f>VLOOKUP(B21,'[1]DATA MP'!$A$1:$W$1600,13,0)</f>
        <v>CV HV 10B</v>
      </c>
      <c r="F21" s="98" t="str">
        <f>VLOOKUP(B21,'[1]DATA MP'!$A$1:$W$1600,16,0)</f>
        <v>A</v>
      </c>
      <c r="G21" s="98" t="str">
        <f>VLOOKUP(B21,'[1]DATA MP'!$A$1:$W$1600,22,0)</f>
        <v>P</v>
      </c>
      <c r="H21" s="98">
        <f>VLOOKUP(B21,'[1]DATA MP'!$A$1:$W$1600,23,0)</f>
        <v>40</v>
      </c>
      <c r="I21" s="75" t="s">
        <v>4337</v>
      </c>
      <c r="J21" s="81"/>
      <c r="K21" s="82"/>
    </row>
    <row r="22" spans="1:11" ht="24.95" customHeight="1" x14ac:dyDescent="0.25">
      <c r="A22" s="96">
        <v>11</v>
      </c>
      <c r="B22" s="97">
        <v>11267</v>
      </c>
      <c r="C22" s="98" t="str">
        <f>VLOOKUP(B22,'[1]DATA MP'!$A$1:$W$1600,3,0)</f>
        <v>NISA UMAROH</v>
      </c>
      <c r="D22" s="98" t="str">
        <f>VLOOKUP(B22,'[1]DATA MP'!$A$1:$W$1600,9,0)</f>
        <v>PRD</v>
      </c>
      <c r="E22" s="98" t="str">
        <f>VLOOKUP(B22,'[1]DATA MP'!$A$1:$W$1600,13,0)</f>
        <v>CV HV 10A</v>
      </c>
      <c r="F22" s="98" t="str">
        <f>VLOOKUP(B22,'[1]DATA MP'!$A$1:$W$1600,16,0)</f>
        <v>A</v>
      </c>
      <c r="G22" s="98" t="str">
        <f>VLOOKUP(B22,'[1]DATA MP'!$A$1:$W$1600,22,0)</f>
        <v>P</v>
      </c>
      <c r="H22" s="98">
        <f>VLOOKUP(B22,'[1]DATA MP'!$A$1:$W$1600,23,0)</f>
        <v>34</v>
      </c>
      <c r="I22" s="75" t="s">
        <v>4337</v>
      </c>
      <c r="J22" s="81">
        <v>11</v>
      </c>
      <c r="K22" s="82">
        <v>12</v>
      </c>
    </row>
    <row r="23" spans="1:11" ht="24.95" customHeight="1" x14ac:dyDescent="0.25">
      <c r="A23" s="96">
        <v>12</v>
      </c>
      <c r="B23" s="97">
        <v>5940</v>
      </c>
      <c r="C23" s="98" t="str">
        <f>VLOOKUP(B23,'[1]DATA MP'!$A$1:$W$1600,3,0)</f>
        <v>ROSIDAH</v>
      </c>
      <c r="D23" s="98" t="str">
        <f>VLOOKUP(B23,'[1]DATA MP'!$A$1:$W$1600,9,0)</f>
        <v>PRD</v>
      </c>
      <c r="E23" s="98" t="str">
        <f>VLOOKUP(B23,'[1]DATA MP'!$A$1:$W$1600,13,0)</f>
        <v>CV HV 11B</v>
      </c>
      <c r="F23" s="98" t="str">
        <f>VLOOKUP(B23,'[1]DATA MP'!$A$1:$W$1600,16,0)</f>
        <v>A</v>
      </c>
      <c r="G23" s="98" t="str">
        <f>VLOOKUP(B23,'[1]DATA MP'!$A$1:$W$1600,22,0)</f>
        <v>P</v>
      </c>
      <c r="H23" s="98">
        <f>VLOOKUP(B23,'[1]DATA MP'!$A$1:$W$1600,23,0)</f>
        <v>38</v>
      </c>
      <c r="I23" s="75" t="s">
        <v>4337</v>
      </c>
      <c r="J23" s="81"/>
      <c r="K23" s="82"/>
    </row>
    <row r="24" spans="1:11" ht="24.95" customHeight="1" x14ac:dyDescent="0.25">
      <c r="A24" s="96">
        <v>13</v>
      </c>
      <c r="B24" s="97">
        <v>1273</v>
      </c>
      <c r="C24" s="98" t="str">
        <f>VLOOKUP(B24,'[1]DATA MP'!$A$1:$W$1600,3,0)</f>
        <v>ARI SETIOWATI</v>
      </c>
      <c r="D24" s="98" t="str">
        <f>VLOOKUP(B24,'[1]DATA MP'!$A$1:$W$1600,9,0)</f>
        <v>PRD</v>
      </c>
      <c r="E24" s="98" t="str">
        <f>VLOOKUP(B24,'[1]DATA MP'!$A$1:$W$1600,13,0)</f>
        <v>CV HV 14A</v>
      </c>
      <c r="F24" s="98" t="str">
        <f>VLOOKUP(B24,'[1]DATA MP'!$A$1:$W$1600,16,0)</f>
        <v>A</v>
      </c>
      <c r="G24" s="98" t="str">
        <f>VLOOKUP(B24,'[1]DATA MP'!$A$1:$W$1600,22,0)</f>
        <v>P</v>
      </c>
      <c r="H24" s="98">
        <f>VLOOKUP(B24,'[1]DATA MP'!$A$1:$W$1600,23,0)</f>
        <v>40</v>
      </c>
      <c r="I24" s="75" t="s">
        <v>4337</v>
      </c>
      <c r="J24" s="81">
        <v>13</v>
      </c>
      <c r="K24" s="82">
        <v>14</v>
      </c>
    </row>
    <row r="25" spans="1:11" ht="24.95" customHeight="1" x14ac:dyDescent="0.25">
      <c r="A25" s="96">
        <v>14</v>
      </c>
      <c r="B25" s="97">
        <v>10519</v>
      </c>
      <c r="C25" s="98" t="str">
        <f>VLOOKUP(B25,'[1]DATA MP'!$A$1:$W$1600,3,0)</f>
        <v>RAHAYU SAPTONINGSIH</v>
      </c>
      <c r="D25" s="98" t="str">
        <f>VLOOKUP(B25,'[1]DATA MP'!$A$1:$W$1600,9,0)</f>
        <v>PRD</v>
      </c>
      <c r="E25" s="98" t="str">
        <f>VLOOKUP(B25,'[1]DATA MP'!$A$1:$W$1600,13,0)</f>
        <v>CV HV 14B</v>
      </c>
      <c r="F25" s="98" t="str">
        <f>VLOOKUP(B25,'[1]DATA MP'!$A$1:$W$1600,16,0)</f>
        <v>A</v>
      </c>
      <c r="G25" s="98" t="str">
        <f>VLOOKUP(B25,'[1]DATA MP'!$A$1:$W$1600,22,0)</f>
        <v>P</v>
      </c>
      <c r="H25" s="98">
        <f>VLOOKUP(B25,'[1]DATA MP'!$A$1:$W$1600,23,0)</f>
        <v>34</v>
      </c>
      <c r="I25" s="75" t="s">
        <v>4337</v>
      </c>
      <c r="J25" s="81"/>
      <c r="K25" s="82"/>
    </row>
    <row r="26" spans="1:11" ht="24.95" customHeight="1" x14ac:dyDescent="0.25">
      <c r="A26" s="96">
        <v>15</v>
      </c>
      <c r="B26" s="97">
        <v>9972</v>
      </c>
      <c r="C26" s="98" t="str">
        <f>VLOOKUP(B26,'[1]DATA MP'!$A$1:$W$1600,3,0)</f>
        <v>SITI ULIYAH</v>
      </c>
      <c r="D26" s="98" t="str">
        <f>VLOOKUP(B26,'[1]DATA MP'!$A$1:$W$1600,9,0)</f>
        <v>PRD</v>
      </c>
      <c r="E26" s="98" t="str">
        <f>VLOOKUP(B26,'[1]DATA MP'!$A$1:$W$1600,13,0)</f>
        <v>CV HV 15</v>
      </c>
      <c r="F26" s="98" t="str">
        <f>VLOOKUP(B26,'[1]DATA MP'!$A$1:$W$1600,16,0)</f>
        <v>A</v>
      </c>
      <c r="G26" s="98" t="str">
        <f>VLOOKUP(B26,'[1]DATA MP'!$A$1:$W$1600,22,0)</f>
        <v>P</v>
      </c>
      <c r="H26" s="98">
        <f>VLOOKUP(B26,'[1]DATA MP'!$A$1:$W$1600,23,0)</f>
        <v>35</v>
      </c>
      <c r="I26" s="75" t="s">
        <v>4337</v>
      </c>
      <c r="J26" s="81">
        <v>15</v>
      </c>
      <c r="K26" s="82">
        <v>16</v>
      </c>
    </row>
    <row r="27" spans="1:11" ht="24.95" customHeight="1" x14ac:dyDescent="0.25">
      <c r="A27" s="83"/>
      <c r="B27" s="97"/>
      <c r="C27" s="75"/>
      <c r="D27" s="75"/>
      <c r="E27" s="75"/>
      <c r="F27" s="75"/>
      <c r="G27" s="75"/>
      <c r="H27" s="75"/>
      <c r="I27" s="75" t="s">
        <v>4337</v>
      </c>
      <c r="J27" s="81"/>
      <c r="K27" s="82"/>
    </row>
    <row r="28" spans="1:11" x14ac:dyDescent="0.25">
      <c r="B28" s="118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</sheetData>
  <mergeCells count="17">
    <mergeCell ref="J24:J25"/>
    <mergeCell ref="K24:K25"/>
    <mergeCell ref="J26:J27"/>
    <mergeCell ref="K26:K27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conditionalFormatting sqref="E1:E11 E28:E31 E34:E1048576">
    <cfRule type="duplicateValues" dxfId="29" priority="5"/>
    <cfRule type="duplicateValues" dxfId="28" priority="6"/>
  </conditionalFormatting>
  <conditionalFormatting sqref="B13">
    <cfRule type="duplicateValues" dxfId="19" priority="3"/>
    <cfRule type="duplicateValues" dxfId="18" priority="4"/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3597-79BC-44E1-BCF4-F6D44B31B950}">
  <dimension ref="A1:N33"/>
  <sheetViews>
    <sheetView topLeftCell="A10" workbookViewId="0">
      <selection activeCell="I12" sqref="I12:I26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>
        <v>6125</v>
      </c>
      <c r="C12" s="98" t="str">
        <f>VLOOKUP(B12,'[1]DATA MP'!$A$1:$W$1600,3,0)</f>
        <v>BIYANTI</v>
      </c>
      <c r="D12" s="98" t="str">
        <f>VLOOKUP(B12,'[1]DATA MP'!$A$1:$W$1600,9,0)</f>
        <v>PRD</v>
      </c>
      <c r="E12" s="98" t="str">
        <f>VLOOKUP(B12,'[1]DATA MP'!$A$1:$W$1600,13,0)</f>
        <v>CV H02</v>
      </c>
      <c r="F12" s="98" t="str">
        <f>VLOOKUP(B12,'[1]DATA MP'!$A$1:$W$1600,16,0)</f>
        <v>A</v>
      </c>
      <c r="G12" s="98" t="str">
        <f>VLOOKUP(B12,'[1]DATA MP'!$A$1:$W$1600,22,0)</f>
        <v>P</v>
      </c>
      <c r="H12" s="98">
        <f>VLOOKUP(B12,'[1]DATA MP'!$A$1:$W$1600,23,0)</f>
        <v>39</v>
      </c>
      <c r="I12" s="75" t="s">
        <v>4349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11324</v>
      </c>
      <c r="C13" s="98" t="str">
        <f>VLOOKUP(B13,'[1]DATA MP'!$A$1:$W$1600,3,0)</f>
        <v>ISWATUN HASANAH</v>
      </c>
      <c r="D13" s="98" t="str">
        <f>VLOOKUP(B13,'[1]DATA MP'!$A$1:$W$1600,9,0)</f>
        <v>PRD</v>
      </c>
      <c r="E13" s="98" t="str">
        <f>VLOOKUP(B13,'[1]DATA MP'!$A$1:$W$1600,13,0)</f>
        <v>CV H03</v>
      </c>
      <c r="F13" s="98" t="str">
        <f>VLOOKUP(B13,'[1]DATA MP'!$A$1:$W$1600,16,0)</f>
        <v>A</v>
      </c>
      <c r="G13" s="98" t="str">
        <f>VLOOKUP(B13,'[1]DATA MP'!$A$1:$W$1600,22,0)</f>
        <v>P</v>
      </c>
      <c r="H13" s="98">
        <f>VLOOKUP(B13,'[1]DATA MP'!$A$1:$W$1600,23,0)</f>
        <v>33</v>
      </c>
      <c r="I13" s="75" t="s">
        <v>4349</v>
      </c>
      <c r="J13" s="79"/>
      <c r="K13" s="80"/>
    </row>
    <row r="14" spans="1:14" s="78" customFormat="1" ht="24.95" customHeight="1" x14ac:dyDescent="0.25">
      <c r="A14" s="96">
        <v>3</v>
      </c>
      <c r="B14" s="97">
        <v>12891</v>
      </c>
      <c r="C14" s="98" t="str">
        <f>VLOOKUP(B14,'[1]DATA MP'!$A$1:$W$1600,3,0)</f>
        <v>LISTIANI NURHAYATI</v>
      </c>
      <c r="D14" s="98" t="str">
        <f>VLOOKUP(B14,'[1]DATA MP'!$A$1:$W$1600,9,0)</f>
        <v>PRD</v>
      </c>
      <c r="E14" s="98" t="str">
        <f>VLOOKUP(B14,'[1]DATA MP'!$A$1:$W$1600,13,0)</f>
        <v>CV HV 04A</v>
      </c>
      <c r="F14" s="98" t="str">
        <f>VLOOKUP(B14,'[1]DATA MP'!$A$1:$W$1600,16,0)</f>
        <v>A</v>
      </c>
      <c r="G14" s="98" t="str">
        <f>VLOOKUP(B14,'[1]DATA MP'!$A$1:$W$1600,22,0)</f>
        <v>P</v>
      </c>
      <c r="H14" s="98">
        <f>VLOOKUP(B14,'[1]DATA MP'!$A$1:$W$1600,23,0)</f>
        <v>33</v>
      </c>
      <c r="I14" s="75" t="s">
        <v>4349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>
        <v>10526</v>
      </c>
      <c r="C15" s="98" t="str">
        <f>VLOOKUP(B15,'[1]DATA MP'!$A$1:$W$1600,3,0)</f>
        <v>SARI KARYANI</v>
      </c>
      <c r="D15" s="98" t="str">
        <f>VLOOKUP(B15,'[1]DATA MP'!$A$1:$W$1600,9,0)</f>
        <v>PRD</v>
      </c>
      <c r="E15" s="98" t="str">
        <f>VLOOKUP(B15,'[1]DATA MP'!$A$1:$W$1600,13,0)</f>
        <v>CV HV 04B</v>
      </c>
      <c r="F15" s="98" t="str">
        <f>VLOOKUP(B15,'[1]DATA MP'!$A$1:$W$1600,16,0)</f>
        <v>A</v>
      </c>
      <c r="G15" s="98" t="str">
        <f>VLOOKUP(B15,'[1]DATA MP'!$A$1:$W$1600,22,0)</f>
        <v>P</v>
      </c>
      <c r="H15" s="98">
        <f>VLOOKUP(B15,'[1]DATA MP'!$A$1:$W$1600,23,0)</f>
        <v>33</v>
      </c>
      <c r="I15" s="75" t="s">
        <v>4349</v>
      </c>
      <c r="J15" s="81"/>
      <c r="K15" s="82"/>
    </row>
    <row r="16" spans="1:14" ht="24.95" customHeight="1" x14ac:dyDescent="0.25">
      <c r="A16" s="96">
        <v>5</v>
      </c>
      <c r="B16" s="97">
        <v>8665</v>
      </c>
      <c r="C16" s="98" t="str">
        <f>VLOOKUP(B16,'[1]DATA MP'!$A$1:$W$1600,3,0)</f>
        <v>SITI ROMDHONAH</v>
      </c>
      <c r="D16" s="98" t="str">
        <f>VLOOKUP(B16,'[1]DATA MP'!$A$1:$W$1600,9,0)</f>
        <v>PRD</v>
      </c>
      <c r="E16" s="98" t="str">
        <f>VLOOKUP(B16,'[1]DATA MP'!$A$1:$W$1600,13,0)</f>
        <v>CV HV 10B</v>
      </c>
      <c r="F16" s="98" t="str">
        <f>VLOOKUP(B16,'[1]DATA MP'!$A$1:$W$1600,16,0)</f>
        <v>A</v>
      </c>
      <c r="G16" s="98" t="str">
        <f>VLOOKUP(B16,'[1]DATA MP'!$A$1:$W$1600,22,0)</f>
        <v>P</v>
      </c>
      <c r="H16" s="98">
        <f>VLOOKUP(B16,'[1]DATA MP'!$A$1:$W$1600,23,0)</f>
        <v>35</v>
      </c>
      <c r="I16" s="75" t="s">
        <v>4349</v>
      </c>
      <c r="J16" s="81">
        <v>5</v>
      </c>
      <c r="K16" s="82">
        <v>6</v>
      </c>
    </row>
    <row r="17" spans="1:11" ht="24.95" customHeight="1" x14ac:dyDescent="0.25">
      <c r="A17" s="96">
        <v>6</v>
      </c>
      <c r="B17" s="97">
        <v>11550</v>
      </c>
      <c r="C17" s="98" t="str">
        <f>VLOOKUP(B17,'[1]DATA MP'!$A$1:$W$1600,3,0)</f>
        <v>EVI KURNIASARI</v>
      </c>
      <c r="D17" s="98" t="str">
        <f>VLOOKUP(B17,'[1]DATA MP'!$A$1:$W$1600,9,0)</f>
        <v>PRD</v>
      </c>
      <c r="E17" s="98" t="str">
        <f>VLOOKUP(B17,'[1]DATA MP'!$A$1:$W$1600,13,0)</f>
        <v>CV HV 10A</v>
      </c>
      <c r="F17" s="98" t="str">
        <f>VLOOKUP(B17,'[1]DATA MP'!$A$1:$W$1600,16,0)</f>
        <v>A</v>
      </c>
      <c r="G17" s="98" t="str">
        <f>VLOOKUP(B17,'[1]DATA MP'!$A$1:$W$1600,22,0)</f>
        <v>P</v>
      </c>
      <c r="H17" s="98">
        <f>VLOOKUP(B17,'[1]DATA MP'!$A$1:$W$1600,23,0)</f>
        <v>31</v>
      </c>
      <c r="I17" s="75" t="s">
        <v>4349</v>
      </c>
      <c r="J17" s="81"/>
      <c r="K17" s="82"/>
    </row>
    <row r="18" spans="1:11" ht="24.95" customHeight="1" x14ac:dyDescent="0.25">
      <c r="A18" s="96">
        <v>7</v>
      </c>
      <c r="B18" s="131">
        <v>9558</v>
      </c>
      <c r="C18" s="98" t="str">
        <f>VLOOKUP(B18,'[1]DATA MP'!$A$1:$W$1600,3,0)</f>
        <v>SYAADATUL ABADIYAH</v>
      </c>
      <c r="D18" s="98" t="str">
        <f>VLOOKUP(B18,'[1]DATA MP'!$A$1:$W$1600,9,0)</f>
        <v>PRD</v>
      </c>
      <c r="E18" s="98" t="str">
        <f>VLOOKUP(B18,'[1]DATA MP'!$A$1:$W$1600,13,0)</f>
        <v>CV HV 11B</v>
      </c>
      <c r="F18" s="98" t="str">
        <f>VLOOKUP(B18,'[1]DATA MP'!$A$1:$W$1600,16,0)</f>
        <v>A</v>
      </c>
      <c r="G18" s="98" t="str">
        <f>VLOOKUP(B18,'[1]DATA MP'!$A$1:$W$1600,22,0)</f>
        <v>P</v>
      </c>
      <c r="H18" s="98">
        <f>VLOOKUP(B18,'[1]DATA MP'!$A$1:$W$1600,23,0)</f>
        <v>33</v>
      </c>
      <c r="I18" s="75" t="s">
        <v>4349</v>
      </c>
      <c r="J18" s="81">
        <v>7</v>
      </c>
      <c r="K18" s="82">
        <v>8</v>
      </c>
    </row>
    <row r="19" spans="1:11" ht="24.95" customHeight="1" x14ac:dyDescent="0.25">
      <c r="A19" s="96">
        <v>8</v>
      </c>
      <c r="B19" s="97">
        <v>8786</v>
      </c>
      <c r="C19" s="98" t="str">
        <f>VLOOKUP(B19,'[1]DATA MP'!$A$1:$W$1600,3,0)</f>
        <v>PONCO YUNIA SISTANTI</v>
      </c>
      <c r="D19" s="98" t="str">
        <f>VLOOKUP(B19,'[1]DATA MP'!$A$1:$W$1600,9,0)</f>
        <v>PRD</v>
      </c>
      <c r="E19" s="98" t="str">
        <f>VLOOKUP(B19,'[1]DATA MP'!$A$1:$W$1600,13,0)</f>
        <v>CV HV 14A</v>
      </c>
      <c r="F19" s="98" t="str">
        <f>VLOOKUP(B19,'[1]DATA MP'!$A$1:$W$1600,16,0)</f>
        <v>A</v>
      </c>
      <c r="G19" s="98" t="str">
        <f>VLOOKUP(B19,'[1]DATA MP'!$A$1:$W$1600,22,0)</f>
        <v>P</v>
      </c>
      <c r="H19" s="98">
        <f>VLOOKUP(B19,'[1]DATA MP'!$A$1:$W$1600,23,0)</f>
        <v>34</v>
      </c>
      <c r="I19" s="75" t="s">
        <v>4349</v>
      </c>
      <c r="J19" s="81"/>
      <c r="K19" s="82"/>
    </row>
    <row r="20" spans="1:11" ht="24.95" customHeight="1" x14ac:dyDescent="0.25">
      <c r="A20" s="96">
        <v>9</v>
      </c>
      <c r="B20" s="97">
        <v>11734</v>
      </c>
      <c r="C20" s="98" t="str">
        <f>VLOOKUP(B20,'[1]DATA MP'!$A$1:$W$1600,3,0)</f>
        <v>MELINDA KURNIASARI</v>
      </c>
      <c r="D20" s="98" t="str">
        <f>VLOOKUP(B20,'[1]DATA MP'!$A$1:$W$1600,9,0)</f>
        <v>PRD</v>
      </c>
      <c r="E20" s="98" t="str">
        <f>VLOOKUP(B20,'[1]DATA MP'!$A$1:$W$1600,13,0)</f>
        <v>CV HV 14B</v>
      </c>
      <c r="F20" s="98" t="str">
        <f>VLOOKUP(B20,'[1]DATA MP'!$A$1:$W$1600,16,0)</f>
        <v>A</v>
      </c>
      <c r="G20" s="98" t="str">
        <f>VLOOKUP(B20,'[1]DATA MP'!$A$1:$W$1600,22,0)</f>
        <v>P</v>
      </c>
      <c r="H20" s="98">
        <f>VLOOKUP(B20,'[1]DATA MP'!$A$1:$W$1600,23,0)</f>
        <v>31</v>
      </c>
      <c r="I20" s="75" t="s">
        <v>4349</v>
      </c>
      <c r="J20" s="81">
        <v>9</v>
      </c>
      <c r="K20" s="82">
        <v>10</v>
      </c>
    </row>
    <row r="21" spans="1:11" ht="24.95" customHeight="1" x14ac:dyDescent="0.25">
      <c r="A21" s="96">
        <v>10</v>
      </c>
      <c r="B21" s="97">
        <v>12598</v>
      </c>
      <c r="C21" s="98" t="str">
        <f>VLOOKUP(B21,'[1]DATA MP'!$A$1:$W$1600,3,0)</f>
        <v>DHATI ASTITI</v>
      </c>
      <c r="D21" s="98" t="str">
        <f>VLOOKUP(B21,'[1]DATA MP'!$A$1:$W$1600,9,0)</f>
        <v>PRD</v>
      </c>
      <c r="E21" s="98" t="str">
        <f>VLOOKUP(B21,'[1]DATA MP'!$A$1:$W$1600,13,0)</f>
        <v>CV HV 15</v>
      </c>
      <c r="F21" s="98" t="str">
        <f>VLOOKUP(B21,'[1]DATA MP'!$A$1:$W$1600,16,0)</f>
        <v>A</v>
      </c>
      <c r="G21" s="98" t="str">
        <f>VLOOKUP(B21,'[1]DATA MP'!$A$1:$W$1600,22,0)</f>
        <v>P</v>
      </c>
      <c r="H21" s="98">
        <f>VLOOKUP(B21,'[1]DATA MP'!$A$1:$W$1600,23,0)</f>
        <v>31</v>
      </c>
      <c r="I21" s="75" t="s">
        <v>4349</v>
      </c>
      <c r="J21" s="81"/>
      <c r="K21" s="82"/>
    </row>
    <row r="22" spans="1:11" ht="24.95" customHeight="1" x14ac:dyDescent="0.25">
      <c r="A22" s="96">
        <v>11</v>
      </c>
      <c r="B22" s="97">
        <v>5254</v>
      </c>
      <c r="C22" s="98" t="str">
        <f>VLOOKUP(B22,'[1]DATA MP'!$A$1:$W$1600,3,0)</f>
        <v>SITI BIYARTI</v>
      </c>
      <c r="D22" s="98" t="str">
        <f>VLOOKUP(B22,'[1]DATA MP'!$A$1:$W$1600,9,0)</f>
        <v>PRD</v>
      </c>
      <c r="E22" s="98" t="str">
        <f>VLOOKUP(B22,'[1]DATA MP'!$A$1:$W$1600,13,0)</f>
        <v>CV M01</v>
      </c>
      <c r="F22" s="98" t="str">
        <f>VLOOKUP(B22,'[1]DATA MP'!$A$1:$W$1600,16,0)</f>
        <v>A</v>
      </c>
      <c r="G22" s="98" t="str">
        <f>VLOOKUP(B22,'[1]DATA MP'!$A$1:$W$1600,22,0)</f>
        <v>P</v>
      </c>
      <c r="H22" s="98">
        <f>VLOOKUP(B22,'[1]DATA MP'!$A$1:$W$1600,23,0)</f>
        <v>40</v>
      </c>
      <c r="I22" s="75" t="s">
        <v>4349</v>
      </c>
      <c r="J22" s="81">
        <v>11</v>
      </c>
      <c r="K22" s="82">
        <v>12</v>
      </c>
    </row>
    <row r="23" spans="1:11" ht="24.95" customHeight="1" x14ac:dyDescent="0.25">
      <c r="A23" s="96">
        <v>12</v>
      </c>
      <c r="B23" s="97">
        <v>6030</v>
      </c>
      <c r="C23" s="98" t="str">
        <f>VLOOKUP(B23,'[1]DATA MP'!$A$1:$W$1600,3,0)</f>
        <v>AHMAD MAHFUDLON</v>
      </c>
      <c r="D23" s="98" t="str">
        <f>VLOOKUP(B23,'[1]DATA MP'!$A$1:$W$1600,9,0)</f>
        <v>PRD</v>
      </c>
      <c r="E23" s="98" t="str">
        <f>VLOOKUP(B23,'[1]DATA MP'!$A$1:$W$1600,13,0)</f>
        <v>CPA MAZDA J03</v>
      </c>
      <c r="F23" s="98" t="str">
        <f>VLOOKUP(B23,'[1]DATA MP'!$A$1:$W$1600,16,0)</f>
        <v>A</v>
      </c>
      <c r="G23" s="98" t="str">
        <f>VLOOKUP(B23,'[1]DATA MP'!$A$1:$W$1600,22,0)</f>
        <v>L</v>
      </c>
      <c r="H23" s="98">
        <f>VLOOKUP(B23,'[1]DATA MP'!$A$1:$W$1600,23,0)</f>
        <v>40</v>
      </c>
      <c r="I23" s="75" t="s">
        <v>4349</v>
      </c>
      <c r="J23" s="81"/>
      <c r="K23" s="82"/>
    </row>
    <row r="24" spans="1:11" ht="24.95" customHeight="1" x14ac:dyDescent="0.25">
      <c r="A24" s="96">
        <v>13</v>
      </c>
      <c r="B24" s="97">
        <v>4530</v>
      </c>
      <c r="C24" s="98" t="str">
        <f>VLOOKUP(B24,'[1]DATA MP'!$A$1:$W$1600,3,0)</f>
        <v>SRI MULYANI</v>
      </c>
      <c r="D24" s="98" t="str">
        <f>VLOOKUP(B24,'[1]DATA MP'!$A$1:$W$1600,9,0)</f>
        <v>PRD</v>
      </c>
      <c r="E24" s="98" t="str">
        <f>VLOOKUP(B24,'[1]DATA MP'!$A$1:$W$1600,13,0)</f>
        <v>CPA SUZUKI</v>
      </c>
      <c r="F24" s="98" t="str">
        <f>VLOOKUP(B24,'[1]DATA MP'!$A$1:$W$1600,16,0)</f>
        <v>A</v>
      </c>
      <c r="G24" s="98" t="str">
        <f>VLOOKUP(B24,'[1]DATA MP'!$A$1:$W$1600,22,0)</f>
        <v>P</v>
      </c>
      <c r="H24" s="98">
        <f>VLOOKUP(B24,'[1]DATA MP'!$A$1:$W$1600,23,0)</f>
        <v>39</v>
      </c>
      <c r="I24" s="75" t="s">
        <v>4349</v>
      </c>
      <c r="J24" s="81">
        <v>13</v>
      </c>
      <c r="K24" s="82">
        <v>14</v>
      </c>
    </row>
    <row r="25" spans="1:11" ht="24.95" customHeight="1" x14ac:dyDescent="0.25">
      <c r="A25" s="96">
        <v>14</v>
      </c>
      <c r="B25" s="97">
        <v>10409</v>
      </c>
      <c r="C25" s="98" t="str">
        <f>VLOOKUP(B25,'[1]DATA MP'!$A$1:$W$1600,3,0)</f>
        <v>NUR HIDAYANTI</v>
      </c>
      <c r="D25" s="98" t="str">
        <f>VLOOKUP(B25,'[1]DATA MP'!$A$1:$W$1600,9,0)</f>
        <v>PRD</v>
      </c>
      <c r="E25" s="98" t="str">
        <f>VLOOKUP(B25,'[1]DATA MP'!$A$1:$W$1600,13,0)</f>
        <v>CV 24</v>
      </c>
      <c r="F25" s="98" t="str">
        <f>VLOOKUP(B25,'[1]DATA MP'!$A$1:$W$1600,16,0)</f>
        <v>A</v>
      </c>
      <c r="G25" s="98" t="str">
        <f>VLOOKUP(B25,'[1]DATA MP'!$A$1:$W$1600,22,0)</f>
        <v>P</v>
      </c>
      <c r="H25" s="98">
        <f>VLOOKUP(B25,'[1]DATA MP'!$A$1:$W$1600,23,0)</f>
        <v>32</v>
      </c>
      <c r="I25" s="75" t="s">
        <v>4349</v>
      </c>
      <c r="J25" s="81"/>
      <c r="K25" s="82"/>
    </row>
    <row r="26" spans="1:11" ht="24.95" customHeight="1" x14ac:dyDescent="0.25">
      <c r="A26" s="147">
        <v>15</v>
      </c>
      <c r="B26" s="97">
        <v>370</v>
      </c>
      <c r="C26" s="98" t="str">
        <f>VLOOKUP(B26,'[1]DATA MP'!$A$1:$W$1600,3,0)</f>
        <v>HENDAH HASTATI</v>
      </c>
      <c r="D26" s="98" t="str">
        <f>VLOOKUP(B26,'[1]DATA MP'!$A$1:$W$1600,9,0)</f>
        <v>PRD</v>
      </c>
      <c r="E26" s="98" t="str">
        <f>VLOOKUP(B26,'[1]DATA MP'!$A$1:$W$1600,13,0)</f>
        <v>CV B01</v>
      </c>
      <c r="F26" s="98" t="str">
        <f>VLOOKUP(B26,'[1]DATA MP'!$A$1:$W$1600,16,0)</f>
        <v>A</v>
      </c>
      <c r="G26" s="98" t="str">
        <f>VLOOKUP(B26,'[1]DATA MP'!$A$1:$W$1600,22,0)</f>
        <v>P</v>
      </c>
      <c r="H26" s="98">
        <f>VLOOKUP(B26,'[1]DATA MP'!$A$1:$W$1600,23,0)</f>
        <v>40</v>
      </c>
      <c r="I26" s="75" t="s">
        <v>4349</v>
      </c>
      <c r="J26" s="132">
        <v>15</v>
      </c>
      <c r="K26" s="141"/>
    </row>
    <row r="27" spans="1:11" ht="24.95" customHeight="1" x14ac:dyDescent="0.25">
      <c r="A27" s="142"/>
      <c r="B27" s="118"/>
      <c r="C27" s="138"/>
      <c r="D27" s="138"/>
      <c r="E27" s="137"/>
      <c r="F27" s="138"/>
      <c r="G27" s="138"/>
      <c r="H27" s="138"/>
      <c r="I27" s="138"/>
      <c r="J27" s="139"/>
      <c r="K27" s="139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4:E1048576">
    <cfRule type="duplicateValues" dxfId="27" priority="1"/>
    <cfRule type="duplicateValues" dxfId="26" priority="2"/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7D03-456D-462D-B617-8BAE6589187B}">
  <dimension ref="A1:N33"/>
  <sheetViews>
    <sheetView topLeftCell="A14" workbookViewId="0">
      <selection activeCell="H29" sqref="H29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8" width="14" customWidth="1"/>
    <col min="9" max="9" width="20.140625" customWidth="1"/>
    <col min="10" max="10" width="13.42578125" customWidth="1"/>
    <col min="11" max="11" width="14" customWidth="1"/>
  </cols>
  <sheetData>
    <row r="1" spans="1:14" x14ac:dyDescent="0.25">
      <c r="A1" s="66" t="s">
        <v>4327</v>
      </c>
    </row>
    <row r="8" spans="1:14" x14ac:dyDescent="0.25">
      <c r="A8" t="s">
        <v>4328</v>
      </c>
      <c r="D8" t="s">
        <v>4329</v>
      </c>
      <c r="F8" t="s">
        <v>4330</v>
      </c>
      <c r="I8" t="s">
        <v>4331</v>
      </c>
      <c r="L8" t="s">
        <v>4332</v>
      </c>
    </row>
    <row r="9" spans="1:14" x14ac:dyDescent="0.25">
      <c r="N9" t="s">
        <v>4332</v>
      </c>
    </row>
    <row r="10" spans="1:14" ht="15.75" thickBot="1" x14ac:dyDescent="0.3"/>
    <row r="11" spans="1:14" ht="26.25" thickBot="1" x14ac:dyDescent="0.3">
      <c r="A11" s="67" t="s">
        <v>4333</v>
      </c>
      <c r="B11" s="68" t="s">
        <v>4326</v>
      </c>
      <c r="C11" s="69" t="s">
        <v>4324</v>
      </c>
      <c r="D11" s="69" t="s">
        <v>4318</v>
      </c>
      <c r="E11" s="69" t="s">
        <v>4314</v>
      </c>
      <c r="F11" s="69" t="s">
        <v>4311</v>
      </c>
      <c r="G11" s="69" t="s">
        <v>4305</v>
      </c>
      <c r="H11" s="69" t="s">
        <v>4334</v>
      </c>
      <c r="I11" s="69" t="s">
        <v>4335</v>
      </c>
      <c r="J11" s="70" t="s">
        <v>4336</v>
      </c>
      <c r="K11" s="71"/>
    </row>
    <row r="12" spans="1:14" s="78" customFormat="1" ht="24.95" customHeight="1" x14ac:dyDescent="0.25">
      <c r="A12" s="96">
        <v>1</v>
      </c>
      <c r="B12" s="97">
        <v>10617</v>
      </c>
      <c r="C12" s="98" t="str">
        <f>VLOOKUP(B12,'[1]DATA MP'!$A$1:$W$1600,3,0)</f>
        <v>VANI SETYANINGRUM</v>
      </c>
      <c r="D12" s="98" t="str">
        <f>VLOOKUP(B12,'[1]DATA MP'!$A$1:$W$1600,9,0)</f>
        <v>PRD</v>
      </c>
      <c r="E12" s="98" t="str">
        <f>VLOOKUP(B12,'[1]DATA MP'!$A$1:$W$1600,13,0)</f>
        <v>CV H02</v>
      </c>
      <c r="F12" s="98" t="str">
        <f>VLOOKUP(B12,'[1]DATA MP'!$A$1:$W$1600,16,0)</f>
        <v>A</v>
      </c>
      <c r="G12" s="98" t="str">
        <f>VLOOKUP(B12,'[1]DATA MP'!$A$1:$W$1600,22,0)</f>
        <v>P</v>
      </c>
      <c r="H12" s="98">
        <f>VLOOKUP(B12,'[1]DATA MP'!$A$1:$W$1600,23,0)</f>
        <v>34</v>
      </c>
      <c r="I12" s="75" t="s">
        <v>4350</v>
      </c>
      <c r="J12" s="76">
        <v>1</v>
      </c>
      <c r="K12" s="77">
        <v>2</v>
      </c>
    </row>
    <row r="13" spans="1:14" s="78" customFormat="1" ht="24.95" customHeight="1" x14ac:dyDescent="0.25">
      <c r="A13" s="96">
        <v>2</v>
      </c>
      <c r="B13" s="97">
        <v>9960</v>
      </c>
      <c r="C13" s="98" t="str">
        <f>VLOOKUP(B13,'[1]DATA MP'!$A$1:$W$1600,3,0)</f>
        <v>RIRIN AGUSTINA</v>
      </c>
      <c r="D13" s="98" t="str">
        <f>VLOOKUP(B13,'[1]DATA MP'!$A$1:$W$1600,9,0)</f>
        <v>PRD</v>
      </c>
      <c r="E13" s="98" t="str">
        <f>VLOOKUP(B13,'[1]DATA MP'!$A$1:$W$1600,13,0)</f>
        <v>CV HV 11B</v>
      </c>
      <c r="F13" s="98" t="str">
        <f>VLOOKUP(B13,'[1]DATA MP'!$A$1:$W$1600,16,0)</f>
        <v>A</v>
      </c>
      <c r="G13" s="98" t="str">
        <f>VLOOKUP(B13,'[1]DATA MP'!$A$1:$W$1600,22,0)</f>
        <v>P</v>
      </c>
      <c r="H13" s="98">
        <f>VLOOKUP(B13,'[1]DATA MP'!$A$1:$W$1600,23,0)</f>
        <v>32</v>
      </c>
      <c r="I13" s="75" t="s">
        <v>4350</v>
      </c>
      <c r="J13" s="79"/>
      <c r="K13" s="80"/>
    </row>
    <row r="14" spans="1:14" s="78" customFormat="1" ht="24.95" customHeight="1" x14ac:dyDescent="0.25">
      <c r="A14" s="96">
        <v>3</v>
      </c>
      <c r="B14" s="97">
        <v>9436</v>
      </c>
      <c r="C14" s="98" t="str">
        <f>VLOOKUP(B14,'[1]DATA MP'!$A$1:$W$1600,3,0)</f>
        <v>IKA FITRIYANI</v>
      </c>
      <c r="D14" s="98" t="str">
        <f>VLOOKUP(B14,'[1]DATA MP'!$A$1:$W$1600,9,0)</f>
        <v>PRD</v>
      </c>
      <c r="E14" s="98" t="str">
        <f>VLOOKUP(B14,'[1]DATA MP'!$A$1:$W$1600,13,0)</f>
        <v>CV HV 14A</v>
      </c>
      <c r="F14" s="98" t="str">
        <f>VLOOKUP(B14,'[1]DATA MP'!$A$1:$W$1600,16,0)</f>
        <v>A</v>
      </c>
      <c r="G14" s="98" t="str">
        <f>VLOOKUP(B14,'[1]DATA MP'!$A$1:$W$1600,22,0)</f>
        <v>P</v>
      </c>
      <c r="H14" s="98">
        <f>VLOOKUP(B14,'[1]DATA MP'!$A$1:$W$1600,23,0)</f>
        <v>33</v>
      </c>
      <c r="I14" s="75" t="s">
        <v>4350</v>
      </c>
      <c r="J14" s="81">
        <v>3</v>
      </c>
      <c r="K14" s="82">
        <v>4</v>
      </c>
    </row>
    <row r="15" spans="1:14" ht="24.95" customHeight="1" x14ac:dyDescent="0.25">
      <c r="A15" s="96">
        <v>4</v>
      </c>
      <c r="B15" s="97">
        <v>12482</v>
      </c>
      <c r="C15" s="98" t="str">
        <f>VLOOKUP(B15,'[1]DATA MP'!$A$1:$W$1600,3,0)</f>
        <v>LAMIK NADHIFAH</v>
      </c>
      <c r="D15" s="98" t="str">
        <f>VLOOKUP(B15,'[1]DATA MP'!$A$1:$W$1600,9,0)</f>
        <v>PRD</v>
      </c>
      <c r="E15" s="98" t="str">
        <f>VLOOKUP(B15,'[1]DATA MP'!$A$1:$W$1600,13,0)</f>
        <v>CV HV 14B</v>
      </c>
      <c r="F15" s="98" t="str">
        <f>VLOOKUP(B15,'[1]DATA MP'!$A$1:$W$1600,16,0)</f>
        <v>A</v>
      </c>
      <c r="G15" s="98" t="str">
        <f>VLOOKUP(B15,'[1]DATA MP'!$A$1:$W$1600,22,0)</f>
        <v>P</v>
      </c>
      <c r="H15" s="98">
        <f>VLOOKUP(B15,'[1]DATA MP'!$A$1:$W$1600,23,0)</f>
        <v>34</v>
      </c>
      <c r="I15" s="75" t="s">
        <v>4350</v>
      </c>
      <c r="J15" s="81"/>
      <c r="K15" s="82"/>
    </row>
    <row r="16" spans="1:14" ht="24.95" customHeight="1" x14ac:dyDescent="0.25">
      <c r="A16" s="96">
        <v>5</v>
      </c>
      <c r="B16" s="97">
        <v>13530</v>
      </c>
      <c r="C16" s="98" t="str">
        <f>VLOOKUP(B16,'[1]DATA MP'!$A$1:$W$1600,3,0)</f>
        <v>MUNADHIROH</v>
      </c>
      <c r="D16" s="98" t="str">
        <f>VLOOKUP(B16,'[1]DATA MP'!$A$1:$W$1600,9,0)</f>
        <v>PRD</v>
      </c>
      <c r="E16" s="98" t="str">
        <f>VLOOKUP(B16,'[1]DATA MP'!$A$1:$W$1600,13,0)</f>
        <v>CV HV 15</v>
      </c>
      <c r="F16" s="98" t="str">
        <f>VLOOKUP(B16,'[1]DATA MP'!$A$1:$W$1600,16,0)</f>
        <v>A</v>
      </c>
      <c r="G16" s="98" t="str">
        <f>VLOOKUP(B16,'[1]DATA MP'!$A$1:$W$1600,22,0)</f>
        <v>P</v>
      </c>
      <c r="H16" s="98">
        <f>VLOOKUP(B16,'[1]DATA MP'!$A$1:$W$1600,23,0)</f>
        <v>31</v>
      </c>
      <c r="I16" s="75" t="s">
        <v>4350</v>
      </c>
      <c r="J16" s="81">
        <v>5</v>
      </c>
      <c r="K16" s="82">
        <v>6</v>
      </c>
    </row>
    <row r="17" spans="1:11" ht="24.95" customHeight="1" x14ac:dyDescent="0.25">
      <c r="A17" s="96">
        <v>6</v>
      </c>
      <c r="B17" s="97">
        <v>5415</v>
      </c>
      <c r="C17" s="98" t="str">
        <f>VLOOKUP(B17,'[1]DATA MP'!$A$1:$W$1600,3,0)</f>
        <v>FITRIYAH</v>
      </c>
      <c r="D17" s="98" t="str">
        <f>VLOOKUP(B17,'[1]DATA MP'!$A$1:$W$1600,9,0)</f>
        <v>PRD</v>
      </c>
      <c r="E17" s="98" t="str">
        <f>VLOOKUP(B17,'[1]DATA MP'!$A$1:$W$1600,13,0)</f>
        <v>CV M01</v>
      </c>
      <c r="F17" s="98" t="str">
        <f>VLOOKUP(B17,'[1]DATA MP'!$A$1:$W$1600,16,0)</f>
        <v>A</v>
      </c>
      <c r="G17" s="98" t="str">
        <f>VLOOKUP(B17,'[1]DATA MP'!$A$1:$W$1600,22,0)</f>
        <v>P</v>
      </c>
      <c r="H17" s="98">
        <f>VLOOKUP(B17,'[1]DATA MP'!$A$1:$W$1600,23,0)</f>
        <v>40</v>
      </c>
      <c r="I17" s="75" t="s">
        <v>4350</v>
      </c>
      <c r="J17" s="81"/>
      <c r="K17" s="82"/>
    </row>
    <row r="18" spans="1:11" ht="24.95" customHeight="1" x14ac:dyDescent="0.25">
      <c r="A18" s="96">
        <v>7</v>
      </c>
      <c r="B18" s="97">
        <v>8941</v>
      </c>
      <c r="C18" s="98" t="str">
        <f>VLOOKUP(B18,'[1]DATA MP'!$A$1:$W$1600,3,0)</f>
        <v>WITJAYANTI</v>
      </c>
      <c r="D18" s="98" t="str">
        <f>VLOOKUP(B18,'[1]DATA MP'!$A$1:$W$1600,9,0)</f>
        <v>PRD</v>
      </c>
      <c r="E18" s="98" t="str">
        <f>VLOOKUP(B18,'[1]DATA MP'!$A$1:$W$1600,13,0)</f>
        <v>CPA MAZDA J03</v>
      </c>
      <c r="F18" s="98" t="str">
        <f>VLOOKUP(B18,'[1]DATA MP'!$A$1:$W$1600,16,0)</f>
        <v>A</v>
      </c>
      <c r="G18" s="98" t="str">
        <f>VLOOKUP(B18,'[1]DATA MP'!$A$1:$W$1600,22,0)</f>
        <v>P</v>
      </c>
      <c r="H18" s="98">
        <f>VLOOKUP(B18,'[1]DATA MP'!$A$1:$W$1600,23,0)</f>
        <v>36</v>
      </c>
      <c r="I18" s="75" t="s">
        <v>4350</v>
      </c>
      <c r="J18" s="81">
        <v>7</v>
      </c>
      <c r="K18" s="82">
        <v>8</v>
      </c>
    </row>
    <row r="19" spans="1:11" ht="24.95" customHeight="1" x14ac:dyDescent="0.25">
      <c r="A19" s="96">
        <v>8</v>
      </c>
      <c r="B19" s="97">
        <v>8859</v>
      </c>
      <c r="C19" s="98" t="str">
        <f>VLOOKUP(B19,'[1]DATA MP'!$A$1:$W$1600,3,0)</f>
        <v>SETYARINI</v>
      </c>
      <c r="D19" s="98" t="str">
        <f>VLOOKUP(B19,'[1]DATA MP'!$A$1:$W$1600,9,0)</f>
        <v>PRD</v>
      </c>
      <c r="E19" s="98" t="str">
        <f>VLOOKUP(B19,'[1]DATA MP'!$A$1:$W$1600,13,0)</f>
        <v>CPA SUZUKI</v>
      </c>
      <c r="F19" s="98" t="str">
        <f>VLOOKUP(B19,'[1]DATA MP'!$A$1:$W$1600,16,0)</f>
        <v>A</v>
      </c>
      <c r="G19" s="98" t="str">
        <f>VLOOKUP(B19,'[1]DATA MP'!$A$1:$W$1600,22,0)</f>
        <v>P</v>
      </c>
      <c r="H19" s="98">
        <f>VLOOKUP(B19,'[1]DATA MP'!$A$1:$W$1600,23,0)</f>
        <v>35</v>
      </c>
      <c r="I19" s="75" t="s">
        <v>4350</v>
      </c>
      <c r="J19" s="81"/>
      <c r="K19" s="82"/>
    </row>
    <row r="20" spans="1:11" ht="24.95" customHeight="1" x14ac:dyDescent="0.25">
      <c r="A20" s="96">
        <v>9</v>
      </c>
      <c r="B20" s="97">
        <v>11707</v>
      </c>
      <c r="C20" s="98" t="str">
        <f>VLOOKUP(B20,'[1]DATA MP'!$A$1:$W$1600,3,0)</f>
        <v>INDAH CAHYANINGRUM</v>
      </c>
      <c r="D20" s="98" t="str">
        <f>VLOOKUP(B20,'[1]DATA MP'!$A$1:$W$1600,9,0)</f>
        <v>PRD</v>
      </c>
      <c r="E20" s="98" t="str">
        <f>VLOOKUP(B20,'[1]DATA MP'!$A$1:$W$1600,13,0)</f>
        <v>CV 24</v>
      </c>
      <c r="F20" s="98" t="str">
        <f>VLOOKUP(B20,'[1]DATA MP'!$A$1:$W$1600,16,0)</f>
        <v>A</v>
      </c>
      <c r="G20" s="98" t="str">
        <f>VLOOKUP(B20,'[1]DATA MP'!$A$1:$W$1600,22,0)</f>
        <v>P</v>
      </c>
      <c r="H20" s="98">
        <f>VLOOKUP(B20,'[1]DATA MP'!$A$1:$W$1600,23,0)</f>
        <v>31</v>
      </c>
      <c r="I20" s="75" t="s">
        <v>4350</v>
      </c>
      <c r="J20" s="81">
        <v>9</v>
      </c>
      <c r="K20" s="82">
        <v>10</v>
      </c>
    </row>
    <row r="21" spans="1:11" ht="24.95" customHeight="1" x14ac:dyDescent="0.25">
      <c r="A21" s="96">
        <v>10</v>
      </c>
      <c r="B21" s="97">
        <v>5263</v>
      </c>
      <c r="C21" s="98" t="str">
        <f>VLOOKUP(B21,'[1]DATA MP'!$A$1:$W$1600,3,0)</f>
        <v>LILIK SETYOWATI</v>
      </c>
      <c r="D21" s="98" t="str">
        <f>VLOOKUP(B21,'[1]DATA MP'!$A$1:$W$1600,9,0)</f>
        <v>PRD</v>
      </c>
      <c r="E21" s="98" t="str">
        <f>VLOOKUP(B21,'[1]DATA MP'!$A$1:$W$1600,13,0)</f>
        <v>CV B01</v>
      </c>
      <c r="F21" s="98" t="str">
        <f>VLOOKUP(B21,'[1]DATA MP'!$A$1:$W$1600,16,0)</f>
        <v>A</v>
      </c>
      <c r="G21" s="98" t="str">
        <f>VLOOKUP(B21,'[1]DATA MP'!$A$1:$W$1600,22,0)</f>
        <v>P</v>
      </c>
      <c r="H21" s="98">
        <f>VLOOKUP(B21,'[1]DATA MP'!$A$1:$W$1600,23,0)</f>
        <v>40</v>
      </c>
      <c r="I21" s="75" t="s">
        <v>4350</v>
      </c>
      <c r="J21" s="81"/>
      <c r="K21" s="82"/>
    </row>
    <row r="22" spans="1:11" ht="24.95" customHeight="1" x14ac:dyDescent="0.25">
      <c r="A22" s="96">
        <v>11</v>
      </c>
      <c r="B22" s="97">
        <v>12444</v>
      </c>
      <c r="C22" s="98" t="str">
        <f>VLOOKUP(B22,'[1]DATA MP'!$A$1:$W$1600,3,0)</f>
        <v>EKO PRASETYO</v>
      </c>
      <c r="D22" s="98" t="str">
        <f>VLOOKUP(B22,'[1]DATA MP'!$A$1:$W$1600,9,0)</f>
        <v>PGA</v>
      </c>
      <c r="E22" s="98" t="str">
        <f>VLOOKUP(B22,'[1]DATA MP'!$A$1:$W$1600,13,0)</f>
        <v>SHE</v>
      </c>
      <c r="F22" s="98" t="str">
        <f>VLOOKUP(B22,'[1]DATA MP'!$A$1:$W$1600,16,0)</f>
        <v>A (NS)</v>
      </c>
      <c r="G22" s="98" t="str">
        <f>VLOOKUP(B22,'[1]DATA MP'!$A$1:$W$1600,22,0)</f>
        <v>L</v>
      </c>
      <c r="H22" s="98">
        <f>VLOOKUP(B22,'[1]DATA MP'!$A$1:$W$1600,23,0)</f>
        <v>33</v>
      </c>
      <c r="I22" s="75" t="s">
        <v>4350</v>
      </c>
      <c r="J22" s="81">
        <v>11</v>
      </c>
      <c r="K22" s="82">
        <v>12</v>
      </c>
    </row>
    <row r="23" spans="1:11" ht="24.95" customHeight="1" x14ac:dyDescent="0.25">
      <c r="A23" s="96">
        <v>12</v>
      </c>
      <c r="B23" s="105">
        <v>12514</v>
      </c>
      <c r="C23" s="98" t="str">
        <f>VLOOKUP(B23,'[1]DATA MP'!$A$1:$W$1600,3,0)</f>
        <v>OKTAVIA IKA SUDARWATI</v>
      </c>
      <c r="D23" s="98" t="str">
        <f>VLOOKUP(B23,'[1]DATA MP'!$A$1:$W$1600,9,0)</f>
        <v>OTHERS</v>
      </c>
      <c r="E23" s="98" t="str">
        <f>VLOOKUP(B23,'[1]DATA MP'!$A$1:$W$1600,13,0)</f>
        <v>TRN @ OVERSEAS - TCS 9</v>
      </c>
      <c r="F23" s="98" t="str">
        <f>VLOOKUP(B23,'[1]DATA MP'!$A$1:$W$1600,16,0)</f>
        <v>A (NS)</v>
      </c>
      <c r="G23" s="98" t="str">
        <f>VLOOKUP(B23,'[1]DATA MP'!$A$1:$W$1600,22,0)</f>
        <v>P</v>
      </c>
      <c r="H23" s="98">
        <f>VLOOKUP(B23,'[1]DATA MP'!$A$1:$W$1600,23,0)</f>
        <v>32</v>
      </c>
      <c r="I23" s="75" t="s">
        <v>4350</v>
      </c>
      <c r="J23" s="81"/>
      <c r="K23" s="82"/>
    </row>
    <row r="24" spans="1:11" ht="24.95" customHeight="1" x14ac:dyDescent="0.25">
      <c r="A24" s="96">
        <v>13</v>
      </c>
      <c r="B24" s="97">
        <v>13338</v>
      </c>
      <c r="C24" s="98" t="str">
        <f>VLOOKUP(B24,'[1]DATA MP'!$A$1:$W$1600,3,0)</f>
        <v>LUCKY APRIYANTO</v>
      </c>
      <c r="D24" s="98" t="str">
        <f>VLOOKUP(B24,'[1]DATA MP'!$A$1:$W$1600,9,0)</f>
        <v>PE</v>
      </c>
      <c r="E24" s="98" t="str">
        <f>VLOOKUP(B24,'[1]DATA MP'!$A$1:$W$1600,13,0)</f>
        <v>NIP</v>
      </c>
      <c r="F24" s="98" t="str">
        <f>VLOOKUP(B24,'[1]DATA MP'!$A$1:$W$1600,16,0)</f>
        <v>A (NS)</v>
      </c>
      <c r="G24" s="98" t="str">
        <f>VLOOKUP(B24,'[1]DATA MP'!$A$1:$W$1600,22,0)</f>
        <v>L</v>
      </c>
      <c r="H24" s="98">
        <f>VLOOKUP(B24,'[1]DATA MP'!$A$1:$W$1600,23,0)</f>
        <v>35</v>
      </c>
      <c r="I24" s="75" t="s">
        <v>4350</v>
      </c>
      <c r="J24" s="81">
        <v>13</v>
      </c>
      <c r="K24" s="82">
        <v>14</v>
      </c>
    </row>
    <row r="25" spans="1:11" ht="24.95" customHeight="1" x14ac:dyDescent="0.25">
      <c r="A25" s="96">
        <v>14</v>
      </c>
      <c r="B25" s="97">
        <v>15247</v>
      </c>
      <c r="C25" s="98" t="str">
        <f>VLOOKUP(B25,'[1]DATA MP'!$A$1:$W$1600,3,0)</f>
        <v>IMAM BAROWI</v>
      </c>
      <c r="D25" s="98" t="str">
        <f>VLOOKUP(B25,'[1]DATA MP'!$A$1:$W$1600,9,0)</f>
        <v>LOG</v>
      </c>
      <c r="E25" s="98" t="str">
        <f>VLOOKUP(B25,'[1]DATA MP'!$A$1:$W$1600,13,0)</f>
        <v>WHS</v>
      </c>
      <c r="F25" s="98" t="str">
        <f>VLOOKUP(B25,'[1]DATA MP'!$A$1:$W$1600,16,0)</f>
        <v>A</v>
      </c>
      <c r="G25" s="98" t="str">
        <f>VLOOKUP(B25,'[1]DATA MP'!$A$1:$W$1600,22,0)</f>
        <v>L</v>
      </c>
      <c r="H25" s="98">
        <f>VLOOKUP(B25,'[1]DATA MP'!$A$1:$W$1600,23,0)</f>
        <v>34</v>
      </c>
      <c r="I25" s="75" t="s">
        <v>4350</v>
      </c>
      <c r="J25" s="81"/>
      <c r="K25" s="82"/>
    </row>
    <row r="26" spans="1:11" ht="33.75" customHeight="1" x14ac:dyDescent="0.25">
      <c r="A26" s="147">
        <v>15</v>
      </c>
      <c r="B26" s="97">
        <v>17278</v>
      </c>
      <c r="C26" s="98" t="str">
        <f>VLOOKUP(B26,'[1]DATA MP'!$A$1:$W$1600,3,0)</f>
        <v>MAULIDINA AHSAN</v>
      </c>
      <c r="D26" s="98" t="str">
        <f>VLOOKUP(B26,'[1]DATA MP'!$A$1:$W$1600,9,0)</f>
        <v>PGA</v>
      </c>
      <c r="E26" s="98" t="str">
        <f>VLOOKUP(B26,'[1]DATA MP'!$A$1:$W$1600,13,0)</f>
        <v>GA</v>
      </c>
      <c r="F26" s="98" t="str">
        <f>VLOOKUP(B26,'[1]DATA MP'!$A$1:$W$1600,16,0)</f>
        <v>A</v>
      </c>
      <c r="G26" s="98" t="str">
        <f>VLOOKUP(B26,'[1]DATA MP'!$A$1:$W$1600,22,0)</f>
        <v>L</v>
      </c>
      <c r="H26" s="98">
        <f>VLOOKUP(B26,'[1]DATA MP'!$A$1:$W$1600,23,0)</f>
        <v>30</v>
      </c>
      <c r="I26" s="75" t="s">
        <v>4350</v>
      </c>
      <c r="J26" s="81">
        <v>15</v>
      </c>
      <c r="K26" s="81"/>
    </row>
    <row r="27" spans="1:11" ht="24.95" customHeight="1" x14ac:dyDescent="0.25">
      <c r="A27" s="142"/>
      <c r="B27" s="143"/>
      <c r="C27" s="138"/>
      <c r="D27" s="138"/>
      <c r="E27" s="137"/>
      <c r="F27" s="138"/>
      <c r="G27" s="138"/>
      <c r="H27" s="138"/>
      <c r="I27" s="138"/>
      <c r="J27" s="139"/>
      <c r="K27" s="139"/>
    </row>
    <row r="29" spans="1:11" x14ac:dyDescent="0.25">
      <c r="B29" s="84"/>
    </row>
    <row r="31" spans="1:11" x14ac:dyDescent="0.25">
      <c r="A31" s="78"/>
      <c r="B31" t="s">
        <v>4338</v>
      </c>
    </row>
    <row r="32" spans="1:11" x14ac:dyDescent="0.25">
      <c r="A32" s="85"/>
      <c r="B32" t="s">
        <v>4339</v>
      </c>
      <c r="D32" s="86"/>
      <c r="E32" s="86"/>
    </row>
    <row r="33" spans="4:5" x14ac:dyDescent="0.25">
      <c r="D33" s="86"/>
      <c r="E33" s="86"/>
    </row>
  </sheetData>
  <mergeCells count="16">
    <mergeCell ref="J24:J25"/>
    <mergeCell ref="K24:K25"/>
    <mergeCell ref="J26:K26"/>
    <mergeCell ref="J18:J19"/>
    <mergeCell ref="K18:K19"/>
    <mergeCell ref="J20:J21"/>
    <mergeCell ref="K20:K21"/>
    <mergeCell ref="J22:J23"/>
    <mergeCell ref="K22:K23"/>
    <mergeCell ref="J11:K11"/>
    <mergeCell ref="J12:J13"/>
    <mergeCell ref="K12:K13"/>
    <mergeCell ref="J14:J15"/>
    <mergeCell ref="K14:K15"/>
    <mergeCell ref="J16:J17"/>
    <mergeCell ref="K16:K17"/>
  </mergeCells>
  <phoneticPr fontId="9" type="noConversion"/>
  <conditionalFormatting sqref="E1:E11 E28:E31 E34:E1048576">
    <cfRule type="duplicateValues" dxfId="25" priority="3"/>
    <cfRule type="duplicateValues" dxfId="24" priority="4"/>
  </conditionalFormatting>
  <conditionalFormatting sqref="B12">
    <cfRule type="duplicateValues" dxfId="13" priority="1"/>
    <cfRule type="duplicateValues" dxfId="12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 MP</vt:lpstr>
      <vt:lpstr>08.00-08.30</vt:lpstr>
      <vt:lpstr>08.30-09.00</vt:lpstr>
      <vt:lpstr>09.00-09.30</vt:lpstr>
      <vt:lpstr>09.30-10.00</vt:lpstr>
      <vt:lpstr>10.00-11.30</vt:lpstr>
      <vt:lpstr>11.30-12.00</vt:lpstr>
      <vt:lpstr>12.00-12.30</vt:lpstr>
      <vt:lpstr>12.30-13.00</vt:lpstr>
      <vt:lpstr>13.00-13.30</vt:lpstr>
      <vt:lpstr>13.30-14.00</vt:lpstr>
      <vt:lpstr>14.00-14.30</vt:lpstr>
      <vt:lpstr>14.30-15.00</vt:lpstr>
      <vt:lpstr>15.00-15.30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GA-02@sami.co.id</dc:creator>
  <cp:lastModifiedBy>GA-02@sami.co.id</cp:lastModifiedBy>
  <dcterms:created xsi:type="dcterms:W3CDTF">2024-01-05T02:25:39Z</dcterms:created>
  <dcterms:modified xsi:type="dcterms:W3CDTF">2024-01-05T07:07:27Z</dcterms:modified>
</cp:coreProperties>
</file>