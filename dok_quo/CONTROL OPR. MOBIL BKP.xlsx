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NOVI\05. BUDGET\"/>
    </mc:Choice>
  </mc:AlternateContent>
  <bookViews>
    <workbookView xWindow="0" yWindow="0" windowWidth="28800" windowHeight="11700"/>
  </bookViews>
  <sheets>
    <sheet name="TERM 82" sheetId="13" r:id="rId1"/>
    <sheet name="TERM 81" sheetId="12" r:id="rId2"/>
    <sheet name="2021" sheetId="11" r:id="rId3"/>
    <sheet name="OKT" sheetId="10" r:id="rId4"/>
    <sheet name="JUL-" sheetId="9" r:id="rId5"/>
    <sheet name="APR-JUN 2020" sheetId="8" r:id="rId6"/>
    <sheet name="JAN-MAR 2020" sheetId="6" r:id="rId7"/>
    <sheet name="OKT-DES" sheetId="4" r:id="rId8"/>
    <sheet name="JUL-SEPT" sheetId="3" r:id="rId9"/>
    <sheet name="APR-JUN" sheetId="2" r:id="rId10"/>
    <sheet name="jan-mar" sheetId="1" r:id="rId11"/>
  </sheets>
  <externalReferences>
    <externalReference r:id="rId12"/>
  </externalReferences>
  <definedNames>
    <definedName name="_xlnm.Print_Area" localSheetId="2">'2021'!$B$2:$U$8</definedName>
    <definedName name="_xlnm.Print_Area" localSheetId="9">'APR-JUN'!$B$2:$T$8</definedName>
    <definedName name="_xlnm.Print_Area" localSheetId="5">'APR-JUN 2020'!$B$2:$AP$8</definedName>
    <definedName name="_xlnm.Print_Area" localSheetId="6">'JAN-MAR 2020'!$B$2:$AD$8</definedName>
    <definedName name="_xlnm.Print_Area" localSheetId="4">'JUL-'!$B$2:$BB$8</definedName>
    <definedName name="_xlnm.Print_Area" localSheetId="8">'JUL-SEPT'!$B$2:$Q$9</definedName>
    <definedName name="_xlnm.Print_Area" localSheetId="3">OKT!$B$2:$O$8</definedName>
    <definedName name="_xlnm.Print_Area" localSheetId="7">'OKT-DES'!$B$2:$Q$9</definedName>
    <definedName name="_xlnm.Print_Area" localSheetId="1">'TERM 81'!$B$2:$BD$9</definedName>
    <definedName name="_xlnm.Print_Area" localSheetId="0">'TERM 82'!$B$2:$AE$9</definedName>
  </definedNames>
  <calcPr calcId="162913"/>
</workbook>
</file>

<file path=xl/calcChain.xml><?xml version="1.0" encoding="utf-8"?>
<calcChain xmlns="http://schemas.openxmlformats.org/spreadsheetml/2006/main">
  <c r="AB8" i="13" l="1"/>
  <c r="AA8" i="13" l="1"/>
  <c r="Z8" i="13" l="1"/>
  <c r="Y8" i="13" l="1"/>
  <c r="X8" i="13" l="1"/>
  <c r="W8" i="13" l="1"/>
  <c r="U8" i="13" l="1"/>
  <c r="T8" i="13" l="1"/>
  <c r="R8" i="13" l="1"/>
  <c r="Q8" i="13" l="1"/>
  <c r="P8" i="13" l="1"/>
  <c r="N8" i="13" l="1"/>
  <c r="M8" i="13" l="1"/>
  <c r="L8" i="13" l="1"/>
  <c r="H8" i="13" l="1"/>
  <c r="G8" i="13" l="1"/>
  <c r="E8" i="13" l="1"/>
  <c r="BB8" i="12" l="1"/>
  <c r="BA8" i="12" l="1"/>
  <c r="AY8" i="12" l="1"/>
  <c r="AX8" i="12" l="1"/>
  <c r="AV8" i="12" l="1"/>
  <c r="AU8" i="12" l="1"/>
  <c r="AR8" i="12" l="1"/>
  <c r="AQ8" i="12" l="1"/>
  <c r="AM8" i="12" l="1"/>
  <c r="AL8" i="12" l="1"/>
  <c r="AJ8" i="12" l="1"/>
  <c r="AI8" i="12" l="1"/>
  <c r="AH8" i="12" l="1"/>
  <c r="AF8" i="12" l="1"/>
  <c r="AE8" i="12" l="1"/>
  <c r="AD8" i="12" l="1"/>
  <c r="AB8" i="12" l="1"/>
  <c r="Z8" i="12" l="1"/>
  <c r="Y8" i="12" l="1"/>
  <c r="X8" i="12" l="1"/>
  <c r="W8" i="12" l="1"/>
  <c r="V8" i="12" l="1"/>
  <c r="U8" i="12" l="1"/>
  <c r="T8" i="12" l="1"/>
  <c r="S8" i="12" l="1"/>
  <c r="Q8" i="12" l="1"/>
  <c r="O8" i="12"/>
  <c r="N8" i="12" l="1"/>
  <c r="M8" i="12" l="1"/>
  <c r="K8" i="12"/>
  <c r="J8" i="12" l="1"/>
  <c r="H8" i="12" l="1"/>
  <c r="O8" i="11" l="1"/>
  <c r="N8" i="11" l="1"/>
  <c r="H8" i="11" l="1"/>
  <c r="W5" i="11" l="1"/>
  <c r="F8" i="11"/>
  <c r="G8" i="10"/>
  <c r="E8" i="11" l="1"/>
  <c r="Z5" i="11"/>
  <c r="O8" i="10" l="1"/>
  <c r="M8" i="10" l="1"/>
  <c r="K8" i="10" l="1"/>
  <c r="J8" i="10" l="1"/>
  <c r="H8" i="10" l="1"/>
  <c r="T5" i="10" l="1"/>
  <c r="Q5" i="10"/>
  <c r="BA8" i="9" l="1"/>
  <c r="AZ8" i="9" l="1"/>
  <c r="AY8" i="9" l="1"/>
  <c r="AX8" i="9" l="1"/>
  <c r="AW8" i="9" l="1"/>
  <c r="AU8" i="9" l="1"/>
  <c r="AS8" i="9" l="1"/>
  <c r="AR8" i="9" l="1"/>
  <c r="AP8" i="9"/>
  <c r="AM8" i="9"/>
  <c r="AL8" i="9"/>
  <c r="AJ8" i="9"/>
  <c r="AI8" i="9"/>
  <c r="AG8" i="9"/>
  <c r="AE8" i="9"/>
  <c r="AC8" i="9"/>
  <c r="AA8" i="9"/>
  <c r="Z8" i="9"/>
  <c r="Y8" i="9"/>
  <c r="X8" i="9"/>
  <c r="W8" i="9"/>
  <c r="U8" i="9"/>
  <c r="T8" i="9"/>
  <c r="S8" i="9"/>
  <c r="R8" i="9"/>
  <c r="P8" i="9"/>
  <c r="O8" i="9"/>
  <c r="M8" i="9"/>
  <c r="L8" i="9"/>
  <c r="J8" i="9"/>
  <c r="H8" i="9"/>
  <c r="G8" i="9"/>
  <c r="E8" i="9"/>
  <c r="BG5" i="9"/>
  <c r="BD5" i="9"/>
  <c r="AP8" i="8" l="1"/>
  <c r="AM8" i="8" l="1"/>
  <c r="AL8" i="8" l="1"/>
  <c r="AJ8" i="8" l="1"/>
  <c r="AI8" i="8" l="1"/>
  <c r="AG8" i="8" l="1"/>
  <c r="AE8" i="8"/>
  <c r="AC8" i="8" l="1"/>
  <c r="AA8" i="8"/>
  <c r="Z8" i="8"/>
  <c r="Y8" i="8"/>
  <c r="X8" i="8"/>
  <c r="W8" i="8"/>
  <c r="U8" i="8"/>
  <c r="T8" i="8"/>
  <c r="S8" i="8"/>
  <c r="R8" i="8"/>
  <c r="P8" i="8"/>
  <c r="O8" i="8"/>
  <c r="M8" i="8"/>
  <c r="L8" i="8"/>
  <c r="J8" i="8"/>
  <c r="H8" i="8"/>
  <c r="G8" i="8"/>
  <c r="E8" i="8"/>
  <c r="AU5" i="8"/>
  <c r="AR5" i="8"/>
  <c r="E8" i="4"/>
  <c r="AC8" i="6" l="1"/>
  <c r="AA8" i="6"/>
  <c r="Z8" i="6" l="1"/>
  <c r="X8" i="6" l="1"/>
  <c r="Y8" i="6"/>
  <c r="W8" i="6" l="1"/>
  <c r="U8" i="6" l="1"/>
  <c r="T8" i="6" l="1"/>
  <c r="R8" i="6" l="1"/>
  <c r="S8" i="6"/>
  <c r="P8" i="6" l="1"/>
  <c r="O8" i="6"/>
  <c r="L8" i="6"/>
  <c r="J8" i="6"/>
  <c r="AF5" i="6"/>
  <c r="AI5" i="6"/>
  <c r="M8" i="6"/>
  <c r="H8" i="6"/>
  <c r="G8" i="6"/>
  <c r="E8" i="6"/>
  <c r="S5" i="4" l="1"/>
  <c r="N8" i="3"/>
  <c r="L8" i="3"/>
  <c r="P8" i="4"/>
  <c r="G8" i="3"/>
  <c r="E8" i="3"/>
  <c r="U5" i="4" l="1"/>
  <c r="O8" i="4"/>
  <c r="M8" i="4"/>
  <c r="L8" i="4"/>
  <c r="J8" i="4"/>
  <c r="H8" i="4" l="1"/>
  <c r="G8" i="4" l="1"/>
  <c r="V5" i="4" l="1"/>
  <c r="T5" i="4"/>
  <c r="Q8" i="3" l="1"/>
  <c r="O8" i="3" l="1"/>
  <c r="K8" i="3" l="1"/>
  <c r="J8" i="3"/>
  <c r="I8" i="3"/>
  <c r="S5" i="3" l="1"/>
  <c r="H8" i="3"/>
  <c r="V5" i="3"/>
  <c r="U5" i="3"/>
  <c r="T5" i="3"/>
  <c r="T8" i="2" l="1"/>
  <c r="S8" i="2"/>
  <c r="Q8" i="2" l="1"/>
  <c r="O8" i="2"/>
  <c r="N8" i="2" l="1"/>
  <c r="M8" i="2" l="1"/>
  <c r="K8" i="2" l="1"/>
  <c r="J8" i="2" l="1"/>
  <c r="I8" i="2" l="1"/>
  <c r="H8" i="2"/>
  <c r="G8" i="2"/>
  <c r="Y5" i="2" l="1"/>
  <c r="X5" i="2"/>
  <c r="W5" i="2"/>
  <c r="V5" i="2"/>
  <c r="V20" i="1" l="1"/>
  <c r="T20" i="1"/>
  <c r="S20" i="1"/>
  <c r="U20" i="1"/>
  <c r="Q19" i="1" l="1"/>
  <c r="O19" i="1"/>
  <c r="N19" i="1"/>
  <c r="M19" i="1"/>
  <c r="L19" i="1"/>
  <c r="K19" i="1"/>
  <c r="J19" i="1"/>
  <c r="I19" i="1"/>
  <c r="H19" i="1"/>
  <c r="G19" i="1"/>
  <c r="F19" i="1"/>
  <c r="E19" i="1"/>
  <c r="Q18" i="1"/>
  <c r="O18" i="1"/>
  <c r="N18" i="1"/>
  <c r="M18" i="1"/>
  <c r="L18" i="1"/>
  <c r="K18" i="1"/>
  <c r="J18" i="1"/>
  <c r="I18" i="1"/>
  <c r="H18" i="1"/>
  <c r="G18" i="1"/>
  <c r="F18" i="1"/>
  <c r="E18" i="1"/>
  <c r="O17" i="1"/>
  <c r="N17" i="1"/>
  <c r="M17" i="1"/>
  <c r="L17" i="1"/>
  <c r="K17" i="1"/>
  <c r="J17" i="1"/>
  <c r="I17" i="1"/>
  <c r="H17" i="1"/>
  <c r="G17" i="1"/>
  <c r="F17" i="1"/>
  <c r="E17" i="1"/>
  <c r="Q16" i="1"/>
  <c r="O16" i="1"/>
  <c r="N16" i="1"/>
  <c r="M16" i="1"/>
  <c r="L16" i="1"/>
  <c r="K16" i="1"/>
  <c r="J16" i="1"/>
  <c r="I16" i="1"/>
  <c r="H16" i="1"/>
  <c r="G16" i="1"/>
  <c r="F16" i="1"/>
  <c r="E16" i="1"/>
  <c r="Q15" i="1"/>
  <c r="O15" i="1"/>
  <c r="N15" i="1"/>
  <c r="M15" i="1"/>
  <c r="L15" i="1"/>
  <c r="K15" i="1"/>
  <c r="J15" i="1"/>
  <c r="I15" i="1"/>
  <c r="H15" i="1"/>
  <c r="G15" i="1"/>
  <c r="F15" i="1"/>
  <c r="E15" i="1"/>
  <c r="Q14" i="1"/>
  <c r="O14" i="1"/>
  <c r="N14" i="1"/>
  <c r="M14" i="1"/>
  <c r="L14" i="1"/>
  <c r="K14" i="1"/>
  <c r="J14" i="1"/>
  <c r="I14" i="1"/>
  <c r="H14" i="1"/>
  <c r="G14" i="1"/>
  <c r="F14" i="1"/>
  <c r="E14" i="1"/>
  <c r="Q13" i="1"/>
  <c r="O13" i="1"/>
  <c r="N13" i="1"/>
  <c r="M13" i="1"/>
  <c r="L13" i="1"/>
  <c r="K13" i="1"/>
  <c r="J13" i="1"/>
  <c r="I13" i="1"/>
  <c r="H13" i="1"/>
  <c r="G13" i="1"/>
  <c r="F13" i="1"/>
  <c r="E13" i="1"/>
  <c r="O12" i="1"/>
  <c r="N12" i="1"/>
  <c r="M12" i="1"/>
  <c r="L12" i="1"/>
  <c r="K12" i="1"/>
  <c r="J12" i="1"/>
  <c r="I12" i="1"/>
  <c r="H12" i="1"/>
  <c r="G12" i="1"/>
  <c r="F12" i="1"/>
  <c r="E12" i="1"/>
  <c r="O11" i="1"/>
  <c r="N11" i="1"/>
  <c r="M11" i="1"/>
  <c r="L11" i="1"/>
  <c r="K11" i="1"/>
  <c r="J11" i="1"/>
  <c r="I11" i="1"/>
  <c r="H11" i="1"/>
  <c r="G11" i="1"/>
  <c r="F11" i="1"/>
  <c r="E11" i="1"/>
  <c r="Q10" i="1"/>
  <c r="O10" i="1"/>
  <c r="N10" i="1"/>
  <c r="M10" i="1"/>
  <c r="L10" i="1"/>
  <c r="K10" i="1"/>
  <c r="J10" i="1"/>
  <c r="I10" i="1"/>
  <c r="H10" i="1"/>
  <c r="G10" i="1"/>
  <c r="F10" i="1"/>
  <c r="E10" i="1"/>
  <c r="Q9" i="1"/>
  <c r="O9" i="1"/>
  <c r="N9" i="1"/>
  <c r="M9" i="1"/>
  <c r="L9" i="1"/>
  <c r="K9" i="1"/>
  <c r="J9" i="1"/>
  <c r="I9" i="1"/>
  <c r="H9" i="1"/>
  <c r="G9" i="1"/>
  <c r="F9" i="1"/>
  <c r="E9" i="1"/>
  <c r="O8" i="1"/>
  <c r="N8" i="1"/>
  <c r="M8" i="1"/>
  <c r="L8" i="1"/>
  <c r="K8" i="1"/>
  <c r="J8" i="1"/>
  <c r="I8" i="1"/>
  <c r="H8" i="1"/>
  <c r="G8" i="1"/>
  <c r="F8" i="1"/>
  <c r="E8" i="1"/>
  <c r="Q7" i="1"/>
  <c r="O7" i="1"/>
  <c r="N7" i="1"/>
  <c r="M7" i="1"/>
  <c r="L7" i="1"/>
  <c r="K7" i="1"/>
  <c r="J7" i="1"/>
  <c r="I7" i="1"/>
  <c r="H7" i="1"/>
  <c r="G7" i="1"/>
  <c r="F7" i="1"/>
  <c r="E7" i="1"/>
  <c r="Q6" i="1"/>
  <c r="O6" i="1"/>
  <c r="N6" i="1"/>
  <c r="M6" i="1"/>
  <c r="L6" i="1"/>
  <c r="K6" i="1"/>
  <c r="J6" i="1"/>
  <c r="I6" i="1"/>
  <c r="H6" i="1"/>
  <c r="G6" i="1"/>
  <c r="F6" i="1"/>
  <c r="E6" i="1"/>
  <c r="O5" i="1"/>
  <c r="N5" i="1"/>
  <c r="M5" i="1"/>
  <c r="L5" i="1"/>
  <c r="K5" i="1"/>
  <c r="J5" i="1"/>
  <c r="I5" i="1"/>
  <c r="H5" i="1"/>
  <c r="G5" i="1"/>
  <c r="F5" i="1"/>
  <c r="E5" i="1"/>
  <c r="V5" i="1" l="1"/>
  <c r="T5" i="1"/>
  <c r="V6" i="1"/>
  <c r="T6" i="1"/>
  <c r="V7" i="1"/>
  <c r="T7" i="1"/>
  <c r="V8" i="1"/>
  <c r="T8" i="1"/>
  <c r="V9" i="1"/>
  <c r="T9" i="1"/>
  <c r="V10" i="1"/>
  <c r="T10" i="1"/>
  <c r="V11" i="1"/>
  <c r="T11" i="1"/>
  <c r="V12" i="1"/>
  <c r="T12" i="1"/>
  <c r="V13" i="1"/>
  <c r="T13" i="1"/>
  <c r="V14" i="1"/>
  <c r="T14" i="1"/>
  <c r="V15" i="1"/>
  <c r="T15" i="1"/>
  <c r="T16" i="1"/>
  <c r="T17" i="1"/>
  <c r="T18" i="1"/>
  <c r="T19" i="1"/>
  <c r="U19" i="1"/>
  <c r="U5" i="1"/>
  <c r="U6" i="1"/>
  <c r="U7" i="1"/>
  <c r="S5" i="1"/>
  <c r="S6" i="1"/>
  <c r="S7" i="1"/>
  <c r="S8" i="1"/>
  <c r="S9" i="1"/>
  <c r="S10" i="1"/>
  <c r="S11" i="1"/>
  <c r="S12" i="1"/>
  <c r="S13" i="1"/>
  <c r="S14" i="1"/>
  <c r="S15" i="1"/>
  <c r="V16" i="1"/>
  <c r="V17" i="1"/>
  <c r="V18" i="1"/>
  <c r="V19" i="1"/>
  <c r="U18" i="1"/>
  <c r="U8" i="1"/>
  <c r="U9" i="1"/>
  <c r="U10" i="1"/>
  <c r="U11" i="1"/>
  <c r="U12" i="1"/>
  <c r="U13" i="1"/>
  <c r="U14" i="1"/>
  <c r="U15" i="1"/>
  <c r="U16" i="1"/>
  <c r="U17" i="1"/>
  <c r="S16" i="1"/>
  <c r="S17" i="1"/>
  <c r="S18" i="1"/>
  <c r="S19" i="1"/>
</calcChain>
</file>

<file path=xl/sharedStrings.xml><?xml version="1.0" encoding="utf-8"?>
<sst xmlns="http://schemas.openxmlformats.org/spreadsheetml/2006/main" count="460" uniqueCount="224">
  <si>
    <t xml:space="preserve">SUMMARY BIAYA OPERASIONAL MOBIL MANAGER LOKAL </t>
  </si>
  <si>
    <t>JANUARI 2019</t>
  </si>
  <si>
    <t>FEBRUARI 2019</t>
  </si>
  <si>
    <t>MARET 2019</t>
  </si>
  <si>
    <t>RATA - RATA</t>
  </si>
  <si>
    <t>NO</t>
  </si>
  <si>
    <t>NAMA</t>
  </si>
  <si>
    <t>KET.</t>
  </si>
  <si>
    <t>1 - 6 Jan</t>
  </si>
  <si>
    <t>7 - 13 Jan</t>
  </si>
  <si>
    <t>14 - 20 Jan</t>
  </si>
  <si>
    <t>21 - 27 Jan</t>
  </si>
  <si>
    <t>28 Jan - 3 Feb</t>
  </si>
  <si>
    <t>4 - 10 Feb</t>
  </si>
  <si>
    <t>11 - 17 Feb</t>
  </si>
  <si>
    <t>18 - 24 Feb</t>
  </si>
  <si>
    <t>25 Feb - 3 Mar</t>
  </si>
  <si>
    <t>4 - 10 Mar</t>
  </si>
  <si>
    <t>11  -17 Mar</t>
  </si>
  <si>
    <t>18 - 24 Mar</t>
  </si>
  <si>
    <t>Januari</t>
  </si>
  <si>
    <t>Februari</t>
  </si>
  <si>
    <t>Maret</t>
  </si>
  <si>
    <t>@3 bulan</t>
  </si>
  <si>
    <t>MANSUR ISNAENI</t>
  </si>
  <si>
    <t>BBM</t>
  </si>
  <si>
    <t>TOL</t>
  </si>
  <si>
    <t>PARKIR</t>
  </si>
  <si>
    <t>BAMBANG RIANTO</t>
  </si>
  <si>
    <t>YOEN YOEDONO SOEBROTO</t>
  </si>
  <si>
    <t>ARI WIJAYANTI</t>
  </si>
  <si>
    <t>AHMAD MUBAROK</t>
  </si>
  <si>
    <t>BAGUS KUSUMA PUTRA</t>
  </si>
  <si>
    <t>BULAN</t>
  </si>
  <si>
    <t>MEI 2019</t>
  </si>
  <si>
    <t>JUNI 2019</t>
  </si>
  <si>
    <t>25-31 Mar</t>
  </si>
  <si>
    <t>1-7 Apr</t>
  </si>
  <si>
    <t>8-14 Apr</t>
  </si>
  <si>
    <t>15-21 Apr</t>
  </si>
  <si>
    <t>22-28 Apr</t>
  </si>
  <si>
    <t>29 Apr - 5 Mei</t>
  </si>
  <si>
    <t>6-12 Mei</t>
  </si>
  <si>
    <t>13-19 Mei</t>
  </si>
  <si>
    <t>20-26 Mei</t>
  </si>
  <si>
    <t>27 Mei - 2 Juni</t>
  </si>
  <si>
    <t>10-16 Juni</t>
  </si>
  <si>
    <t>17-23 Juni</t>
  </si>
  <si>
    <t>24-30 Juni</t>
  </si>
  <si>
    <t>April</t>
  </si>
  <si>
    <t>Mei</t>
  </si>
  <si>
    <t>Juni</t>
  </si>
  <si>
    <t>ODOMETER</t>
  </si>
  <si>
    <t>ACTUAL KM/WEEK</t>
  </si>
  <si>
    <t>1-7 Juli</t>
  </si>
  <si>
    <t>8-14 Juli</t>
  </si>
  <si>
    <t>15-21 Juli</t>
  </si>
  <si>
    <t>JULI 2019</t>
  </si>
  <si>
    <t>22-28</t>
  </si>
  <si>
    <t>29 Jul-4 Aug</t>
  </si>
  <si>
    <t>5-11 aug</t>
  </si>
  <si>
    <t>12-18 aug</t>
  </si>
  <si>
    <t>19-25 aug</t>
  </si>
  <si>
    <t>26-31 aug</t>
  </si>
  <si>
    <t>1-8</t>
  </si>
  <si>
    <t>9-15</t>
  </si>
  <si>
    <t>16-22</t>
  </si>
  <si>
    <t>23-29</t>
  </si>
  <si>
    <t>Juli</t>
  </si>
  <si>
    <t>Agustus</t>
  </si>
  <si>
    <t>September</t>
  </si>
  <si>
    <t>1-6 Oct</t>
  </si>
  <si>
    <t>7-13 Oct</t>
  </si>
  <si>
    <t>14-20 Oct</t>
  </si>
  <si>
    <t>21-27 Oct</t>
  </si>
  <si>
    <t>28 Oct- 3 Nov</t>
  </si>
  <si>
    <t>4-10 Nov</t>
  </si>
  <si>
    <t>11-17 Nov</t>
  </si>
  <si>
    <t>18-24 Nov</t>
  </si>
  <si>
    <t>25 Nov-01 Dec</t>
  </si>
  <si>
    <t xml:space="preserve">2-8 Dec </t>
  </si>
  <si>
    <t>9-15 Dec</t>
  </si>
  <si>
    <t>16-22 Dec</t>
  </si>
  <si>
    <t>23-29 Dec</t>
  </si>
  <si>
    <t>Oktober</t>
  </si>
  <si>
    <t>November</t>
  </si>
  <si>
    <t>Desember</t>
  </si>
  <si>
    <t>1-5 Jan</t>
  </si>
  <si>
    <t>6-12 Jan</t>
  </si>
  <si>
    <t>13-19 Jan</t>
  </si>
  <si>
    <t>20-26 Jan</t>
  </si>
  <si>
    <t>27 Jan-2 Feb</t>
  </si>
  <si>
    <t>3-9 Feb</t>
  </si>
  <si>
    <t>10-16 Feb</t>
  </si>
  <si>
    <t>17-23 Feb</t>
  </si>
  <si>
    <t>24-29 Feb</t>
  </si>
  <si>
    <t>1-8 Mar</t>
  </si>
  <si>
    <t>9-15 Mar</t>
  </si>
  <si>
    <t>16-22 Mar</t>
  </si>
  <si>
    <t>23-29 Mar</t>
  </si>
  <si>
    <t>1-5 Apr</t>
  </si>
  <si>
    <t>6-12 Apr</t>
  </si>
  <si>
    <t>13-19 Apr</t>
  </si>
  <si>
    <t>20-26 Apr</t>
  </si>
  <si>
    <t>27 Apr-3 May</t>
  </si>
  <si>
    <t>4-10 May</t>
  </si>
  <si>
    <t>11-17 May</t>
  </si>
  <si>
    <t>18-24 May</t>
  </si>
  <si>
    <t>1-7 Jun</t>
  </si>
  <si>
    <t>8-14 Jun</t>
  </si>
  <si>
    <t>15-21 Jun</t>
  </si>
  <si>
    <t>22-28 Jun</t>
  </si>
  <si>
    <t>1-5 Jul</t>
  </si>
  <si>
    <t>13-19 Jul</t>
  </si>
  <si>
    <t>6-12 Jul</t>
  </si>
  <si>
    <t>20-26 Jul</t>
  </si>
  <si>
    <t>27 Jul-2 Aug</t>
  </si>
  <si>
    <t>3-9 Aug</t>
  </si>
  <si>
    <t>10-16 Aug</t>
  </si>
  <si>
    <t>24-30 Aug</t>
  </si>
  <si>
    <t>31 Aug-6 Sep</t>
  </si>
  <si>
    <t>7-13 Sep</t>
  </si>
  <si>
    <t>14-20 Sep</t>
  </si>
  <si>
    <t>21-27 Sep</t>
  </si>
  <si>
    <t>12-18 OKT</t>
  </si>
  <si>
    <t>19-25 OKT</t>
  </si>
  <si>
    <t>26-31 OKT</t>
  </si>
  <si>
    <t>1-8 nov</t>
  </si>
  <si>
    <t>9-15 nov</t>
  </si>
  <si>
    <t>16-22 nov</t>
  </si>
  <si>
    <t>23-30 nov</t>
  </si>
  <si>
    <t>1-6 DES</t>
  </si>
  <si>
    <t>7-13 DES</t>
  </si>
  <si>
    <t>14-20 DES</t>
  </si>
  <si>
    <t>21-27 DES</t>
  </si>
  <si>
    <t xml:space="preserve">1-9 JAN </t>
  </si>
  <si>
    <t>10-17 JAN</t>
  </si>
  <si>
    <t>18-24 JAN</t>
  </si>
  <si>
    <t>25-30 JAN</t>
  </si>
  <si>
    <t>22-28 MAR</t>
  </si>
  <si>
    <t>1-7 MAR</t>
  </si>
  <si>
    <t>8-14 MAR</t>
  </si>
  <si>
    <t>15-21 MAR</t>
  </si>
  <si>
    <t>1-4 APR</t>
  </si>
  <si>
    <t>5-11  APR</t>
  </si>
  <si>
    <t>12-18 APR</t>
  </si>
  <si>
    <t>19-25 APR</t>
  </si>
  <si>
    <t>26-30 APR</t>
  </si>
  <si>
    <t>5-11</t>
  </si>
  <si>
    <t>1-4</t>
  </si>
  <si>
    <t>12-18</t>
  </si>
  <si>
    <t>19-25</t>
  </si>
  <si>
    <t>26-31</t>
  </si>
  <si>
    <t>2-8</t>
  </si>
  <si>
    <t>30-5 SEPT</t>
  </si>
  <si>
    <t>6-12 SEPT</t>
  </si>
  <si>
    <t>13-19 SEPT</t>
  </si>
  <si>
    <t>20-26 SEPT</t>
  </si>
  <si>
    <t xml:space="preserve"> </t>
  </si>
  <si>
    <t>27-3 OKT</t>
  </si>
  <si>
    <t>4-10 OKT</t>
  </si>
  <si>
    <t>11-17 OKT</t>
  </si>
  <si>
    <t>18-24 OKT</t>
  </si>
  <si>
    <t>25-30 OKT</t>
  </si>
  <si>
    <t>1-7 NOV</t>
  </si>
  <si>
    <t>8-14 NOV</t>
  </si>
  <si>
    <t>15-21 NOV</t>
  </si>
  <si>
    <t>22-28 NOV</t>
  </si>
  <si>
    <t>29-5 DES</t>
  </si>
  <si>
    <t>6-12 DES</t>
  </si>
  <si>
    <t>13-19 DES</t>
  </si>
  <si>
    <t>20-26 DES</t>
  </si>
  <si>
    <t>27 DES-2 JAN</t>
  </si>
  <si>
    <t>3-9 JAN</t>
  </si>
  <si>
    <t>10-16 JAN</t>
  </si>
  <si>
    <t>17-23 JAN</t>
  </si>
  <si>
    <t xml:space="preserve">24-30 JAN </t>
  </si>
  <si>
    <t>31-6 FEB</t>
  </si>
  <si>
    <t>7-13 FEB</t>
  </si>
  <si>
    <t>14-20 FEB</t>
  </si>
  <si>
    <t>21-27 FEB</t>
  </si>
  <si>
    <t>27-6 MAR</t>
  </si>
  <si>
    <t>7-13 MAR</t>
  </si>
  <si>
    <t>14-20 MAR</t>
  </si>
  <si>
    <t>21-27 MAR</t>
  </si>
  <si>
    <t>28-3 APR</t>
  </si>
  <si>
    <t>4-10 APR</t>
  </si>
  <si>
    <t>11-17 APR</t>
  </si>
  <si>
    <t>18-24 APR</t>
  </si>
  <si>
    <t>25-1 MEI</t>
  </si>
  <si>
    <t>2-8 MEI</t>
  </si>
  <si>
    <t>9-15 MEI</t>
  </si>
  <si>
    <t>16-22 MEI</t>
  </si>
  <si>
    <t>23-29 MEI</t>
  </si>
  <si>
    <t>30-5 JUNI</t>
  </si>
  <si>
    <t>6-12 JUNI</t>
  </si>
  <si>
    <t>13-19 JUNI</t>
  </si>
  <si>
    <t>20-26 JUNI</t>
  </si>
  <si>
    <t>27-3 JULI</t>
  </si>
  <si>
    <t>4-10 JULI</t>
  </si>
  <si>
    <t>11-17 JULI</t>
  </si>
  <si>
    <t>18-24 JULI</t>
  </si>
  <si>
    <t>24-31 JULI</t>
  </si>
  <si>
    <t>1-7 AUG</t>
  </si>
  <si>
    <t>8-14 AUG</t>
  </si>
  <si>
    <t>15-21 AUG</t>
  </si>
  <si>
    <t>22-28 AUG</t>
  </si>
  <si>
    <t>29-4 SEPT</t>
  </si>
  <si>
    <t>5-11 SEPT</t>
  </si>
  <si>
    <t>12-18 SEPT</t>
  </si>
  <si>
    <t>19-25 SEPT</t>
  </si>
  <si>
    <t>26-2 OCT</t>
  </si>
  <si>
    <t>3-9 OCT</t>
  </si>
  <si>
    <t>10-16 OCT</t>
  </si>
  <si>
    <t>17-23 OCT</t>
  </si>
  <si>
    <t>24-30 OCT</t>
  </si>
  <si>
    <t>31-6 NOV</t>
  </si>
  <si>
    <t>7-13 NOV</t>
  </si>
  <si>
    <t>14-20 NOV</t>
  </si>
  <si>
    <t>21-27 NOV</t>
  </si>
  <si>
    <t xml:space="preserve">28-4 DES </t>
  </si>
  <si>
    <t>5-11 DES</t>
  </si>
  <si>
    <t>12-18 DES</t>
  </si>
  <si>
    <t>19-25 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</si>
</sst>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64" formatCode="_-[$Rp-421]* #,##0_ ;_-[$Rp-421]* \-#,##0\ ;_-[$Rp-421]* &quot;-&quot;_ ;_-@_ "/>
  </numFmts>
  <fonts count="20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Aharoni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orbel"/>
      <family val="2"/>
    </font>
    <font>
      <sz val="18"/>
      <color theme="1"/>
      <name val="Aharoni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1" fontId="13" fillId="0" borderId="0" applyFont="0" applyFill="0" applyBorder="0" applyAlignment="0" applyProtection="0"/>
  </cellStyleXfs>
  <cellXfs count="82">
    <xf numFmtId="0" fontId="0" fillId="0" borderId="0" xfId="0"/>
    <xf numFmtId="41" fontId="14" fillId="0" borderId="0" xfId="1" applyFont="1" applyAlignment="1">
      <alignment vertical="center"/>
    </xf>
    <xf numFmtId="41" fontId="14" fillId="0" borderId="0" xfId="1" applyFont="1" applyAlignment="1">
      <alignment vertical="center" wrapText="1"/>
    </xf>
    <xf numFmtId="164" fontId="14" fillId="0" borderId="0" xfId="1" applyNumberFormat="1" applyFont="1" applyAlignment="1">
      <alignment vertical="center"/>
    </xf>
    <xf numFmtId="41" fontId="15" fillId="0" borderId="0" xfId="1" applyFont="1" applyAlignment="1">
      <alignment vertical="center"/>
    </xf>
    <xf numFmtId="41" fontId="15" fillId="0" borderId="0" xfId="1" applyFont="1" applyAlignment="1">
      <alignment vertical="center" wrapText="1"/>
    </xf>
    <xf numFmtId="164" fontId="15" fillId="0" borderId="0" xfId="1" applyNumberFormat="1" applyFont="1" applyAlignment="1">
      <alignment vertical="center"/>
    </xf>
    <xf numFmtId="41" fontId="17" fillId="2" borderId="5" xfId="1" applyFont="1" applyFill="1" applyBorder="1" applyAlignment="1">
      <alignment horizontal="center" vertical="center"/>
    </xf>
    <xf numFmtId="41" fontId="17" fillId="2" borderId="5" xfId="1" applyFont="1" applyFill="1" applyBorder="1" applyAlignment="1">
      <alignment horizontal="center" vertical="center" wrapText="1"/>
    </xf>
    <xf numFmtId="41" fontId="17" fillId="2" borderId="5" xfId="1" applyFont="1" applyFill="1" applyBorder="1" applyAlignment="1">
      <alignment vertical="center"/>
    </xf>
    <xf numFmtId="164" fontId="14" fillId="2" borderId="5" xfId="1" quotePrefix="1" applyNumberFormat="1" applyFont="1" applyFill="1" applyBorder="1" applyAlignment="1">
      <alignment horizontal="center" vertical="center" wrapText="1"/>
    </xf>
    <xf numFmtId="164" fontId="17" fillId="0" borderId="0" xfId="1" applyNumberFormat="1" applyFont="1" applyAlignment="1">
      <alignment horizontal="center" vertical="center"/>
    </xf>
    <xf numFmtId="164" fontId="17" fillId="3" borderId="5" xfId="1" quotePrefix="1" applyNumberFormat="1" applyFont="1" applyFill="1" applyBorder="1" applyAlignment="1">
      <alignment horizontal="center" vertical="center"/>
    </xf>
    <xf numFmtId="41" fontId="17" fillId="0" borderId="0" xfId="1" applyFont="1" applyAlignment="1">
      <alignment horizontal="center" vertical="center"/>
    </xf>
    <xf numFmtId="41" fontId="14" fillId="0" borderId="4" xfId="1" applyFont="1" applyBorder="1" applyAlignment="1">
      <alignment vertical="center"/>
    </xf>
    <xf numFmtId="164" fontId="18" fillId="0" borderId="4" xfId="1" applyNumberFormat="1" applyFont="1" applyBorder="1" applyAlignment="1">
      <alignment vertical="center"/>
    </xf>
    <xf numFmtId="164" fontId="14" fillId="3" borderId="4" xfId="1" applyNumberFormat="1" applyFont="1" applyFill="1" applyBorder="1" applyAlignment="1">
      <alignment vertical="center"/>
    </xf>
    <xf numFmtId="41" fontId="14" fillId="0" borderId="5" xfId="1" applyFont="1" applyBorder="1" applyAlignment="1">
      <alignment vertical="center"/>
    </xf>
    <xf numFmtId="164" fontId="18" fillId="0" borderId="5" xfId="1" applyNumberFormat="1" applyFont="1" applyBorder="1" applyAlignment="1">
      <alignment vertical="center"/>
    </xf>
    <xf numFmtId="164" fontId="14" fillId="3" borderId="5" xfId="1" applyNumberFormat="1" applyFont="1" applyFill="1" applyBorder="1" applyAlignment="1">
      <alignment vertical="center"/>
    </xf>
    <xf numFmtId="41" fontId="14" fillId="0" borderId="9" xfId="1" applyFont="1" applyBorder="1" applyAlignment="1">
      <alignment vertical="center"/>
    </xf>
    <xf numFmtId="164" fontId="18" fillId="0" borderId="9" xfId="1" applyNumberFormat="1" applyFont="1" applyBorder="1" applyAlignment="1">
      <alignment vertical="center"/>
    </xf>
    <xf numFmtId="0" fontId="14" fillId="0" borderId="0" xfId="1" applyNumberFormat="1" applyFont="1" applyBorder="1" applyAlignment="1">
      <alignment horizontal="center" vertical="center"/>
    </xf>
    <xf numFmtId="41" fontId="14" fillId="0" borderId="0" xfId="1" applyFont="1" applyBorder="1" applyAlignment="1">
      <alignment horizontal="center" vertical="center" wrapText="1"/>
    </xf>
    <xf numFmtId="41" fontId="14" fillId="0" borderId="0" xfId="1" applyFont="1" applyBorder="1" applyAlignment="1">
      <alignment vertical="center"/>
    </xf>
    <xf numFmtId="164" fontId="18" fillId="0" borderId="0" xfId="1" applyNumberFormat="1" applyFont="1" applyBorder="1" applyAlignment="1">
      <alignment vertical="center"/>
    </xf>
    <xf numFmtId="164" fontId="14" fillId="3" borderId="0" xfId="1" applyNumberFormat="1" applyFont="1" applyFill="1" applyBorder="1" applyAlignment="1">
      <alignment vertical="center"/>
    </xf>
    <xf numFmtId="0" fontId="14" fillId="0" borderId="0" xfId="1" applyNumberFormat="1" applyFont="1" applyAlignment="1">
      <alignment vertical="center"/>
    </xf>
    <xf numFmtId="0" fontId="14" fillId="3" borderId="5" xfId="1" applyNumberFormat="1" applyFont="1" applyFill="1" applyBorder="1" applyAlignment="1">
      <alignment vertical="center"/>
    </xf>
    <xf numFmtId="0" fontId="14" fillId="0" borderId="0" xfId="1" applyNumberFormat="1" applyFont="1" applyBorder="1" applyAlignment="1">
      <alignment vertical="center"/>
    </xf>
    <xf numFmtId="0" fontId="18" fillId="0" borderId="0" xfId="1" applyNumberFormat="1" applyFont="1" applyBorder="1" applyAlignment="1">
      <alignment vertical="center"/>
    </xf>
    <xf numFmtId="0" fontId="18" fillId="0" borderId="0" xfId="1" quotePrefix="1" applyNumberFormat="1" applyFont="1" applyBorder="1" applyAlignment="1">
      <alignment vertical="center"/>
    </xf>
    <xf numFmtId="0" fontId="14" fillId="3" borderId="0" xfId="1" applyNumberFormat="1" applyFont="1" applyFill="1" applyBorder="1" applyAlignment="1">
      <alignment vertical="center"/>
    </xf>
    <xf numFmtId="0" fontId="14" fillId="0" borderId="8" xfId="1" applyNumberFormat="1" applyFont="1" applyBorder="1" applyAlignment="1">
      <alignment vertical="center"/>
    </xf>
    <xf numFmtId="0" fontId="18" fillId="0" borderId="8" xfId="1" applyNumberFormat="1" applyFont="1" applyBorder="1" applyAlignment="1">
      <alignment vertical="center"/>
    </xf>
    <xf numFmtId="0" fontId="18" fillId="0" borderId="8" xfId="1" quotePrefix="1" applyNumberFormat="1" applyFont="1" applyBorder="1" applyAlignment="1">
      <alignment vertical="center"/>
    </xf>
    <xf numFmtId="0" fontId="14" fillId="0" borderId="4" xfId="1" applyNumberFormat="1" applyFont="1" applyBorder="1" applyAlignment="1">
      <alignment vertical="center"/>
    </xf>
    <xf numFmtId="0" fontId="18" fillId="0" borderId="4" xfId="1" applyNumberFormat="1" applyFont="1" applyBorder="1" applyAlignment="1">
      <alignment vertical="center"/>
    </xf>
    <xf numFmtId="0" fontId="18" fillId="0" borderId="4" xfId="1" quotePrefix="1" applyNumberFormat="1" applyFont="1" applyBorder="1" applyAlignment="1">
      <alignment vertical="center"/>
    </xf>
    <xf numFmtId="41" fontId="18" fillId="0" borderId="8" xfId="1" applyNumberFormat="1" applyFont="1" applyBorder="1" applyAlignment="1">
      <alignment vertical="center"/>
    </xf>
    <xf numFmtId="164" fontId="14" fillId="2" borderId="10" xfId="1" quotePrefix="1" applyNumberFormat="1" applyFont="1" applyFill="1" applyBorder="1" applyAlignment="1">
      <alignment horizontal="center" vertical="center" wrapText="1"/>
    </xf>
    <xf numFmtId="164" fontId="12" fillId="2" borderId="10" xfId="1" applyNumberFormat="1" applyFont="1" applyFill="1" applyBorder="1" applyAlignment="1">
      <alignment horizontal="center" vertical="center"/>
    </xf>
    <xf numFmtId="0" fontId="18" fillId="0" borderId="11" xfId="1" applyNumberFormat="1" applyFont="1" applyBorder="1" applyAlignment="1">
      <alignment vertical="center"/>
    </xf>
    <xf numFmtId="164" fontId="11" fillId="2" borderId="10" xfId="1" applyNumberFormat="1" applyFont="1" applyFill="1" applyBorder="1" applyAlignment="1">
      <alignment horizontal="center" vertical="center"/>
    </xf>
    <xf numFmtId="164" fontId="10" fillId="2" borderId="10" xfId="1" applyNumberFormat="1" applyFont="1" applyFill="1" applyBorder="1" applyAlignment="1">
      <alignment horizontal="center" vertical="center"/>
    </xf>
    <xf numFmtId="164" fontId="9" fillId="2" borderId="10" xfId="1" applyNumberFormat="1" applyFont="1" applyFill="1" applyBorder="1" applyAlignment="1">
      <alignment horizontal="center" vertical="center"/>
    </xf>
    <xf numFmtId="164" fontId="8" fillId="2" borderId="10" xfId="1" applyNumberFormat="1" applyFont="1" applyFill="1" applyBorder="1" applyAlignment="1">
      <alignment horizontal="center" vertical="center"/>
    </xf>
    <xf numFmtId="164" fontId="7" fillId="2" borderId="10" xfId="1" applyNumberFormat="1" applyFont="1" applyFill="1" applyBorder="1" applyAlignment="1">
      <alignment horizontal="center" vertical="center"/>
    </xf>
    <xf numFmtId="164" fontId="6" fillId="2" borderId="10" xfId="1" applyNumberFormat="1" applyFont="1" applyFill="1" applyBorder="1" applyAlignment="1">
      <alignment horizontal="center" vertical="center"/>
    </xf>
    <xf numFmtId="164" fontId="5" fillId="2" borderId="12" xfId="1" quotePrefix="1" applyNumberFormat="1" applyFont="1" applyFill="1" applyBorder="1" applyAlignment="1">
      <alignment horizontal="center" vertical="center"/>
    </xf>
    <xf numFmtId="164" fontId="4" fillId="2" borderId="12" xfId="1" quotePrefix="1" applyNumberFormat="1" applyFont="1" applyFill="1" applyBorder="1" applyAlignment="1">
      <alignment horizontal="center" vertical="center"/>
    </xf>
    <xf numFmtId="164" fontId="3" fillId="2" borderId="12" xfId="1" quotePrefix="1" applyNumberFormat="1" applyFont="1" applyFill="1" applyBorder="1" applyAlignment="1">
      <alignment horizontal="center" vertical="center"/>
    </xf>
    <xf numFmtId="164" fontId="2" fillId="2" borderId="12" xfId="1" quotePrefix="1" applyNumberFormat="1" applyFont="1" applyFill="1" applyBorder="1" applyAlignment="1">
      <alignment horizontal="center" vertical="center"/>
    </xf>
    <xf numFmtId="164" fontId="1" fillId="2" borderId="10" xfId="1" applyNumberFormat="1" applyFont="1" applyFill="1" applyBorder="1" applyAlignment="1">
      <alignment horizontal="center" vertical="center"/>
    </xf>
    <xf numFmtId="17" fontId="16" fillId="0" borderId="4" xfId="1" applyNumberFormat="1" applyFont="1" applyBorder="1" applyAlignment="1">
      <alignment horizontal="center" vertical="center"/>
    </xf>
    <xf numFmtId="0" fontId="14" fillId="0" borderId="9" xfId="1" applyNumberFormat="1" applyFont="1" applyBorder="1" applyAlignment="1">
      <alignment horizontal="center" vertical="center"/>
    </xf>
    <xf numFmtId="0" fontId="14" fillId="0" borderId="4" xfId="1" applyNumberFormat="1" applyFont="1" applyBorder="1" applyAlignment="1">
      <alignment horizontal="center" vertical="center"/>
    </xf>
    <xf numFmtId="0" fontId="14" fillId="0" borderId="6" xfId="1" applyNumberFormat="1" applyFont="1" applyBorder="1" applyAlignment="1">
      <alignment horizontal="center" vertical="center"/>
    </xf>
    <xf numFmtId="0" fontId="14" fillId="0" borderId="5" xfId="1" applyNumberFormat="1" applyFont="1" applyBorder="1" applyAlignment="1">
      <alignment horizontal="center" vertical="center"/>
    </xf>
    <xf numFmtId="41" fontId="14" fillId="0" borderId="9" xfId="1" applyFont="1" applyBorder="1" applyAlignment="1">
      <alignment horizontal="center" vertical="center" wrapText="1"/>
    </xf>
    <xf numFmtId="41" fontId="14" fillId="0" borderId="4" xfId="1" applyFont="1" applyBorder="1" applyAlignment="1">
      <alignment horizontal="center" vertical="center" wrapText="1"/>
    </xf>
    <xf numFmtId="41" fontId="14" fillId="0" borderId="6" xfId="1" applyFont="1" applyBorder="1" applyAlignment="1">
      <alignment horizontal="center" vertical="center" wrapText="1"/>
    </xf>
    <xf numFmtId="41" fontId="14" fillId="0" borderId="5" xfId="1" applyFont="1" applyBorder="1" applyAlignment="1">
      <alignment horizontal="center" vertical="center" wrapText="1"/>
    </xf>
    <xf numFmtId="41" fontId="19" fillId="2" borderId="1" xfId="1" applyFont="1" applyFill="1" applyBorder="1" applyAlignment="1">
      <alignment horizontal="right" vertical="center"/>
    </xf>
    <xf numFmtId="41" fontId="19" fillId="2" borderId="2" xfId="1" applyFont="1" applyFill="1" applyBorder="1" applyAlignment="1">
      <alignment horizontal="right" vertical="center"/>
    </xf>
    <xf numFmtId="41" fontId="19" fillId="2" borderId="3" xfId="1" applyFont="1" applyFill="1" applyBorder="1" applyAlignment="1">
      <alignment horizontal="right" vertical="center"/>
    </xf>
    <xf numFmtId="17" fontId="16" fillId="0" borderId="1" xfId="1" applyNumberFormat="1" applyFont="1" applyBorder="1" applyAlignment="1">
      <alignment horizontal="center" vertical="center"/>
    </xf>
    <xf numFmtId="17" fontId="16" fillId="0" borderId="2" xfId="1" applyNumberFormat="1" applyFont="1" applyBorder="1" applyAlignment="1">
      <alignment horizontal="center" vertical="center"/>
    </xf>
    <xf numFmtId="17" fontId="16" fillId="0" borderId="3" xfId="1" applyNumberFormat="1" applyFont="1" applyBorder="1" applyAlignment="1">
      <alignment horizontal="center" vertical="center"/>
    </xf>
    <xf numFmtId="164" fontId="17" fillId="3" borderId="4" xfId="1" applyNumberFormat="1" applyFont="1" applyFill="1" applyBorder="1" applyAlignment="1">
      <alignment horizontal="center" vertical="center"/>
    </xf>
    <xf numFmtId="0" fontId="16" fillId="0" borderId="2" xfId="1" applyNumberFormat="1" applyFont="1" applyBorder="1" applyAlignment="1">
      <alignment horizontal="center" vertical="center"/>
    </xf>
    <xf numFmtId="0" fontId="16" fillId="0" borderId="3" xfId="1" applyNumberFormat="1" applyFont="1" applyBorder="1" applyAlignment="1">
      <alignment horizontal="center" vertical="center"/>
    </xf>
    <xf numFmtId="0" fontId="16" fillId="0" borderId="4" xfId="1" applyNumberFormat="1" applyFont="1" applyBorder="1" applyAlignment="1">
      <alignment horizontal="center" vertical="center"/>
    </xf>
    <xf numFmtId="0" fontId="16" fillId="0" borderId="1" xfId="1" applyNumberFormat="1" applyFont="1" applyBorder="1" applyAlignment="1">
      <alignment horizontal="center" vertical="center"/>
    </xf>
    <xf numFmtId="0" fontId="14" fillId="0" borderId="7" xfId="1" applyNumberFormat="1" applyFont="1" applyBorder="1" applyAlignment="1">
      <alignment horizontal="center" vertical="center"/>
    </xf>
    <xf numFmtId="0" fontId="14" fillId="0" borderId="8" xfId="1" applyNumberFormat="1" applyFont="1" applyBorder="1" applyAlignment="1">
      <alignment horizontal="center" vertical="center"/>
    </xf>
    <xf numFmtId="41" fontId="14" fillId="0" borderId="7" xfId="1" applyFont="1" applyBorder="1" applyAlignment="1">
      <alignment horizontal="center" vertical="center" wrapText="1"/>
    </xf>
    <xf numFmtId="41" fontId="14" fillId="0" borderId="8" xfId="1" applyFont="1" applyBorder="1" applyAlignment="1">
      <alignment horizontal="center" vertical="center" wrapText="1"/>
    </xf>
    <xf numFmtId="164" fontId="16" fillId="0" borderId="4" xfId="1" applyNumberFormat="1" applyFont="1" applyBorder="1" applyAlignment="1">
      <alignment horizontal="center" vertical="center"/>
    </xf>
    <xf numFmtId="164" fontId="16" fillId="0" borderId="1" xfId="1" applyNumberFormat="1" applyFont="1" applyBorder="1" applyAlignment="1">
      <alignment horizontal="center" vertical="center"/>
    </xf>
    <xf numFmtId="164" fontId="16" fillId="0" borderId="2" xfId="1" applyNumberFormat="1" applyFont="1" applyBorder="1" applyAlignment="1">
      <alignment horizontal="center" vertical="center"/>
    </xf>
    <xf numFmtId="164" fontId="16" fillId="0" borderId="3" xfId="1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HAYATI\AppData\Local\Microsoft\Windows\Temporary%20Internet%20Files\Content.Outlook\36HKGUC1\RENNY%20RAFIKA%20HAPSARI\MOBIL%20S%20A%20M%20I\2019\BBM%20MANAGEMENT%20LOKA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I"/>
      <sheetName val="FEBRUARI"/>
      <sheetName val="MARET"/>
      <sheetName val="Sheet1"/>
      <sheetName val="Sheet2"/>
    </sheetNames>
    <sheetDataSet>
      <sheetData sheetId="0" refreshError="1">
        <row r="28">
          <cell r="E28">
            <v>373854</v>
          </cell>
          <cell r="S28">
            <v>333294</v>
          </cell>
        </row>
        <row r="29">
          <cell r="E29">
            <v>0</v>
          </cell>
          <cell r="S29">
            <v>0</v>
          </cell>
        </row>
        <row r="30">
          <cell r="E30">
            <v>0</v>
          </cell>
          <cell r="S30">
            <v>0</v>
          </cell>
        </row>
        <row r="58">
          <cell r="E58">
            <v>250000</v>
          </cell>
          <cell r="S58">
            <v>347732</v>
          </cell>
        </row>
        <row r="59">
          <cell r="E59">
            <v>10000</v>
          </cell>
          <cell r="S59">
            <v>0</v>
          </cell>
        </row>
        <row r="60">
          <cell r="E60">
            <v>0</v>
          </cell>
          <cell r="S60">
            <v>0</v>
          </cell>
        </row>
        <row r="88">
          <cell r="E88">
            <v>0</v>
          </cell>
        </row>
        <row r="89">
          <cell r="E89">
            <v>0</v>
          </cell>
        </row>
        <row r="90">
          <cell r="E90">
            <v>0</v>
          </cell>
        </row>
        <row r="123">
          <cell r="E123">
            <v>582278</v>
          </cell>
          <cell r="S123">
            <v>170000</v>
          </cell>
        </row>
        <row r="124">
          <cell r="E124">
            <v>10000</v>
          </cell>
          <cell r="S124">
            <v>0</v>
          </cell>
        </row>
        <row r="125">
          <cell r="E125">
            <v>0</v>
          </cell>
          <cell r="S125">
            <v>0</v>
          </cell>
        </row>
        <row r="153">
          <cell r="E153">
            <v>250000</v>
          </cell>
          <cell r="S153">
            <v>250000</v>
          </cell>
        </row>
        <row r="154">
          <cell r="E154">
            <v>45000</v>
          </cell>
          <cell r="S154">
            <v>0</v>
          </cell>
        </row>
        <row r="155">
          <cell r="E155">
            <v>0</v>
          </cell>
          <cell r="S155">
            <v>0</v>
          </cell>
        </row>
        <row r="183">
          <cell r="E183">
            <v>0</v>
          </cell>
        </row>
        <row r="184">
          <cell r="E184">
            <v>0</v>
          </cell>
        </row>
        <row r="185">
          <cell r="E185">
            <v>0</v>
          </cell>
        </row>
        <row r="218">
          <cell r="E218">
            <v>400000</v>
          </cell>
          <cell r="S218">
            <v>250000</v>
          </cell>
        </row>
        <row r="219">
          <cell r="E219">
            <v>0</v>
          </cell>
          <cell r="S219">
            <v>0</v>
          </cell>
        </row>
        <row r="220">
          <cell r="E220">
            <v>3000</v>
          </cell>
          <cell r="S220">
            <v>0</v>
          </cell>
        </row>
        <row r="254">
          <cell r="E254">
            <v>450000</v>
          </cell>
          <cell r="S254">
            <v>261000</v>
          </cell>
        </row>
        <row r="255">
          <cell r="E255">
            <v>50000</v>
          </cell>
          <cell r="S255">
            <v>0</v>
          </cell>
        </row>
        <row r="256">
          <cell r="E256">
            <v>0</v>
          </cell>
          <cell r="S256">
            <v>0</v>
          </cell>
        </row>
        <row r="284">
          <cell r="E284">
            <v>0</v>
          </cell>
        </row>
        <row r="285">
          <cell r="E285">
            <v>0</v>
          </cell>
        </row>
        <row r="286">
          <cell r="E286">
            <v>0</v>
          </cell>
        </row>
        <row r="319">
          <cell r="E319">
            <v>548400</v>
          </cell>
          <cell r="S319">
            <v>250000</v>
          </cell>
        </row>
        <row r="320">
          <cell r="E320">
            <v>10000</v>
          </cell>
          <cell r="S320">
            <v>0</v>
          </cell>
        </row>
        <row r="321">
          <cell r="E321">
            <v>45000</v>
          </cell>
          <cell r="S321">
            <v>10000</v>
          </cell>
        </row>
        <row r="349">
          <cell r="E349">
            <v>0</v>
          </cell>
          <cell r="S349">
            <v>272300</v>
          </cell>
        </row>
        <row r="350">
          <cell r="E350">
            <v>0</v>
          </cell>
          <cell r="S350">
            <v>0</v>
          </cell>
        </row>
        <row r="351">
          <cell r="E351">
            <v>0</v>
          </cell>
          <cell r="S351">
            <v>45000</v>
          </cell>
        </row>
        <row r="379">
          <cell r="E379">
            <v>200000</v>
          </cell>
        </row>
        <row r="380">
          <cell r="E380">
            <v>0</v>
          </cell>
        </row>
        <row r="381">
          <cell r="E381">
            <v>80000</v>
          </cell>
        </row>
        <row r="414">
          <cell r="E414">
            <v>300000</v>
          </cell>
          <cell r="S414">
            <v>288329</v>
          </cell>
        </row>
        <row r="415">
          <cell r="E415">
            <v>0</v>
          </cell>
          <cell r="S415">
            <v>0</v>
          </cell>
        </row>
        <row r="416">
          <cell r="E416">
            <v>0</v>
          </cell>
          <cell r="S416">
            <v>0</v>
          </cell>
        </row>
        <row r="444">
          <cell r="E444">
            <v>0</v>
          </cell>
          <cell r="S444">
            <v>310375</v>
          </cell>
        </row>
        <row r="445">
          <cell r="E445">
            <v>0</v>
          </cell>
          <cell r="S445">
            <v>0</v>
          </cell>
        </row>
        <row r="446">
          <cell r="E446">
            <v>0</v>
          </cell>
          <cell r="S446">
            <v>0</v>
          </cell>
        </row>
        <row r="474">
          <cell r="E474">
            <v>0</v>
          </cell>
        </row>
        <row r="475">
          <cell r="E475">
            <v>0</v>
          </cell>
        </row>
        <row r="476">
          <cell r="E476">
            <v>0</v>
          </cell>
        </row>
      </sheetData>
      <sheetData sheetId="1" refreshError="1">
        <row r="28">
          <cell r="E28">
            <v>300000</v>
          </cell>
          <cell r="S28">
            <v>0</v>
          </cell>
        </row>
        <row r="29">
          <cell r="E29">
            <v>0</v>
          </cell>
          <cell r="S29">
            <v>0</v>
          </cell>
        </row>
        <row r="30">
          <cell r="E30">
            <v>0</v>
          </cell>
          <cell r="S30">
            <v>0</v>
          </cell>
        </row>
        <row r="58">
          <cell r="E58">
            <v>450000</v>
          </cell>
          <cell r="S58">
            <v>275171</v>
          </cell>
        </row>
        <row r="59">
          <cell r="E59">
            <v>45000</v>
          </cell>
          <cell r="S59">
            <v>0</v>
          </cell>
        </row>
        <row r="60">
          <cell r="E60">
            <v>0</v>
          </cell>
          <cell r="S60">
            <v>0</v>
          </cell>
        </row>
        <row r="88">
          <cell r="E88">
            <v>0</v>
          </cell>
        </row>
        <row r="89">
          <cell r="E89">
            <v>0</v>
          </cell>
        </row>
        <row r="90">
          <cell r="E90">
            <v>0</v>
          </cell>
        </row>
        <row r="123">
          <cell r="E123">
            <v>467521</v>
          </cell>
          <cell r="S123">
            <v>400000</v>
          </cell>
        </row>
        <row r="124">
          <cell r="E124">
            <v>0</v>
          </cell>
          <cell r="S124">
            <v>0</v>
          </cell>
        </row>
        <row r="125">
          <cell r="E125">
            <v>0</v>
          </cell>
          <cell r="S125">
            <v>0</v>
          </cell>
        </row>
        <row r="153">
          <cell r="E153">
            <v>50000</v>
          </cell>
          <cell r="S153">
            <v>350017</v>
          </cell>
        </row>
        <row r="154">
          <cell r="E154">
            <v>30000</v>
          </cell>
          <cell r="S154">
            <v>0</v>
          </cell>
        </row>
        <row r="155">
          <cell r="E155">
            <v>0</v>
          </cell>
          <cell r="S155">
            <v>0</v>
          </cell>
        </row>
        <row r="183">
          <cell r="E183">
            <v>0</v>
          </cell>
        </row>
        <row r="184">
          <cell r="E184">
            <v>0</v>
          </cell>
        </row>
        <row r="185">
          <cell r="E185">
            <v>0</v>
          </cell>
        </row>
        <row r="217">
          <cell r="E217">
            <v>400000</v>
          </cell>
          <cell r="S217">
            <v>200000</v>
          </cell>
        </row>
        <row r="218">
          <cell r="E218">
            <v>0</v>
          </cell>
          <cell r="S218">
            <v>0</v>
          </cell>
        </row>
        <row r="219">
          <cell r="E219">
            <v>0</v>
          </cell>
          <cell r="S219">
            <v>0</v>
          </cell>
        </row>
        <row r="247">
          <cell r="E247">
            <v>250000</v>
          </cell>
          <cell r="S247">
            <v>276000</v>
          </cell>
        </row>
        <row r="248">
          <cell r="E248">
            <v>5000</v>
          </cell>
          <cell r="S248">
            <v>0</v>
          </cell>
        </row>
        <row r="249">
          <cell r="E249">
            <v>0</v>
          </cell>
          <cell r="S249">
            <v>0</v>
          </cell>
        </row>
        <row r="277">
          <cell r="E277">
            <v>0</v>
          </cell>
        </row>
        <row r="278">
          <cell r="E278">
            <v>0</v>
          </cell>
        </row>
        <row r="279">
          <cell r="E279">
            <v>0</v>
          </cell>
        </row>
        <row r="313">
          <cell r="E313">
            <v>500000</v>
          </cell>
          <cell r="S313">
            <v>400000</v>
          </cell>
        </row>
        <row r="314">
          <cell r="E314">
            <v>0</v>
          </cell>
          <cell r="S314">
            <v>0</v>
          </cell>
        </row>
        <row r="315">
          <cell r="E315">
            <v>0</v>
          </cell>
          <cell r="S315">
            <v>0</v>
          </cell>
        </row>
        <row r="343">
          <cell r="E343">
            <v>283586</v>
          </cell>
          <cell r="S343">
            <v>251300</v>
          </cell>
        </row>
        <row r="344">
          <cell r="E344">
            <v>45000</v>
          </cell>
          <cell r="S344">
            <v>0</v>
          </cell>
        </row>
        <row r="345">
          <cell r="E345">
            <v>0</v>
          </cell>
          <cell r="S345">
            <v>0</v>
          </cell>
        </row>
        <row r="373">
          <cell r="E373">
            <v>100000</v>
          </cell>
        </row>
        <row r="374">
          <cell r="E374">
            <v>0</v>
          </cell>
        </row>
        <row r="375">
          <cell r="E375">
            <v>0</v>
          </cell>
        </row>
      </sheetData>
      <sheetData sheetId="2" refreshError="1">
        <row r="28">
          <cell r="E28">
            <v>193622</v>
          </cell>
          <cell r="S28">
            <v>200000</v>
          </cell>
        </row>
        <row r="29">
          <cell r="E29">
            <v>0</v>
          </cell>
          <cell r="S29">
            <v>0</v>
          </cell>
        </row>
        <row r="30">
          <cell r="E30">
            <v>0</v>
          </cell>
          <cell r="S30">
            <v>0</v>
          </cell>
        </row>
        <row r="59">
          <cell r="E59">
            <v>100000</v>
          </cell>
          <cell r="S59">
            <v>248625</v>
          </cell>
        </row>
        <row r="60">
          <cell r="E60">
            <v>179500</v>
          </cell>
          <cell r="S60">
            <v>0</v>
          </cell>
        </row>
        <row r="61">
          <cell r="E61">
            <v>0</v>
          </cell>
          <cell r="S61">
            <v>0</v>
          </cell>
        </row>
        <row r="89">
          <cell r="E89">
            <v>0</v>
          </cell>
        </row>
        <row r="90">
          <cell r="E90">
            <v>0</v>
          </cell>
        </row>
        <row r="91">
          <cell r="E91">
            <v>0</v>
          </cell>
        </row>
        <row r="124">
          <cell r="E124">
            <v>500000</v>
          </cell>
          <cell r="S124">
            <v>150000</v>
          </cell>
        </row>
        <row r="125">
          <cell r="E125">
            <v>0</v>
          </cell>
          <cell r="S125">
            <v>0</v>
          </cell>
        </row>
        <row r="126">
          <cell r="E126">
            <v>0</v>
          </cell>
          <cell r="S126">
            <v>0</v>
          </cell>
        </row>
        <row r="154">
          <cell r="E154">
            <v>200000</v>
          </cell>
          <cell r="S154">
            <v>449696</v>
          </cell>
        </row>
        <row r="155">
          <cell r="E155">
            <v>85000</v>
          </cell>
          <cell r="S155">
            <v>0</v>
          </cell>
        </row>
        <row r="156">
          <cell r="E156">
            <v>0</v>
          </cell>
          <cell r="S156">
            <v>0</v>
          </cell>
        </row>
        <row r="184">
          <cell r="E184">
            <v>0</v>
          </cell>
        </row>
        <row r="185">
          <cell r="E185">
            <v>0</v>
          </cell>
        </row>
        <row r="186">
          <cell r="E186">
            <v>0</v>
          </cell>
        </row>
        <row r="219">
          <cell r="E219">
            <v>0</v>
          </cell>
          <cell r="S219">
            <v>0</v>
          </cell>
        </row>
        <row r="220">
          <cell r="E220">
            <v>0</v>
          </cell>
          <cell r="S220">
            <v>0</v>
          </cell>
        </row>
        <row r="249">
          <cell r="S249">
            <v>0</v>
          </cell>
        </row>
        <row r="250">
          <cell r="E250">
            <v>0</v>
          </cell>
          <cell r="S250">
            <v>0</v>
          </cell>
        </row>
        <row r="278">
          <cell r="E278">
            <v>0</v>
          </cell>
        </row>
        <row r="279">
          <cell r="E279">
            <v>0</v>
          </cell>
        </row>
        <row r="280">
          <cell r="E280">
            <v>0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315"/>
  <sheetViews>
    <sheetView tabSelected="1" zoomScaleNormal="100" workbookViewId="0">
      <selection activeCell="AB9" sqref="AB9"/>
    </sheetView>
  </sheetViews>
  <sheetFormatPr defaultRowHeight="12.75"/>
  <cols>
    <col min="1" max="1" width="1.7109375" style="1" customWidth="1"/>
    <col min="2" max="2" width="5.7109375" style="1" customWidth="1"/>
    <col min="3" max="3" width="18.7109375" style="2" customWidth="1"/>
    <col min="4" max="4" width="17" style="1" customWidth="1"/>
    <col min="5" max="17" width="12.7109375" style="3" hidden="1" customWidth="1"/>
    <col min="18" max="30" width="12.7109375" style="3" customWidth="1"/>
    <col min="31" max="31" width="13.5703125" style="3" customWidth="1"/>
    <col min="32" max="32" width="12.5703125" style="3" customWidth="1"/>
    <col min="33" max="33" width="11.85546875" style="3" customWidth="1"/>
    <col min="34" max="34" width="11.140625" style="3" customWidth="1"/>
    <col min="35" max="35" width="11.140625" style="1" customWidth="1"/>
    <col min="36" max="36" width="11.7109375" style="1" customWidth="1"/>
    <col min="37" max="37" width="12.140625" style="1" customWidth="1"/>
    <col min="38" max="38" width="11.85546875" style="1" customWidth="1"/>
    <col min="39" max="39" width="12.42578125" style="1" customWidth="1"/>
    <col min="40" max="40" width="11.85546875" style="1" customWidth="1"/>
    <col min="41" max="41" width="12.28515625" style="1" customWidth="1"/>
    <col min="42" max="42" width="12.42578125" style="1" customWidth="1"/>
    <col min="43" max="43" width="12.85546875" style="1" customWidth="1"/>
    <col min="44" max="44" width="12.140625" style="1" customWidth="1"/>
    <col min="45" max="45" width="11.85546875" style="1" customWidth="1"/>
    <col min="46" max="46" width="12.28515625" style="1" customWidth="1"/>
    <col min="47" max="47" width="12.42578125" style="1" customWidth="1"/>
    <col min="48" max="48" width="12.85546875" style="1" customWidth="1"/>
    <col min="49" max="49" width="11.85546875" style="1" customWidth="1"/>
    <col min="50" max="50" width="12.28515625" style="1" customWidth="1"/>
    <col min="51" max="51" width="12.42578125" style="1" customWidth="1"/>
    <col min="52" max="52" width="12.85546875" style="1" customWidth="1"/>
    <col min="53" max="53" width="11.85546875" style="1" customWidth="1"/>
    <col min="54" max="54" width="12.28515625" style="1" customWidth="1"/>
    <col min="55" max="55" width="12.42578125" style="1" customWidth="1"/>
    <col min="56" max="56" width="12.85546875" style="1" customWidth="1"/>
    <col min="57" max="16384" width="9.140625" style="1"/>
  </cols>
  <sheetData>
    <row r="1" spans="1:56" ht="9.9499999999999993" customHeight="1">
      <c r="V1" s="3" t="s">
        <v>158</v>
      </c>
    </row>
    <row r="2" spans="1:56" s="4" customFormat="1" ht="39.950000000000003" customHeight="1">
      <c r="B2" s="4" t="s">
        <v>0</v>
      </c>
      <c r="C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56" ht="24.75" customHeight="1">
      <c r="B3" s="63" t="s">
        <v>33</v>
      </c>
      <c r="C3" s="64"/>
      <c r="D3" s="65"/>
      <c r="E3" s="66">
        <v>44763</v>
      </c>
      <c r="F3" s="67"/>
      <c r="G3" s="67"/>
      <c r="H3" s="67"/>
      <c r="I3" s="68"/>
      <c r="J3" s="66">
        <v>44794</v>
      </c>
      <c r="K3" s="67"/>
      <c r="L3" s="67"/>
      <c r="M3" s="68"/>
      <c r="N3" s="66">
        <v>44825</v>
      </c>
      <c r="O3" s="67"/>
      <c r="P3" s="67"/>
      <c r="Q3" s="68"/>
      <c r="R3" s="66">
        <v>44855</v>
      </c>
      <c r="S3" s="67"/>
      <c r="T3" s="67"/>
      <c r="U3" s="67"/>
      <c r="V3" s="68"/>
      <c r="W3" s="66">
        <v>44886</v>
      </c>
      <c r="X3" s="67"/>
      <c r="Y3" s="67"/>
      <c r="Z3" s="67"/>
      <c r="AA3" s="54">
        <v>44916</v>
      </c>
      <c r="AB3" s="54"/>
      <c r="AC3" s="54"/>
      <c r="AD3" s="54"/>
      <c r="AE3" s="54"/>
      <c r="AF3" s="54">
        <v>44562</v>
      </c>
      <c r="AG3" s="54"/>
      <c r="AH3" s="54"/>
      <c r="AI3" s="54"/>
      <c r="AJ3" s="54">
        <v>44593</v>
      </c>
      <c r="AK3" s="54"/>
      <c r="AL3" s="54"/>
      <c r="AM3" s="54"/>
      <c r="AN3" s="54">
        <v>44621</v>
      </c>
      <c r="AO3" s="54"/>
      <c r="AP3" s="54"/>
      <c r="AQ3" s="54"/>
      <c r="AR3" s="54"/>
      <c r="AS3" s="54">
        <v>44652</v>
      </c>
      <c r="AT3" s="54"/>
      <c r="AU3" s="54"/>
      <c r="AV3" s="54"/>
      <c r="AW3" s="54">
        <v>44682</v>
      </c>
      <c r="AX3" s="54"/>
      <c r="AY3" s="54"/>
      <c r="AZ3" s="54"/>
      <c r="BA3" s="54">
        <v>44713</v>
      </c>
      <c r="BB3" s="54"/>
      <c r="BC3" s="54"/>
      <c r="BD3" s="54"/>
    </row>
    <row r="4" spans="1:56" s="13" customFormat="1" ht="24.95" customHeight="1" thickBot="1">
      <c r="B4" s="7" t="s">
        <v>5</v>
      </c>
      <c r="C4" s="8" t="s">
        <v>6</v>
      </c>
      <c r="D4" s="9" t="s">
        <v>7</v>
      </c>
      <c r="E4" s="10" t="s">
        <v>198</v>
      </c>
      <c r="F4" s="10" t="s">
        <v>199</v>
      </c>
      <c r="G4" s="10" t="s">
        <v>200</v>
      </c>
      <c r="H4" s="10" t="s">
        <v>201</v>
      </c>
      <c r="I4" s="10" t="s">
        <v>202</v>
      </c>
      <c r="J4" s="10" t="s">
        <v>203</v>
      </c>
      <c r="K4" s="10" t="s">
        <v>204</v>
      </c>
      <c r="L4" s="10" t="s">
        <v>205</v>
      </c>
      <c r="M4" s="10" t="s">
        <v>206</v>
      </c>
      <c r="N4" s="10" t="s">
        <v>207</v>
      </c>
      <c r="O4" s="10" t="s">
        <v>208</v>
      </c>
      <c r="P4" s="10" t="s">
        <v>209</v>
      </c>
      <c r="Q4" s="10" t="s">
        <v>210</v>
      </c>
      <c r="R4" s="10" t="s">
        <v>211</v>
      </c>
      <c r="S4" s="10" t="s">
        <v>212</v>
      </c>
      <c r="T4" s="10" t="s">
        <v>213</v>
      </c>
      <c r="U4" s="10" t="s">
        <v>214</v>
      </c>
      <c r="V4" s="10" t="s">
        <v>215</v>
      </c>
      <c r="W4" s="10" t="s">
        <v>216</v>
      </c>
      <c r="X4" s="10" t="s">
        <v>217</v>
      </c>
      <c r="Y4" s="10" t="s">
        <v>218</v>
      </c>
      <c r="Z4" s="40" t="s">
        <v>219</v>
      </c>
      <c r="AA4" s="53" t="s">
        <v>220</v>
      </c>
      <c r="AB4" s="53" t="s">
        <v>221</v>
      </c>
      <c r="AC4" s="53" t="s">
        <v>222</v>
      </c>
      <c r="AD4" s="53" t="s">
        <v>223</v>
      </c>
      <c r="AE4" s="43"/>
      <c r="AF4" s="44"/>
      <c r="AG4" s="45"/>
      <c r="AH4" s="45"/>
      <c r="AI4" s="45"/>
      <c r="AJ4" s="46"/>
      <c r="AK4" s="47"/>
      <c r="AL4" s="47"/>
      <c r="AM4" s="48"/>
      <c r="AN4" s="49"/>
      <c r="AO4" s="49"/>
      <c r="AP4" s="49"/>
      <c r="AQ4" s="49"/>
      <c r="AR4" s="49"/>
      <c r="AS4" s="50"/>
      <c r="AT4" s="50"/>
      <c r="AU4" s="50"/>
      <c r="AV4" s="50"/>
      <c r="AW4" s="51"/>
      <c r="AX4" s="51"/>
      <c r="AY4" s="51"/>
      <c r="AZ4" s="51"/>
      <c r="BA4" s="52"/>
      <c r="BB4" s="52"/>
      <c r="BC4" s="52"/>
      <c r="BD4" s="52"/>
    </row>
    <row r="5" spans="1:56" s="3" customFormat="1" ht="23.1" customHeight="1" thickTop="1">
      <c r="A5" s="1"/>
      <c r="B5" s="55">
        <v>1</v>
      </c>
      <c r="C5" s="59" t="s">
        <v>32</v>
      </c>
      <c r="D5" s="20" t="s">
        <v>25</v>
      </c>
      <c r="E5" s="21">
        <v>300000</v>
      </c>
      <c r="F5" s="21"/>
      <c r="G5" s="21">
        <v>300000</v>
      </c>
      <c r="H5" s="21">
        <v>300000</v>
      </c>
      <c r="I5" s="21"/>
      <c r="J5" s="21">
        <v>300000</v>
      </c>
      <c r="K5" s="21"/>
      <c r="L5" s="21">
        <v>300000</v>
      </c>
      <c r="M5" s="21">
        <v>300000</v>
      </c>
      <c r="N5" s="21">
        <v>300000</v>
      </c>
      <c r="O5" s="21"/>
      <c r="P5" s="21">
        <v>300000</v>
      </c>
      <c r="Q5" s="21">
        <v>300000</v>
      </c>
      <c r="R5" s="21">
        <v>300000</v>
      </c>
      <c r="S5" s="21"/>
      <c r="T5" s="21">
        <v>300000</v>
      </c>
      <c r="U5" s="21">
        <v>300000</v>
      </c>
      <c r="V5" s="21"/>
      <c r="W5" s="21">
        <v>300000</v>
      </c>
      <c r="X5" s="21">
        <v>300000</v>
      </c>
      <c r="Y5" s="21">
        <v>300000</v>
      </c>
      <c r="Z5" s="21">
        <v>300000</v>
      </c>
      <c r="AA5" s="21">
        <v>300000</v>
      </c>
      <c r="AB5" s="21">
        <v>300000</v>
      </c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</row>
    <row r="6" spans="1:56" s="3" customFormat="1" ht="23.1" customHeight="1">
      <c r="A6" s="1"/>
      <c r="B6" s="56"/>
      <c r="C6" s="60"/>
      <c r="D6" s="14" t="s">
        <v>26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</row>
    <row r="7" spans="1:56" s="27" customFormat="1" ht="23.1" customHeight="1">
      <c r="B7" s="57"/>
      <c r="C7" s="61"/>
      <c r="D7" s="36" t="s">
        <v>52</v>
      </c>
      <c r="E7" s="37">
        <v>55319</v>
      </c>
      <c r="F7" s="37"/>
      <c r="G7" s="37">
        <v>56325</v>
      </c>
      <c r="H7" s="37">
        <v>56734</v>
      </c>
      <c r="I7" s="37"/>
      <c r="J7" s="37">
        <v>90</v>
      </c>
      <c r="K7" s="37"/>
      <c r="L7" s="37">
        <v>1278</v>
      </c>
      <c r="M7" s="37">
        <v>1678</v>
      </c>
      <c r="N7" s="37">
        <v>2416</v>
      </c>
      <c r="O7" s="37"/>
      <c r="P7" s="37">
        <v>2825</v>
      </c>
      <c r="Q7" s="37">
        <v>3146</v>
      </c>
      <c r="R7" s="37">
        <v>3460</v>
      </c>
      <c r="S7" s="37"/>
      <c r="T7" s="37">
        <v>4257</v>
      </c>
      <c r="U7" s="37">
        <v>4653</v>
      </c>
      <c r="V7" s="37"/>
      <c r="W7" s="37">
        <v>5037</v>
      </c>
      <c r="X7" s="37">
        <v>5337</v>
      </c>
      <c r="Y7" s="37">
        <v>5660</v>
      </c>
      <c r="Z7" s="37">
        <v>6014</v>
      </c>
      <c r="AA7" s="37">
        <v>6352</v>
      </c>
      <c r="AB7" s="37">
        <v>6659</v>
      </c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</row>
    <row r="8" spans="1:56" s="27" customFormat="1" ht="23.1" customHeight="1" thickBot="1">
      <c r="B8" s="58"/>
      <c r="C8" s="62"/>
      <c r="D8" s="33" t="s">
        <v>53</v>
      </c>
      <c r="E8" s="34">
        <f>E7-'TERM 81'!BB7</f>
        <v>1469</v>
      </c>
      <c r="F8" s="34"/>
      <c r="G8" s="34">
        <f>G7-E7</f>
        <v>1006</v>
      </c>
      <c r="H8" s="34">
        <f>H7-G7</f>
        <v>409</v>
      </c>
      <c r="I8" s="34"/>
      <c r="J8" s="34">
        <v>0</v>
      </c>
      <c r="K8" s="34"/>
      <c r="L8" s="34">
        <f>L7-J7</f>
        <v>1188</v>
      </c>
      <c r="M8" s="34">
        <f>M7-L7</f>
        <v>400</v>
      </c>
      <c r="N8" s="34">
        <f>N7-M7</f>
        <v>738</v>
      </c>
      <c r="O8" s="34"/>
      <c r="P8" s="34">
        <f>P7-N7</f>
        <v>409</v>
      </c>
      <c r="Q8" s="34">
        <f>Q7-P7</f>
        <v>321</v>
      </c>
      <c r="R8" s="34">
        <f>R7-Q7</f>
        <v>314</v>
      </c>
      <c r="S8" s="34"/>
      <c r="T8" s="34">
        <f>T7-R7</f>
        <v>797</v>
      </c>
      <c r="U8" s="34">
        <f>U7-T7</f>
        <v>396</v>
      </c>
      <c r="V8" s="34"/>
      <c r="W8" s="34">
        <f>W7-U7</f>
        <v>384</v>
      </c>
      <c r="X8" s="34">
        <f>X7-W7</f>
        <v>300</v>
      </c>
      <c r="Y8" s="34">
        <f>Y7-X7</f>
        <v>323</v>
      </c>
      <c r="Z8" s="34">
        <f>Z7-Y7</f>
        <v>354</v>
      </c>
      <c r="AA8" s="42">
        <f>AA7-Z7</f>
        <v>338</v>
      </c>
      <c r="AB8" s="42">
        <f>AB7-AA7</f>
        <v>307</v>
      </c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</row>
    <row r="9" spans="1:56" s="27" customFormat="1" ht="23.1" customHeight="1" thickTop="1">
      <c r="B9" s="22"/>
      <c r="C9" s="23"/>
      <c r="D9" s="29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 t="s">
        <v>158</v>
      </c>
      <c r="Z9" s="30"/>
    </row>
    <row r="10" spans="1:56" s="3" customFormat="1" ht="23.1" customHeight="1">
      <c r="A10" s="1"/>
      <c r="B10" s="22"/>
      <c r="C10" s="23"/>
      <c r="D10" s="24"/>
      <c r="E10" s="25"/>
      <c r="F10" s="25"/>
      <c r="G10" s="25" t="s">
        <v>158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56" s="3" customFormat="1" ht="23.1" customHeight="1">
      <c r="A11" s="1"/>
      <c r="B11" s="22"/>
      <c r="C11" s="23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56" s="3" customFormat="1" ht="23.1" customHeight="1">
      <c r="A12" s="1"/>
      <c r="B12" s="1"/>
      <c r="C12" s="2"/>
      <c r="D12" s="1"/>
    </row>
    <row r="13" spans="1:56" s="3" customFormat="1" ht="23.1" customHeight="1">
      <c r="A13" s="1"/>
      <c r="B13" s="1"/>
      <c r="C13" s="2"/>
      <c r="D13" s="1"/>
    </row>
    <row r="14" spans="1:56" s="3" customFormat="1" ht="23.1" customHeight="1">
      <c r="A14" s="1"/>
      <c r="B14" s="1"/>
      <c r="C14" s="2"/>
      <c r="D14" s="1"/>
    </row>
    <row r="15" spans="1:56" s="3" customFormat="1" ht="23.1" customHeight="1">
      <c r="A15" s="1"/>
      <c r="B15" s="1"/>
      <c r="C15" s="2"/>
      <c r="D15" s="1"/>
    </row>
    <row r="16" spans="1:56" s="3" customFormat="1" ht="23.1" customHeight="1">
      <c r="A16" s="1"/>
      <c r="B16" s="1"/>
      <c r="C16" s="2"/>
      <c r="D16" s="1"/>
    </row>
    <row r="17" spans="1:4" s="3" customFormat="1" ht="23.1" customHeight="1">
      <c r="A17" s="1"/>
      <c r="B17" s="1"/>
      <c r="C17" s="2"/>
      <c r="D17" s="1"/>
    </row>
    <row r="18" spans="1:4" s="3" customFormat="1" ht="23.1" customHeight="1">
      <c r="A18" s="1"/>
      <c r="B18" s="1"/>
      <c r="C18" s="2"/>
      <c r="D18" s="1"/>
    </row>
    <row r="19" spans="1:4" s="3" customFormat="1" ht="23.1" customHeight="1">
      <c r="A19" s="1"/>
      <c r="B19" s="1"/>
      <c r="C19" s="2"/>
      <c r="D19" s="1"/>
    </row>
    <row r="20" spans="1:4" s="3" customFormat="1" ht="23.1" customHeight="1">
      <c r="A20" s="1"/>
      <c r="B20" s="1"/>
      <c r="C20" s="2"/>
      <c r="D20" s="1"/>
    </row>
    <row r="21" spans="1:4" s="3" customFormat="1" ht="23.1" customHeight="1">
      <c r="A21" s="1"/>
      <c r="B21" s="1"/>
      <c r="C21" s="2"/>
      <c r="D21" s="1"/>
    </row>
    <row r="22" spans="1:4" ht="23.1" customHeight="1"/>
    <row r="23" spans="1:4" ht="23.1" customHeight="1"/>
    <row r="24" spans="1:4" ht="23.1" customHeight="1"/>
    <row r="25" spans="1:4" ht="23.1" customHeight="1"/>
    <row r="26" spans="1:4" ht="23.1" customHeight="1"/>
    <row r="27" spans="1:4" ht="23.1" customHeight="1"/>
    <row r="28" spans="1:4" ht="23.1" customHeight="1"/>
    <row r="29" spans="1:4" ht="23.1" customHeight="1"/>
    <row r="30" spans="1:4" ht="23.1" customHeight="1"/>
    <row r="31" spans="1:4" ht="23.1" customHeight="1"/>
    <row r="32" spans="1:4" ht="23.1" customHeight="1"/>
    <row r="33" ht="23.1" customHeight="1"/>
    <row r="34" ht="23.1" customHeight="1"/>
    <row r="35" ht="23.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</sheetData>
  <mergeCells count="15">
    <mergeCell ref="BA3:BD3"/>
    <mergeCell ref="B5:B8"/>
    <mergeCell ref="C5:C8"/>
    <mergeCell ref="AA3:AE3"/>
    <mergeCell ref="AF3:AI3"/>
    <mergeCell ref="AJ3:AM3"/>
    <mergeCell ref="AN3:AR3"/>
    <mergeCell ref="AS3:AV3"/>
    <mergeCell ref="AW3:AZ3"/>
    <mergeCell ref="B3:D3"/>
    <mergeCell ref="E3:I3"/>
    <mergeCell ref="J3:M3"/>
    <mergeCell ref="N3:Q3"/>
    <mergeCell ref="R3:V3"/>
    <mergeCell ref="W3:Z3"/>
  </mergeCells>
  <pageMargins left="0.7" right="0.7" top="0.75" bottom="0.75" header="0.3" footer="0.3"/>
  <pageSetup paperSize="9" scale="5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315"/>
  <sheetViews>
    <sheetView zoomScaleNormal="100" workbookViewId="0">
      <selection activeCell="BC5" sqref="BC5"/>
    </sheetView>
  </sheetViews>
  <sheetFormatPr defaultRowHeight="12.75"/>
  <cols>
    <col min="1" max="1" width="1.7109375" style="1" customWidth="1"/>
    <col min="2" max="2" width="5.7109375" style="1" customWidth="1"/>
    <col min="3" max="3" width="18.7109375" style="2" customWidth="1"/>
    <col min="4" max="4" width="17" style="1" customWidth="1"/>
    <col min="5" max="30" width="12.7109375" style="3" hidden="1" customWidth="1"/>
    <col min="31" max="31" width="13.5703125" style="3" hidden="1" customWidth="1"/>
    <col min="32" max="32" width="12.5703125" style="3" hidden="1" customWidth="1"/>
    <col min="33" max="33" width="11.85546875" style="3" hidden="1" customWidth="1"/>
    <col min="34" max="34" width="11.140625" style="3" hidden="1" customWidth="1"/>
    <col min="35" max="35" width="11.140625" style="1" hidden="1" customWidth="1"/>
    <col min="36" max="36" width="11.7109375" style="1" hidden="1" customWidth="1"/>
    <col min="37" max="37" width="12.140625" style="1" hidden="1" customWidth="1"/>
    <col min="38" max="38" width="11.85546875" style="1" hidden="1" customWidth="1"/>
    <col min="39" max="39" width="12.42578125" style="1" hidden="1" customWidth="1"/>
    <col min="40" max="40" width="11.85546875" style="1" hidden="1" customWidth="1"/>
    <col min="41" max="41" width="12.28515625" style="1" hidden="1" customWidth="1"/>
    <col min="42" max="42" width="12.42578125" style="1" hidden="1" customWidth="1"/>
    <col min="43" max="43" width="12.85546875" style="1" hidden="1" customWidth="1"/>
    <col min="44" max="44" width="12.140625" style="1" hidden="1" customWidth="1"/>
    <col min="45" max="45" width="11.85546875" style="1" customWidth="1"/>
    <col min="46" max="46" width="12.28515625" style="1" customWidth="1"/>
    <col min="47" max="47" width="12.42578125" style="1" customWidth="1"/>
    <col min="48" max="48" width="12.85546875" style="1" customWidth="1"/>
    <col min="49" max="49" width="11.85546875" style="1" customWidth="1"/>
    <col min="50" max="50" width="12.28515625" style="1" customWidth="1"/>
    <col min="51" max="51" width="12.42578125" style="1" customWidth="1"/>
    <col min="52" max="52" width="12.85546875" style="1" customWidth="1"/>
    <col min="53" max="53" width="11.85546875" style="1" customWidth="1"/>
    <col min="54" max="54" width="12.28515625" style="1" customWidth="1"/>
    <col min="55" max="55" width="12.42578125" style="1" customWidth="1"/>
    <col min="56" max="56" width="12.85546875" style="1" customWidth="1"/>
    <col min="57" max="16384" width="9.140625" style="1"/>
  </cols>
  <sheetData>
    <row r="1" spans="1:56" ht="9.9499999999999993" customHeight="1">
      <c r="V1" s="3" t="s">
        <v>158</v>
      </c>
    </row>
    <row r="2" spans="1:56" s="4" customFormat="1" ht="39.950000000000003" customHeight="1">
      <c r="B2" s="4" t="s">
        <v>0</v>
      </c>
      <c r="C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56" ht="24.75" customHeight="1">
      <c r="B3" s="63" t="s">
        <v>33</v>
      </c>
      <c r="C3" s="64"/>
      <c r="D3" s="65"/>
      <c r="E3" s="66">
        <v>44398</v>
      </c>
      <c r="F3" s="67"/>
      <c r="G3" s="67"/>
      <c r="H3" s="67"/>
      <c r="I3" s="68"/>
      <c r="J3" s="66">
        <v>44429</v>
      </c>
      <c r="K3" s="67"/>
      <c r="L3" s="67"/>
      <c r="M3" s="68"/>
      <c r="N3" s="66">
        <v>44460</v>
      </c>
      <c r="O3" s="67"/>
      <c r="P3" s="67"/>
      <c r="Q3" s="68"/>
      <c r="R3" s="66">
        <v>44490</v>
      </c>
      <c r="S3" s="67"/>
      <c r="T3" s="67"/>
      <c r="U3" s="67"/>
      <c r="V3" s="68"/>
      <c r="W3" s="66">
        <v>44521</v>
      </c>
      <c r="X3" s="67"/>
      <c r="Y3" s="67"/>
      <c r="Z3" s="67"/>
      <c r="AA3" s="54">
        <v>44551</v>
      </c>
      <c r="AB3" s="54"/>
      <c r="AC3" s="54"/>
      <c r="AD3" s="54"/>
      <c r="AE3" s="54"/>
      <c r="AF3" s="54">
        <v>44562</v>
      </c>
      <c r="AG3" s="54"/>
      <c r="AH3" s="54"/>
      <c r="AI3" s="54"/>
      <c r="AJ3" s="54">
        <v>44593</v>
      </c>
      <c r="AK3" s="54"/>
      <c r="AL3" s="54"/>
      <c r="AM3" s="54"/>
      <c r="AN3" s="54">
        <v>44621</v>
      </c>
      <c r="AO3" s="54"/>
      <c r="AP3" s="54"/>
      <c r="AQ3" s="54"/>
      <c r="AR3" s="54"/>
      <c r="AS3" s="54">
        <v>44652</v>
      </c>
      <c r="AT3" s="54"/>
      <c r="AU3" s="54"/>
      <c r="AV3" s="54"/>
      <c r="AW3" s="54">
        <v>44682</v>
      </c>
      <c r="AX3" s="54"/>
      <c r="AY3" s="54"/>
      <c r="AZ3" s="54"/>
      <c r="BA3" s="54">
        <v>44713</v>
      </c>
      <c r="BB3" s="54"/>
      <c r="BC3" s="54"/>
      <c r="BD3" s="54"/>
    </row>
    <row r="4" spans="1:56" s="13" customFormat="1" ht="24.95" customHeight="1" thickBot="1">
      <c r="B4" s="7" t="s">
        <v>5</v>
      </c>
      <c r="C4" s="8" t="s">
        <v>6</v>
      </c>
      <c r="D4" s="9" t="s">
        <v>7</v>
      </c>
      <c r="E4" s="10" t="s">
        <v>149</v>
      </c>
      <c r="F4" s="10" t="s">
        <v>148</v>
      </c>
      <c r="G4" s="10" t="s">
        <v>150</v>
      </c>
      <c r="H4" s="10" t="s">
        <v>151</v>
      </c>
      <c r="I4" s="10" t="s">
        <v>152</v>
      </c>
      <c r="J4" s="10" t="s">
        <v>153</v>
      </c>
      <c r="K4" s="10" t="s">
        <v>65</v>
      </c>
      <c r="L4" s="10" t="s">
        <v>66</v>
      </c>
      <c r="M4" s="10" t="s">
        <v>67</v>
      </c>
      <c r="N4" s="10" t="s">
        <v>154</v>
      </c>
      <c r="O4" s="10" t="s">
        <v>155</v>
      </c>
      <c r="P4" s="10" t="s">
        <v>156</v>
      </c>
      <c r="Q4" s="10" t="s">
        <v>157</v>
      </c>
      <c r="R4" s="10" t="s">
        <v>159</v>
      </c>
      <c r="S4" s="10" t="s">
        <v>160</v>
      </c>
      <c r="T4" s="10" t="s">
        <v>161</v>
      </c>
      <c r="U4" s="10" t="s">
        <v>162</v>
      </c>
      <c r="V4" s="10" t="s">
        <v>163</v>
      </c>
      <c r="W4" s="10" t="s">
        <v>164</v>
      </c>
      <c r="X4" s="10" t="s">
        <v>165</v>
      </c>
      <c r="Y4" s="10" t="s">
        <v>166</v>
      </c>
      <c r="Z4" s="40" t="s">
        <v>167</v>
      </c>
      <c r="AA4" s="41" t="s">
        <v>168</v>
      </c>
      <c r="AB4" s="41" t="s">
        <v>169</v>
      </c>
      <c r="AC4" s="41" t="s">
        <v>170</v>
      </c>
      <c r="AD4" s="41" t="s">
        <v>171</v>
      </c>
      <c r="AE4" s="43" t="s">
        <v>172</v>
      </c>
      <c r="AF4" s="44" t="s">
        <v>173</v>
      </c>
      <c r="AG4" s="45" t="s">
        <v>174</v>
      </c>
      <c r="AH4" s="45" t="s">
        <v>175</v>
      </c>
      <c r="AI4" s="45" t="s">
        <v>176</v>
      </c>
      <c r="AJ4" s="46" t="s">
        <v>177</v>
      </c>
      <c r="AK4" s="47" t="s">
        <v>178</v>
      </c>
      <c r="AL4" s="47" t="s">
        <v>179</v>
      </c>
      <c r="AM4" s="48" t="s">
        <v>180</v>
      </c>
      <c r="AN4" s="49" t="s">
        <v>181</v>
      </c>
      <c r="AO4" s="49" t="s">
        <v>182</v>
      </c>
      <c r="AP4" s="49" t="s">
        <v>183</v>
      </c>
      <c r="AQ4" s="49" t="s">
        <v>184</v>
      </c>
      <c r="AR4" s="49" t="s">
        <v>185</v>
      </c>
      <c r="AS4" s="50" t="s">
        <v>186</v>
      </c>
      <c r="AT4" s="50" t="s">
        <v>187</v>
      </c>
      <c r="AU4" s="50" t="s">
        <v>188</v>
      </c>
      <c r="AV4" s="50" t="s">
        <v>189</v>
      </c>
      <c r="AW4" s="51" t="s">
        <v>190</v>
      </c>
      <c r="AX4" s="51" t="s">
        <v>191</v>
      </c>
      <c r="AY4" s="51" t="s">
        <v>192</v>
      </c>
      <c r="AZ4" s="51" t="s">
        <v>193</v>
      </c>
      <c r="BA4" s="52" t="s">
        <v>194</v>
      </c>
      <c r="BB4" s="52" t="s">
        <v>195</v>
      </c>
      <c r="BC4" s="52" t="s">
        <v>196</v>
      </c>
      <c r="BD4" s="52" t="s">
        <v>197</v>
      </c>
    </row>
    <row r="5" spans="1:56" s="3" customFormat="1" ht="23.1" customHeight="1" thickTop="1">
      <c r="A5" s="1"/>
      <c r="B5" s="55">
        <v>1</v>
      </c>
      <c r="C5" s="59" t="s">
        <v>32</v>
      </c>
      <c r="D5" s="20" t="s">
        <v>25</v>
      </c>
      <c r="E5" s="21">
        <v>300000</v>
      </c>
      <c r="F5" s="21"/>
      <c r="G5" s="21"/>
      <c r="H5" s="21">
        <v>300000</v>
      </c>
      <c r="I5" s="21"/>
      <c r="J5" s="21">
        <v>300000</v>
      </c>
      <c r="K5" s="21">
        <v>300000</v>
      </c>
      <c r="L5" s="21"/>
      <c r="M5" s="21">
        <v>300000</v>
      </c>
      <c r="N5" s="21">
        <v>300000</v>
      </c>
      <c r="O5" s="21">
        <v>300000</v>
      </c>
      <c r="P5" s="21"/>
      <c r="Q5" s="21">
        <v>300000</v>
      </c>
      <c r="R5" s="21"/>
      <c r="S5" s="21">
        <v>300000</v>
      </c>
      <c r="T5" s="21">
        <v>300000</v>
      </c>
      <c r="U5" s="21">
        <v>300000</v>
      </c>
      <c r="V5" s="21">
        <v>300000</v>
      </c>
      <c r="W5" s="21">
        <v>300000</v>
      </c>
      <c r="X5" s="21">
        <v>300000</v>
      </c>
      <c r="Y5" s="21">
        <v>300000</v>
      </c>
      <c r="Z5" s="21">
        <v>300000</v>
      </c>
      <c r="AA5" s="21"/>
      <c r="AB5" s="21">
        <v>300000</v>
      </c>
      <c r="AC5" s="21"/>
      <c r="AD5" s="21">
        <v>300000</v>
      </c>
      <c r="AE5" s="21">
        <v>300000</v>
      </c>
      <c r="AF5" s="21">
        <v>300000</v>
      </c>
      <c r="AG5" s="21"/>
      <c r="AH5" s="21">
        <v>300000</v>
      </c>
      <c r="AI5" s="21">
        <v>300000</v>
      </c>
      <c r="AJ5" s="21">
        <v>300000</v>
      </c>
      <c r="AK5" s="21"/>
      <c r="AL5" s="21">
        <v>300000</v>
      </c>
      <c r="AM5" s="21">
        <v>300000</v>
      </c>
      <c r="AN5" s="21"/>
      <c r="AO5" s="21"/>
      <c r="AP5" s="21"/>
      <c r="AQ5" s="21">
        <v>300000</v>
      </c>
      <c r="AR5" s="21">
        <v>300000</v>
      </c>
      <c r="AS5" s="21"/>
      <c r="AT5" s="21"/>
      <c r="AU5" s="21">
        <v>300000</v>
      </c>
      <c r="AV5" s="21">
        <v>300000</v>
      </c>
      <c r="AW5" s="21"/>
      <c r="AX5" s="21">
        <v>300000</v>
      </c>
      <c r="AY5" s="21">
        <v>300000</v>
      </c>
      <c r="AZ5" s="21"/>
      <c r="BA5" s="21">
        <v>300000</v>
      </c>
      <c r="BB5" s="21">
        <v>300000</v>
      </c>
      <c r="BC5" s="21"/>
      <c r="BD5" s="21"/>
    </row>
    <row r="6" spans="1:56" s="3" customFormat="1" ht="23.1" customHeight="1">
      <c r="A6" s="1"/>
      <c r="B6" s="56"/>
      <c r="C6" s="60"/>
      <c r="D6" s="14" t="s">
        <v>26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</row>
    <row r="7" spans="1:56" s="27" customFormat="1" ht="23.1" customHeight="1">
      <c r="B7" s="57"/>
      <c r="C7" s="61"/>
      <c r="D7" s="36" t="s">
        <v>52</v>
      </c>
      <c r="E7" s="37">
        <v>38930</v>
      </c>
      <c r="F7" s="37"/>
      <c r="G7" s="37"/>
      <c r="H7" s="37">
        <v>39287</v>
      </c>
      <c r="I7" s="37"/>
      <c r="J7" s="37">
        <v>39651</v>
      </c>
      <c r="K7" s="37">
        <v>40139</v>
      </c>
      <c r="L7" s="37"/>
      <c r="M7" s="37">
        <v>40447</v>
      </c>
      <c r="N7" s="37">
        <v>40844</v>
      </c>
      <c r="O7" s="37">
        <v>41226</v>
      </c>
      <c r="P7" s="37"/>
      <c r="Q7" s="37">
        <v>42012</v>
      </c>
      <c r="R7" s="37"/>
      <c r="S7" s="37">
        <v>42375</v>
      </c>
      <c r="T7" s="37">
        <v>42772</v>
      </c>
      <c r="U7" s="37">
        <v>43474</v>
      </c>
      <c r="V7" s="37">
        <v>43870</v>
      </c>
      <c r="W7" s="37">
        <v>44247</v>
      </c>
      <c r="X7" s="37">
        <v>44637</v>
      </c>
      <c r="Y7" s="37">
        <v>45069</v>
      </c>
      <c r="Z7" s="37">
        <v>45488</v>
      </c>
      <c r="AA7" s="37"/>
      <c r="AB7" s="37">
        <v>45888</v>
      </c>
      <c r="AC7" s="37"/>
      <c r="AD7" s="37">
        <v>46306</v>
      </c>
      <c r="AE7" s="37">
        <v>46789</v>
      </c>
      <c r="AF7" s="37">
        <v>47140</v>
      </c>
      <c r="AG7" s="37"/>
      <c r="AH7" s="37">
        <v>47561</v>
      </c>
      <c r="AI7" s="37">
        <v>47941</v>
      </c>
      <c r="AJ7" s="37">
        <v>48558</v>
      </c>
      <c r="AK7" s="37"/>
      <c r="AL7" s="37">
        <v>48968</v>
      </c>
      <c r="AM7" s="37">
        <v>49383</v>
      </c>
      <c r="AN7" s="37"/>
      <c r="AO7" s="37"/>
      <c r="AP7" s="37"/>
      <c r="AQ7" s="37">
        <v>49996</v>
      </c>
      <c r="AR7" s="37">
        <v>50499</v>
      </c>
      <c r="AS7" s="37"/>
      <c r="AT7" s="37"/>
      <c r="AU7" s="37">
        <v>50880</v>
      </c>
      <c r="AV7" s="37">
        <v>51285</v>
      </c>
      <c r="AW7" s="37"/>
      <c r="AX7" s="37">
        <v>52307</v>
      </c>
      <c r="AY7" s="37">
        <v>52932</v>
      </c>
      <c r="AZ7" s="37"/>
      <c r="BA7" s="37">
        <v>53464</v>
      </c>
      <c r="BB7" s="37">
        <v>53850</v>
      </c>
      <c r="BC7" s="37"/>
      <c r="BD7" s="37"/>
    </row>
    <row r="8" spans="1:56" s="27" customFormat="1" ht="23.1" customHeight="1" thickBot="1">
      <c r="B8" s="58"/>
      <c r="C8" s="62"/>
      <c r="D8" s="33" t="s">
        <v>53</v>
      </c>
      <c r="E8" s="34"/>
      <c r="F8" s="34"/>
      <c r="G8" s="34"/>
      <c r="H8" s="34">
        <f>+H7-E7</f>
        <v>357</v>
      </c>
      <c r="I8" s="34"/>
      <c r="J8" s="34">
        <f>+J7-H7</f>
        <v>364</v>
      </c>
      <c r="K8" s="34">
        <f>+K7-J7</f>
        <v>488</v>
      </c>
      <c r="L8" s="34"/>
      <c r="M8" s="34">
        <f>M7-K7</f>
        <v>308</v>
      </c>
      <c r="N8" s="34">
        <f>+N7-M7</f>
        <v>397</v>
      </c>
      <c r="O8" s="34">
        <f>+O7-N7</f>
        <v>382</v>
      </c>
      <c r="P8" s="34"/>
      <c r="Q8" s="34">
        <f>Q7-O7</f>
        <v>786</v>
      </c>
      <c r="R8" s="34"/>
      <c r="S8" s="34">
        <f>+S7-Q7</f>
        <v>363</v>
      </c>
      <c r="T8" s="34">
        <f>+T7-S7</f>
        <v>397</v>
      </c>
      <c r="U8" s="34">
        <f>+U7-T7</f>
        <v>702</v>
      </c>
      <c r="V8" s="34">
        <f>+V7-U7</f>
        <v>396</v>
      </c>
      <c r="W8" s="34">
        <f>+W7-V7</f>
        <v>377</v>
      </c>
      <c r="X8" s="34">
        <f>+X7-W7</f>
        <v>390</v>
      </c>
      <c r="Y8" s="34">
        <f>Y7-X7</f>
        <v>432</v>
      </c>
      <c r="Z8" s="34">
        <f>Z7-Y7</f>
        <v>419</v>
      </c>
      <c r="AA8" s="42"/>
      <c r="AB8" s="42">
        <f>AB7-Z7</f>
        <v>400</v>
      </c>
      <c r="AC8" s="42"/>
      <c r="AD8" s="42">
        <f>AD7-AB7</f>
        <v>418</v>
      </c>
      <c r="AE8" s="42">
        <f>AE7-AD7</f>
        <v>483</v>
      </c>
      <c r="AF8" s="42">
        <f>AF7-AE7</f>
        <v>351</v>
      </c>
      <c r="AG8" s="42"/>
      <c r="AH8" s="42">
        <f>AH7-AF7</f>
        <v>421</v>
      </c>
      <c r="AI8" s="42">
        <f>AI7-AH7</f>
        <v>380</v>
      </c>
      <c r="AJ8" s="42">
        <f>AJ7-AI7</f>
        <v>617</v>
      </c>
      <c r="AK8" s="42"/>
      <c r="AL8" s="42">
        <f>AL7-AJ7</f>
        <v>410</v>
      </c>
      <c r="AM8" s="42">
        <f>AM7-AL7</f>
        <v>415</v>
      </c>
      <c r="AN8" s="42"/>
      <c r="AO8" s="42"/>
      <c r="AP8" s="42"/>
      <c r="AQ8" s="42">
        <f>AQ7-AM7</f>
        <v>613</v>
      </c>
      <c r="AR8" s="42">
        <f>AR7-AQ7</f>
        <v>503</v>
      </c>
      <c r="AS8" s="42"/>
      <c r="AT8" s="42"/>
      <c r="AU8" s="42">
        <f>AU7-AR7</f>
        <v>381</v>
      </c>
      <c r="AV8" s="42">
        <f>AV7-AU7</f>
        <v>405</v>
      </c>
      <c r="AW8" s="42"/>
      <c r="AX8" s="42">
        <f>AX7-AV7</f>
        <v>1022</v>
      </c>
      <c r="AY8" s="42">
        <f>AY7-AX7</f>
        <v>625</v>
      </c>
      <c r="AZ8" s="42"/>
      <c r="BA8" s="42">
        <f>BA7-AY7</f>
        <v>532</v>
      </c>
      <c r="BB8" s="42">
        <f>BB7-BA7</f>
        <v>386</v>
      </c>
      <c r="BC8" s="42"/>
      <c r="BD8" s="42"/>
    </row>
    <row r="9" spans="1:56" s="27" customFormat="1" ht="23.1" customHeight="1" thickTop="1">
      <c r="B9" s="22"/>
      <c r="C9" s="23"/>
      <c r="D9" s="29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56" s="3" customFormat="1" ht="23.1" customHeight="1">
      <c r="A10" s="1"/>
      <c r="B10" s="22"/>
      <c r="C10" s="23"/>
      <c r="D10" s="24"/>
      <c r="E10" s="25"/>
      <c r="F10" s="25"/>
      <c r="G10" s="25" t="s">
        <v>158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56" s="3" customFormat="1" ht="23.1" customHeight="1">
      <c r="A11" s="1"/>
      <c r="B11" s="22"/>
      <c r="C11" s="23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56" s="3" customFormat="1" ht="23.1" customHeight="1">
      <c r="A12" s="1"/>
      <c r="B12" s="1"/>
      <c r="C12" s="2"/>
      <c r="D12" s="1"/>
    </row>
    <row r="13" spans="1:56" s="3" customFormat="1" ht="23.1" customHeight="1">
      <c r="A13" s="1"/>
      <c r="B13" s="1"/>
      <c r="C13" s="2"/>
      <c r="D13" s="1"/>
    </row>
    <row r="14" spans="1:56" s="3" customFormat="1" ht="23.1" customHeight="1">
      <c r="A14" s="1"/>
      <c r="B14" s="1"/>
      <c r="C14" s="2"/>
      <c r="D14" s="1"/>
    </row>
    <row r="15" spans="1:56" s="3" customFormat="1" ht="23.1" customHeight="1">
      <c r="A15" s="1"/>
      <c r="B15" s="1"/>
      <c r="C15" s="2"/>
      <c r="D15" s="1"/>
    </row>
    <row r="16" spans="1:56" s="3" customFormat="1" ht="23.1" customHeight="1">
      <c r="A16" s="1"/>
      <c r="B16" s="1"/>
      <c r="C16" s="2"/>
      <c r="D16" s="1"/>
    </row>
    <row r="17" spans="1:4" s="3" customFormat="1" ht="23.1" customHeight="1">
      <c r="A17" s="1"/>
      <c r="B17" s="1"/>
      <c r="C17" s="2"/>
      <c r="D17" s="1"/>
    </row>
    <row r="18" spans="1:4" s="3" customFormat="1" ht="23.1" customHeight="1">
      <c r="A18" s="1"/>
      <c r="B18" s="1"/>
      <c r="C18" s="2"/>
      <c r="D18" s="1"/>
    </row>
    <row r="19" spans="1:4" s="3" customFormat="1" ht="23.1" customHeight="1">
      <c r="A19" s="1"/>
      <c r="B19" s="1"/>
      <c r="C19" s="2"/>
      <c r="D19" s="1"/>
    </row>
    <row r="20" spans="1:4" s="3" customFormat="1" ht="23.1" customHeight="1">
      <c r="A20" s="1"/>
      <c r="B20" s="1"/>
      <c r="C20" s="2"/>
      <c r="D20" s="1"/>
    </row>
    <row r="21" spans="1:4" s="3" customFormat="1" ht="23.1" customHeight="1">
      <c r="A21" s="1"/>
      <c r="B21" s="1"/>
      <c r="C21" s="2"/>
      <c r="D21" s="1"/>
    </row>
    <row r="22" spans="1:4" ht="23.1" customHeight="1"/>
    <row r="23" spans="1:4" ht="23.1" customHeight="1"/>
    <row r="24" spans="1:4" ht="23.1" customHeight="1"/>
    <row r="25" spans="1:4" ht="23.1" customHeight="1"/>
    <row r="26" spans="1:4" ht="23.1" customHeight="1"/>
    <row r="27" spans="1:4" ht="23.1" customHeight="1"/>
    <row r="28" spans="1:4" ht="23.1" customHeight="1"/>
    <row r="29" spans="1:4" ht="23.1" customHeight="1"/>
    <row r="30" spans="1:4" ht="23.1" customHeight="1"/>
    <row r="31" spans="1:4" ht="23.1" customHeight="1"/>
    <row r="32" spans="1:4" ht="23.1" customHeight="1"/>
    <row r="33" ht="23.1" customHeight="1"/>
    <row r="34" ht="23.1" customHeight="1"/>
    <row r="35" ht="23.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</sheetData>
  <mergeCells count="15">
    <mergeCell ref="AF3:AI3"/>
    <mergeCell ref="AA3:AE3"/>
    <mergeCell ref="W3:Z3"/>
    <mergeCell ref="N3:Q3"/>
    <mergeCell ref="R3:V3"/>
    <mergeCell ref="B5:B8"/>
    <mergeCell ref="C5:C8"/>
    <mergeCell ref="E3:I3"/>
    <mergeCell ref="B3:D3"/>
    <mergeCell ref="J3:M3"/>
    <mergeCell ref="BA3:BD3"/>
    <mergeCell ref="AW3:AZ3"/>
    <mergeCell ref="AS3:AV3"/>
    <mergeCell ref="AN3:AR3"/>
    <mergeCell ref="AJ3:AM3"/>
  </mergeCells>
  <pageMargins left="0.7" right="0.7" top="0.75" bottom="0.75" header="0.3" footer="0.3"/>
  <pageSetup paperSize="9" scale="6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315"/>
  <sheetViews>
    <sheetView workbookViewId="0">
      <pane xSplit="4" ySplit="4" topLeftCell="N5" activePane="bottomRight" state="frozen"/>
      <selection pane="topRight" activeCell="E1" sqref="E1"/>
      <selection pane="bottomLeft" activeCell="A5" sqref="A5"/>
      <selection pane="bottomRight" activeCell="L13" sqref="L13"/>
    </sheetView>
  </sheetViews>
  <sheetFormatPr defaultRowHeight="12.75"/>
  <cols>
    <col min="1" max="1" width="1.7109375" style="1" customWidth="1"/>
    <col min="2" max="2" width="5.7109375" style="1" customWidth="1"/>
    <col min="3" max="3" width="18.7109375" style="2" customWidth="1"/>
    <col min="4" max="4" width="17" style="1" customWidth="1"/>
    <col min="5" max="8" width="12.7109375" style="3" hidden="1" customWidth="1"/>
    <col min="9" max="21" width="12.7109375" style="3" customWidth="1"/>
    <col min="22" max="22" width="3.7109375" style="3" customWidth="1"/>
    <col min="23" max="25" width="11.7109375" style="3" customWidth="1"/>
    <col min="26" max="26" width="14.7109375" style="3" customWidth="1"/>
    <col min="27" max="30" width="12.7109375" style="3" customWidth="1"/>
    <col min="31" max="34" width="10.7109375" style="3" customWidth="1"/>
    <col min="35" max="16384" width="9.140625" style="1"/>
  </cols>
  <sheetData>
    <row r="1" spans="1:34" ht="9.9499999999999993" customHeight="1"/>
    <row r="2" spans="1:34" s="4" customFormat="1" ht="39.950000000000003" customHeight="1">
      <c r="B2" s="4" t="s">
        <v>0</v>
      </c>
      <c r="C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34" ht="24.75" customHeight="1">
      <c r="B3" s="63" t="s">
        <v>33</v>
      </c>
      <c r="C3" s="64"/>
      <c r="D3" s="65"/>
      <c r="E3" s="66">
        <v>44217</v>
      </c>
      <c r="F3" s="67"/>
      <c r="G3" s="67"/>
      <c r="H3" s="68"/>
      <c r="I3" s="66">
        <v>44307</v>
      </c>
      <c r="J3" s="67"/>
      <c r="K3" s="67"/>
      <c r="L3" s="68"/>
      <c r="M3" s="66">
        <v>44337</v>
      </c>
      <c r="N3" s="67"/>
      <c r="O3" s="67"/>
      <c r="P3" s="68"/>
      <c r="Q3" s="66">
        <v>44368</v>
      </c>
      <c r="R3" s="67"/>
      <c r="S3" s="67"/>
      <c r="T3" s="67"/>
      <c r="U3" s="68"/>
      <c r="W3" s="69" t="s">
        <v>4</v>
      </c>
      <c r="X3" s="69"/>
      <c r="Y3" s="69"/>
      <c r="Z3" s="69"/>
    </row>
    <row r="4" spans="1:34" s="13" customFormat="1" ht="24.95" customHeight="1" thickBot="1">
      <c r="B4" s="7" t="s">
        <v>5</v>
      </c>
      <c r="C4" s="8" t="s">
        <v>6</v>
      </c>
      <c r="D4" s="9" t="s">
        <v>7</v>
      </c>
      <c r="E4" s="10" t="s">
        <v>135</v>
      </c>
      <c r="F4" s="10" t="s">
        <v>136</v>
      </c>
      <c r="G4" s="10" t="s">
        <v>137</v>
      </c>
      <c r="H4" s="10" t="s">
        <v>138</v>
      </c>
      <c r="I4" s="10" t="s">
        <v>144</v>
      </c>
      <c r="J4" s="10" t="s">
        <v>145</v>
      </c>
      <c r="K4" s="10" t="s">
        <v>146</v>
      </c>
      <c r="L4" s="10" t="s">
        <v>147</v>
      </c>
      <c r="M4" s="10" t="s">
        <v>140</v>
      </c>
      <c r="N4" s="10" t="s">
        <v>141</v>
      </c>
      <c r="O4" s="10" t="s">
        <v>142</v>
      </c>
      <c r="P4" s="10" t="s">
        <v>139</v>
      </c>
      <c r="Q4" s="10" t="s">
        <v>143</v>
      </c>
      <c r="R4" s="10" t="s">
        <v>144</v>
      </c>
      <c r="S4" s="10" t="s">
        <v>145</v>
      </c>
      <c r="T4" s="10" t="s">
        <v>146</v>
      </c>
      <c r="U4" s="10" t="s">
        <v>147</v>
      </c>
      <c r="V4" s="11"/>
      <c r="W4" s="12" t="s">
        <v>86</v>
      </c>
      <c r="X4" s="12" t="s">
        <v>20</v>
      </c>
      <c r="Y4" s="12" t="s">
        <v>21</v>
      </c>
      <c r="Z4" s="12" t="s">
        <v>23</v>
      </c>
      <c r="AA4" s="11"/>
      <c r="AB4" s="11"/>
      <c r="AC4" s="11"/>
      <c r="AD4" s="11"/>
      <c r="AE4" s="11"/>
      <c r="AF4" s="11"/>
      <c r="AG4" s="11"/>
      <c r="AH4" s="11"/>
    </row>
    <row r="5" spans="1:34" s="3" customFormat="1" ht="23.1" customHeight="1" thickTop="1">
      <c r="A5" s="1"/>
      <c r="B5" s="55">
        <v>1</v>
      </c>
      <c r="C5" s="59" t="s">
        <v>32</v>
      </c>
      <c r="D5" s="20" t="s">
        <v>25</v>
      </c>
      <c r="E5" s="21">
        <v>300000</v>
      </c>
      <c r="F5" s="21">
        <v>300000</v>
      </c>
      <c r="G5" s="21"/>
      <c r="H5" s="21">
        <v>300000</v>
      </c>
      <c r="I5" s="21">
        <v>300000</v>
      </c>
      <c r="J5" s="21">
        <v>300000</v>
      </c>
      <c r="K5" s="21"/>
      <c r="L5" s="21">
        <v>300000</v>
      </c>
      <c r="M5" s="21"/>
      <c r="N5" s="21">
        <v>300000</v>
      </c>
      <c r="O5" s="21">
        <v>300000</v>
      </c>
      <c r="P5" s="21"/>
      <c r="Q5" s="21"/>
      <c r="R5" s="21"/>
      <c r="S5" s="21"/>
      <c r="T5" s="21"/>
      <c r="U5" s="21"/>
      <c r="W5" s="16" t="e">
        <f>+AVERAGE(#REF!)</f>
        <v>#REF!</v>
      </c>
      <c r="X5" s="16"/>
      <c r="Y5" s="16"/>
      <c r="Z5" s="16" t="e">
        <f>+AVERAGE(#REF!)</f>
        <v>#REF!</v>
      </c>
    </row>
    <row r="6" spans="1:34" s="3" customFormat="1" ht="23.1" customHeight="1">
      <c r="A6" s="1"/>
      <c r="B6" s="56"/>
      <c r="C6" s="60"/>
      <c r="D6" s="14" t="s">
        <v>26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W6" s="16"/>
      <c r="X6" s="16"/>
      <c r="Y6" s="16"/>
      <c r="Z6" s="16"/>
    </row>
    <row r="7" spans="1:34" s="27" customFormat="1" ht="23.1" customHeight="1" thickBot="1">
      <c r="B7" s="57"/>
      <c r="C7" s="61"/>
      <c r="D7" s="36" t="s">
        <v>52</v>
      </c>
      <c r="E7" s="37">
        <v>31961</v>
      </c>
      <c r="F7" s="37">
        <v>32335</v>
      </c>
      <c r="G7" s="37"/>
      <c r="H7" s="37">
        <v>32713</v>
      </c>
      <c r="I7" s="37">
        <v>36894</v>
      </c>
      <c r="J7" s="37">
        <v>37312</v>
      </c>
      <c r="K7" s="37"/>
      <c r="L7" s="37">
        <v>37672</v>
      </c>
      <c r="M7" s="37"/>
      <c r="N7" s="37">
        <v>38043</v>
      </c>
      <c r="O7" s="37">
        <v>38444</v>
      </c>
      <c r="P7" s="37"/>
      <c r="Q7" s="37"/>
      <c r="R7" s="37"/>
      <c r="S7" s="37"/>
      <c r="T7" s="37"/>
      <c r="U7" s="37"/>
      <c r="W7" s="28"/>
      <c r="X7" s="28"/>
      <c r="Y7" s="28"/>
      <c r="Z7" s="28"/>
    </row>
    <row r="8" spans="1:34" s="27" customFormat="1" ht="23.1" customHeight="1" thickTop="1" thickBot="1">
      <c r="B8" s="58"/>
      <c r="C8" s="62"/>
      <c r="D8" s="33" t="s">
        <v>53</v>
      </c>
      <c r="E8" s="37">
        <f>31961-31577</f>
        <v>384</v>
      </c>
      <c r="F8" s="34">
        <f>F7-E7</f>
        <v>374</v>
      </c>
      <c r="G8" s="34"/>
      <c r="H8" s="34">
        <f>+H7-F7</f>
        <v>378</v>
      </c>
      <c r="I8" s="34">
        <v>740</v>
      </c>
      <c r="J8" s="34">
        <v>418</v>
      </c>
      <c r="K8" s="34"/>
      <c r="L8" s="34">
        <v>360</v>
      </c>
      <c r="M8" s="34"/>
      <c r="N8" s="34">
        <f>+N7-L7</f>
        <v>371</v>
      </c>
      <c r="O8" s="34">
        <f>+O7-N7</f>
        <v>401</v>
      </c>
      <c r="P8" s="34"/>
      <c r="Q8" s="34"/>
      <c r="R8" s="34"/>
      <c r="S8" s="34"/>
      <c r="T8" s="34"/>
      <c r="U8" s="34"/>
      <c r="W8" s="28"/>
      <c r="X8" s="28"/>
      <c r="Y8" s="28"/>
      <c r="Z8" s="28"/>
    </row>
    <row r="9" spans="1:34" s="27" customFormat="1" ht="23.1" customHeight="1" thickTop="1">
      <c r="B9" s="22"/>
      <c r="C9" s="23"/>
      <c r="D9" s="29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W9" s="32"/>
      <c r="X9" s="32"/>
      <c r="Y9" s="32"/>
      <c r="Z9" s="32"/>
    </row>
    <row r="10" spans="1:34" s="3" customFormat="1" ht="23.1" customHeight="1">
      <c r="A10" s="1"/>
      <c r="B10" s="22"/>
      <c r="C10" s="23"/>
      <c r="D10" s="24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W10" s="26"/>
      <c r="X10" s="26"/>
      <c r="Y10" s="26"/>
      <c r="Z10" s="26"/>
    </row>
    <row r="11" spans="1:34" s="3" customFormat="1" ht="23.1" customHeight="1">
      <c r="A11" s="1"/>
      <c r="B11" s="22"/>
      <c r="C11" s="23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W11" s="26"/>
      <c r="X11" s="26"/>
      <c r="Y11" s="26"/>
      <c r="Z11" s="26"/>
    </row>
    <row r="12" spans="1:34" s="3" customFormat="1" ht="23.1" customHeight="1">
      <c r="A12" s="1"/>
      <c r="B12" s="1"/>
      <c r="C12" s="2"/>
      <c r="D12" s="1"/>
    </row>
    <row r="13" spans="1:34" s="3" customFormat="1" ht="23.1" customHeight="1">
      <c r="A13" s="1"/>
      <c r="B13" s="1"/>
      <c r="C13" s="2"/>
      <c r="D13" s="1"/>
    </row>
    <row r="14" spans="1:34" s="3" customFormat="1" ht="23.1" customHeight="1">
      <c r="A14" s="1"/>
      <c r="B14" s="1"/>
      <c r="C14" s="2"/>
      <c r="D14" s="1"/>
    </row>
    <row r="15" spans="1:34" s="3" customFormat="1" ht="23.1" customHeight="1">
      <c r="A15" s="1"/>
      <c r="B15" s="1"/>
      <c r="C15" s="2"/>
      <c r="D15" s="1"/>
    </row>
    <row r="16" spans="1:34" s="3" customFormat="1" ht="23.1" customHeight="1">
      <c r="A16" s="1"/>
      <c r="B16" s="1"/>
      <c r="C16" s="2"/>
      <c r="D16" s="1"/>
    </row>
    <row r="17" spans="1:4" s="3" customFormat="1" ht="23.1" customHeight="1">
      <c r="A17" s="1"/>
      <c r="B17" s="1"/>
      <c r="C17" s="2"/>
      <c r="D17" s="1"/>
    </row>
    <row r="18" spans="1:4" s="3" customFormat="1" ht="23.1" customHeight="1">
      <c r="A18" s="1"/>
      <c r="B18" s="1"/>
      <c r="C18" s="2"/>
      <c r="D18" s="1"/>
    </row>
    <row r="19" spans="1:4" s="3" customFormat="1" ht="23.1" customHeight="1">
      <c r="A19" s="1"/>
      <c r="B19" s="1"/>
      <c r="C19" s="2"/>
      <c r="D19" s="1"/>
    </row>
    <row r="20" spans="1:4" s="3" customFormat="1" ht="23.1" customHeight="1">
      <c r="A20" s="1"/>
      <c r="B20" s="1"/>
      <c r="C20" s="2"/>
      <c r="D20" s="1"/>
    </row>
    <row r="21" spans="1:4" s="3" customFormat="1" ht="23.1" customHeight="1">
      <c r="A21" s="1"/>
      <c r="B21" s="1"/>
      <c r="C21" s="2"/>
      <c r="D21" s="1"/>
    </row>
    <row r="22" spans="1:4" ht="23.1" customHeight="1"/>
    <row r="23" spans="1:4" ht="23.1" customHeight="1"/>
    <row r="24" spans="1:4" ht="23.1" customHeight="1"/>
    <row r="25" spans="1:4" ht="23.1" customHeight="1"/>
    <row r="26" spans="1:4" ht="23.1" customHeight="1"/>
    <row r="27" spans="1:4" ht="23.1" customHeight="1"/>
    <row r="28" spans="1:4" ht="23.1" customHeight="1"/>
    <row r="29" spans="1:4" ht="23.1" customHeight="1"/>
    <row r="30" spans="1:4" ht="23.1" customHeight="1"/>
    <row r="31" spans="1:4" ht="23.1" customHeight="1"/>
    <row r="32" spans="1:4" ht="23.1" customHeight="1"/>
    <row r="33" ht="23.1" customHeight="1"/>
    <row r="34" ht="23.1" customHeight="1"/>
    <row r="35" ht="23.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</sheetData>
  <mergeCells count="8">
    <mergeCell ref="M3:P3"/>
    <mergeCell ref="B3:D3"/>
    <mergeCell ref="W3:Z3"/>
    <mergeCell ref="B5:B8"/>
    <mergeCell ref="C5:C8"/>
    <mergeCell ref="E3:H3"/>
    <mergeCell ref="I3:L3"/>
    <mergeCell ref="Q3:U3"/>
  </mergeCells>
  <pageMargins left="0.7" right="0.7" top="0.75" bottom="0.75" header="0.3" footer="0.3"/>
  <pageSetup paperSize="9" scale="6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15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G9" sqref="G9"/>
    </sheetView>
  </sheetViews>
  <sheetFormatPr defaultRowHeight="12.75"/>
  <cols>
    <col min="1" max="1" width="1.7109375" style="1" customWidth="1"/>
    <col min="2" max="2" width="5.7109375" style="1" customWidth="1"/>
    <col min="3" max="3" width="18.7109375" style="2" customWidth="1"/>
    <col min="4" max="4" width="17" style="1" customWidth="1"/>
    <col min="5" max="15" width="12.7109375" style="3" customWidth="1"/>
    <col min="16" max="16" width="3.7109375" style="3" customWidth="1"/>
    <col min="17" max="19" width="11.7109375" style="3" customWidth="1"/>
    <col min="20" max="20" width="14.7109375" style="3" customWidth="1"/>
    <col min="21" max="24" width="12.7109375" style="3" customWidth="1"/>
    <col min="25" max="28" width="10.7109375" style="3" customWidth="1"/>
    <col min="29" max="16384" width="9.140625" style="1"/>
  </cols>
  <sheetData>
    <row r="1" spans="1:28" ht="9.9499999999999993" customHeight="1"/>
    <row r="2" spans="1:28" s="4" customFormat="1" ht="39.950000000000003" customHeight="1">
      <c r="B2" s="4" t="s">
        <v>0</v>
      </c>
      <c r="C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24.75" customHeight="1">
      <c r="B3" s="63" t="s">
        <v>33</v>
      </c>
      <c r="C3" s="64"/>
      <c r="D3" s="65"/>
      <c r="E3" s="66">
        <v>44105</v>
      </c>
      <c r="F3" s="70"/>
      <c r="G3" s="70"/>
      <c r="H3" s="66">
        <v>44136</v>
      </c>
      <c r="I3" s="67"/>
      <c r="J3" s="67"/>
      <c r="K3" s="67"/>
      <c r="L3" s="54">
        <v>44166</v>
      </c>
      <c r="M3" s="54"/>
      <c r="N3" s="54"/>
      <c r="O3" s="54"/>
      <c r="Q3" s="69" t="s">
        <v>4</v>
      </c>
      <c r="R3" s="69"/>
      <c r="S3" s="69"/>
      <c r="T3" s="69"/>
    </row>
    <row r="4" spans="1:28" s="13" customFormat="1" ht="24.95" customHeight="1" thickBot="1">
      <c r="B4" s="7" t="s">
        <v>5</v>
      </c>
      <c r="C4" s="8" t="s">
        <v>6</v>
      </c>
      <c r="D4" s="9" t="s">
        <v>7</v>
      </c>
      <c r="E4" s="10" t="s">
        <v>124</v>
      </c>
      <c r="F4" s="10" t="s">
        <v>125</v>
      </c>
      <c r="G4" s="10" t="s">
        <v>126</v>
      </c>
      <c r="H4" s="10" t="s">
        <v>127</v>
      </c>
      <c r="I4" s="10" t="s">
        <v>128</v>
      </c>
      <c r="J4" s="10" t="s">
        <v>129</v>
      </c>
      <c r="K4" s="10" t="s">
        <v>130</v>
      </c>
      <c r="L4" s="10" t="s">
        <v>131</v>
      </c>
      <c r="M4" s="10" t="s">
        <v>132</v>
      </c>
      <c r="N4" s="10" t="s">
        <v>133</v>
      </c>
      <c r="O4" s="10" t="s">
        <v>134</v>
      </c>
      <c r="P4" s="11"/>
      <c r="Q4" s="12" t="s">
        <v>86</v>
      </c>
      <c r="R4" s="12" t="s">
        <v>20</v>
      </c>
      <c r="S4" s="12" t="s">
        <v>21</v>
      </c>
      <c r="T4" s="12" t="s">
        <v>23</v>
      </c>
      <c r="U4" s="11"/>
      <c r="V4" s="11"/>
      <c r="W4" s="11"/>
      <c r="X4" s="11"/>
      <c r="Y4" s="11"/>
      <c r="Z4" s="11"/>
      <c r="AA4" s="11"/>
      <c r="AB4" s="11"/>
    </row>
    <row r="5" spans="1:28" s="3" customFormat="1" ht="23.1" customHeight="1" thickTop="1">
      <c r="A5" s="1"/>
      <c r="B5" s="55">
        <v>1</v>
      </c>
      <c r="C5" s="59" t="s">
        <v>32</v>
      </c>
      <c r="D5" s="20" t="s">
        <v>25</v>
      </c>
      <c r="E5" s="21">
        <v>289323</v>
      </c>
      <c r="F5" s="21"/>
      <c r="G5" s="21">
        <v>300000</v>
      </c>
      <c r="H5" s="21">
        <v>300000</v>
      </c>
      <c r="I5" s="21"/>
      <c r="J5" s="21">
        <v>300000</v>
      </c>
      <c r="K5" s="21">
        <v>300000</v>
      </c>
      <c r="L5" s="21"/>
      <c r="M5" s="21">
        <v>300000</v>
      </c>
      <c r="N5" s="21"/>
      <c r="O5" s="21">
        <v>300000</v>
      </c>
      <c r="Q5" s="16" t="e">
        <f>+AVERAGE(#REF!)</f>
        <v>#REF!</v>
      </c>
      <c r="R5" s="16"/>
      <c r="S5" s="16"/>
      <c r="T5" s="16" t="e">
        <f>+AVERAGE(#REF!)</f>
        <v>#REF!</v>
      </c>
    </row>
    <row r="6" spans="1:28" s="3" customFormat="1" ht="23.1" customHeight="1">
      <c r="A6" s="1"/>
      <c r="B6" s="56"/>
      <c r="C6" s="60"/>
      <c r="D6" s="14" t="s">
        <v>26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Q6" s="16"/>
      <c r="R6" s="16"/>
      <c r="S6" s="16"/>
      <c r="T6" s="16"/>
    </row>
    <row r="7" spans="1:28" s="27" customFormat="1" ht="23.1" customHeight="1" thickBot="1">
      <c r="B7" s="57"/>
      <c r="C7" s="61"/>
      <c r="D7" s="36" t="s">
        <v>52</v>
      </c>
      <c r="E7" s="37">
        <v>28739</v>
      </c>
      <c r="F7" s="37"/>
      <c r="G7" s="37">
        <v>29176</v>
      </c>
      <c r="H7" s="37">
        <v>30006</v>
      </c>
      <c r="I7" s="37"/>
      <c r="J7" s="37">
        <v>30398</v>
      </c>
      <c r="K7" s="37">
        <v>30791</v>
      </c>
      <c r="L7" s="37"/>
      <c r="M7" s="37">
        <v>31163</v>
      </c>
      <c r="N7" s="37"/>
      <c r="O7" s="37">
        <v>31577</v>
      </c>
      <c r="Q7" s="28"/>
      <c r="R7" s="28"/>
      <c r="S7" s="28"/>
      <c r="T7" s="28"/>
    </row>
    <row r="8" spans="1:28" s="27" customFormat="1" ht="23.1" customHeight="1" thickTop="1" thickBot="1">
      <c r="B8" s="58"/>
      <c r="C8" s="62"/>
      <c r="D8" s="33" t="s">
        <v>53</v>
      </c>
      <c r="E8" s="34"/>
      <c r="F8" s="34"/>
      <c r="G8" s="34">
        <f>+G7-E7</f>
        <v>437</v>
      </c>
      <c r="H8" s="34">
        <f>+H7-G7</f>
        <v>830</v>
      </c>
      <c r="I8" s="34"/>
      <c r="J8" s="34">
        <f>+J7-H7</f>
        <v>392</v>
      </c>
      <c r="K8" s="34">
        <f>+K7-J7</f>
        <v>393</v>
      </c>
      <c r="L8" s="34"/>
      <c r="M8" s="34">
        <f>+M7-K7</f>
        <v>372</v>
      </c>
      <c r="N8" s="34"/>
      <c r="O8" s="34">
        <f>+O7-M7</f>
        <v>414</v>
      </c>
      <c r="Q8" s="28"/>
      <c r="R8" s="28"/>
      <c r="S8" s="28"/>
      <c r="T8" s="28"/>
    </row>
    <row r="9" spans="1:28" s="27" customFormat="1" ht="23.1" customHeight="1" thickTop="1">
      <c r="B9" s="22"/>
      <c r="C9" s="23"/>
      <c r="D9" s="29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Q9" s="32"/>
      <c r="R9" s="32"/>
      <c r="S9" s="32"/>
      <c r="T9" s="32"/>
    </row>
    <row r="10" spans="1:28" s="3" customFormat="1" ht="23.1" customHeight="1">
      <c r="A10" s="1"/>
      <c r="B10" s="22"/>
      <c r="C10" s="23"/>
      <c r="D10" s="24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Q10" s="26"/>
      <c r="R10" s="26"/>
      <c r="S10" s="26"/>
      <c r="T10" s="26"/>
    </row>
    <row r="11" spans="1:28" s="3" customFormat="1" ht="23.1" customHeight="1">
      <c r="A11" s="1"/>
      <c r="B11" s="22"/>
      <c r="C11" s="23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Q11" s="26"/>
      <c r="R11" s="26"/>
      <c r="S11" s="26"/>
      <c r="T11" s="26"/>
    </row>
    <row r="12" spans="1:28" s="3" customFormat="1" ht="23.1" customHeight="1">
      <c r="A12" s="1"/>
      <c r="B12" s="1"/>
      <c r="C12" s="2"/>
      <c r="D12" s="1"/>
    </row>
    <row r="13" spans="1:28" s="3" customFormat="1" ht="23.1" customHeight="1">
      <c r="A13" s="1"/>
      <c r="B13" s="1"/>
      <c r="C13" s="2"/>
      <c r="D13" s="1"/>
    </row>
    <row r="14" spans="1:28" s="3" customFormat="1" ht="23.1" customHeight="1">
      <c r="A14" s="1"/>
      <c r="B14" s="1"/>
      <c r="C14" s="2"/>
      <c r="D14" s="1"/>
    </row>
    <row r="15" spans="1:28" s="3" customFormat="1" ht="23.1" customHeight="1">
      <c r="A15" s="1"/>
      <c r="B15" s="1"/>
      <c r="C15" s="2"/>
      <c r="D15" s="1"/>
    </row>
    <row r="16" spans="1:28" s="3" customFormat="1" ht="23.1" customHeight="1">
      <c r="A16" s="1"/>
      <c r="B16" s="1"/>
      <c r="C16" s="2"/>
      <c r="D16" s="1"/>
    </row>
    <row r="17" spans="1:4" s="3" customFormat="1" ht="23.1" customHeight="1">
      <c r="A17" s="1"/>
      <c r="B17" s="1"/>
      <c r="C17" s="2"/>
      <c r="D17" s="1"/>
    </row>
    <row r="18" spans="1:4" s="3" customFormat="1" ht="23.1" customHeight="1">
      <c r="A18" s="1"/>
      <c r="B18" s="1"/>
      <c r="C18" s="2"/>
      <c r="D18" s="1"/>
    </row>
    <row r="19" spans="1:4" s="3" customFormat="1" ht="23.1" customHeight="1">
      <c r="A19" s="1"/>
      <c r="B19" s="1"/>
      <c r="C19" s="2"/>
      <c r="D19" s="1"/>
    </row>
    <row r="20" spans="1:4" s="3" customFormat="1" ht="23.1" customHeight="1">
      <c r="A20" s="1"/>
      <c r="B20" s="1"/>
      <c r="C20" s="2"/>
      <c r="D20" s="1"/>
    </row>
    <row r="21" spans="1:4" s="3" customFormat="1" ht="23.1" customHeight="1">
      <c r="A21" s="1"/>
      <c r="B21" s="1"/>
      <c r="C21" s="2"/>
      <c r="D21" s="1"/>
    </row>
    <row r="22" spans="1:4" ht="23.1" customHeight="1"/>
    <row r="23" spans="1:4" ht="23.1" customHeight="1"/>
    <row r="24" spans="1:4" ht="23.1" customHeight="1"/>
    <row r="25" spans="1:4" ht="23.1" customHeight="1"/>
    <row r="26" spans="1:4" ht="23.1" customHeight="1"/>
    <row r="27" spans="1:4" ht="23.1" customHeight="1"/>
    <row r="28" spans="1:4" ht="23.1" customHeight="1"/>
    <row r="29" spans="1:4" ht="23.1" customHeight="1"/>
    <row r="30" spans="1:4" ht="23.1" customHeight="1"/>
    <row r="31" spans="1:4" ht="23.1" customHeight="1"/>
    <row r="32" spans="1:4" ht="23.1" customHeight="1"/>
    <row r="33" ht="23.1" customHeight="1"/>
    <row r="34" ht="23.1" customHeight="1"/>
    <row r="35" ht="23.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</sheetData>
  <mergeCells count="7">
    <mergeCell ref="Q3:T3"/>
    <mergeCell ref="B5:B8"/>
    <mergeCell ref="C5:C8"/>
    <mergeCell ref="E3:G3"/>
    <mergeCell ref="H3:K3"/>
    <mergeCell ref="L3:O3"/>
    <mergeCell ref="B3:D3"/>
  </mergeCells>
  <pageMargins left="0.7" right="0.7" top="0.75" bottom="0.75" header="0.3" footer="0.3"/>
  <pageSetup paperSize="9" scale="7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315"/>
  <sheetViews>
    <sheetView workbookViewId="0">
      <pane xSplit="4" ySplit="4" topLeftCell="AR5" activePane="bottomRight" state="frozen"/>
      <selection pane="topRight" activeCell="E1" sqref="E1"/>
      <selection pane="bottomLeft" activeCell="A5" sqref="A5"/>
      <selection pane="bottomRight" activeCell="AR12" sqref="AR12"/>
    </sheetView>
  </sheetViews>
  <sheetFormatPr defaultRowHeight="12.75"/>
  <cols>
    <col min="1" max="1" width="1.7109375" style="1" customWidth="1"/>
    <col min="2" max="2" width="5.7109375" style="1" customWidth="1"/>
    <col min="3" max="3" width="18.7109375" style="2" customWidth="1"/>
    <col min="4" max="4" width="15" style="1" bestFit="1" customWidth="1"/>
    <col min="5" max="42" width="12.7109375" style="3" hidden="1" customWidth="1"/>
    <col min="43" max="54" width="12.7109375" style="3" customWidth="1"/>
    <col min="55" max="55" width="3.7109375" style="3" customWidth="1"/>
    <col min="56" max="58" width="11.7109375" style="3" customWidth="1"/>
    <col min="59" max="59" width="14.7109375" style="3" customWidth="1"/>
    <col min="60" max="63" width="12.7109375" style="3" customWidth="1"/>
    <col min="64" max="67" width="10.7109375" style="3" customWidth="1"/>
    <col min="68" max="16384" width="9.140625" style="1"/>
  </cols>
  <sheetData>
    <row r="1" spans="1:67" ht="9.9499999999999993" customHeight="1"/>
    <row r="2" spans="1:67" s="4" customFormat="1" ht="39.950000000000003" customHeight="1">
      <c r="B2" s="4" t="s">
        <v>0</v>
      </c>
      <c r="C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</row>
    <row r="3" spans="1:67" ht="24.75" customHeight="1">
      <c r="B3" s="63" t="s">
        <v>33</v>
      </c>
      <c r="C3" s="64"/>
      <c r="D3" s="65"/>
      <c r="E3" s="54">
        <v>43739</v>
      </c>
      <c r="F3" s="72"/>
      <c r="G3" s="72"/>
      <c r="H3" s="72"/>
      <c r="I3" s="54">
        <v>43770</v>
      </c>
      <c r="J3" s="54"/>
      <c r="K3" s="54"/>
      <c r="L3" s="54"/>
      <c r="M3" s="67">
        <v>43800</v>
      </c>
      <c r="N3" s="67"/>
      <c r="O3" s="67"/>
      <c r="P3" s="67"/>
      <c r="Q3" s="68"/>
      <c r="R3" s="66">
        <v>43831</v>
      </c>
      <c r="S3" s="70"/>
      <c r="T3" s="70"/>
      <c r="U3" s="71"/>
      <c r="V3" s="66">
        <v>43862</v>
      </c>
      <c r="W3" s="67"/>
      <c r="X3" s="67"/>
      <c r="Y3" s="67"/>
      <c r="Z3" s="68"/>
      <c r="AA3" s="54">
        <v>43891</v>
      </c>
      <c r="AB3" s="54"/>
      <c r="AC3" s="54"/>
      <c r="AD3" s="54"/>
      <c r="AE3" s="66">
        <v>43922</v>
      </c>
      <c r="AF3" s="70"/>
      <c r="AG3" s="70"/>
      <c r="AH3" s="71"/>
      <c r="AI3" s="66">
        <v>43952</v>
      </c>
      <c r="AJ3" s="67"/>
      <c r="AK3" s="67"/>
      <c r="AL3" s="67"/>
      <c r="AM3" s="54">
        <v>43983</v>
      </c>
      <c r="AN3" s="54"/>
      <c r="AO3" s="54"/>
      <c r="AP3" s="54"/>
      <c r="AQ3" s="66">
        <v>44013</v>
      </c>
      <c r="AR3" s="70"/>
      <c r="AS3" s="70"/>
      <c r="AT3" s="71"/>
      <c r="AU3" s="66">
        <v>44044</v>
      </c>
      <c r="AV3" s="67"/>
      <c r="AW3" s="67"/>
      <c r="AX3" s="67"/>
      <c r="AY3" s="54">
        <v>44075</v>
      </c>
      <c r="AZ3" s="54"/>
      <c r="BA3" s="54"/>
      <c r="BB3" s="54"/>
      <c r="BD3" s="69" t="s">
        <v>4</v>
      </c>
      <c r="BE3" s="69"/>
      <c r="BF3" s="69"/>
      <c r="BG3" s="69"/>
    </row>
    <row r="4" spans="1:67" s="13" customFormat="1" ht="24.95" customHeight="1" thickBot="1">
      <c r="B4" s="7" t="s">
        <v>5</v>
      </c>
      <c r="C4" s="8" t="s">
        <v>6</v>
      </c>
      <c r="D4" s="9" t="s">
        <v>7</v>
      </c>
      <c r="E4" s="10" t="s">
        <v>71</v>
      </c>
      <c r="F4" s="10" t="s">
        <v>72</v>
      </c>
      <c r="G4" s="10" t="s">
        <v>73</v>
      </c>
      <c r="H4" s="10" t="s">
        <v>74</v>
      </c>
      <c r="I4" s="10" t="s">
        <v>75</v>
      </c>
      <c r="J4" s="10" t="s">
        <v>76</v>
      </c>
      <c r="K4" s="10" t="s">
        <v>77</v>
      </c>
      <c r="L4" s="10" t="s">
        <v>78</v>
      </c>
      <c r="M4" s="10" t="s">
        <v>79</v>
      </c>
      <c r="N4" s="10" t="s">
        <v>80</v>
      </c>
      <c r="O4" s="10" t="s">
        <v>81</v>
      </c>
      <c r="P4" s="10" t="s">
        <v>82</v>
      </c>
      <c r="Q4" s="10" t="s">
        <v>83</v>
      </c>
      <c r="R4" s="10" t="s">
        <v>87</v>
      </c>
      <c r="S4" s="10" t="s">
        <v>88</v>
      </c>
      <c r="T4" s="10" t="s">
        <v>89</v>
      </c>
      <c r="U4" s="10" t="s">
        <v>90</v>
      </c>
      <c r="V4" s="10" t="s">
        <v>91</v>
      </c>
      <c r="W4" s="10" t="s">
        <v>92</v>
      </c>
      <c r="X4" s="10" t="s">
        <v>93</v>
      </c>
      <c r="Y4" s="10" t="s">
        <v>94</v>
      </c>
      <c r="Z4" s="10" t="s">
        <v>95</v>
      </c>
      <c r="AA4" s="10" t="s">
        <v>96</v>
      </c>
      <c r="AB4" s="10" t="s">
        <v>97</v>
      </c>
      <c r="AC4" s="10" t="s">
        <v>98</v>
      </c>
      <c r="AD4" s="10" t="s">
        <v>99</v>
      </c>
      <c r="AE4" s="10" t="s">
        <v>100</v>
      </c>
      <c r="AF4" s="10" t="s">
        <v>101</v>
      </c>
      <c r="AG4" s="10" t="s">
        <v>102</v>
      </c>
      <c r="AH4" s="10" t="s">
        <v>103</v>
      </c>
      <c r="AI4" s="10" t="s">
        <v>104</v>
      </c>
      <c r="AJ4" s="10" t="s">
        <v>105</v>
      </c>
      <c r="AK4" s="10" t="s">
        <v>106</v>
      </c>
      <c r="AL4" s="10" t="s">
        <v>107</v>
      </c>
      <c r="AM4" s="10" t="s">
        <v>108</v>
      </c>
      <c r="AN4" s="10" t="s">
        <v>109</v>
      </c>
      <c r="AO4" s="10" t="s">
        <v>110</v>
      </c>
      <c r="AP4" s="10" t="s">
        <v>111</v>
      </c>
      <c r="AQ4" s="10" t="s">
        <v>112</v>
      </c>
      <c r="AR4" s="10" t="s">
        <v>114</v>
      </c>
      <c r="AS4" s="10" t="s">
        <v>113</v>
      </c>
      <c r="AT4" s="10" t="s">
        <v>115</v>
      </c>
      <c r="AU4" s="10" t="s">
        <v>116</v>
      </c>
      <c r="AV4" s="10" t="s">
        <v>117</v>
      </c>
      <c r="AW4" s="10" t="s">
        <v>118</v>
      </c>
      <c r="AX4" s="10" t="s">
        <v>119</v>
      </c>
      <c r="AY4" s="10" t="s">
        <v>120</v>
      </c>
      <c r="AZ4" s="10" t="s">
        <v>121</v>
      </c>
      <c r="BA4" s="10" t="s">
        <v>122</v>
      </c>
      <c r="BB4" s="10" t="s">
        <v>123</v>
      </c>
      <c r="BC4" s="11"/>
      <c r="BD4" s="12" t="s">
        <v>86</v>
      </c>
      <c r="BE4" s="12" t="s">
        <v>20</v>
      </c>
      <c r="BF4" s="12" t="s">
        <v>21</v>
      </c>
      <c r="BG4" s="12" t="s">
        <v>23</v>
      </c>
      <c r="BH4" s="11"/>
      <c r="BI4" s="11"/>
      <c r="BJ4" s="11"/>
      <c r="BK4" s="11"/>
      <c r="BL4" s="11"/>
      <c r="BM4" s="11"/>
      <c r="BN4" s="11"/>
      <c r="BO4" s="11"/>
    </row>
    <row r="5" spans="1:67" s="3" customFormat="1" ht="23.1" customHeight="1" thickTop="1">
      <c r="A5" s="1"/>
      <c r="B5" s="55">
        <v>1</v>
      </c>
      <c r="C5" s="59" t="s">
        <v>32</v>
      </c>
      <c r="D5" s="20" t="s">
        <v>25</v>
      </c>
      <c r="E5" s="21">
        <v>280000</v>
      </c>
      <c r="F5" s="21"/>
      <c r="G5" s="21">
        <v>310000</v>
      </c>
      <c r="H5" s="21">
        <v>300000</v>
      </c>
      <c r="I5" s="21"/>
      <c r="J5" s="21">
        <v>335000</v>
      </c>
      <c r="K5" s="21"/>
      <c r="L5" s="21">
        <v>320000</v>
      </c>
      <c r="M5" s="21">
        <v>300000</v>
      </c>
      <c r="N5" s="21"/>
      <c r="O5" s="21">
        <v>320000</v>
      </c>
      <c r="P5" s="21">
        <v>273000</v>
      </c>
      <c r="Q5" s="21"/>
      <c r="R5" s="21">
        <v>319311</v>
      </c>
      <c r="S5" s="21">
        <v>320000</v>
      </c>
      <c r="T5" s="21">
        <v>317300</v>
      </c>
      <c r="U5" s="21">
        <v>288030</v>
      </c>
      <c r="V5" s="21">
        <v>0</v>
      </c>
      <c r="W5" s="21">
        <v>320000</v>
      </c>
      <c r="X5" s="21">
        <v>319158</v>
      </c>
      <c r="Y5" s="21">
        <v>316779</v>
      </c>
      <c r="Z5" s="21">
        <v>320229</v>
      </c>
      <c r="AA5" s="21">
        <v>300000</v>
      </c>
      <c r="AB5" s="21"/>
      <c r="AC5" s="21">
        <v>313451</v>
      </c>
      <c r="AD5" s="21"/>
      <c r="AE5" s="21">
        <v>316794</v>
      </c>
      <c r="AF5" s="21"/>
      <c r="AG5" s="21">
        <v>321361</v>
      </c>
      <c r="AH5" s="21"/>
      <c r="AI5" s="21">
        <v>276234</v>
      </c>
      <c r="AJ5" s="21">
        <v>280000</v>
      </c>
      <c r="AK5" s="21"/>
      <c r="AL5" s="21">
        <v>284500</v>
      </c>
      <c r="AM5" s="21">
        <v>295800</v>
      </c>
      <c r="AN5" s="21">
        <v>250000</v>
      </c>
      <c r="AO5" s="21"/>
      <c r="AP5" s="21">
        <v>300000</v>
      </c>
      <c r="AQ5" s="21"/>
      <c r="AR5" s="21">
        <v>246101</v>
      </c>
      <c r="AS5" s="21">
        <v>288176</v>
      </c>
      <c r="AT5" s="21"/>
      <c r="AU5" s="21">
        <v>344939</v>
      </c>
      <c r="AV5" s="21">
        <v>312120</v>
      </c>
      <c r="AW5" s="21">
        <v>250000</v>
      </c>
      <c r="AX5" s="21">
        <v>147722</v>
      </c>
      <c r="AY5" s="21">
        <v>250000</v>
      </c>
      <c r="AZ5" s="21">
        <v>267674</v>
      </c>
      <c r="BA5" s="21">
        <v>250000</v>
      </c>
      <c r="BB5" s="21"/>
      <c r="BD5" s="16">
        <f>+AVERAGE(M5:Q5)</f>
        <v>297666.66666666669</v>
      </c>
      <c r="BE5" s="16"/>
      <c r="BF5" s="16"/>
      <c r="BG5" s="16">
        <f>+AVERAGE(M5:Y5)</f>
        <v>281234.36363636365</v>
      </c>
    </row>
    <row r="6" spans="1:67" s="3" customFormat="1" ht="23.1" customHeight="1">
      <c r="A6" s="1"/>
      <c r="B6" s="56"/>
      <c r="C6" s="60"/>
      <c r="D6" s="14" t="s">
        <v>26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D6" s="16"/>
      <c r="BE6" s="16"/>
      <c r="BF6" s="16"/>
      <c r="BG6" s="16"/>
    </row>
    <row r="7" spans="1:67" s="27" customFormat="1" ht="23.1" customHeight="1" thickBot="1">
      <c r="B7" s="57"/>
      <c r="C7" s="61"/>
      <c r="D7" s="36" t="s">
        <v>52</v>
      </c>
      <c r="E7" s="37">
        <v>79598</v>
      </c>
      <c r="F7" s="37"/>
      <c r="G7" s="37">
        <v>80143</v>
      </c>
      <c r="H7" s="37">
        <v>80472</v>
      </c>
      <c r="I7" s="37"/>
      <c r="J7" s="37">
        <v>80867</v>
      </c>
      <c r="K7" s="37"/>
      <c r="L7" s="37">
        <v>81374</v>
      </c>
      <c r="M7" s="37">
        <v>81869</v>
      </c>
      <c r="N7" s="37"/>
      <c r="O7" s="37">
        <v>82200</v>
      </c>
      <c r="P7" s="37">
        <v>82565</v>
      </c>
      <c r="Q7" s="37"/>
      <c r="R7" s="37">
        <v>83353</v>
      </c>
      <c r="S7" s="37">
        <v>83741</v>
      </c>
      <c r="T7" s="37">
        <v>84193</v>
      </c>
      <c r="U7" s="37">
        <v>84622</v>
      </c>
      <c r="V7" s="37"/>
      <c r="W7" s="37">
        <v>84999</v>
      </c>
      <c r="X7" s="37">
        <v>85378</v>
      </c>
      <c r="Y7" s="37">
        <v>85758</v>
      </c>
      <c r="Z7" s="37">
        <v>86137</v>
      </c>
      <c r="AA7" s="37">
        <v>86543</v>
      </c>
      <c r="AB7" s="37"/>
      <c r="AC7" s="37">
        <v>86881</v>
      </c>
      <c r="AD7" s="37"/>
      <c r="AE7" s="37">
        <v>87240</v>
      </c>
      <c r="AF7" s="37"/>
      <c r="AG7" s="37">
        <v>87569</v>
      </c>
      <c r="AH7" s="37"/>
      <c r="AI7" s="37">
        <v>87911</v>
      </c>
      <c r="AJ7" s="37">
        <v>88208</v>
      </c>
      <c r="AK7" s="37"/>
      <c r="AL7" s="37">
        <v>88513</v>
      </c>
      <c r="AM7" s="37">
        <v>88870</v>
      </c>
      <c r="AN7" s="37"/>
      <c r="AO7" s="37"/>
      <c r="AP7" s="37">
        <v>89538</v>
      </c>
      <c r="AQ7" s="37"/>
      <c r="AR7" s="37">
        <v>89835</v>
      </c>
      <c r="AS7" s="37">
        <v>90272</v>
      </c>
      <c r="AT7" s="37"/>
      <c r="AU7" s="37">
        <v>90687</v>
      </c>
      <c r="AV7" s="37">
        <v>25634</v>
      </c>
      <c r="AW7" s="37">
        <v>26028</v>
      </c>
      <c r="AX7" s="37">
        <v>26188</v>
      </c>
      <c r="AY7" s="37">
        <v>27029</v>
      </c>
      <c r="AZ7" s="37">
        <v>27335</v>
      </c>
      <c r="BA7" s="37">
        <v>27631</v>
      </c>
      <c r="BB7" s="37"/>
      <c r="BD7" s="28"/>
      <c r="BE7" s="28"/>
      <c r="BF7" s="28"/>
      <c r="BG7" s="28"/>
    </row>
    <row r="8" spans="1:67" s="27" customFormat="1" ht="23.1" customHeight="1" thickTop="1" thickBot="1">
      <c r="B8" s="58"/>
      <c r="C8" s="62"/>
      <c r="D8" s="33" t="s">
        <v>53</v>
      </c>
      <c r="E8" s="34">
        <f>E7-'JUL-SEPT'!Q7</f>
        <v>328</v>
      </c>
      <c r="F8" s="34"/>
      <c r="G8" s="34">
        <f>+G7-E7</f>
        <v>545</v>
      </c>
      <c r="H8" s="34">
        <f>+H7-G7</f>
        <v>329</v>
      </c>
      <c r="I8" s="34"/>
      <c r="J8" s="34">
        <f>+J7-H7</f>
        <v>395</v>
      </c>
      <c r="K8" s="34"/>
      <c r="L8" s="34">
        <f>+L7-J7</f>
        <v>507</v>
      </c>
      <c r="M8" s="34">
        <f>+M7-L7</f>
        <v>495</v>
      </c>
      <c r="N8" s="34"/>
      <c r="O8" s="34">
        <f>+O7-M7</f>
        <v>331</v>
      </c>
      <c r="P8" s="34">
        <f>+P7-O7</f>
        <v>365</v>
      </c>
      <c r="Q8" s="34"/>
      <c r="R8" s="34">
        <f>R7-P7</f>
        <v>788</v>
      </c>
      <c r="S8" s="34">
        <f>S7-R7</f>
        <v>388</v>
      </c>
      <c r="T8" s="34">
        <f>+T7-S7</f>
        <v>452</v>
      </c>
      <c r="U8" s="34">
        <f>+U7-T7</f>
        <v>429</v>
      </c>
      <c r="V8" s="34"/>
      <c r="W8" s="34">
        <f>+W7-U7</f>
        <v>377</v>
      </c>
      <c r="X8" s="34">
        <f>X7-W7</f>
        <v>379</v>
      </c>
      <c r="Y8" s="34">
        <f>Y7-X7</f>
        <v>380</v>
      </c>
      <c r="Z8" s="34">
        <f>Z7-Y7</f>
        <v>379</v>
      </c>
      <c r="AA8" s="34">
        <f>AA7-Z7</f>
        <v>406</v>
      </c>
      <c r="AB8" s="34"/>
      <c r="AC8" s="34">
        <f>AC7-AA7</f>
        <v>338</v>
      </c>
      <c r="AD8" s="34"/>
      <c r="AE8" s="34">
        <f>AE7-AC7</f>
        <v>359</v>
      </c>
      <c r="AF8" s="34"/>
      <c r="AG8" s="34">
        <f>AG7-AE7</f>
        <v>329</v>
      </c>
      <c r="AH8" s="34"/>
      <c r="AI8" s="34">
        <f>AI7-AG7</f>
        <v>342</v>
      </c>
      <c r="AJ8" s="34">
        <f>AJ7-AI7</f>
        <v>297</v>
      </c>
      <c r="AK8" s="34"/>
      <c r="AL8" s="34">
        <f>+AL7-AJ7</f>
        <v>305</v>
      </c>
      <c r="AM8" s="34">
        <f>+AM7-AL7</f>
        <v>357</v>
      </c>
      <c r="AN8" s="34"/>
      <c r="AO8" s="34"/>
      <c r="AP8" s="34">
        <f>+AP7-AM7</f>
        <v>668</v>
      </c>
      <c r="AQ8" s="34"/>
      <c r="AR8" s="34">
        <f>AR7-AP7</f>
        <v>297</v>
      </c>
      <c r="AS8" s="34">
        <f>+AS7-AR7</f>
        <v>437</v>
      </c>
      <c r="AT8" s="34"/>
      <c r="AU8" s="34">
        <f>+AU7-AS7</f>
        <v>415</v>
      </c>
      <c r="AV8" s="34"/>
      <c r="AW8" s="34">
        <f>+AW7-AV7</f>
        <v>394</v>
      </c>
      <c r="AX8" s="34">
        <f>+AX7-AW7</f>
        <v>160</v>
      </c>
      <c r="AY8" s="34">
        <f>+AY7-AX7</f>
        <v>841</v>
      </c>
      <c r="AZ8" s="34">
        <f>+AZ7-AY7</f>
        <v>306</v>
      </c>
      <c r="BA8" s="34">
        <f>+BA7-AZ7</f>
        <v>296</v>
      </c>
      <c r="BB8" s="34"/>
      <c r="BD8" s="28"/>
      <c r="BE8" s="28"/>
      <c r="BF8" s="28"/>
      <c r="BG8" s="28"/>
    </row>
    <row r="9" spans="1:67" s="27" customFormat="1" ht="23.1" customHeight="1" thickTop="1">
      <c r="B9" s="22"/>
      <c r="C9" s="23"/>
      <c r="D9" s="29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D9" s="32"/>
      <c r="BE9" s="32"/>
      <c r="BF9" s="32"/>
      <c r="BG9" s="32"/>
    </row>
    <row r="10" spans="1:67" s="3" customFormat="1" ht="23.1" customHeight="1">
      <c r="A10" s="1"/>
      <c r="B10" s="22"/>
      <c r="C10" s="23"/>
      <c r="D10" s="24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D10" s="26"/>
      <c r="BE10" s="26"/>
      <c r="BF10" s="26"/>
      <c r="BG10" s="26"/>
    </row>
    <row r="11" spans="1:67" s="3" customFormat="1" ht="23.1" customHeight="1">
      <c r="A11" s="1"/>
      <c r="B11" s="22"/>
      <c r="C11" s="23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D11" s="26"/>
      <c r="BE11" s="26"/>
      <c r="BF11" s="26"/>
      <c r="BG11" s="26"/>
    </row>
    <row r="12" spans="1:67" s="3" customFormat="1" ht="23.1" customHeight="1">
      <c r="A12" s="1"/>
      <c r="B12" s="1"/>
      <c r="C12" s="2"/>
      <c r="D12" s="1"/>
    </row>
    <row r="13" spans="1:67" s="3" customFormat="1" ht="23.1" customHeight="1">
      <c r="A13" s="1"/>
      <c r="B13" s="1"/>
      <c r="C13" s="2"/>
      <c r="D13" s="1"/>
    </row>
    <row r="14" spans="1:67" s="3" customFormat="1" ht="23.1" customHeight="1">
      <c r="A14" s="1"/>
      <c r="B14" s="1"/>
      <c r="C14" s="2"/>
      <c r="D14" s="1"/>
    </row>
    <row r="15" spans="1:67" s="3" customFormat="1" ht="23.1" customHeight="1">
      <c r="A15" s="1"/>
      <c r="B15" s="1"/>
      <c r="C15" s="2"/>
      <c r="D15" s="1"/>
    </row>
    <row r="16" spans="1:67" s="3" customFormat="1" ht="23.1" customHeight="1">
      <c r="A16" s="1"/>
      <c r="B16" s="1"/>
      <c r="C16" s="2"/>
      <c r="D16" s="1"/>
    </row>
    <row r="17" spans="1:4" s="3" customFormat="1" ht="23.1" customHeight="1">
      <c r="A17" s="1"/>
      <c r="B17" s="1"/>
      <c r="C17" s="2"/>
      <c r="D17" s="1"/>
    </row>
    <row r="18" spans="1:4" s="3" customFormat="1" ht="23.1" customHeight="1">
      <c r="A18" s="1"/>
      <c r="B18" s="1"/>
      <c r="C18" s="2"/>
      <c r="D18" s="1"/>
    </row>
    <row r="19" spans="1:4" s="3" customFormat="1" ht="23.1" customHeight="1">
      <c r="A19" s="1"/>
      <c r="B19" s="1"/>
      <c r="C19" s="2"/>
      <c r="D19" s="1"/>
    </row>
    <row r="20" spans="1:4" s="3" customFormat="1" ht="23.1" customHeight="1">
      <c r="A20" s="1"/>
      <c r="B20" s="1"/>
      <c r="C20" s="2"/>
      <c r="D20" s="1"/>
    </row>
    <row r="21" spans="1:4" s="3" customFormat="1" ht="23.1" customHeight="1">
      <c r="A21" s="1"/>
      <c r="B21" s="1"/>
      <c r="C21" s="2"/>
      <c r="D21" s="1"/>
    </row>
    <row r="22" spans="1:4" ht="23.1" customHeight="1"/>
    <row r="23" spans="1:4" ht="23.1" customHeight="1"/>
    <row r="24" spans="1:4" ht="23.1" customHeight="1"/>
    <row r="25" spans="1:4" ht="23.1" customHeight="1"/>
    <row r="26" spans="1:4" ht="23.1" customHeight="1"/>
    <row r="27" spans="1:4" ht="23.1" customHeight="1"/>
    <row r="28" spans="1:4" ht="23.1" customHeight="1"/>
    <row r="29" spans="1:4" ht="23.1" customHeight="1"/>
    <row r="30" spans="1:4" ht="23.1" customHeight="1"/>
    <row r="31" spans="1:4" ht="23.1" customHeight="1"/>
    <row r="32" spans="1:4" ht="23.1" customHeight="1"/>
    <row r="33" ht="23.1" customHeight="1"/>
    <row r="34" ht="23.1" customHeight="1"/>
    <row r="35" ht="23.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</sheetData>
  <mergeCells count="16">
    <mergeCell ref="BD3:BG3"/>
    <mergeCell ref="B5:B8"/>
    <mergeCell ref="C5:C8"/>
    <mergeCell ref="AQ3:AT3"/>
    <mergeCell ref="AU3:AX3"/>
    <mergeCell ref="AY3:BB3"/>
    <mergeCell ref="B3:D3"/>
    <mergeCell ref="E3:H3"/>
    <mergeCell ref="I3:L3"/>
    <mergeCell ref="M3:Q3"/>
    <mergeCell ref="R3:U3"/>
    <mergeCell ref="V3:Z3"/>
    <mergeCell ref="AA3:AD3"/>
    <mergeCell ref="AE3:AH3"/>
    <mergeCell ref="AI3:AL3"/>
    <mergeCell ref="AM3:AP3"/>
  </mergeCells>
  <pageMargins left="0.7" right="0.7" top="0.75" bottom="0.75" header="0.3" footer="0.3"/>
  <pageSetup paperSize="9" scale="68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315"/>
  <sheetViews>
    <sheetView workbookViewId="0">
      <pane xSplit="4" ySplit="4" topLeftCell="AE5" activePane="bottomRight" state="frozen"/>
      <selection pane="topRight" activeCell="E1" sqref="E1"/>
      <selection pane="bottomLeft" activeCell="A5" sqref="A5"/>
      <selection pane="bottomRight" activeCell="AK17" sqref="AK17"/>
    </sheetView>
  </sheetViews>
  <sheetFormatPr defaultRowHeight="12.75"/>
  <cols>
    <col min="1" max="1" width="1.7109375" style="1" customWidth="1"/>
    <col min="2" max="2" width="5.7109375" style="1" customWidth="1"/>
    <col min="3" max="3" width="18.7109375" style="2" customWidth="1"/>
    <col min="4" max="4" width="15" style="1" bestFit="1" customWidth="1"/>
    <col min="5" max="30" width="12.7109375" style="3" hidden="1" customWidth="1"/>
    <col min="31" max="42" width="12.7109375" style="3" customWidth="1"/>
    <col min="43" max="43" width="3.7109375" style="3" customWidth="1"/>
    <col min="44" max="46" width="11.7109375" style="3" customWidth="1"/>
    <col min="47" max="47" width="14.7109375" style="3" customWidth="1"/>
    <col min="48" max="51" width="12.7109375" style="3" customWidth="1"/>
    <col min="52" max="55" width="10.7109375" style="3" customWidth="1"/>
    <col min="56" max="16384" width="9.140625" style="1"/>
  </cols>
  <sheetData>
    <row r="1" spans="1:55" ht="9.9499999999999993" customHeight="1"/>
    <row r="2" spans="1:55" s="4" customFormat="1" ht="39.950000000000003" customHeight="1">
      <c r="B2" s="4" t="s">
        <v>0</v>
      </c>
      <c r="C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</row>
    <row r="3" spans="1:55" ht="24.75" customHeight="1">
      <c r="B3" s="63" t="s">
        <v>33</v>
      </c>
      <c r="C3" s="64"/>
      <c r="D3" s="65"/>
      <c r="E3" s="54">
        <v>43739</v>
      </c>
      <c r="F3" s="72"/>
      <c r="G3" s="72"/>
      <c r="H3" s="72"/>
      <c r="I3" s="54">
        <v>43770</v>
      </c>
      <c r="J3" s="54"/>
      <c r="K3" s="54"/>
      <c r="L3" s="54"/>
      <c r="M3" s="67">
        <v>43800</v>
      </c>
      <c r="N3" s="67"/>
      <c r="O3" s="67"/>
      <c r="P3" s="67"/>
      <c r="Q3" s="68"/>
      <c r="R3" s="66">
        <v>43831</v>
      </c>
      <c r="S3" s="70"/>
      <c r="T3" s="70"/>
      <c r="U3" s="71"/>
      <c r="V3" s="66">
        <v>43862</v>
      </c>
      <c r="W3" s="67"/>
      <c r="X3" s="67"/>
      <c r="Y3" s="67"/>
      <c r="Z3" s="68"/>
      <c r="AA3" s="54">
        <v>43891</v>
      </c>
      <c r="AB3" s="54"/>
      <c r="AC3" s="54"/>
      <c r="AD3" s="54"/>
      <c r="AE3" s="66">
        <v>43922</v>
      </c>
      <c r="AF3" s="70"/>
      <c r="AG3" s="70"/>
      <c r="AH3" s="71"/>
      <c r="AI3" s="66">
        <v>43952</v>
      </c>
      <c r="AJ3" s="67"/>
      <c r="AK3" s="67"/>
      <c r="AL3" s="67"/>
      <c r="AM3" s="54">
        <v>43983</v>
      </c>
      <c r="AN3" s="54"/>
      <c r="AO3" s="54"/>
      <c r="AP3" s="54"/>
      <c r="AR3" s="69" t="s">
        <v>4</v>
      </c>
      <c r="AS3" s="69"/>
      <c r="AT3" s="69"/>
      <c r="AU3" s="69"/>
    </row>
    <row r="4" spans="1:55" s="13" customFormat="1" ht="24.95" customHeight="1" thickBot="1">
      <c r="B4" s="7" t="s">
        <v>5</v>
      </c>
      <c r="C4" s="8" t="s">
        <v>6</v>
      </c>
      <c r="D4" s="9" t="s">
        <v>7</v>
      </c>
      <c r="E4" s="10" t="s">
        <v>71</v>
      </c>
      <c r="F4" s="10" t="s">
        <v>72</v>
      </c>
      <c r="G4" s="10" t="s">
        <v>73</v>
      </c>
      <c r="H4" s="10" t="s">
        <v>74</v>
      </c>
      <c r="I4" s="10" t="s">
        <v>75</v>
      </c>
      <c r="J4" s="10" t="s">
        <v>76</v>
      </c>
      <c r="K4" s="10" t="s">
        <v>77</v>
      </c>
      <c r="L4" s="10" t="s">
        <v>78</v>
      </c>
      <c r="M4" s="10" t="s">
        <v>79</v>
      </c>
      <c r="N4" s="10" t="s">
        <v>80</v>
      </c>
      <c r="O4" s="10" t="s">
        <v>81</v>
      </c>
      <c r="P4" s="10" t="s">
        <v>82</v>
      </c>
      <c r="Q4" s="10" t="s">
        <v>83</v>
      </c>
      <c r="R4" s="10" t="s">
        <v>87</v>
      </c>
      <c r="S4" s="10" t="s">
        <v>88</v>
      </c>
      <c r="T4" s="10" t="s">
        <v>89</v>
      </c>
      <c r="U4" s="10" t="s">
        <v>90</v>
      </c>
      <c r="V4" s="10" t="s">
        <v>91</v>
      </c>
      <c r="W4" s="10" t="s">
        <v>92</v>
      </c>
      <c r="X4" s="10" t="s">
        <v>93</v>
      </c>
      <c r="Y4" s="10" t="s">
        <v>94</v>
      </c>
      <c r="Z4" s="10" t="s">
        <v>95</v>
      </c>
      <c r="AA4" s="10" t="s">
        <v>96</v>
      </c>
      <c r="AB4" s="10" t="s">
        <v>97</v>
      </c>
      <c r="AC4" s="10" t="s">
        <v>98</v>
      </c>
      <c r="AD4" s="10" t="s">
        <v>99</v>
      </c>
      <c r="AE4" s="10" t="s">
        <v>100</v>
      </c>
      <c r="AF4" s="10" t="s">
        <v>101</v>
      </c>
      <c r="AG4" s="10" t="s">
        <v>102</v>
      </c>
      <c r="AH4" s="10" t="s">
        <v>103</v>
      </c>
      <c r="AI4" s="10" t="s">
        <v>104</v>
      </c>
      <c r="AJ4" s="10" t="s">
        <v>105</v>
      </c>
      <c r="AK4" s="10" t="s">
        <v>106</v>
      </c>
      <c r="AL4" s="10" t="s">
        <v>107</v>
      </c>
      <c r="AM4" s="10" t="s">
        <v>108</v>
      </c>
      <c r="AN4" s="10" t="s">
        <v>109</v>
      </c>
      <c r="AO4" s="10" t="s">
        <v>110</v>
      </c>
      <c r="AP4" s="10" t="s">
        <v>111</v>
      </c>
      <c r="AQ4" s="11"/>
      <c r="AR4" s="12" t="s">
        <v>86</v>
      </c>
      <c r="AS4" s="12" t="s">
        <v>20</v>
      </c>
      <c r="AT4" s="12" t="s">
        <v>21</v>
      </c>
      <c r="AU4" s="12" t="s">
        <v>23</v>
      </c>
      <c r="AV4" s="11"/>
      <c r="AW4" s="11"/>
      <c r="AX4" s="11"/>
      <c r="AY4" s="11"/>
      <c r="AZ4" s="11"/>
      <c r="BA4" s="11"/>
      <c r="BB4" s="11"/>
      <c r="BC4" s="11"/>
    </row>
    <row r="5" spans="1:55" s="3" customFormat="1" ht="23.1" customHeight="1" thickTop="1">
      <c r="A5" s="1"/>
      <c r="B5" s="55">
        <v>1</v>
      </c>
      <c r="C5" s="59" t="s">
        <v>32</v>
      </c>
      <c r="D5" s="20" t="s">
        <v>25</v>
      </c>
      <c r="E5" s="21">
        <v>280000</v>
      </c>
      <c r="F5" s="21"/>
      <c r="G5" s="21">
        <v>310000</v>
      </c>
      <c r="H5" s="21">
        <v>300000</v>
      </c>
      <c r="I5" s="21"/>
      <c r="J5" s="21">
        <v>335000</v>
      </c>
      <c r="K5" s="21"/>
      <c r="L5" s="21">
        <v>320000</v>
      </c>
      <c r="M5" s="21">
        <v>300000</v>
      </c>
      <c r="N5" s="21"/>
      <c r="O5" s="21">
        <v>320000</v>
      </c>
      <c r="P5" s="21">
        <v>273000</v>
      </c>
      <c r="Q5" s="21"/>
      <c r="R5" s="21">
        <v>319311</v>
      </c>
      <c r="S5" s="21">
        <v>320000</v>
      </c>
      <c r="T5" s="21">
        <v>317300</v>
      </c>
      <c r="U5" s="21">
        <v>288030</v>
      </c>
      <c r="V5" s="21">
        <v>0</v>
      </c>
      <c r="W5" s="21">
        <v>320000</v>
      </c>
      <c r="X5" s="21">
        <v>319158</v>
      </c>
      <c r="Y5" s="21">
        <v>316779</v>
      </c>
      <c r="Z5" s="21">
        <v>320229</v>
      </c>
      <c r="AA5" s="21">
        <v>300000</v>
      </c>
      <c r="AB5" s="21"/>
      <c r="AC5" s="21">
        <v>313451</v>
      </c>
      <c r="AD5" s="21"/>
      <c r="AE5" s="21">
        <v>316794</v>
      </c>
      <c r="AF5" s="21"/>
      <c r="AG5" s="21">
        <v>321361</v>
      </c>
      <c r="AH5" s="21"/>
      <c r="AI5" s="21">
        <v>276234</v>
      </c>
      <c r="AJ5" s="21">
        <v>280000</v>
      </c>
      <c r="AK5" s="21"/>
      <c r="AL5" s="21">
        <v>284500</v>
      </c>
      <c r="AM5" s="21">
        <v>295800</v>
      </c>
      <c r="AN5" s="21">
        <v>250000</v>
      </c>
      <c r="AO5" s="21"/>
      <c r="AP5" s="21">
        <v>300000</v>
      </c>
      <c r="AR5" s="16">
        <f>+AVERAGE(M5:Q5)</f>
        <v>297666.66666666669</v>
      </c>
      <c r="AS5" s="16"/>
      <c r="AT5" s="16"/>
      <c r="AU5" s="16">
        <f>+AVERAGE(M5:Y5)</f>
        <v>281234.36363636365</v>
      </c>
    </row>
    <row r="6" spans="1:55" s="3" customFormat="1" ht="23.1" customHeight="1">
      <c r="A6" s="1"/>
      <c r="B6" s="56"/>
      <c r="C6" s="60"/>
      <c r="D6" s="14" t="s">
        <v>26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R6" s="16"/>
      <c r="AS6" s="16"/>
      <c r="AT6" s="16"/>
      <c r="AU6" s="16"/>
    </row>
    <row r="7" spans="1:55" s="27" customFormat="1" ht="23.1" customHeight="1" thickBot="1">
      <c r="B7" s="57"/>
      <c r="C7" s="61"/>
      <c r="D7" s="36" t="s">
        <v>52</v>
      </c>
      <c r="E7" s="37">
        <v>79598</v>
      </c>
      <c r="F7" s="37"/>
      <c r="G7" s="37">
        <v>80143</v>
      </c>
      <c r="H7" s="37">
        <v>80472</v>
      </c>
      <c r="I7" s="37"/>
      <c r="J7" s="37">
        <v>80867</v>
      </c>
      <c r="K7" s="37"/>
      <c r="L7" s="37">
        <v>81374</v>
      </c>
      <c r="M7" s="37">
        <v>81869</v>
      </c>
      <c r="N7" s="37"/>
      <c r="O7" s="37">
        <v>82200</v>
      </c>
      <c r="P7" s="37">
        <v>82565</v>
      </c>
      <c r="Q7" s="37"/>
      <c r="R7" s="37">
        <v>83353</v>
      </c>
      <c r="S7" s="37">
        <v>83741</v>
      </c>
      <c r="T7" s="37">
        <v>84193</v>
      </c>
      <c r="U7" s="37">
        <v>84622</v>
      </c>
      <c r="V7" s="37"/>
      <c r="W7" s="37">
        <v>84999</v>
      </c>
      <c r="X7" s="37">
        <v>85378</v>
      </c>
      <c r="Y7" s="37">
        <v>85758</v>
      </c>
      <c r="Z7" s="37">
        <v>86137</v>
      </c>
      <c r="AA7" s="37">
        <v>86543</v>
      </c>
      <c r="AB7" s="37"/>
      <c r="AC7" s="37">
        <v>86881</v>
      </c>
      <c r="AD7" s="37"/>
      <c r="AE7" s="37">
        <v>87240</v>
      </c>
      <c r="AF7" s="37"/>
      <c r="AG7" s="37">
        <v>87569</v>
      </c>
      <c r="AH7" s="37"/>
      <c r="AI7" s="37">
        <v>87911</v>
      </c>
      <c r="AJ7" s="37">
        <v>88208</v>
      </c>
      <c r="AK7" s="37"/>
      <c r="AL7" s="37">
        <v>88513</v>
      </c>
      <c r="AM7" s="37">
        <v>88870</v>
      </c>
      <c r="AN7" s="37"/>
      <c r="AO7" s="37"/>
      <c r="AP7" s="37">
        <v>89538</v>
      </c>
      <c r="AR7" s="28"/>
      <c r="AS7" s="28"/>
      <c r="AT7" s="28"/>
      <c r="AU7" s="28"/>
    </row>
    <row r="8" spans="1:55" s="27" customFormat="1" ht="23.1" customHeight="1" thickTop="1" thickBot="1">
      <c r="B8" s="58"/>
      <c r="C8" s="62"/>
      <c r="D8" s="33" t="s">
        <v>53</v>
      </c>
      <c r="E8" s="34">
        <f>E7-'JUL-SEPT'!Q7</f>
        <v>328</v>
      </c>
      <c r="F8" s="34"/>
      <c r="G8" s="34">
        <f>+G7-E7</f>
        <v>545</v>
      </c>
      <c r="H8" s="34">
        <f>+H7-G7</f>
        <v>329</v>
      </c>
      <c r="I8" s="34"/>
      <c r="J8" s="34">
        <f>+J7-H7</f>
        <v>395</v>
      </c>
      <c r="K8" s="34"/>
      <c r="L8" s="34">
        <f>+L7-J7</f>
        <v>507</v>
      </c>
      <c r="M8" s="34">
        <f>+M7-L7</f>
        <v>495</v>
      </c>
      <c r="N8" s="34"/>
      <c r="O8" s="34">
        <f>+O7-M7</f>
        <v>331</v>
      </c>
      <c r="P8" s="34">
        <f>+P7-O7</f>
        <v>365</v>
      </c>
      <c r="Q8" s="34"/>
      <c r="R8" s="34">
        <f>R7-P7</f>
        <v>788</v>
      </c>
      <c r="S8" s="34">
        <f>S7-R7</f>
        <v>388</v>
      </c>
      <c r="T8" s="34">
        <f>+T7-S7</f>
        <v>452</v>
      </c>
      <c r="U8" s="34">
        <f>+U7-T7</f>
        <v>429</v>
      </c>
      <c r="V8" s="34"/>
      <c r="W8" s="34">
        <f>+W7-U7</f>
        <v>377</v>
      </c>
      <c r="X8" s="34">
        <f>X7-W7</f>
        <v>379</v>
      </c>
      <c r="Y8" s="34">
        <f>Y7-X7</f>
        <v>380</v>
      </c>
      <c r="Z8" s="34">
        <f>Z7-Y7</f>
        <v>379</v>
      </c>
      <c r="AA8" s="34">
        <f>AA7-Z7</f>
        <v>406</v>
      </c>
      <c r="AB8" s="34"/>
      <c r="AC8" s="34">
        <f>AC7-AA7</f>
        <v>338</v>
      </c>
      <c r="AD8" s="34"/>
      <c r="AE8" s="34">
        <f>AE7-AC7</f>
        <v>359</v>
      </c>
      <c r="AF8" s="34"/>
      <c r="AG8" s="34">
        <f>AG7-AE7</f>
        <v>329</v>
      </c>
      <c r="AH8" s="34"/>
      <c r="AI8" s="34">
        <f>AI7-AG7</f>
        <v>342</v>
      </c>
      <c r="AJ8" s="34">
        <f>AJ7-AI7</f>
        <v>297</v>
      </c>
      <c r="AK8" s="34"/>
      <c r="AL8" s="34">
        <f>+AL7-AJ7</f>
        <v>305</v>
      </c>
      <c r="AM8" s="34">
        <f>+AM7-AL7</f>
        <v>357</v>
      </c>
      <c r="AN8" s="34"/>
      <c r="AO8" s="34"/>
      <c r="AP8" s="34">
        <f>+AP7-AM7</f>
        <v>668</v>
      </c>
      <c r="AR8" s="28"/>
      <c r="AS8" s="28"/>
      <c r="AT8" s="28"/>
      <c r="AU8" s="28"/>
    </row>
    <row r="9" spans="1:55" s="27" customFormat="1" ht="23.1" customHeight="1" thickTop="1">
      <c r="B9" s="22"/>
      <c r="C9" s="23"/>
      <c r="D9" s="29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R9" s="32"/>
      <c r="AS9" s="32"/>
      <c r="AT9" s="32"/>
      <c r="AU9" s="32"/>
    </row>
    <row r="10" spans="1:55" s="3" customFormat="1" ht="23.1" customHeight="1">
      <c r="A10" s="1"/>
      <c r="B10" s="22"/>
      <c r="C10" s="23"/>
      <c r="D10" s="24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R10" s="26"/>
      <c r="AS10" s="26"/>
      <c r="AT10" s="26"/>
      <c r="AU10" s="26"/>
    </row>
    <row r="11" spans="1:55" s="3" customFormat="1" ht="23.1" customHeight="1">
      <c r="A11" s="1"/>
      <c r="B11" s="22"/>
      <c r="C11" s="23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R11" s="26"/>
      <c r="AS11" s="26"/>
      <c r="AT11" s="26"/>
      <c r="AU11" s="26"/>
    </row>
    <row r="12" spans="1:55" s="3" customFormat="1" ht="23.1" customHeight="1">
      <c r="A12" s="1"/>
      <c r="B12" s="1"/>
      <c r="C12" s="2"/>
      <c r="D12" s="1"/>
    </row>
    <row r="13" spans="1:55" s="3" customFormat="1" ht="23.1" customHeight="1">
      <c r="A13" s="1"/>
      <c r="B13" s="1"/>
      <c r="C13" s="2"/>
      <c r="D13" s="1"/>
    </row>
    <row r="14" spans="1:55" s="3" customFormat="1" ht="23.1" customHeight="1">
      <c r="A14" s="1"/>
      <c r="B14" s="1"/>
      <c r="C14" s="2"/>
      <c r="D14" s="1"/>
    </row>
    <row r="15" spans="1:55" s="3" customFormat="1" ht="23.1" customHeight="1">
      <c r="A15" s="1"/>
      <c r="B15" s="1"/>
      <c r="C15" s="2"/>
      <c r="D15" s="1"/>
    </row>
    <row r="16" spans="1:55" s="3" customFormat="1" ht="23.1" customHeight="1">
      <c r="A16" s="1"/>
      <c r="B16" s="1"/>
      <c r="C16" s="2"/>
      <c r="D16" s="1"/>
    </row>
    <row r="17" spans="1:4" s="3" customFormat="1" ht="23.1" customHeight="1">
      <c r="A17" s="1"/>
      <c r="B17" s="1"/>
      <c r="C17" s="2"/>
      <c r="D17" s="1"/>
    </row>
    <row r="18" spans="1:4" s="3" customFormat="1" ht="23.1" customHeight="1">
      <c r="A18" s="1"/>
      <c r="B18" s="1"/>
      <c r="C18" s="2"/>
      <c r="D18" s="1"/>
    </row>
    <row r="19" spans="1:4" s="3" customFormat="1" ht="23.1" customHeight="1">
      <c r="A19" s="1"/>
      <c r="B19" s="1"/>
      <c r="C19" s="2"/>
      <c r="D19" s="1"/>
    </row>
    <row r="20" spans="1:4" s="3" customFormat="1" ht="23.1" customHeight="1">
      <c r="A20" s="1"/>
      <c r="B20" s="1"/>
      <c r="C20" s="2"/>
      <c r="D20" s="1"/>
    </row>
    <row r="21" spans="1:4" s="3" customFormat="1" ht="23.1" customHeight="1">
      <c r="A21" s="1"/>
      <c r="B21" s="1"/>
      <c r="C21" s="2"/>
      <c r="D21" s="1"/>
    </row>
    <row r="22" spans="1:4" ht="23.1" customHeight="1"/>
    <row r="23" spans="1:4" ht="23.1" customHeight="1"/>
    <row r="24" spans="1:4" ht="23.1" customHeight="1"/>
    <row r="25" spans="1:4" ht="23.1" customHeight="1"/>
    <row r="26" spans="1:4" ht="23.1" customHeight="1"/>
    <row r="27" spans="1:4" ht="23.1" customHeight="1"/>
    <row r="28" spans="1:4" ht="23.1" customHeight="1"/>
    <row r="29" spans="1:4" ht="23.1" customHeight="1"/>
    <row r="30" spans="1:4" ht="23.1" customHeight="1"/>
    <row r="31" spans="1:4" ht="23.1" customHeight="1"/>
    <row r="32" spans="1:4" ht="23.1" customHeight="1"/>
    <row r="33" ht="23.1" customHeight="1"/>
    <row r="34" ht="23.1" customHeight="1"/>
    <row r="35" ht="23.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</sheetData>
  <mergeCells count="13">
    <mergeCell ref="AA3:AD3"/>
    <mergeCell ref="AR3:AU3"/>
    <mergeCell ref="B5:B8"/>
    <mergeCell ref="C5:C8"/>
    <mergeCell ref="AE3:AH3"/>
    <mergeCell ref="AI3:AL3"/>
    <mergeCell ref="AM3:AP3"/>
    <mergeCell ref="B3:D3"/>
    <mergeCell ref="E3:H3"/>
    <mergeCell ref="I3:L3"/>
    <mergeCell ref="M3:Q3"/>
    <mergeCell ref="R3:U3"/>
    <mergeCell ref="V3:Z3"/>
  </mergeCells>
  <pageMargins left="0.7" right="0.7" top="0.75" bottom="0.75" header="0.3" footer="0.3"/>
  <pageSetup paperSize="9" scale="68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315"/>
  <sheetViews>
    <sheetView workbookViewId="0">
      <pane xSplit="4" ySplit="4" topLeftCell="I5" activePane="bottomRight" state="frozen"/>
      <selection pane="topRight" activeCell="E1" sqref="E1"/>
      <selection pane="bottomLeft" activeCell="A5" sqref="A5"/>
      <selection pane="bottomRight" activeCell="J16" sqref="J16"/>
    </sheetView>
  </sheetViews>
  <sheetFormatPr defaultRowHeight="12.75"/>
  <cols>
    <col min="1" max="1" width="1.7109375" style="1" customWidth="1"/>
    <col min="2" max="2" width="5.7109375" style="1" customWidth="1"/>
    <col min="3" max="3" width="18.7109375" style="2" customWidth="1"/>
    <col min="4" max="4" width="15" style="1" bestFit="1" customWidth="1"/>
    <col min="5" max="30" width="12.7109375" style="3" customWidth="1"/>
    <col min="31" max="31" width="3.7109375" style="3" customWidth="1"/>
    <col min="32" max="34" width="11.7109375" style="3" customWidth="1"/>
    <col min="35" max="35" width="14.7109375" style="3" customWidth="1"/>
    <col min="36" max="39" width="12.7109375" style="3" customWidth="1"/>
    <col min="40" max="43" width="10.7109375" style="3" customWidth="1"/>
    <col min="44" max="16384" width="9.140625" style="1"/>
  </cols>
  <sheetData>
    <row r="1" spans="1:43" ht="9.9499999999999993" customHeight="1"/>
    <row r="2" spans="1:43" s="4" customFormat="1" ht="39.950000000000003" customHeight="1">
      <c r="B2" s="4" t="s">
        <v>0</v>
      </c>
      <c r="C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ht="24.75" customHeight="1">
      <c r="B3" s="63" t="s">
        <v>33</v>
      </c>
      <c r="C3" s="64"/>
      <c r="D3" s="65"/>
      <c r="E3" s="54">
        <v>43739</v>
      </c>
      <c r="F3" s="72"/>
      <c r="G3" s="72"/>
      <c r="H3" s="72"/>
      <c r="I3" s="54">
        <v>43770</v>
      </c>
      <c r="J3" s="54"/>
      <c r="K3" s="54"/>
      <c r="L3" s="54"/>
      <c r="M3" s="67">
        <v>43800</v>
      </c>
      <c r="N3" s="67"/>
      <c r="O3" s="67"/>
      <c r="P3" s="67"/>
      <c r="Q3" s="68"/>
      <c r="R3" s="66">
        <v>43831</v>
      </c>
      <c r="S3" s="70"/>
      <c r="T3" s="70"/>
      <c r="U3" s="71"/>
      <c r="V3" s="66">
        <v>43862</v>
      </c>
      <c r="W3" s="67"/>
      <c r="X3" s="67"/>
      <c r="Y3" s="67"/>
      <c r="Z3" s="68"/>
      <c r="AA3" s="54">
        <v>43891</v>
      </c>
      <c r="AB3" s="54"/>
      <c r="AC3" s="54"/>
      <c r="AD3" s="54"/>
      <c r="AF3" s="69" t="s">
        <v>4</v>
      </c>
      <c r="AG3" s="69"/>
      <c r="AH3" s="69"/>
      <c r="AI3" s="69"/>
    </row>
    <row r="4" spans="1:43" s="13" customFormat="1" ht="24.95" customHeight="1" thickBot="1">
      <c r="B4" s="7" t="s">
        <v>5</v>
      </c>
      <c r="C4" s="8" t="s">
        <v>6</v>
      </c>
      <c r="D4" s="9" t="s">
        <v>7</v>
      </c>
      <c r="E4" s="10" t="s">
        <v>71</v>
      </c>
      <c r="F4" s="10" t="s">
        <v>72</v>
      </c>
      <c r="G4" s="10" t="s">
        <v>73</v>
      </c>
      <c r="H4" s="10" t="s">
        <v>74</v>
      </c>
      <c r="I4" s="10" t="s">
        <v>75</v>
      </c>
      <c r="J4" s="10" t="s">
        <v>76</v>
      </c>
      <c r="K4" s="10" t="s">
        <v>77</v>
      </c>
      <c r="L4" s="10" t="s">
        <v>78</v>
      </c>
      <c r="M4" s="10" t="s">
        <v>79</v>
      </c>
      <c r="N4" s="10" t="s">
        <v>80</v>
      </c>
      <c r="O4" s="10" t="s">
        <v>81</v>
      </c>
      <c r="P4" s="10" t="s">
        <v>82</v>
      </c>
      <c r="Q4" s="10" t="s">
        <v>83</v>
      </c>
      <c r="R4" s="10" t="s">
        <v>87</v>
      </c>
      <c r="S4" s="10" t="s">
        <v>88</v>
      </c>
      <c r="T4" s="10" t="s">
        <v>89</v>
      </c>
      <c r="U4" s="10" t="s">
        <v>90</v>
      </c>
      <c r="V4" s="10" t="s">
        <v>91</v>
      </c>
      <c r="W4" s="10" t="s">
        <v>92</v>
      </c>
      <c r="X4" s="10" t="s">
        <v>93</v>
      </c>
      <c r="Y4" s="10" t="s">
        <v>94</v>
      </c>
      <c r="Z4" s="10" t="s">
        <v>95</v>
      </c>
      <c r="AA4" s="10" t="s">
        <v>96</v>
      </c>
      <c r="AB4" s="10" t="s">
        <v>97</v>
      </c>
      <c r="AC4" s="10" t="s">
        <v>98</v>
      </c>
      <c r="AD4" s="10" t="s">
        <v>99</v>
      </c>
      <c r="AE4" s="11"/>
      <c r="AF4" s="12" t="s">
        <v>86</v>
      </c>
      <c r="AG4" s="12" t="s">
        <v>20</v>
      </c>
      <c r="AH4" s="12" t="s">
        <v>21</v>
      </c>
      <c r="AI4" s="12" t="s">
        <v>23</v>
      </c>
      <c r="AJ4" s="11"/>
      <c r="AK4" s="11"/>
      <c r="AL4" s="11"/>
      <c r="AM4" s="11"/>
      <c r="AN4" s="11"/>
      <c r="AO4" s="11"/>
      <c r="AP4" s="11"/>
      <c r="AQ4" s="11"/>
    </row>
    <row r="5" spans="1:43" s="3" customFormat="1" ht="23.1" customHeight="1" thickTop="1">
      <c r="A5" s="1"/>
      <c r="B5" s="55">
        <v>1</v>
      </c>
      <c r="C5" s="59" t="s">
        <v>32</v>
      </c>
      <c r="D5" s="20" t="s">
        <v>25</v>
      </c>
      <c r="E5" s="21">
        <v>280000</v>
      </c>
      <c r="F5" s="21"/>
      <c r="G5" s="21">
        <v>310000</v>
      </c>
      <c r="H5" s="21">
        <v>300000</v>
      </c>
      <c r="I5" s="21"/>
      <c r="J5" s="21">
        <v>335000</v>
      </c>
      <c r="K5" s="21"/>
      <c r="L5" s="21">
        <v>320000</v>
      </c>
      <c r="M5" s="21">
        <v>300000</v>
      </c>
      <c r="N5" s="21"/>
      <c r="O5" s="21">
        <v>320000</v>
      </c>
      <c r="P5" s="21">
        <v>273000</v>
      </c>
      <c r="Q5" s="21"/>
      <c r="R5" s="21">
        <v>319311</v>
      </c>
      <c r="S5" s="21">
        <v>320000</v>
      </c>
      <c r="T5" s="21">
        <v>317300</v>
      </c>
      <c r="U5" s="21">
        <v>288030</v>
      </c>
      <c r="V5" s="21">
        <v>0</v>
      </c>
      <c r="W5" s="21">
        <v>320000</v>
      </c>
      <c r="X5" s="21">
        <v>319158</v>
      </c>
      <c r="Y5" s="21">
        <v>316779</v>
      </c>
      <c r="Z5" s="21">
        <v>320229</v>
      </c>
      <c r="AA5" s="21">
        <v>300000</v>
      </c>
      <c r="AB5" s="21"/>
      <c r="AC5" s="21">
        <v>313451</v>
      </c>
      <c r="AD5" s="21"/>
      <c r="AF5" s="16">
        <f>+AVERAGE(M5:Q5)</f>
        <v>297666.66666666669</v>
      </c>
      <c r="AG5" s="16"/>
      <c r="AH5" s="16"/>
      <c r="AI5" s="16">
        <f>+AVERAGE(M5:Y5)</f>
        <v>281234.36363636365</v>
      </c>
    </row>
    <row r="6" spans="1:43" s="3" customFormat="1" ht="23.1" customHeight="1">
      <c r="A6" s="1"/>
      <c r="B6" s="56"/>
      <c r="C6" s="60"/>
      <c r="D6" s="14" t="s">
        <v>26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F6" s="16"/>
      <c r="AG6" s="16"/>
      <c r="AH6" s="16"/>
      <c r="AI6" s="16"/>
    </row>
    <row r="7" spans="1:43" s="27" customFormat="1" ht="23.1" customHeight="1" thickBot="1">
      <c r="B7" s="57"/>
      <c r="C7" s="61"/>
      <c r="D7" s="36" t="s">
        <v>52</v>
      </c>
      <c r="E7" s="37">
        <v>79598</v>
      </c>
      <c r="F7" s="37"/>
      <c r="G7" s="37">
        <v>80143</v>
      </c>
      <c r="H7" s="37">
        <v>80472</v>
      </c>
      <c r="I7" s="37"/>
      <c r="J7" s="37">
        <v>80867</v>
      </c>
      <c r="K7" s="37"/>
      <c r="L7" s="37">
        <v>81374</v>
      </c>
      <c r="M7" s="37">
        <v>81869</v>
      </c>
      <c r="N7" s="37"/>
      <c r="O7" s="37">
        <v>82200</v>
      </c>
      <c r="P7" s="37">
        <v>82565</v>
      </c>
      <c r="Q7" s="37"/>
      <c r="R7" s="37">
        <v>83353</v>
      </c>
      <c r="S7" s="37">
        <v>83741</v>
      </c>
      <c r="T7" s="37">
        <v>84193</v>
      </c>
      <c r="U7" s="37">
        <v>84622</v>
      </c>
      <c r="V7" s="37"/>
      <c r="W7" s="37">
        <v>84999</v>
      </c>
      <c r="X7" s="37">
        <v>85378</v>
      </c>
      <c r="Y7" s="37">
        <v>85758</v>
      </c>
      <c r="Z7" s="37">
        <v>86137</v>
      </c>
      <c r="AA7" s="37">
        <v>86543</v>
      </c>
      <c r="AB7" s="37"/>
      <c r="AC7" s="37">
        <v>86881</v>
      </c>
      <c r="AD7" s="37"/>
      <c r="AF7" s="28"/>
      <c r="AG7" s="28"/>
      <c r="AH7" s="28"/>
      <c r="AI7" s="28"/>
    </row>
    <row r="8" spans="1:43" s="27" customFormat="1" ht="23.1" customHeight="1" thickTop="1" thickBot="1">
      <c r="B8" s="58"/>
      <c r="C8" s="62"/>
      <c r="D8" s="33" t="s">
        <v>53</v>
      </c>
      <c r="E8" s="34">
        <f>E7-'JUL-SEPT'!Q7</f>
        <v>328</v>
      </c>
      <c r="F8" s="34"/>
      <c r="G8" s="34">
        <f>+G7-E7</f>
        <v>545</v>
      </c>
      <c r="H8" s="34">
        <f>+H7-G7</f>
        <v>329</v>
      </c>
      <c r="I8" s="34"/>
      <c r="J8" s="34">
        <f>+J7-H7</f>
        <v>395</v>
      </c>
      <c r="K8" s="34"/>
      <c r="L8" s="34">
        <f>+L7-J7</f>
        <v>507</v>
      </c>
      <c r="M8" s="34">
        <f>+M7-L7</f>
        <v>495</v>
      </c>
      <c r="N8" s="34"/>
      <c r="O8" s="34">
        <f>+O7-M7</f>
        <v>331</v>
      </c>
      <c r="P8" s="34">
        <f>+P7-O7</f>
        <v>365</v>
      </c>
      <c r="Q8" s="34"/>
      <c r="R8" s="34">
        <f>R7-P7</f>
        <v>788</v>
      </c>
      <c r="S8" s="34">
        <f>S7-R7</f>
        <v>388</v>
      </c>
      <c r="T8" s="34">
        <f>+T7-S7</f>
        <v>452</v>
      </c>
      <c r="U8" s="34">
        <f>+U7-T7</f>
        <v>429</v>
      </c>
      <c r="V8" s="34"/>
      <c r="W8" s="34">
        <f>+W7-U7</f>
        <v>377</v>
      </c>
      <c r="X8" s="34">
        <f>X7-W7</f>
        <v>379</v>
      </c>
      <c r="Y8" s="34">
        <f>Y7-X7</f>
        <v>380</v>
      </c>
      <c r="Z8" s="34">
        <f>Z7-Y7</f>
        <v>379</v>
      </c>
      <c r="AA8" s="34">
        <f>AA7-Z7</f>
        <v>406</v>
      </c>
      <c r="AB8" s="34"/>
      <c r="AC8" s="34">
        <f>AC7-AA7</f>
        <v>338</v>
      </c>
      <c r="AD8" s="34"/>
      <c r="AF8" s="28"/>
      <c r="AG8" s="28"/>
      <c r="AH8" s="28"/>
      <c r="AI8" s="28"/>
    </row>
    <row r="9" spans="1:43" s="27" customFormat="1" ht="23.1" customHeight="1" thickTop="1">
      <c r="B9" s="22"/>
      <c r="C9" s="23"/>
      <c r="D9" s="29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F9" s="32"/>
      <c r="AG9" s="32"/>
      <c r="AH9" s="32"/>
      <c r="AI9" s="32"/>
    </row>
    <row r="10" spans="1:43" s="3" customFormat="1" ht="23.1" customHeight="1">
      <c r="A10" s="1"/>
      <c r="B10" s="22"/>
      <c r="C10" s="23"/>
      <c r="D10" s="24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F10" s="26"/>
      <c r="AG10" s="26"/>
      <c r="AH10" s="26"/>
      <c r="AI10" s="26"/>
    </row>
    <row r="11" spans="1:43" s="3" customFormat="1" ht="23.1" customHeight="1">
      <c r="A11" s="1"/>
      <c r="B11" s="22"/>
      <c r="C11" s="23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F11" s="26"/>
      <c r="AG11" s="26"/>
      <c r="AH11" s="26"/>
      <c r="AI11" s="26"/>
    </row>
    <row r="12" spans="1:43" s="3" customFormat="1" ht="23.1" customHeight="1">
      <c r="A12" s="1"/>
      <c r="B12" s="1"/>
      <c r="C12" s="2"/>
      <c r="D12" s="1"/>
    </row>
    <row r="13" spans="1:43" s="3" customFormat="1" ht="23.1" customHeight="1">
      <c r="A13" s="1"/>
      <c r="B13" s="1"/>
      <c r="C13" s="2"/>
      <c r="D13" s="1"/>
    </row>
    <row r="14" spans="1:43" s="3" customFormat="1" ht="23.1" customHeight="1">
      <c r="A14" s="1"/>
      <c r="B14" s="1"/>
      <c r="C14" s="2"/>
      <c r="D14" s="1"/>
    </row>
    <row r="15" spans="1:43" s="3" customFormat="1" ht="23.1" customHeight="1">
      <c r="A15" s="1"/>
      <c r="B15" s="1"/>
      <c r="C15" s="2"/>
      <c r="D15" s="1"/>
    </row>
    <row r="16" spans="1:43" s="3" customFormat="1" ht="23.1" customHeight="1">
      <c r="A16" s="1"/>
      <c r="B16" s="1"/>
      <c r="C16" s="2"/>
      <c r="D16" s="1"/>
    </row>
    <row r="17" spans="1:4" s="3" customFormat="1" ht="23.1" customHeight="1">
      <c r="A17" s="1"/>
      <c r="B17" s="1"/>
      <c r="C17" s="2"/>
      <c r="D17" s="1"/>
    </row>
    <row r="18" spans="1:4" s="3" customFormat="1" ht="23.1" customHeight="1">
      <c r="A18" s="1"/>
      <c r="B18" s="1"/>
      <c r="C18" s="2"/>
      <c r="D18" s="1"/>
    </row>
    <row r="19" spans="1:4" s="3" customFormat="1" ht="23.1" customHeight="1">
      <c r="A19" s="1"/>
      <c r="B19" s="1"/>
      <c r="C19" s="2"/>
      <c r="D19" s="1"/>
    </row>
    <row r="20" spans="1:4" s="3" customFormat="1" ht="23.1" customHeight="1">
      <c r="A20" s="1"/>
      <c r="B20" s="1"/>
      <c r="C20" s="2"/>
      <c r="D20" s="1"/>
    </row>
    <row r="21" spans="1:4" s="3" customFormat="1" ht="23.1" customHeight="1">
      <c r="A21" s="1"/>
      <c r="B21" s="1"/>
      <c r="C21" s="2"/>
      <c r="D21" s="1"/>
    </row>
    <row r="22" spans="1:4" ht="23.1" customHeight="1"/>
    <row r="23" spans="1:4" ht="23.1" customHeight="1"/>
    <row r="24" spans="1:4" ht="23.1" customHeight="1"/>
    <row r="25" spans="1:4" ht="23.1" customHeight="1"/>
    <row r="26" spans="1:4" ht="23.1" customHeight="1"/>
    <row r="27" spans="1:4" ht="23.1" customHeight="1"/>
    <row r="28" spans="1:4" ht="23.1" customHeight="1"/>
    <row r="29" spans="1:4" ht="23.1" customHeight="1"/>
    <row r="30" spans="1:4" ht="23.1" customHeight="1"/>
    <row r="31" spans="1:4" ht="23.1" customHeight="1"/>
    <row r="32" spans="1:4" ht="23.1" customHeight="1"/>
    <row r="33" ht="23.1" customHeight="1"/>
    <row r="34" ht="23.1" customHeight="1"/>
    <row r="35" ht="23.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</sheetData>
  <mergeCells count="10">
    <mergeCell ref="AF3:AI3"/>
    <mergeCell ref="B5:B8"/>
    <mergeCell ref="C5:C8"/>
    <mergeCell ref="R3:U3"/>
    <mergeCell ref="B3:D3"/>
    <mergeCell ref="E3:H3"/>
    <mergeCell ref="I3:L3"/>
    <mergeCell ref="M3:Q3"/>
    <mergeCell ref="AA3:AD3"/>
    <mergeCell ref="V3:Z3"/>
  </mergeCells>
  <pageMargins left="0.7" right="0.7" top="0.75" bottom="0.75" header="0.3" footer="0.3"/>
  <pageSetup paperSize="9" scale="64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315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9" sqref="E9"/>
    </sheetView>
  </sheetViews>
  <sheetFormatPr defaultRowHeight="12.75"/>
  <cols>
    <col min="1" max="1" width="1.7109375" style="1" customWidth="1"/>
    <col min="2" max="2" width="5.7109375" style="1" customWidth="1"/>
    <col min="3" max="3" width="18.7109375" style="2" customWidth="1"/>
    <col min="4" max="4" width="15" style="1" bestFit="1" customWidth="1"/>
    <col min="5" max="17" width="12.7109375" style="3" customWidth="1"/>
    <col min="18" max="18" width="3.7109375" style="3" customWidth="1"/>
    <col min="19" max="21" width="11.7109375" style="3" customWidth="1"/>
    <col min="22" max="22" width="14.7109375" style="3" customWidth="1"/>
    <col min="23" max="26" width="12.7109375" style="3" customWidth="1"/>
    <col min="27" max="30" width="10.7109375" style="3" customWidth="1"/>
    <col min="31" max="16384" width="9.140625" style="1"/>
  </cols>
  <sheetData>
    <row r="1" spans="1:30" ht="9.9499999999999993" customHeight="1"/>
    <row r="2" spans="1:30" s="4" customFormat="1" ht="39.950000000000003" customHeight="1">
      <c r="B2" s="4" t="s">
        <v>0</v>
      </c>
      <c r="C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ht="24.75" customHeight="1">
      <c r="B3" s="63" t="s">
        <v>33</v>
      </c>
      <c r="C3" s="64"/>
      <c r="D3" s="65"/>
      <c r="E3" s="54">
        <v>43739</v>
      </c>
      <c r="F3" s="72"/>
      <c r="G3" s="72"/>
      <c r="H3" s="72"/>
      <c r="I3" s="54">
        <v>43770</v>
      </c>
      <c r="J3" s="54"/>
      <c r="K3" s="54"/>
      <c r="L3" s="54"/>
      <c r="M3" s="67">
        <v>43800</v>
      </c>
      <c r="N3" s="67"/>
      <c r="O3" s="67"/>
      <c r="P3" s="67"/>
      <c r="Q3" s="68"/>
      <c r="S3" s="69" t="s">
        <v>4</v>
      </c>
      <c r="T3" s="69"/>
      <c r="U3" s="69"/>
      <c r="V3" s="69"/>
    </row>
    <row r="4" spans="1:30" s="13" customFormat="1" ht="24.95" customHeight="1" thickBot="1">
      <c r="B4" s="7" t="s">
        <v>5</v>
      </c>
      <c r="C4" s="8" t="s">
        <v>6</v>
      </c>
      <c r="D4" s="9" t="s">
        <v>7</v>
      </c>
      <c r="E4" s="10" t="s">
        <v>71</v>
      </c>
      <c r="F4" s="10" t="s">
        <v>72</v>
      </c>
      <c r="G4" s="10" t="s">
        <v>73</v>
      </c>
      <c r="H4" s="10" t="s">
        <v>74</v>
      </c>
      <c r="I4" s="10" t="s">
        <v>75</v>
      </c>
      <c r="J4" s="10" t="s">
        <v>76</v>
      </c>
      <c r="K4" s="10" t="s">
        <v>77</v>
      </c>
      <c r="L4" s="10" t="s">
        <v>78</v>
      </c>
      <c r="M4" s="10" t="s">
        <v>79</v>
      </c>
      <c r="N4" s="10" t="s">
        <v>80</v>
      </c>
      <c r="O4" s="10" t="s">
        <v>81</v>
      </c>
      <c r="P4" s="10" t="s">
        <v>82</v>
      </c>
      <c r="Q4" s="10" t="s">
        <v>83</v>
      </c>
      <c r="R4" s="11"/>
      <c r="S4" s="12" t="s">
        <v>84</v>
      </c>
      <c r="T4" s="12" t="s">
        <v>85</v>
      </c>
      <c r="U4" s="12" t="s">
        <v>86</v>
      </c>
      <c r="V4" s="12" t="s">
        <v>23</v>
      </c>
      <c r="W4" s="11"/>
      <c r="X4" s="11"/>
      <c r="Y4" s="11"/>
      <c r="Z4" s="11"/>
      <c r="AA4" s="11"/>
      <c r="AB4" s="11"/>
      <c r="AC4" s="11"/>
      <c r="AD4" s="11"/>
    </row>
    <row r="5" spans="1:30" s="3" customFormat="1" ht="23.1" customHeight="1" thickTop="1">
      <c r="A5" s="1"/>
      <c r="B5" s="55">
        <v>1</v>
      </c>
      <c r="C5" s="59" t="s">
        <v>32</v>
      </c>
      <c r="D5" s="20" t="s">
        <v>25</v>
      </c>
      <c r="E5" s="21">
        <v>280000</v>
      </c>
      <c r="F5" s="21"/>
      <c r="G5" s="21">
        <v>310000</v>
      </c>
      <c r="H5" s="21">
        <v>300000</v>
      </c>
      <c r="I5" s="21"/>
      <c r="J5" s="21">
        <v>335000</v>
      </c>
      <c r="K5" s="21"/>
      <c r="L5" s="21">
        <v>320000</v>
      </c>
      <c r="M5" s="21">
        <v>300000</v>
      </c>
      <c r="N5" s="21"/>
      <c r="O5" s="21">
        <v>320000</v>
      </c>
      <c r="P5" s="21">
        <v>273000</v>
      </c>
      <c r="Q5" s="21"/>
      <c r="S5" s="16">
        <f>+AVERAGE(E5:H5)</f>
        <v>296666.66666666669</v>
      </c>
      <c r="T5" s="16">
        <f>+AVERAGE(I5:M5)</f>
        <v>318333.33333333331</v>
      </c>
      <c r="U5" s="16">
        <f>+AVERAGE(N5:Q5)</f>
        <v>296500</v>
      </c>
      <c r="V5" s="16">
        <f>+AVERAGE(E5:Q5)</f>
        <v>304750</v>
      </c>
    </row>
    <row r="6" spans="1:30" s="3" customFormat="1" ht="23.1" customHeight="1">
      <c r="A6" s="1"/>
      <c r="B6" s="56"/>
      <c r="C6" s="60"/>
      <c r="D6" s="14" t="s">
        <v>26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S6" s="16"/>
      <c r="T6" s="16"/>
      <c r="U6" s="16"/>
      <c r="V6" s="16"/>
    </row>
    <row r="7" spans="1:30" s="27" customFormat="1" ht="23.1" customHeight="1" thickBot="1">
      <c r="B7" s="57"/>
      <c r="C7" s="61"/>
      <c r="D7" s="36" t="s">
        <v>52</v>
      </c>
      <c r="E7" s="37">
        <v>79598</v>
      </c>
      <c r="F7" s="37"/>
      <c r="G7" s="37">
        <v>80143</v>
      </c>
      <c r="H7" s="37">
        <v>80472</v>
      </c>
      <c r="I7" s="37"/>
      <c r="J7" s="37">
        <v>80867</v>
      </c>
      <c r="K7" s="37"/>
      <c r="L7" s="37">
        <v>81374</v>
      </c>
      <c r="M7" s="37">
        <v>81869</v>
      </c>
      <c r="N7" s="37"/>
      <c r="O7" s="37">
        <v>82200</v>
      </c>
      <c r="P7" s="37">
        <v>82565</v>
      </c>
      <c r="Q7" s="37"/>
      <c r="S7" s="28"/>
      <c r="T7" s="28"/>
      <c r="U7" s="28"/>
      <c r="V7" s="28"/>
    </row>
    <row r="8" spans="1:30" s="27" customFormat="1" ht="23.1" customHeight="1" thickTop="1" thickBot="1">
      <c r="B8" s="58"/>
      <c r="C8" s="62"/>
      <c r="D8" s="33" t="s">
        <v>53</v>
      </c>
      <c r="E8" s="34">
        <f>E7-'JUL-SEPT'!Q7</f>
        <v>328</v>
      </c>
      <c r="F8" s="34"/>
      <c r="G8" s="34">
        <f>+G7-E7</f>
        <v>545</v>
      </c>
      <c r="H8" s="34">
        <f>+H7-G7</f>
        <v>329</v>
      </c>
      <c r="I8" s="34"/>
      <c r="J8" s="34">
        <f>+J7-H7</f>
        <v>395</v>
      </c>
      <c r="K8" s="34"/>
      <c r="L8" s="34">
        <f>+L7-J7</f>
        <v>507</v>
      </c>
      <c r="M8" s="34">
        <f>+M7-L7</f>
        <v>495</v>
      </c>
      <c r="N8" s="34"/>
      <c r="O8" s="34">
        <f>+O7-M7</f>
        <v>331</v>
      </c>
      <c r="P8" s="34">
        <f>+P7-O7</f>
        <v>365</v>
      </c>
      <c r="Q8" s="34"/>
      <c r="S8" s="28"/>
      <c r="T8" s="28"/>
      <c r="U8" s="28"/>
      <c r="V8" s="28"/>
    </row>
    <row r="9" spans="1:30" s="27" customFormat="1" ht="23.1" customHeight="1" thickTop="1">
      <c r="B9" s="22"/>
      <c r="C9" s="23"/>
      <c r="D9" s="29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S9" s="32"/>
      <c r="T9" s="32"/>
      <c r="U9" s="32"/>
      <c r="V9" s="32"/>
    </row>
    <row r="10" spans="1:30" s="3" customFormat="1" ht="23.1" customHeight="1">
      <c r="A10" s="1"/>
      <c r="B10" s="22"/>
      <c r="C10" s="23"/>
      <c r="D10" s="24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S10" s="26"/>
      <c r="T10" s="26"/>
      <c r="U10" s="26"/>
      <c r="V10" s="26"/>
    </row>
    <row r="11" spans="1:30" s="3" customFormat="1" ht="23.1" customHeight="1">
      <c r="A11" s="1"/>
      <c r="B11" s="22"/>
      <c r="C11" s="23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S11" s="26"/>
      <c r="T11" s="26"/>
      <c r="U11" s="26"/>
      <c r="V11" s="26"/>
    </row>
    <row r="12" spans="1:30" s="3" customFormat="1" ht="23.1" customHeight="1">
      <c r="A12" s="1"/>
      <c r="B12" s="1"/>
      <c r="C12" s="2"/>
      <c r="D12" s="1"/>
    </row>
    <row r="13" spans="1:30" s="3" customFormat="1" ht="23.1" customHeight="1">
      <c r="A13" s="1"/>
      <c r="B13" s="1"/>
      <c r="C13" s="2"/>
      <c r="D13" s="1"/>
    </row>
    <row r="14" spans="1:30" s="3" customFormat="1" ht="23.1" customHeight="1">
      <c r="A14" s="1"/>
      <c r="B14" s="1"/>
      <c r="C14" s="2"/>
      <c r="D14" s="1"/>
    </row>
    <row r="15" spans="1:30" s="3" customFormat="1" ht="23.1" customHeight="1">
      <c r="A15" s="1"/>
      <c r="B15" s="1"/>
      <c r="C15" s="2"/>
      <c r="D15" s="1"/>
    </row>
    <row r="16" spans="1:30" s="3" customFormat="1" ht="23.1" customHeight="1">
      <c r="A16" s="1"/>
      <c r="B16" s="1"/>
      <c r="C16" s="2"/>
      <c r="D16" s="1"/>
    </row>
    <row r="17" spans="1:4" s="3" customFormat="1" ht="23.1" customHeight="1">
      <c r="A17" s="1"/>
      <c r="B17" s="1"/>
      <c r="C17" s="2"/>
      <c r="D17" s="1"/>
    </row>
    <row r="18" spans="1:4" s="3" customFormat="1" ht="23.1" customHeight="1">
      <c r="A18" s="1"/>
      <c r="B18" s="1"/>
      <c r="C18" s="2"/>
      <c r="D18" s="1"/>
    </row>
    <row r="19" spans="1:4" s="3" customFormat="1" ht="23.1" customHeight="1">
      <c r="A19" s="1"/>
      <c r="B19" s="1"/>
      <c r="C19" s="2"/>
      <c r="D19" s="1"/>
    </row>
    <row r="20" spans="1:4" s="3" customFormat="1" ht="23.1" customHeight="1">
      <c r="A20" s="1"/>
      <c r="B20" s="1"/>
      <c r="C20" s="2"/>
      <c r="D20" s="1"/>
    </row>
    <row r="21" spans="1:4" s="3" customFormat="1" ht="23.1" customHeight="1">
      <c r="A21" s="1"/>
      <c r="B21" s="1"/>
      <c r="C21" s="2"/>
      <c r="D21" s="1"/>
    </row>
    <row r="22" spans="1:4" ht="23.1" customHeight="1"/>
    <row r="23" spans="1:4" ht="23.1" customHeight="1"/>
    <row r="24" spans="1:4" ht="23.1" customHeight="1"/>
    <row r="25" spans="1:4" ht="23.1" customHeight="1"/>
    <row r="26" spans="1:4" ht="23.1" customHeight="1"/>
    <row r="27" spans="1:4" ht="23.1" customHeight="1"/>
    <row r="28" spans="1:4" ht="23.1" customHeight="1"/>
    <row r="29" spans="1:4" ht="23.1" customHeight="1"/>
    <row r="30" spans="1:4" ht="23.1" customHeight="1"/>
    <row r="31" spans="1:4" ht="23.1" customHeight="1"/>
    <row r="32" spans="1:4" ht="23.1" customHeight="1"/>
    <row r="33" ht="23.1" customHeight="1"/>
    <row r="34" ht="23.1" customHeight="1"/>
    <row r="35" ht="23.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</sheetData>
  <mergeCells count="7">
    <mergeCell ref="B3:D3"/>
    <mergeCell ref="E3:H3"/>
    <mergeCell ref="S3:V3"/>
    <mergeCell ref="B5:B8"/>
    <mergeCell ref="C5:C8"/>
    <mergeCell ref="I3:L3"/>
    <mergeCell ref="M3:Q3"/>
  </mergeCells>
  <pageMargins left="0.7" right="0.7" top="0.75" bottom="0.75" header="0.3" footer="0.3"/>
  <pageSetup paperSize="9" scale="6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315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N9" sqref="N9"/>
    </sheetView>
  </sheetViews>
  <sheetFormatPr defaultRowHeight="12.75"/>
  <cols>
    <col min="1" max="1" width="1.7109375" style="1" customWidth="1"/>
    <col min="2" max="2" width="5.7109375" style="1" customWidth="1"/>
    <col min="3" max="3" width="18.7109375" style="2" customWidth="1"/>
    <col min="4" max="4" width="15" style="1" bestFit="1" customWidth="1"/>
    <col min="5" max="17" width="11.7109375" style="3" customWidth="1"/>
    <col min="18" max="18" width="3.7109375" style="3" customWidth="1"/>
    <col min="19" max="21" width="11.7109375" style="3" customWidth="1"/>
    <col min="22" max="22" width="14.7109375" style="3" customWidth="1"/>
    <col min="23" max="26" width="12.7109375" style="3" customWidth="1"/>
    <col min="27" max="30" width="10.7109375" style="3" customWidth="1"/>
    <col min="31" max="16384" width="9.140625" style="1"/>
  </cols>
  <sheetData>
    <row r="1" spans="1:30" ht="9.9499999999999993" customHeight="1"/>
    <row r="2" spans="1:30" s="4" customFormat="1" ht="39.950000000000003" customHeight="1">
      <c r="B2" s="4" t="s">
        <v>0</v>
      </c>
      <c r="C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ht="24.75" customHeight="1">
      <c r="B3" s="63" t="s">
        <v>33</v>
      </c>
      <c r="C3" s="64"/>
      <c r="D3" s="65"/>
      <c r="E3" s="54">
        <v>43647</v>
      </c>
      <c r="F3" s="72"/>
      <c r="G3" s="72"/>
      <c r="H3" s="72"/>
      <c r="I3" s="66">
        <v>43678</v>
      </c>
      <c r="J3" s="70"/>
      <c r="K3" s="70"/>
      <c r="L3" s="70"/>
      <c r="M3" s="71"/>
      <c r="N3" s="66">
        <v>43709</v>
      </c>
      <c r="O3" s="70"/>
      <c r="P3" s="70"/>
      <c r="Q3" s="71"/>
      <c r="S3" s="69" t="s">
        <v>4</v>
      </c>
      <c r="T3" s="69"/>
      <c r="U3" s="69"/>
      <c r="V3" s="69"/>
    </row>
    <row r="4" spans="1:30" s="13" customFormat="1" ht="24.95" customHeight="1" thickBot="1">
      <c r="B4" s="7" t="s">
        <v>5</v>
      </c>
      <c r="C4" s="8" t="s">
        <v>6</v>
      </c>
      <c r="D4" s="9" t="s">
        <v>7</v>
      </c>
      <c r="E4" s="10" t="s">
        <v>54</v>
      </c>
      <c r="F4" s="10" t="s">
        <v>55</v>
      </c>
      <c r="G4" s="10" t="s">
        <v>56</v>
      </c>
      <c r="H4" s="10" t="s">
        <v>58</v>
      </c>
      <c r="I4" s="10" t="s">
        <v>59</v>
      </c>
      <c r="J4" s="10" t="s">
        <v>60</v>
      </c>
      <c r="K4" s="10" t="s">
        <v>61</v>
      </c>
      <c r="L4" s="10" t="s">
        <v>62</v>
      </c>
      <c r="M4" s="10" t="s">
        <v>63</v>
      </c>
      <c r="N4" s="10" t="s">
        <v>64</v>
      </c>
      <c r="O4" s="10" t="s">
        <v>65</v>
      </c>
      <c r="P4" s="10" t="s">
        <v>66</v>
      </c>
      <c r="Q4" s="10" t="s">
        <v>67</v>
      </c>
      <c r="R4" s="11"/>
      <c r="S4" s="12" t="s">
        <v>68</v>
      </c>
      <c r="T4" s="12" t="s">
        <v>69</v>
      </c>
      <c r="U4" s="12" t="s">
        <v>70</v>
      </c>
      <c r="V4" s="12" t="s">
        <v>23</v>
      </c>
      <c r="W4" s="11"/>
      <c r="X4" s="11"/>
      <c r="Y4" s="11"/>
      <c r="Z4" s="11"/>
      <c r="AA4" s="11"/>
      <c r="AB4" s="11"/>
      <c r="AC4" s="11"/>
      <c r="AD4" s="11"/>
    </row>
    <row r="5" spans="1:30" s="3" customFormat="1" ht="23.1" customHeight="1" thickTop="1">
      <c r="A5" s="1"/>
      <c r="B5" s="55">
        <v>1</v>
      </c>
      <c r="C5" s="59" t="s">
        <v>32</v>
      </c>
      <c r="D5" s="20" t="s">
        <v>25</v>
      </c>
      <c r="E5" s="21">
        <v>332300</v>
      </c>
      <c r="F5" s="21">
        <v>0</v>
      </c>
      <c r="G5" s="21">
        <v>280000</v>
      </c>
      <c r="H5" s="21">
        <v>325263</v>
      </c>
      <c r="I5" s="21">
        <v>230000</v>
      </c>
      <c r="J5" s="21">
        <v>240000</v>
      </c>
      <c r="K5" s="21">
        <v>285498</v>
      </c>
      <c r="L5" s="21">
        <v>270000</v>
      </c>
      <c r="M5" s="21"/>
      <c r="N5" s="21">
        <v>289900</v>
      </c>
      <c r="O5" s="21">
        <v>300000</v>
      </c>
      <c r="P5" s="21"/>
      <c r="Q5" s="21">
        <v>300000</v>
      </c>
      <c r="S5" s="16">
        <f>+AVERAGE(E5:H5)</f>
        <v>234390.75</v>
      </c>
      <c r="T5" s="16">
        <f>+AVERAGE(I5:M5)</f>
        <v>256374.5</v>
      </c>
      <c r="U5" s="16">
        <f>+AVERAGE(N5:Q5)</f>
        <v>296633.33333333331</v>
      </c>
      <c r="V5" s="16">
        <f>+AVERAGE(E5:Q5)</f>
        <v>259360.09090909091</v>
      </c>
    </row>
    <row r="6" spans="1:30" s="3" customFormat="1" ht="23.1" customHeight="1">
      <c r="A6" s="1"/>
      <c r="B6" s="56"/>
      <c r="C6" s="60"/>
      <c r="D6" s="14" t="s">
        <v>26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S6" s="16"/>
      <c r="T6" s="16"/>
      <c r="U6" s="16"/>
      <c r="V6" s="16"/>
    </row>
    <row r="7" spans="1:30" s="27" customFormat="1" ht="23.1" customHeight="1" thickBot="1">
      <c r="B7" s="57"/>
      <c r="C7" s="61"/>
      <c r="D7" s="36" t="s">
        <v>52</v>
      </c>
      <c r="E7" s="37">
        <v>76077</v>
      </c>
      <c r="F7" s="37"/>
      <c r="G7" s="37">
        <v>76436</v>
      </c>
      <c r="H7" s="37">
        <v>76811</v>
      </c>
      <c r="I7" s="37">
        <v>77181</v>
      </c>
      <c r="J7" s="37">
        <v>77570</v>
      </c>
      <c r="K7" s="37">
        <v>77927</v>
      </c>
      <c r="L7" s="37">
        <v>78228</v>
      </c>
      <c r="M7" s="37"/>
      <c r="N7" s="37">
        <v>78569</v>
      </c>
      <c r="O7" s="37">
        <v>78957</v>
      </c>
      <c r="P7" s="37"/>
      <c r="Q7" s="37">
        <v>79270</v>
      </c>
      <c r="S7" s="28"/>
      <c r="T7" s="28"/>
      <c r="U7" s="28"/>
      <c r="V7" s="28"/>
    </row>
    <row r="8" spans="1:30" s="27" customFormat="1" ht="23.1" customHeight="1" thickTop="1" thickBot="1">
      <c r="B8" s="58"/>
      <c r="C8" s="62"/>
      <c r="D8" s="33" t="s">
        <v>53</v>
      </c>
      <c r="E8" s="39">
        <f>+E7-C7</f>
        <v>76077</v>
      </c>
      <c r="F8" s="34"/>
      <c r="G8" s="34">
        <f>+G7-E7</f>
        <v>359</v>
      </c>
      <c r="H8" s="34">
        <f>+H7-G7</f>
        <v>375</v>
      </c>
      <c r="I8" s="34">
        <f>+I7-H7</f>
        <v>370</v>
      </c>
      <c r="J8" s="34">
        <f>+J7-I7</f>
        <v>389</v>
      </c>
      <c r="K8" s="34">
        <f>+K7-J7</f>
        <v>357</v>
      </c>
      <c r="L8" s="34">
        <f>+L7-K7</f>
        <v>301</v>
      </c>
      <c r="M8" s="34"/>
      <c r="N8" s="34">
        <f>+N7-L7</f>
        <v>341</v>
      </c>
      <c r="O8" s="34">
        <f>+O7-N7</f>
        <v>388</v>
      </c>
      <c r="P8" s="34"/>
      <c r="Q8" s="34">
        <f>+Q7-O7</f>
        <v>313</v>
      </c>
      <c r="S8" s="28"/>
      <c r="T8" s="28"/>
      <c r="U8" s="28"/>
      <c r="V8" s="28"/>
    </row>
    <row r="9" spans="1:30" s="27" customFormat="1" ht="23.1" customHeight="1" thickTop="1">
      <c r="B9" s="22"/>
      <c r="C9" s="23"/>
      <c r="D9" s="29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S9" s="32"/>
      <c r="T9" s="32"/>
      <c r="U9" s="32"/>
      <c r="V9" s="32"/>
    </row>
    <row r="10" spans="1:30" s="3" customFormat="1" ht="23.1" customHeight="1">
      <c r="A10" s="1"/>
      <c r="B10" s="22"/>
      <c r="C10" s="23"/>
      <c r="D10" s="24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S10" s="26"/>
      <c r="T10" s="26"/>
      <c r="U10" s="26"/>
      <c r="V10" s="26"/>
    </row>
    <row r="11" spans="1:30" s="3" customFormat="1" ht="23.1" customHeight="1">
      <c r="A11" s="1"/>
      <c r="B11" s="22"/>
      <c r="C11" s="23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S11" s="26"/>
      <c r="T11" s="26"/>
      <c r="U11" s="26"/>
      <c r="V11" s="26"/>
    </row>
    <row r="12" spans="1:30" s="3" customFormat="1" ht="23.1" customHeight="1">
      <c r="A12" s="1"/>
      <c r="B12" s="1"/>
      <c r="C12" s="2"/>
      <c r="D12" s="1"/>
    </row>
    <row r="13" spans="1:30" s="3" customFormat="1" ht="23.1" customHeight="1">
      <c r="A13" s="1"/>
      <c r="B13" s="1"/>
      <c r="C13" s="2"/>
      <c r="D13" s="1"/>
    </row>
    <row r="14" spans="1:30" s="3" customFormat="1" ht="23.1" customHeight="1">
      <c r="A14" s="1"/>
      <c r="B14" s="1"/>
      <c r="C14" s="2"/>
      <c r="D14" s="1"/>
    </row>
    <row r="15" spans="1:30" s="3" customFormat="1" ht="23.1" customHeight="1">
      <c r="A15" s="1"/>
      <c r="B15" s="1"/>
      <c r="C15" s="2"/>
      <c r="D15" s="1"/>
    </row>
    <row r="16" spans="1:30" s="3" customFormat="1" ht="23.1" customHeight="1">
      <c r="A16" s="1"/>
      <c r="B16" s="1"/>
      <c r="C16" s="2"/>
      <c r="D16" s="1"/>
    </row>
    <row r="17" spans="1:4" s="3" customFormat="1" ht="23.1" customHeight="1">
      <c r="A17" s="1"/>
      <c r="B17" s="1"/>
      <c r="C17" s="2"/>
      <c r="D17" s="1"/>
    </row>
    <row r="18" spans="1:4" s="3" customFormat="1" ht="23.1" customHeight="1">
      <c r="A18" s="1"/>
      <c r="B18" s="1"/>
      <c r="C18" s="2"/>
      <c r="D18" s="1"/>
    </row>
    <row r="19" spans="1:4" s="3" customFormat="1" ht="23.1" customHeight="1">
      <c r="A19" s="1"/>
      <c r="B19" s="1"/>
      <c r="C19" s="2"/>
      <c r="D19" s="1"/>
    </row>
    <row r="20" spans="1:4" s="3" customFormat="1" ht="23.1" customHeight="1">
      <c r="A20" s="1"/>
      <c r="B20" s="1"/>
      <c r="C20" s="2"/>
      <c r="D20" s="1"/>
    </row>
    <row r="21" spans="1:4" s="3" customFormat="1" ht="23.1" customHeight="1">
      <c r="A21" s="1"/>
      <c r="B21" s="1"/>
      <c r="C21" s="2"/>
      <c r="D21" s="1"/>
    </row>
    <row r="22" spans="1:4" ht="23.1" customHeight="1"/>
    <row r="23" spans="1:4" ht="23.1" customHeight="1"/>
    <row r="24" spans="1:4" ht="23.1" customHeight="1"/>
    <row r="25" spans="1:4" ht="23.1" customHeight="1"/>
    <row r="26" spans="1:4" ht="23.1" customHeight="1"/>
    <row r="27" spans="1:4" ht="23.1" customHeight="1"/>
    <row r="28" spans="1:4" ht="23.1" customHeight="1"/>
    <row r="29" spans="1:4" ht="23.1" customHeight="1"/>
    <row r="30" spans="1:4" ht="23.1" customHeight="1"/>
    <row r="31" spans="1:4" ht="23.1" customHeight="1"/>
    <row r="32" spans="1:4" ht="23.1" customHeight="1"/>
    <row r="33" ht="23.1" customHeight="1"/>
    <row r="34" ht="23.1" customHeight="1"/>
    <row r="35" ht="23.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</sheetData>
  <mergeCells count="7">
    <mergeCell ref="N3:Q3"/>
    <mergeCell ref="S3:V3"/>
    <mergeCell ref="B5:B8"/>
    <mergeCell ref="C5:C8"/>
    <mergeCell ref="B3:D3"/>
    <mergeCell ref="E3:H3"/>
    <mergeCell ref="I3:M3"/>
  </mergeCells>
  <pageMargins left="0.7" right="0.7" top="0.75" bottom="0.75" header="0.3" footer="0.3"/>
  <pageSetup paperSize="9" scale="6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15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J8" sqref="J8"/>
    </sheetView>
  </sheetViews>
  <sheetFormatPr defaultRowHeight="12.75"/>
  <cols>
    <col min="1" max="1" width="1.7109375" style="1" customWidth="1"/>
    <col min="2" max="2" width="5.7109375" style="1" customWidth="1"/>
    <col min="3" max="3" width="18.7109375" style="2" customWidth="1"/>
    <col min="4" max="4" width="15" style="1" bestFit="1" customWidth="1"/>
    <col min="5" max="9" width="11.7109375" style="3" hidden="1" customWidth="1"/>
    <col min="10" max="20" width="11.7109375" style="3" customWidth="1"/>
    <col min="21" max="21" width="3.7109375" style="3" customWidth="1"/>
    <col min="22" max="24" width="11.7109375" style="3" customWidth="1"/>
    <col min="25" max="25" width="14.7109375" style="3" customWidth="1"/>
    <col min="26" max="29" width="12.7109375" style="3" customWidth="1"/>
    <col min="30" max="33" width="10.7109375" style="3" customWidth="1"/>
    <col min="34" max="16384" width="9.140625" style="1"/>
  </cols>
  <sheetData>
    <row r="1" spans="1:33" ht="9.9499999999999993" customHeight="1"/>
    <row r="2" spans="1:33" s="4" customFormat="1" ht="39.950000000000003" customHeight="1">
      <c r="B2" s="4" t="s">
        <v>0</v>
      </c>
      <c r="C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1:33" ht="24.75" customHeight="1">
      <c r="B3" s="63" t="s">
        <v>33</v>
      </c>
      <c r="C3" s="64"/>
      <c r="D3" s="65"/>
      <c r="E3" s="54">
        <v>43556</v>
      </c>
      <c r="F3" s="72"/>
      <c r="G3" s="72"/>
      <c r="H3" s="72"/>
      <c r="I3" s="72"/>
      <c r="J3" s="72" t="s">
        <v>34</v>
      </c>
      <c r="K3" s="72"/>
      <c r="L3" s="72"/>
      <c r="M3" s="72"/>
      <c r="N3" s="73" t="s">
        <v>35</v>
      </c>
      <c r="O3" s="70"/>
      <c r="P3" s="71"/>
      <c r="Q3" s="72" t="s">
        <v>57</v>
      </c>
      <c r="R3" s="72"/>
      <c r="S3" s="72"/>
      <c r="T3" s="72"/>
      <c r="V3" s="69" t="s">
        <v>4</v>
      </c>
      <c r="W3" s="69"/>
      <c r="X3" s="69"/>
      <c r="Y3" s="69"/>
    </row>
    <row r="4" spans="1:33" s="13" customFormat="1" ht="24.95" customHeight="1" thickBot="1">
      <c r="B4" s="7" t="s">
        <v>5</v>
      </c>
      <c r="C4" s="8" t="s">
        <v>6</v>
      </c>
      <c r="D4" s="9" t="s">
        <v>7</v>
      </c>
      <c r="E4" s="10" t="s">
        <v>37</v>
      </c>
      <c r="F4" s="10" t="s">
        <v>38</v>
      </c>
      <c r="G4" s="10" t="s">
        <v>39</v>
      </c>
      <c r="H4" s="10" t="s">
        <v>40</v>
      </c>
      <c r="I4" s="10" t="s">
        <v>41</v>
      </c>
      <c r="J4" s="10" t="s">
        <v>42</v>
      </c>
      <c r="K4" s="10" t="s">
        <v>43</v>
      </c>
      <c r="L4" s="10" t="s">
        <v>44</v>
      </c>
      <c r="M4" s="10" t="s">
        <v>45</v>
      </c>
      <c r="N4" s="10" t="s">
        <v>46</v>
      </c>
      <c r="O4" s="10" t="s">
        <v>47</v>
      </c>
      <c r="P4" s="10" t="s">
        <v>48</v>
      </c>
      <c r="Q4" s="10" t="s">
        <v>54</v>
      </c>
      <c r="R4" s="10" t="s">
        <v>55</v>
      </c>
      <c r="S4" s="10" t="s">
        <v>56</v>
      </c>
      <c r="T4" s="10" t="s">
        <v>58</v>
      </c>
      <c r="U4" s="11"/>
      <c r="V4" s="12" t="s">
        <v>49</v>
      </c>
      <c r="W4" s="12" t="s">
        <v>50</v>
      </c>
      <c r="X4" s="12" t="s">
        <v>51</v>
      </c>
      <c r="Y4" s="12" t="s">
        <v>23</v>
      </c>
      <c r="Z4" s="11"/>
      <c r="AA4" s="11"/>
      <c r="AB4" s="11"/>
      <c r="AC4" s="11"/>
      <c r="AD4" s="11"/>
      <c r="AE4" s="11"/>
      <c r="AF4" s="11"/>
      <c r="AG4" s="11"/>
    </row>
    <row r="5" spans="1:33" s="3" customFormat="1" ht="23.1" customHeight="1" thickTop="1">
      <c r="A5" s="1"/>
      <c r="B5" s="55">
        <v>1</v>
      </c>
      <c r="C5" s="59" t="s">
        <v>32</v>
      </c>
      <c r="D5" s="20" t="s">
        <v>25</v>
      </c>
      <c r="E5" s="21">
        <v>280000</v>
      </c>
      <c r="F5" s="21">
        <v>245030</v>
      </c>
      <c r="G5" s="21">
        <v>120000</v>
      </c>
      <c r="H5" s="21">
        <v>288900</v>
      </c>
      <c r="I5" s="21">
        <v>240000</v>
      </c>
      <c r="J5" s="21">
        <v>280000</v>
      </c>
      <c r="K5" s="21">
        <v>266700</v>
      </c>
      <c r="L5" s="21">
        <v>0</v>
      </c>
      <c r="M5" s="21">
        <v>338834</v>
      </c>
      <c r="N5" s="21">
        <v>230000</v>
      </c>
      <c r="O5" s="21">
        <v>175000</v>
      </c>
      <c r="P5" s="21">
        <v>0</v>
      </c>
      <c r="Q5" s="21">
        <v>332300</v>
      </c>
      <c r="R5" s="21">
        <v>0</v>
      </c>
      <c r="S5" s="21">
        <v>280000</v>
      </c>
      <c r="T5" s="21">
        <v>325263</v>
      </c>
      <c r="V5" s="16">
        <f>+AVERAGE(E5:I5)</f>
        <v>234786</v>
      </c>
      <c r="W5" s="16">
        <f>+AVERAGE(J5:M5)</f>
        <v>221383.5</v>
      </c>
      <c r="X5" s="16">
        <f>+AVERAGE(N5:P5)</f>
        <v>135000</v>
      </c>
      <c r="Y5" s="16">
        <f>+AVERAGE(E5:P5)</f>
        <v>205372</v>
      </c>
    </row>
    <row r="6" spans="1:33" s="3" customFormat="1" ht="23.1" customHeight="1">
      <c r="A6" s="1"/>
      <c r="B6" s="56"/>
      <c r="C6" s="60"/>
      <c r="D6" s="14" t="s">
        <v>26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V6" s="16"/>
      <c r="W6" s="16"/>
      <c r="X6" s="16"/>
      <c r="Y6" s="16"/>
    </row>
    <row r="7" spans="1:33" s="27" customFormat="1" ht="23.1" customHeight="1" thickBot="1">
      <c r="B7" s="57"/>
      <c r="C7" s="61"/>
      <c r="D7" s="36" t="s">
        <v>52</v>
      </c>
      <c r="E7" s="37"/>
      <c r="F7" s="37">
        <v>72168</v>
      </c>
      <c r="G7" s="37">
        <v>72663</v>
      </c>
      <c r="H7" s="37">
        <v>72947</v>
      </c>
      <c r="I7" s="38">
        <v>73533</v>
      </c>
      <c r="J7" s="37">
        <v>73807</v>
      </c>
      <c r="K7" s="37">
        <v>74078</v>
      </c>
      <c r="L7" s="37"/>
      <c r="M7" s="37">
        <v>74509</v>
      </c>
      <c r="N7" s="37">
        <v>75391</v>
      </c>
      <c r="O7" s="37">
        <v>75600</v>
      </c>
      <c r="P7" s="37"/>
      <c r="Q7" s="37">
        <v>76077</v>
      </c>
      <c r="R7" s="37"/>
      <c r="S7" s="37">
        <v>76436</v>
      </c>
      <c r="T7" s="37">
        <v>76811</v>
      </c>
      <c r="V7" s="28"/>
      <c r="W7" s="28"/>
      <c r="X7" s="28"/>
      <c r="Y7" s="28"/>
    </row>
    <row r="8" spans="1:33" s="27" customFormat="1" ht="23.1" customHeight="1" thickTop="1" thickBot="1">
      <c r="B8" s="58"/>
      <c r="C8" s="62"/>
      <c r="D8" s="33" t="s">
        <v>53</v>
      </c>
      <c r="E8" s="34"/>
      <c r="F8" s="34"/>
      <c r="G8" s="34">
        <f>G7-F7</f>
        <v>495</v>
      </c>
      <c r="H8" s="34">
        <f>+H7-G7</f>
        <v>284</v>
      </c>
      <c r="I8" s="35">
        <f>+I7-H7</f>
        <v>586</v>
      </c>
      <c r="J8" s="34">
        <f>+J7-I7</f>
        <v>274</v>
      </c>
      <c r="K8" s="34">
        <f>+K7-J7</f>
        <v>271</v>
      </c>
      <c r="L8" s="34"/>
      <c r="M8" s="34">
        <f>+M7-K7</f>
        <v>431</v>
      </c>
      <c r="N8" s="34">
        <f>+N7-M7</f>
        <v>882</v>
      </c>
      <c r="O8" s="34">
        <f>+O7-N7</f>
        <v>209</v>
      </c>
      <c r="P8" s="34"/>
      <c r="Q8" s="34">
        <f>+Q7-O7</f>
        <v>477</v>
      </c>
      <c r="R8" s="34"/>
      <c r="S8" s="34">
        <f>+S7-Q7</f>
        <v>359</v>
      </c>
      <c r="T8" s="34">
        <f>+T7-S7</f>
        <v>375</v>
      </c>
      <c r="V8" s="28"/>
      <c r="W8" s="28"/>
      <c r="X8" s="28"/>
      <c r="Y8" s="28"/>
    </row>
    <row r="9" spans="1:33" s="27" customFormat="1" ht="23.1" customHeight="1" thickTop="1">
      <c r="B9" s="22"/>
      <c r="C9" s="23"/>
      <c r="D9" s="29"/>
      <c r="E9" s="30"/>
      <c r="F9" s="30"/>
      <c r="G9" s="30"/>
      <c r="H9" s="30"/>
      <c r="I9" s="31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V9" s="32"/>
      <c r="W9" s="32"/>
      <c r="X9" s="32"/>
      <c r="Y9" s="32"/>
    </row>
    <row r="10" spans="1:33" s="3" customFormat="1" ht="23.1" customHeight="1">
      <c r="A10" s="1"/>
      <c r="B10" s="22"/>
      <c r="C10" s="23"/>
      <c r="D10" s="24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V10" s="26"/>
      <c r="W10" s="26"/>
      <c r="X10" s="26"/>
      <c r="Y10" s="26"/>
    </row>
    <row r="11" spans="1:33" s="3" customFormat="1" ht="23.1" customHeight="1">
      <c r="A11" s="1"/>
      <c r="B11" s="22"/>
      <c r="C11" s="23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V11" s="26"/>
      <c r="W11" s="26"/>
      <c r="X11" s="26"/>
      <c r="Y11" s="26"/>
    </row>
    <row r="12" spans="1:33" s="3" customFormat="1" ht="23.1" customHeight="1">
      <c r="A12" s="1"/>
      <c r="B12" s="1"/>
      <c r="C12" s="2"/>
      <c r="D12" s="1"/>
    </row>
    <row r="13" spans="1:33" s="3" customFormat="1" ht="23.1" customHeight="1">
      <c r="A13" s="1"/>
      <c r="B13" s="1"/>
      <c r="C13" s="2"/>
      <c r="D13" s="1"/>
    </row>
    <row r="14" spans="1:33" s="3" customFormat="1" ht="23.1" customHeight="1">
      <c r="A14" s="1"/>
      <c r="B14" s="1"/>
      <c r="C14" s="2"/>
      <c r="D14" s="1"/>
    </row>
    <row r="15" spans="1:33" s="3" customFormat="1" ht="23.1" customHeight="1">
      <c r="A15" s="1"/>
      <c r="B15" s="1"/>
      <c r="C15" s="2"/>
      <c r="D15" s="1"/>
    </row>
    <row r="16" spans="1:33" s="3" customFormat="1" ht="23.1" customHeight="1">
      <c r="A16" s="1"/>
      <c r="B16" s="1"/>
      <c r="C16" s="2"/>
      <c r="D16" s="1"/>
    </row>
    <row r="17" spans="1:4" s="3" customFormat="1" ht="23.1" customHeight="1">
      <c r="A17" s="1"/>
      <c r="B17" s="1"/>
      <c r="C17" s="2"/>
      <c r="D17" s="1"/>
    </row>
    <row r="18" spans="1:4" s="3" customFormat="1" ht="23.1" customHeight="1">
      <c r="A18" s="1"/>
      <c r="B18" s="1"/>
      <c r="C18" s="2"/>
      <c r="D18" s="1"/>
    </row>
    <row r="19" spans="1:4" s="3" customFormat="1" ht="23.1" customHeight="1">
      <c r="A19" s="1"/>
      <c r="B19" s="1"/>
      <c r="C19" s="2"/>
      <c r="D19" s="1"/>
    </row>
    <row r="20" spans="1:4" s="3" customFormat="1" ht="23.1" customHeight="1">
      <c r="A20" s="1"/>
      <c r="B20" s="1"/>
      <c r="C20" s="2"/>
      <c r="D20" s="1"/>
    </row>
    <row r="21" spans="1:4" s="3" customFormat="1" ht="23.1" customHeight="1">
      <c r="A21" s="1"/>
      <c r="B21" s="1"/>
      <c r="C21" s="2"/>
      <c r="D21" s="1"/>
    </row>
    <row r="22" spans="1:4" ht="23.1" customHeight="1"/>
    <row r="23" spans="1:4" ht="23.1" customHeight="1"/>
    <row r="24" spans="1:4" ht="23.1" customHeight="1"/>
    <row r="25" spans="1:4" ht="23.1" customHeight="1"/>
    <row r="26" spans="1:4" ht="23.1" customHeight="1"/>
    <row r="27" spans="1:4" ht="23.1" customHeight="1"/>
    <row r="28" spans="1:4" ht="23.1" customHeight="1"/>
    <row r="29" spans="1:4" ht="23.1" customHeight="1"/>
    <row r="30" spans="1:4" ht="23.1" customHeight="1"/>
    <row r="31" spans="1:4" ht="23.1" customHeight="1"/>
    <row r="32" spans="1:4" ht="23.1" customHeight="1"/>
    <row r="33" ht="23.1" customHeight="1"/>
    <row r="34" ht="23.1" customHeight="1"/>
    <row r="35" ht="23.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</sheetData>
  <mergeCells count="8">
    <mergeCell ref="N3:P3"/>
    <mergeCell ref="V3:Y3"/>
    <mergeCell ref="B5:B8"/>
    <mergeCell ref="C5:C8"/>
    <mergeCell ref="B3:D3"/>
    <mergeCell ref="E3:I3"/>
    <mergeCell ref="J3:M3"/>
    <mergeCell ref="Q3:T3"/>
  </mergeCells>
  <pageMargins left="0.7" right="0.7" top="0.75" bottom="0.75" header="0.3" footer="0.3"/>
  <pageSetup paperSize="9" scale="7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326"/>
  <sheetViews>
    <sheetView workbookViewId="0">
      <pane xSplit="4" ySplit="4" topLeftCell="E17" activePane="bottomRight" state="frozen"/>
      <selection pane="topRight" activeCell="E1" sqref="E1"/>
      <selection pane="bottomLeft" activeCell="A5" sqref="A5"/>
      <selection pane="bottomRight" activeCell="O28" sqref="O28"/>
    </sheetView>
  </sheetViews>
  <sheetFormatPr defaultRowHeight="12.75"/>
  <cols>
    <col min="1" max="1" width="1.7109375" style="1" customWidth="1"/>
    <col min="2" max="2" width="5.7109375" style="1" customWidth="1"/>
    <col min="3" max="3" width="18.7109375" style="2" customWidth="1"/>
    <col min="4" max="4" width="10.7109375" style="1" customWidth="1"/>
    <col min="5" max="17" width="11.7109375" style="3" customWidth="1"/>
    <col min="18" max="18" width="3.7109375" style="3" customWidth="1"/>
    <col min="19" max="21" width="11.7109375" style="3" customWidth="1"/>
    <col min="22" max="22" width="14.7109375" style="3" customWidth="1"/>
    <col min="23" max="26" width="12.7109375" style="3" customWidth="1"/>
    <col min="27" max="30" width="10.7109375" style="3" customWidth="1"/>
    <col min="31" max="16384" width="9.140625" style="1"/>
  </cols>
  <sheetData>
    <row r="1" spans="2:30" ht="9.9499999999999993" customHeight="1"/>
    <row r="2" spans="2:30" s="4" customFormat="1" ht="39.950000000000003" customHeight="1">
      <c r="B2" s="4" t="s">
        <v>0</v>
      </c>
      <c r="C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2:30" ht="24.75" customHeight="1">
      <c r="B3" s="63" t="s">
        <v>33</v>
      </c>
      <c r="C3" s="64"/>
      <c r="D3" s="65"/>
      <c r="E3" s="78" t="s">
        <v>1</v>
      </c>
      <c r="F3" s="78"/>
      <c r="G3" s="78"/>
      <c r="H3" s="78"/>
      <c r="I3" s="78"/>
      <c r="J3" s="78" t="s">
        <v>2</v>
      </c>
      <c r="K3" s="78"/>
      <c r="L3" s="78"/>
      <c r="M3" s="78"/>
      <c r="N3" s="79" t="s">
        <v>3</v>
      </c>
      <c r="O3" s="80"/>
      <c r="P3" s="80"/>
      <c r="Q3" s="81"/>
      <c r="S3" s="69" t="s">
        <v>4</v>
      </c>
      <c r="T3" s="69"/>
      <c r="U3" s="69"/>
      <c r="V3" s="69"/>
    </row>
    <row r="4" spans="2:30" s="13" customFormat="1" ht="24.95" customHeight="1" thickBot="1">
      <c r="B4" s="7" t="s">
        <v>5</v>
      </c>
      <c r="C4" s="8" t="s">
        <v>6</v>
      </c>
      <c r="D4" s="9" t="s">
        <v>7</v>
      </c>
      <c r="E4" s="10" t="s">
        <v>8</v>
      </c>
      <c r="F4" s="10" t="s">
        <v>9</v>
      </c>
      <c r="G4" s="10" t="s">
        <v>10</v>
      </c>
      <c r="H4" s="10" t="s">
        <v>11</v>
      </c>
      <c r="I4" s="10" t="s">
        <v>12</v>
      </c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  <c r="O4" s="10" t="s">
        <v>18</v>
      </c>
      <c r="P4" s="10" t="s">
        <v>19</v>
      </c>
      <c r="Q4" s="10" t="s">
        <v>36</v>
      </c>
      <c r="R4" s="11"/>
      <c r="S4" s="12" t="s">
        <v>20</v>
      </c>
      <c r="T4" s="12" t="s">
        <v>21</v>
      </c>
      <c r="U4" s="12" t="s">
        <v>22</v>
      </c>
      <c r="V4" s="12" t="s">
        <v>23</v>
      </c>
      <c r="W4" s="11"/>
      <c r="X4" s="11"/>
      <c r="Y4" s="11"/>
      <c r="Z4" s="11"/>
      <c r="AA4" s="11"/>
      <c r="AB4" s="11"/>
      <c r="AC4" s="11"/>
      <c r="AD4" s="11"/>
    </row>
    <row r="5" spans="2:30" ht="23.1" customHeight="1" thickTop="1">
      <c r="B5" s="57">
        <v>1</v>
      </c>
      <c r="C5" s="61" t="s">
        <v>24</v>
      </c>
      <c r="D5" s="14" t="s">
        <v>25</v>
      </c>
      <c r="E5" s="15">
        <f>+[1]JANUARI!E28</f>
        <v>373854</v>
      </c>
      <c r="F5" s="15">
        <f>+[1]JANUARI!E123</f>
        <v>582278</v>
      </c>
      <c r="G5" s="15">
        <f>+[1]JANUARI!E218</f>
        <v>400000</v>
      </c>
      <c r="H5" s="15">
        <f>+[1]JANUARI!E319</f>
        <v>548400</v>
      </c>
      <c r="I5" s="15">
        <f>+[1]JANUARI!E414</f>
        <v>300000</v>
      </c>
      <c r="J5" s="15">
        <f>+[1]FEBRUARI!E28</f>
        <v>300000</v>
      </c>
      <c r="K5" s="15">
        <f>+[1]FEBRUARI!E123</f>
        <v>467521</v>
      </c>
      <c r="L5" s="15">
        <f>+[1]FEBRUARI!E217</f>
        <v>400000</v>
      </c>
      <c r="M5" s="15">
        <f>+[1]FEBRUARI!E313</f>
        <v>500000</v>
      </c>
      <c r="N5" s="15">
        <f>+[1]MARET!E28</f>
        <v>193622</v>
      </c>
      <c r="O5" s="15">
        <f>+[1]MARET!E124</f>
        <v>500000</v>
      </c>
      <c r="P5" s="15">
        <v>298059</v>
      </c>
      <c r="Q5" s="15">
        <v>0</v>
      </c>
      <c r="S5" s="16">
        <f>+AVERAGE(E5:I5)</f>
        <v>440906.4</v>
      </c>
      <c r="T5" s="16">
        <f>+AVERAGE(J5:M5)</f>
        <v>416880.25</v>
      </c>
      <c r="U5" s="16">
        <f>+AVERAGE(N5:Q5)</f>
        <v>247920.25</v>
      </c>
      <c r="V5" s="16">
        <f t="shared" ref="V5:V19" si="0">+AVERAGE(E5:Q5)</f>
        <v>374133.38461538462</v>
      </c>
    </row>
    <row r="6" spans="2:30" ht="23.1" customHeight="1">
      <c r="B6" s="74"/>
      <c r="C6" s="76"/>
      <c r="D6" s="14" t="s">
        <v>26</v>
      </c>
      <c r="E6" s="15">
        <f>+[1]JANUARI!E29</f>
        <v>0</v>
      </c>
      <c r="F6" s="15">
        <f>+[1]JANUARI!E124</f>
        <v>10000</v>
      </c>
      <c r="G6" s="15">
        <f>+[1]JANUARI!E219</f>
        <v>0</v>
      </c>
      <c r="H6" s="15">
        <f>+[1]JANUARI!E320</f>
        <v>10000</v>
      </c>
      <c r="I6" s="15">
        <f>+[1]JANUARI!E415</f>
        <v>0</v>
      </c>
      <c r="J6" s="15">
        <f>+[1]FEBRUARI!E29</f>
        <v>0</v>
      </c>
      <c r="K6" s="15">
        <f>+[1]FEBRUARI!E124</f>
        <v>0</v>
      </c>
      <c r="L6" s="15">
        <f>+[1]FEBRUARI!E218</f>
        <v>0</v>
      </c>
      <c r="M6" s="15">
        <f>+[1]FEBRUARI!E314</f>
        <v>0</v>
      </c>
      <c r="N6" s="15">
        <f>+[1]MARET!E29</f>
        <v>0</v>
      </c>
      <c r="O6" s="15">
        <f>+[1]MARET!E125</f>
        <v>0</v>
      </c>
      <c r="P6" s="15">
        <v>0</v>
      </c>
      <c r="Q6" s="15">
        <f>+[1]MARET!E219</f>
        <v>0</v>
      </c>
      <c r="S6" s="16">
        <f t="shared" ref="S6:S19" si="1">+AVERAGE(E6:I6)</f>
        <v>4000</v>
      </c>
      <c r="T6" s="16">
        <f t="shared" ref="T6:T19" si="2">+AVERAGE(J6:M6)</f>
        <v>0</v>
      </c>
      <c r="U6" s="16">
        <f t="shared" ref="U6:U19" si="3">+AVERAGE(N6:Q6)</f>
        <v>0</v>
      </c>
      <c r="V6" s="16">
        <f t="shared" si="0"/>
        <v>1538.4615384615386</v>
      </c>
    </row>
    <row r="7" spans="2:30" ht="23.1" customHeight="1" thickBot="1">
      <c r="B7" s="75"/>
      <c r="C7" s="77"/>
      <c r="D7" s="17" t="s">
        <v>27</v>
      </c>
      <c r="E7" s="18">
        <f>+[1]JANUARI!E30</f>
        <v>0</v>
      </c>
      <c r="F7" s="18">
        <f>+[1]JANUARI!E125</f>
        <v>0</v>
      </c>
      <c r="G7" s="18">
        <f>+[1]JANUARI!E220</f>
        <v>3000</v>
      </c>
      <c r="H7" s="18">
        <f>+[1]JANUARI!E321</f>
        <v>45000</v>
      </c>
      <c r="I7" s="18">
        <f>+[1]JANUARI!E416</f>
        <v>0</v>
      </c>
      <c r="J7" s="18">
        <f>+[1]FEBRUARI!E30</f>
        <v>0</v>
      </c>
      <c r="K7" s="18">
        <f>+[1]FEBRUARI!E125</f>
        <v>0</v>
      </c>
      <c r="L7" s="18">
        <f>+[1]FEBRUARI!E219</f>
        <v>0</v>
      </c>
      <c r="M7" s="18">
        <f>+[1]FEBRUARI!E315</f>
        <v>0</v>
      </c>
      <c r="N7" s="18">
        <f>+[1]MARET!E30</f>
        <v>0</v>
      </c>
      <c r="O7" s="18">
        <f>+[1]MARET!E126</f>
        <v>0</v>
      </c>
      <c r="P7" s="18">
        <v>0</v>
      </c>
      <c r="Q7" s="18">
        <f>+[1]MARET!E220</f>
        <v>0</v>
      </c>
      <c r="S7" s="19">
        <f t="shared" si="1"/>
        <v>9600</v>
      </c>
      <c r="T7" s="19">
        <f t="shared" si="2"/>
        <v>0</v>
      </c>
      <c r="U7" s="19">
        <f t="shared" si="3"/>
        <v>0</v>
      </c>
      <c r="V7" s="19">
        <f t="shared" si="0"/>
        <v>3692.3076923076924</v>
      </c>
    </row>
    <row r="8" spans="2:30" ht="23.1" customHeight="1" thickTop="1">
      <c r="B8" s="74">
        <v>2</v>
      </c>
      <c r="C8" s="76" t="s">
        <v>28</v>
      </c>
      <c r="D8" s="20" t="s">
        <v>25</v>
      </c>
      <c r="E8" s="21">
        <f>+[1]JANUARI!S28</f>
        <v>333294</v>
      </c>
      <c r="F8" s="21">
        <f>+[1]JANUARI!S123</f>
        <v>170000</v>
      </c>
      <c r="G8" s="21">
        <f>+[1]JANUARI!S218</f>
        <v>250000</v>
      </c>
      <c r="H8" s="21">
        <f>+[1]JANUARI!S319</f>
        <v>250000</v>
      </c>
      <c r="I8" s="21">
        <f>+[1]JANUARI!S414</f>
        <v>288329</v>
      </c>
      <c r="J8" s="21">
        <f>+[1]FEBRUARI!S28</f>
        <v>0</v>
      </c>
      <c r="K8" s="21">
        <f>+[1]FEBRUARI!S123</f>
        <v>400000</v>
      </c>
      <c r="L8" s="21">
        <f>+[1]FEBRUARI!S217</f>
        <v>200000</v>
      </c>
      <c r="M8" s="21">
        <f>+[1]FEBRUARI!S313</f>
        <v>400000</v>
      </c>
      <c r="N8" s="21">
        <f>+[1]MARET!S28</f>
        <v>200000</v>
      </c>
      <c r="O8" s="21">
        <f>+[1]MARET!S124</f>
        <v>150000</v>
      </c>
      <c r="P8" s="21">
        <v>400000</v>
      </c>
      <c r="Q8" s="21">
        <v>0</v>
      </c>
      <c r="S8" s="16">
        <f t="shared" si="1"/>
        <v>258324.6</v>
      </c>
      <c r="T8" s="16">
        <f t="shared" si="2"/>
        <v>250000</v>
      </c>
      <c r="U8" s="16">
        <f t="shared" si="3"/>
        <v>187500</v>
      </c>
      <c r="V8" s="16">
        <f t="shared" si="0"/>
        <v>233971</v>
      </c>
    </row>
    <row r="9" spans="2:30" ht="23.1" customHeight="1">
      <c r="B9" s="74"/>
      <c r="C9" s="76"/>
      <c r="D9" s="14" t="s">
        <v>26</v>
      </c>
      <c r="E9" s="15">
        <f>+[1]JANUARI!S29</f>
        <v>0</v>
      </c>
      <c r="F9" s="15">
        <f>+[1]JANUARI!S124</f>
        <v>0</v>
      </c>
      <c r="G9" s="15">
        <f>+[1]JANUARI!S219</f>
        <v>0</v>
      </c>
      <c r="H9" s="15">
        <f>+[1]JANUARI!S320</f>
        <v>0</v>
      </c>
      <c r="I9" s="15">
        <f>+[1]JANUARI!S415</f>
        <v>0</v>
      </c>
      <c r="J9" s="15">
        <f>+[1]FEBRUARI!S29</f>
        <v>0</v>
      </c>
      <c r="K9" s="15">
        <f>+[1]FEBRUARI!S124</f>
        <v>0</v>
      </c>
      <c r="L9" s="15">
        <f>+[1]FEBRUARI!S218</f>
        <v>0</v>
      </c>
      <c r="M9" s="15">
        <f>+[1]FEBRUARI!S314</f>
        <v>0</v>
      </c>
      <c r="N9" s="15">
        <f>+[1]MARET!S29</f>
        <v>0</v>
      </c>
      <c r="O9" s="15">
        <f>+[1]MARET!S125</f>
        <v>0</v>
      </c>
      <c r="P9" s="15">
        <v>0</v>
      </c>
      <c r="Q9" s="15">
        <f>+[1]MARET!S219</f>
        <v>0</v>
      </c>
      <c r="S9" s="16">
        <f t="shared" si="1"/>
        <v>0</v>
      </c>
      <c r="T9" s="16">
        <f t="shared" si="2"/>
        <v>0</v>
      </c>
      <c r="U9" s="16">
        <f t="shared" si="3"/>
        <v>0</v>
      </c>
      <c r="V9" s="16">
        <f t="shared" si="0"/>
        <v>0</v>
      </c>
    </row>
    <row r="10" spans="2:30" ht="23.1" customHeight="1" thickBot="1">
      <c r="B10" s="75"/>
      <c r="C10" s="77"/>
      <c r="D10" s="17" t="s">
        <v>27</v>
      </c>
      <c r="E10" s="18">
        <f>+[1]JANUARI!S30</f>
        <v>0</v>
      </c>
      <c r="F10" s="18">
        <f>+[1]JANUARI!S125</f>
        <v>0</v>
      </c>
      <c r="G10" s="18">
        <f>+[1]JANUARI!S220</f>
        <v>0</v>
      </c>
      <c r="H10" s="18">
        <f>+[1]JANUARI!S321</f>
        <v>10000</v>
      </c>
      <c r="I10" s="18">
        <f>+[1]JANUARI!S416</f>
        <v>0</v>
      </c>
      <c r="J10" s="18">
        <f>+[1]FEBRUARI!S30</f>
        <v>0</v>
      </c>
      <c r="K10" s="18">
        <f>+[1]FEBRUARI!S125</f>
        <v>0</v>
      </c>
      <c r="L10" s="18">
        <f>+[1]FEBRUARI!S219</f>
        <v>0</v>
      </c>
      <c r="M10" s="18">
        <f>+[1]FEBRUARI!S315</f>
        <v>0</v>
      </c>
      <c r="N10" s="18">
        <f>+[1]MARET!S30</f>
        <v>0</v>
      </c>
      <c r="O10" s="18">
        <f>+[1]MARET!S126</f>
        <v>0</v>
      </c>
      <c r="P10" s="18">
        <v>0</v>
      </c>
      <c r="Q10" s="18">
        <f>+[1]MARET!S220</f>
        <v>0</v>
      </c>
      <c r="S10" s="19">
        <f t="shared" si="1"/>
        <v>2000</v>
      </c>
      <c r="T10" s="19">
        <f t="shared" si="2"/>
        <v>0</v>
      </c>
      <c r="U10" s="19">
        <f t="shared" si="3"/>
        <v>0</v>
      </c>
      <c r="V10" s="19">
        <f t="shared" si="0"/>
        <v>769.23076923076928</v>
      </c>
    </row>
    <row r="11" spans="2:30" ht="23.1" customHeight="1" thickTop="1">
      <c r="B11" s="74">
        <v>3</v>
      </c>
      <c r="C11" s="76" t="s">
        <v>29</v>
      </c>
      <c r="D11" s="20" t="s">
        <v>25</v>
      </c>
      <c r="E11" s="21">
        <f>+[1]JANUARI!E58</f>
        <v>250000</v>
      </c>
      <c r="F11" s="21">
        <f>+[1]JANUARI!E153</f>
        <v>250000</v>
      </c>
      <c r="G11" s="21">
        <f>+[1]JANUARI!E254</f>
        <v>450000</v>
      </c>
      <c r="H11" s="21">
        <f>+[1]JANUARI!E349</f>
        <v>0</v>
      </c>
      <c r="I11" s="21">
        <f>+[1]JANUARI!E444</f>
        <v>0</v>
      </c>
      <c r="J11" s="21">
        <f>+[1]FEBRUARI!E58</f>
        <v>450000</v>
      </c>
      <c r="K11" s="21">
        <f>+[1]FEBRUARI!E153</f>
        <v>50000</v>
      </c>
      <c r="L11" s="21">
        <f>+[1]FEBRUARI!E247</f>
        <v>250000</v>
      </c>
      <c r="M11" s="21">
        <f>+[1]FEBRUARI!E343</f>
        <v>283586</v>
      </c>
      <c r="N11" s="21">
        <f>+[1]MARET!E59</f>
        <v>100000</v>
      </c>
      <c r="O11" s="21">
        <f>+[1]MARET!E154</f>
        <v>200000</v>
      </c>
      <c r="P11" s="21">
        <v>250000</v>
      </c>
      <c r="Q11" s="21">
        <v>0</v>
      </c>
      <c r="S11" s="16">
        <f t="shared" si="1"/>
        <v>190000</v>
      </c>
      <c r="T11" s="16">
        <f t="shared" si="2"/>
        <v>258396.5</v>
      </c>
      <c r="U11" s="16">
        <f t="shared" si="3"/>
        <v>137500</v>
      </c>
      <c r="V11" s="16">
        <f t="shared" si="0"/>
        <v>194891.23076923078</v>
      </c>
    </row>
    <row r="12" spans="2:30" ht="23.1" customHeight="1">
      <c r="B12" s="74"/>
      <c r="C12" s="76"/>
      <c r="D12" s="14" t="s">
        <v>26</v>
      </c>
      <c r="E12" s="15">
        <f>+[1]JANUARI!E59</f>
        <v>10000</v>
      </c>
      <c r="F12" s="15">
        <f>+[1]JANUARI!E154</f>
        <v>45000</v>
      </c>
      <c r="G12" s="15">
        <f>+[1]JANUARI!E255</f>
        <v>50000</v>
      </c>
      <c r="H12" s="15">
        <f>+[1]JANUARI!E350</f>
        <v>0</v>
      </c>
      <c r="I12" s="15">
        <f>+[1]JANUARI!E445</f>
        <v>0</v>
      </c>
      <c r="J12" s="15">
        <f>+[1]FEBRUARI!E59</f>
        <v>45000</v>
      </c>
      <c r="K12" s="15">
        <f>+[1]FEBRUARI!E154</f>
        <v>30000</v>
      </c>
      <c r="L12" s="15">
        <f>+[1]FEBRUARI!E248</f>
        <v>5000</v>
      </c>
      <c r="M12" s="15">
        <f>+[1]FEBRUARI!E344</f>
        <v>45000</v>
      </c>
      <c r="N12" s="15">
        <f>+[1]MARET!E60</f>
        <v>179500</v>
      </c>
      <c r="O12" s="15">
        <f>+[1]MARET!E155</f>
        <v>85000</v>
      </c>
      <c r="P12" s="15">
        <v>5000</v>
      </c>
      <c r="Q12" s="15">
        <v>0</v>
      </c>
      <c r="S12" s="16">
        <f t="shared" si="1"/>
        <v>21000</v>
      </c>
      <c r="T12" s="16">
        <f t="shared" si="2"/>
        <v>31250</v>
      </c>
      <c r="U12" s="16">
        <f t="shared" si="3"/>
        <v>67375</v>
      </c>
      <c r="V12" s="16">
        <f t="shared" si="0"/>
        <v>38423.076923076922</v>
      </c>
    </row>
    <row r="13" spans="2:30" ht="23.1" customHeight="1" thickBot="1">
      <c r="B13" s="75"/>
      <c r="C13" s="77"/>
      <c r="D13" s="17" t="s">
        <v>27</v>
      </c>
      <c r="E13" s="18">
        <f>+[1]JANUARI!E60</f>
        <v>0</v>
      </c>
      <c r="F13" s="18">
        <f>+[1]JANUARI!E155</f>
        <v>0</v>
      </c>
      <c r="G13" s="18">
        <f>+[1]JANUARI!E256</f>
        <v>0</v>
      </c>
      <c r="H13" s="18">
        <f>+[1]JANUARI!E351</f>
        <v>0</v>
      </c>
      <c r="I13" s="18">
        <f>+[1]JANUARI!E446</f>
        <v>0</v>
      </c>
      <c r="J13" s="18">
        <f>+[1]FEBRUARI!E60</f>
        <v>0</v>
      </c>
      <c r="K13" s="18">
        <f>+[1]FEBRUARI!E155</f>
        <v>0</v>
      </c>
      <c r="L13" s="18">
        <f>+[1]FEBRUARI!E249</f>
        <v>0</v>
      </c>
      <c r="M13" s="18">
        <f>+[1]FEBRUARI!E345</f>
        <v>0</v>
      </c>
      <c r="N13" s="18">
        <f>+[1]MARET!E61</f>
        <v>0</v>
      </c>
      <c r="O13" s="18">
        <f>+[1]MARET!E156</f>
        <v>0</v>
      </c>
      <c r="P13" s="18">
        <v>0</v>
      </c>
      <c r="Q13" s="18">
        <f>+[1]MARET!E250</f>
        <v>0</v>
      </c>
      <c r="S13" s="19">
        <f t="shared" si="1"/>
        <v>0</v>
      </c>
      <c r="T13" s="19">
        <f t="shared" si="2"/>
        <v>0</v>
      </c>
      <c r="U13" s="19">
        <f t="shared" si="3"/>
        <v>0</v>
      </c>
      <c r="V13" s="19">
        <f t="shared" si="0"/>
        <v>0</v>
      </c>
    </row>
    <row r="14" spans="2:30" ht="23.1" customHeight="1" thickTop="1">
      <c r="B14" s="74">
        <v>4</v>
      </c>
      <c r="C14" s="76" t="s">
        <v>30</v>
      </c>
      <c r="D14" s="20" t="s">
        <v>25</v>
      </c>
      <c r="E14" s="21">
        <f>+[1]JANUARI!E88</f>
        <v>0</v>
      </c>
      <c r="F14" s="21">
        <f>+[1]JANUARI!E183</f>
        <v>0</v>
      </c>
      <c r="G14" s="21">
        <f>+[1]JANUARI!E284</f>
        <v>0</v>
      </c>
      <c r="H14" s="21">
        <f>+[1]JANUARI!E379</f>
        <v>200000</v>
      </c>
      <c r="I14" s="21">
        <f>+[1]JANUARI!E474</f>
        <v>0</v>
      </c>
      <c r="J14" s="21">
        <f>+[1]FEBRUARI!E88</f>
        <v>0</v>
      </c>
      <c r="K14" s="21">
        <f>+[1]FEBRUARI!E183</f>
        <v>0</v>
      </c>
      <c r="L14" s="21">
        <f>+[1]FEBRUARI!E277</f>
        <v>0</v>
      </c>
      <c r="M14" s="21">
        <f>+[1]FEBRUARI!E373</f>
        <v>100000</v>
      </c>
      <c r="N14" s="21">
        <f>+[1]MARET!E89</f>
        <v>0</v>
      </c>
      <c r="O14" s="21">
        <f>+[1]MARET!E184</f>
        <v>0</v>
      </c>
      <c r="P14" s="21">
        <v>0</v>
      </c>
      <c r="Q14" s="21">
        <f>+[1]MARET!E278</f>
        <v>0</v>
      </c>
      <c r="S14" s="16">
        <f t="shared" si="1"/>
        <v>40000</v>
      </c>
      <c r="T14" s="16">
        <f t="shared" si="2"/>
        <v>25000</v>
      </c>
      <c r="U14" s="16">
        <f t="shared" si="3"/>
        <v>0</v>
      </c>
      <c r="V14" s="16">
        <f t="shared" si="0"/>
        <v>23076.923076923078</v>
      </c>
    </row>
    <row r="15" spans="2:30" ht="23.1" customHeight="1">
      <c r="B15" s="74"/>
      <c r="C15" s="76"/>
      <c r="D15" s="14" t="s">
        <v>26</v>
      </c>
      <c r="E15" s="15">
        <f>+[1]JANUARI!E89</f>
        <v>0</v>
      </c>
      <c r="F15" s="15">
        <f>+[1]JANUARI!E184</f>
        <v>0</v>
      </c>
      <c r="G15" s="15">
        <f>+[1]JANUARI!E285</f>
        <v>0</v>
      </c>
      <c r="H15" s="15">
        <f>+[1]JANUARI!E380</f>
        <v>0</v>
      </c>
      <c r="I15" s="15">
        <f>+[1]JANUARI!E475</f>
        <v>0</v>
      </c>
      <c r="J15" s="15">
        <f>+[1]FEBRUARI!E89</f>
        <v>0</v>
      </c>
      <c r="K15" s="15">
        <f>+[1]FEBRUARI!E184</f>
        <v>0</v>
      </c>
      <c r="L15" s="15">
        <f>+[1]FEBRUARI!E278</f>
        <v>0</v>
      </c>
      <c r="M15" s="15">
        <f>+[1]FEBRUARI!E374</f>
        <v>0</v>
      </c>
      <c r="N15" s="15">
        <f>+[1]MARET!E90</f>
        <v>0</v>
      </c>
      <c r="O15" s="15">
        <f>+[1]MARET!E185</f>
        <v>0</v>
      </c>
      <c r="P15" s="15">
        <v>0</v>
      </c>
      <c r="Q15" s="15">
        <f>+[1]MARET!E279</f>
        <v>0</v>
      </c>
      <c r="S15" s="16">
        <f t="shared" si="1"/>
        <v>0</v>
      </c>
      <c r="T15" s="16">
        <f t="shared" si="2"/>
        <v>0</v>
      </c>
      <c r="U15" s="16">
        <f t="shared" si="3"/>
        <v>0</v>
      </c>
      <c r="V15" s="16">
        <f t="shared" si="0"/>
        <v>0</v>
      </c>
    </row>
    <row r="16" spans="2:30" ht="23.1" customHeight="1" thickBot="1">
      <c r="B16" s="75"/>
      <c r="C16" s="77"/>
      <c r="D16" s="17" t="s">
        <v>27</v>
      </c>
      <c r="E16" s="18">
        <f>+[1]JANUARI!E90</f>
        <v>0</v>
      </c>
      <c r="F16" s="18">
        <f>+[1]JANUARI!E185</f>
        <v>0</v>
      </c>
      <c r="G16" s="18">
        <f>+[1]JANUARI!E286</f>
        <v>0</v>
      </c>
      <c r="H16" s="18">
        <f>+[1]JANUARI!E381</f>
        <v>80000</v>
      </c>
      <c r="I16" s="18">
        <f>+[1]JANUARI!E476</f>
        <v>0</v>
      </c>
      <c r="J16" s="18">
        <f>+[1]FEBRUARI!E90</f>
        <v>0</v>
      </c>
      <c r="K16" s="18">
        <f>+[1]FEBRUARI!E185</f>
        <v>0</v>
      </c>
      <c r="L16" s="18">
        <f>+[1]FEBRUARI!E279</f>
        <v>0</v>
      </c>
      <c r="M16" s="18">
        <f>+[1]FEBRUARI!E375</f>
        <v>0</v>
      </c>
      <c r="N16" s="18">
        <f>+[1]MARET!E91</f>
        <v>0</v>
      </c>
      <c r="O16" s="18">
        <f>+[1]MARET!E186</f>
        <v>0</v>
      </c>
      <c r="P16" s="18">
        <v>0</v>
      </c>
      <c r="Q16" s="18">
        <f>+[1]MARET!E280</f>
        <v>0</v>
      </c>
      <c r="S16" s="19">
        <f t="shared" si="1"/>
        <v>16000</v>
      </c>
      <c r="T16" s="19">
        <f t="shared" si="2"/>
        <v>0</v>
      </c>
      <c r="U16" s="19">
        <f t="shared" si="3"/>
        <v>0</v>
      </c>
      <c r="V16" s="19">
        <f t="shared" si="0"/>
        <v>6153.8461538461543</v>
      </c>
    </row>
    <row r="17" spans="2:22" ht="23.1" customHeight="1" thickTop="1">
      <c r="B17" s="55">
        <v>5</v>
      </c>
      <c r="C17" s="59" t="s">
        <v>31</v>
      </c>
      <c r="D17" s="20" t="s">
        <v>25</v>
      </c>
      <c r="E17" s="21">
        <f>+[1]JANUARI!S58</f>
        <v>347732</v>
      </c>
      <c r="F17" s="21">
        <f>+[1]JANUARI!S153</f>
        <v>250000</v>
      </c>
      <c r="G17" s="21">
        <f>+[1]JANUARI!S254</f>
        <v>261000</v>
      </c>
      <c r="H17" s="21">
        <f>+[1]JANUARI!S349</f>
        <v>272300</v>
      </c>
      <c r="I17" s="21">
        <f>+[1]JANUARI!S444</f>
        <v>310375</v>
      </c>
      <c r="J17" s="21">
        <f>+[1]FEBRUARI!S58</f>
        <v>275171</v>
      </c>
      <c r="K17" s="21">
        <f>+[1]FEBRUARI!S153</f>
        <v>350017</v>
      </c>
      <c r="L17" s="21">
        <f>+[1]FEBRUARI!S247</f>
        <v>276000</v>
      </c>
      <c r="M17" s="21">
        <f>+[1]FEBRUARI!S343</f>
        <v>251300</v>
      </c>
      <c r="N17" s="21">
        <f>+[1]MARET!S59</f>
        <v>248625</v>
      </c>
      <c r="O17" s="21">
        <f>+[1]MARET!S154</f>
        <v>449696</v>
      </c>
      <c r="P17" s="21">
        <v>239598</v>
      </c>
      <c r="Q17" s="21">
        <v>0</v>
      </c>
      <c r="S17" s="16">
        <f t="shared" si="1"/>
        <v>288281.40000000002</v>
      </c>
      <c r="T17" s="16">
        <f t="shared" si="2"/>
        <v>288122</v>
      </c>
      <c r="U17" s="16">
        <f t="shared" si="3"/>
        <v>234479.75</v>
      </c>
      <c r="V17" s="16">
        <f t="shared" si="0"/>
        <v>271678</v>
      </c>
    </row>
    <row r="18" spans="2:22" ht="23.1" customHeight="1">
      <c r="B18" s="56"/>
      <c r="C18" s="60"/>
      <c r="D18" s="14" t="s">
        <v>26</v>
      </c>
      <c r="E18" s="15">
        <f>+[1]JANUARI!S59</f>
        <v>0</v>
      </c>
      <c r="F18" s="15">
        <f>+[1]JANUARI!S154</f>
        <v>0</v>
      </c>
      <c r="G18" s="15">
        <f>+[1]JANUARI!S255</f>
        <v>0</v>
      </c>
      <c r="H18" s="15">
        <f>+[1]JANUARI!S350</f>
        <v>0</v>
      </c>
      <c r="I18" s="15">
        <f>+[1]JANUARI!S445</f>
        <v>0</v>
      </c>
      <c r="J18" s="15">
        <f>+[1]FEBRUARI!S59</f>
        <v>0</v>
      </c>
      <c r="K18" s="15">
        <f>+[1]FEBRUARI!S154</f>
        <v>0</v>
      </c>
      <c r="L18" s="15">
        <f>+[1]FEBRUARI!S248</f>
        <v>0</v>
      </c>
      <c r="M18" s="15">
        <f>+[1]FEBRUARI!S344</f>
        <v>0</v>
      </c>
      <c r="N18" s="15">
        <f>+[1]MARET!S60</f>
        <v>0</v>
      </c>
      <c r="O18" s="15">
        <f>+[1]MARET!S155</f>
        <v>0</v>
      </c>
      <c r="P18" s="15">
        <v>0</v>
      </c>
      <c r="Q18" s="15">
        <f>+[1]MARET!S249</f>
        <v>0</v>
      </c>
      <c r="S18" s="16">
        <f t="shared" si="1"/>
        <v>0</v>
      </c>
      <c r="T18" s="16">
        <f t="shared" si="2"/>
        <v>0</v>
      </c>
      <c r="U18" s="16">
        <f t="shared" si="3"/>
        <v>0</v>
      </c>
      <c r="V18" s="16">
        <f t="shared" si="0"/>
        <v>0</v>
      </c>
    </row>
    <row r="19" spans="2:22" ht="23.1" customHeight="1" thickBot="1">
      <c r="B19" s="58"/>
      <c r="C19" s="62"/>
      <c r="D19" s="17" t="s">
        <v>27</v>
      </c>
      <c r="E19" s="18">
        <f>+[1]JANUARI!S60</f>
        <v>0</v>
      </c>
      <c r="F19" s="18">
        <f>+[1]JANUARI!S155</f>
        <v>0</v>
      </c>
      <c r="G19" s="18">
        <f>+[1]JANUARI!S256</f>
        <v>0</v>
      </c>
      <c r="H19" s="18">
        <f>+[1]JANUARI!S351</f>
        <v>45000</v>
      </c>
      <c r="I19" s="18">
        <f>+[1]JANUARI!S446</f>
        <v>0</v>
      </c>
      <c r="J19" s="18">
        <f>+[1]FEBRUARI!S60</f>
        <v>0</v>
      </c>
      <c r="K19" s="18">
        <f>+[1]FEBRUARI!S155</f>
        <v>0</v>
      </c>
      <c r="L19" s="18">
        <f>+[1]FEBRUARI!S249</f>
        <v>0</v>
      </c>
      <c r="M19" s="18">
        <f>+[1]FEBRUARI!S345</f>
        <v>0</v>
      </c>
      <c r="N19" s="18">
        <f>+[1]MARET!S61</f>
        <v>0</v>
      </c>
      <c r="O19" s="18">
        <f>+[1]MARET!S156</f>
        <v>0</v>
      </c>
      <c r="P19" s="18">
        <v>0</v>
      </c>
      <c r="Q19" s="18">
        <f>+[1]MARET!S250</f>
        <v>0</v>
      </c>
      <c r="S19" s="19">
        <f t="shared" si="1"/>
        <v>9000</v>
      </c>
      <c r="T19" s="19">
        <f t="shared" si="2"/>
        <v>0</v>
      </c>
      <c r="U19" s="19">
        <f t="shared" si="3"/>
        <v>0</v>
      </c>
      <c r="V19" s="19">
        <f t="shared" si="0"/>
        <v>3461.5384615384614</v>
      </c>
    </row>
    <row r="20" spans="2:22" ht="23.1" customHeight="1" thickTop="1">
      <c r="B20" s="55">
        <v>6</v>
      </c>
      <c r="C20" s="59" t="s">
        <v>32</v>
      </c>
      <c r="D20" s="20" t="s">
        <v>25</v>
      </c>
      <c r="E20" s="21">
        <v>270000</v>
      </c>
      <c r="F20" s="21">
        <v>0</v>
      </c>
      <c r="G20" s="21">
        <v>298427</v>
      </c>
      <c r="H20" s="21">
        <v>294785</v>
      </c>
      <c r="I20" s="21">
        <v>198816</v>
      </c>
      <c r="J20" s="21">
        <v>250000</v>
      </c>
      <c r="K20" s="21">
        <v>285024</v>
      </c>
      <c r="L20" s="21">
        <v>307951</v>
      </c>
      <c r="M20" s="21">
        <v>312885</v>
      </c>
      <c r="N20" s="21">
        <v>180000</v>
      </c>
      <c r="O20" s="21">
        <v>280000</v>
      </c>
      <c r="P20" s="21">
        <v>260000</v>
      </c>
      <c r="Q20" s="21">
        <v>280000</v>
      </c>
      <c r="S20" s="16">
        <f>+AVERAGE(E20:I20)</f>
        <v>212405.6</v>
      </c>
      <c r="T20" s="16">
        <f>+AVERAGE(J20:M20)</f>
        <v>288965</v>
      </c>
      <c r="U20" s="16">
        <f>+AVERAGE(N20:Q20)</f>
        <v>250000</v>
      </c>
      <c r="V20" s="16">
        <f>+AVERAGE(E20:Q20)</f>
        <v>247529.84615384616</v>
      </c>
    </row>
    <row r="21" spans="2:22" ht="23.1" customHeight="1">
      <c r="B21" s="56"/>
      <c r="C21" s="60"/>
      <c r="D21" s="14" t="s">
        <v>26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S21" s="16"/>
      <c r="T21" s="16"/>
      <c r="U21" s="16"/>
      <c r="V21" s="16"/>
    </row>
    <row r="22" spans="2:22" ht="23.1" customHeight="1" thickBot="1">
      <c r="B22" s="58"/>
      <c r="C22" s="62"/>
      <c r="D22" s="17" t="s">
        <v>27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S22" s="19"/>
      <c r="T22" s="19"/>
      <c r="U22" s="19"/>
      <c r="V22" s="19"/>
    </row>
    <row r="23" spans="2:22" ht="23.1" customHeight="1" thickTop="1"/>
    <row r="24" spans="2:22" ht="23.1" customHeight="1"/>
    <row r="25" spans="2:22" ht="23.1" customHeight="1"/>
    <row r="26" spans="2:22" ht="23.1" customHeight="1"/>
    <row r="27" spans="2:22" ht="23.1" customHeight="1"/>
    <row r="28" spans="2:22" ht="23.1" customHeight="1"/>
    <row r="29" spans="2:22" ht="23.1" customHeight="1"/>
    <row r="30" spans="2:22" ht="23.1" customHeight="1"/>
    <row r="31" spans="2:22" ht="23.1" customHeight="1"/>
    <row r="32" spans="2:22" ht="23.1" customHeight="1"/>
    <row r="33" ht="23.1" customHeight="1"/>
    <row r="34" ht="23.1" customHeight="1"/>
    <row r="35" ht="23.1" customHeight="1"/>
    <row r="36" ht="23.1" customHeight="1"/>
    <row r="37" ht="23.1" customHeight="1"/>
    <row r="38" ht="23.1" customHeight="1"/>
    <row r="39" ht="23.1" customHeight="1"/>
    <row r="40" ht="23.1" customHeight="1"/>
    <row r="41" ht="23.1" customHeight="1"/>
    <row r="42" ht="23.1" customHeight="1"/>
    <row r="43" ht="23.1" customHeight="1"/>
    <row r="44" ht="23.1" customHeight="1"/>
    <row r="45" ht="23.1" customHeight="1"/>
    <row r="46" ht="23.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</sheetData>
  <mergeCells count="17">
    <mergeCell ref="J3:M3"/>
    <mergeCell ref="N3:Q3"/>
    <mergeCell ref="S3:V3"/>
    <mergeCell ref="B17:B19"/>
    <mergeCell ref="C17:C19"/>
    <mergeCell ref="B5:B7"/>
    <mergeCell ref="C5:C7"/>
    <mergeCell ref="B3:D3"/>
    <mergeCell ref="E3:I3"/>
    <mergeCell ref="B20:B22"/>
    <mergeCell ref="C20:C22"/>
    <mergeCell ref="B8:B10"/>
    <mergeCell ref="C8:C10"/>
    <mergeCell ref="B11:B13"/>
    <mergeCell ref="C11:C13"/>
    <mergeCell ref="B14:B16"/>
    <mergeCell ref="C14:C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TERM 82</vt:lpstr>
      <vt:lpstr>TERM 81</vt:lpstr>
      <vt:lpstr>2021</vt:lpstr>
      <vt:lpstr>OKT</vt:lpstr>
      <vt:lpstr>JUL-</vt:lpstr>
      <vt:lpstr>APR-JUN 2020</vt:lpstr>
      <vt:lpstr>JAN-MAR 2020</vt:lpstr>
      <vt:lpstr>OKT-DES</vt:lpstr>
      <vt:lpstr>JUL-SEPT</vt:lpstr>
      <vt:lpstr>APR-JUN</vt:lpstr>
      <vt:lpstr>jan-mar</vt:lpstr>
      <vt:lpstr>'2021'!Print_Area</vt:lpstr>
      <vt:lpstr>'APR-JUN'!Print_Area</vt:lpstr>
      <vt:lpstr>'APR-JUN 2020'!Print_Area</vt:lpstr>
      <vt:lpstr>'JAN-MAR 2020'!Print_Area</vt:lpstr>
      <vt:lpstr>'JUL-'!Print_Area</vt:lpstr>
      <vt:lpstr>'JUL-SEPT'!Print_Area</vt:lpstr>
      <vt:lpstr>OKT!Print_Area</vt:lpstr>
      <vt:lpstr>'OKT-DES'!Print_Area</vt:lpstr>
      <vt:lpstr>'TERM 81'!Print_Area</vt:lpstr>
      <vt:lpstr>'TERM 82'!Print_Area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GA-05</dc:creator>
  <cp:lastModifiedBy>DESTI_R</cp:lastModifiedBy>
  <cp:lastPrinted>2022-11-21T06:56:32Z</cp:lastPrinted>
  <dcterms:created xsi:type="dcterms:W3CDTF">2019-03-26T08:03:54Z</dcterms:created>
  <dcterms:modified xsi:type="dcterms:W3CDTF">2022-12-09T01:40:30Z</dcterms:modified>
</cp:coreProperties>
</file>