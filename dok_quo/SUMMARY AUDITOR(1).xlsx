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NE LP BPI\TERM 83\UPLOAD TERM 83\"/>
    </mc:Choice>
  </mc:AlternateContent>
  <xr:revisionPtr revIDLastSave="0" documentId="8_{E9DEE933-5EEC-465B-BD40-FA096EA63D08}" xr6:coauthVersionLast="47" xr6:coauthVersionMax="47" xr10:uidLastSave="{00000000-0000-0000-0000-000000000000}"/>
  <bookViews>
    <workbookView xWindow="-120" yWindow="-120" windowWidth="29040" windowHeight="15720" xr2:uid="{FCF1B428-6D82-4EF7-914E-D727557E87D5}"/>
  </bookViews>
  <sheets>
    <sheet name="rev 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W14" i="1"/>
  <c r="V14" i="1"/>
  <c r="R14" i="1"/>
  <c r="N14" i="1"/>
  <c r="W13" i="1"/>
  <c r="W12" i="1"/>
  <c r="V11" i="1"/>
  <c r="R11" i="1"/>
  <c r="N11" i="1"/>
  <c r="W10" i="1"/>
  <c r="W9" i="1"/>
  <c r="W11" i="1" s="1"/>
  <c r="R8" i="1"/>
  <c r="R17" i="1" s="1"/>
  <c r="N8" i="1"/>
  <c r="N16" i="1" s="1"/>
  <c r="J8" i="1"/>
  <c r="F8" i="1"/>
  <c r="W7" i="1"/>
  <c r="W8" i="1" s="1"/>
  <c r="W6" i="1"/>
  <c r="W17" i="1" l="1"/>
  <c r="W16" i="1"/>
  <c r="N17" i="1"/>
</calcChain>
</file>

<file path=xl/sharedStrings.xml><?xml version="1.0" encoding="utf-8"?>
<sst xmlns="http://schemas.openxmlformats.org/spreadsheetml/2006/main" count="46" uniqueCount="17">
  <si>
    <t>Komparasi Cost Audit</t>
  </si>
  <si>
    <t>(ISO TS 16949)Juli 2017</t>
  </si>
  <si>
    <t>Cost Audit/cycle</t>
  </si>
  <si>
    <t>R</t>
  </si>
  <si>
    <t>S1</t>
  </si>
  <si>
    <t>S2</t>
  </si>
  <si>
    <t>Cost Audit</t>
  </si>
  <si>
    <t>Audit Cost</t>
  </si>
  <si>
    <t>DQS</t>
  </si>
  <si>
    <t>Trans</t>
  </si>
  <si>
    <t>Total Cost</t>
  </si>
  <si>
    <t>URS</t>
  </si>
  <si>
    <t>SGS</t>
  </si>
  <si>
    <t>DQS vs URS</t>
  </si>
  <si>
    <t>Cost red 2019</t>
  </si>
  <si>
    <t>Cost red 2020</t>
  </si>
  <si>
    <t>DQS vs 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</si>
</sst>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" fontId="0" fillId="2" borderId="7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" fontId="0" fillId="3" borderId="7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" fontId="0" fillId="4" borderId="7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4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41" fontId="3" fillId="0" borderId="11" xfId="1" applyFont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1" fontId="3" fillId="5" borderId="11" xfId="1" applyFont="1" applyFill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3" fillId="0" borderId="11" xfId="0" applyFont="1" applyBorder="1" applyAlignment="1">
      <alignment vertical="center"/>
    </xf>
    <xf numFmtId="41" fontId="3" fillId="0" borderId="4" xfId="0" applyNumberFormat="1" applyFont="1" applyBorder="1" applyAlignment="1">
      <alignment vertical="center"/>
    </xf>
    <xf numFmtId="0" fontId="0" fillId="5" borderId="14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41" fontId="3" fillId="0" borderId="15" xfId="1" applyFont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41" fontId="3" fillId="5" borderId="15" xfId="1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3" fillId="0" borderId="15" xfId="0" applyFont="1" applyBorder="1" applyAlignment="1">
      <alignment vertical="center"/>
    </xf>
    <xf numFmtId="41" fontId="3" fillId="0" borderId="14" xfId="0" applyNumberFormat="1" applyFont="1" applyBorder="1" applyAlignment="1">
      <alignment vertical="center"/>
    </xf>
    <xf numFmtId="0" fontId="0" fillId="5" borderId="18" xfId="0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41" fontId="3" fillId="0" borderId="21" xfId="1" applyFont="1" applyBorder="1" applyAlignment="1">
      <alignment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1" fontId="3" fillId="5" borderId="21" xfId="1" applyFont="1" applyFill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3" fillId="0" borderId="21" xfId="0" applyFont="1" applyBorder="1" applyAlignment="1">
      <alignment vertical="center"/>
    </xf>
    <xf numFmtId="41" fontId="3" fillId="0" borderId="18" xfId="0" applyNumberFormat="1" applyFont="1" applyBorder="1" applyAlignment="1">
      <alignment vertical="center"/>
    </xf>
    <xf numFmtId="0" fontId="0" fillId="6" borderId="4" xfId="0" applyFill="1" applyBorder="1"/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41" fontId="3" fillId="6" borderId="11" xfId="1" applyFont="1" applyFill="1" applyBorder="1" applyAlignment="1">
      <alignment vertical="center"/>
    </xf>
    <xf numFmtId="0" fontId="0" fillId="6" borderId="14" xfId="0" applyFill="1" applyBorder="1"/>
    <xf numFmtId="0" fontId="3" fillId="0" borderId="2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41" fontId="3" fillId="6" borderId="24" xfId="1" applyFont="1" applyFill="1" applyBorder="1" applyAlignment="1">
      <alignment vertical="center"/>
    </xf>
    <xf numFmtId="41" fontId="3" fillId="0" borderId="8" xfId="0" applyNumberFormat="1" applyFont="1" applyBorder="1" applyAlignment="1">
      <alignment vertical="center"/>
    </xf>
    <xf numFmtId="0" fontId="0" fillId="6" borderId="18" xfId="0" applyFill="1" applyBorder="1"/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41" fontId="3" fillId="6" borderId="21" xfId="1" applyFont="1" applyFill="1" applyBorder="1" applyAlignment="1">
      <alignment vertical="center"/>
    </xf>
    <xf numFmtId="0" fontId="0" fillId="7" borderId="4" xfId="0" applyFill="1" applyBorder="1"/>
    <xf numFmtId="0" fontId="3" fillId="0" borderId="26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41" fontId="3" fillId="7" borderId="11" xfId="1" applyFont="1" applyFill="1" applyBorder="1" applyAlignment="1">
      <alignment vertical="center"/>
    </xf>
    <xf numFmtId="0" fontId="0" fillId="7" borderId="14" xfId="0" applyFill="1" applyBorder="1"/>
    <xf numFmtId="0" fontId="0" fillId="0" borderId="27" xfId="0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41" fontId="3" fillId="7" borderId="15" xfId="1" applyFont="1" applyFill="1" applyBorder="1" applyAlignment="1">
      <alignment vertical="center"/>
    </xf>
    <xf numFmtId="0" fontId="0" fillId="7" borderId="18" xfId="0" applyFill="1" applyBorder="1"/>
    <xf numFmtId="0" fontId="0" fillId="0" borderId="22" xfId="0" applyBorder="1" applyAlignment="1">
      <alignment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41" fontId="3" fillId="7" borderId="21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8" borderId="28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41" fontId="3" fillId="8" borderId="31" xfId="0" applyNumberFormat="1" applyFont="1" applyFill="1" applyBorder="1" applyAlignment="1">
      <alignment vertical="center"/>
    </xf>
    <xf numFmtId="41" fontId="3" fillId="8" borderId="28" xfId="0" applyNumberFormat="1" applyFont="1" applyFill="1" applyBorder="1" applyAlignment="1">
      <alignment vertical="center"/>
    </xf>
    <xf numFmtId="0" fontId="0" fillId="9" borderId="28" xfId="0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41" fontId="3" fillId="9" borderId="31" xfId="0" applyNumberFormat="1" applyFont="1" applyFill="1" applyBorder="1" applyAlignment="1">
      <alignment vertical="center"/>
    </xf>
    <xf numFmtId="41" fontId="3" fillId="9" borderId="28" xfId="0" applyNumberFormat="1" applyFont="1" applyFill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9677-8F04-4AFF-9140-0C0DE3F01DC1}">
  <dimension ref="B2:W17"/>
  <sheetViews>
    <sheetView tabSelected="1" workbookViewId="0">
      <selection activeCell="J22" sqref="J22"/>
    </sheetView>
  </sheetViews>
  <sheetFormatPr defaultRowHeight="15" x14ac:dyDescent="0.25"/>
  <cols>
    <col min="1" max="1" width="2.5703125" customWidth="1"/>
    <col min="2" max="2" width="12.28515625" customWidth="1"/>
    <col min="3" max="5" width="5.85546875" customWidth="1"/>
    <col min="6" max="6" width="21.5703125" customWidth="1"/>
    <col min="7" max="9" width="5.85546875" customWidth="1"/>
    <col min="10" max="10" width="21.5703125" customWidth="1"/>
    <col min="11" max="13" width="5.85546875" customWidth="1"/>
    <col min="14" max="14" width="21.5703125" customWidth="1"/>
    <col min="15" max="17" width="5.85546875" customWidth="1"/>
    <col min="18" max="18" width="21.5703125" customWidth="1"/>
    <col min="19" max="21" width="5.85546875" customWidth="1"/>
    <col min="22" max="22" width="21.5703125" customWidth="1"/>
    <col min="23" max="23" width="18" customWidth="1"/>
  </cols>
  <sheetData>
    <row r="2" spans="2:23" ht="21" x14ac:dyDescent="0.3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2:23" ht="15.75" thickBot="1" x14ac:dyDescent="0.3"/>
    <row r="4" spans="2:23" ht="15.75" thickBot="1" x14ac:dyDescent="0.3">
      <c r="C4" s="2" t="s">
        <v>1</v>
      </c>
      <c r="D4" s="3"/>
      <c r="E4" s="3"/>
      <c r="F4" s="4"/>
      <c r="G4" s="5">
        <v>43191</v>
      </c>
      <c r="H4" s="6"/>
      <c r="I4" s="6"/>
      <c r="J4" s="7"/>
      <c r="K4" s="8">
        <v>43556</v>
      </c>
      <c r="L4" s="9"/>
      <c r="M4" s="9"/>
      <c r="N4" s="10"/>
      <c r="O4" s="11">
        <v>43922</v>
      </c>
      <c r="P4" s="12"/>
      <c r="Q4" s="12"/>
      <c r="R4" s="13"/>
      <c r="S4" s="14">
        <v>44287</v>
      </c>
      <c r="T4" s="3"/>
      <c r="U4" s="3"/>
      <c r="V4" s="4"/>
      <c r="W4" s="15" t="s">
        <v>2</v>
      </c>
    </row>
    <row r="5" spans="2:23" ht="15.75" thickBot="1" x14ac:dyDescent="0.3">
      <c r="C5" s="16" t="s">
        <v>3</v>
      </c>
      <c r="D5" s="17" t="s">
        <v>4</v>
      </c>
      <c r="E5" s="17" t="s">
        <v>5</v>
      </c>
      <c r="F5" s="18" t="s">
        <v>6</v>
      </c>
      <c r="G5" s="19" t="s">
        <v>3</v>
      </c>
      <c r="H5" s="20" t="s">
        <v>4</v>
      </c>
      <c r="I5" s="20" t="s">
        <v>5</v>
      </c>
      <c r="J5" s="21" t="s">
        <v>6</v>
      </c>
      <c r="K5" s="22" t="s">
        <v>3</v>
      </c>
      <c r="L5" s="23" t="s">
        <v>4</v>
      </c>
      <c r="M5" s="23" t="s">
        <v>5</v>
      </c>
      <c r="N5" s="24" t="s">
        <v>6</v>
      </c>
      <c r="O5" s="25" t="s">
        <v>3</v>
      </c>
      <c r="P5" s="26" t="s">
        <v>4</v>
      </c>
      <c r="Q5" s="26" t="s">
        <v>5</v>
      </c>
      <c r="R5" s="27" t="s">
        <v>6</v>
      </c>
      <c r="S5" s="16" t="s">
        <v>3</v>
      </c>
      <c r="T5" s="17" t="s">
        <v>4</v>
      </c>
      <c r="U5" s="17" t="s">
        <v>5</v>
      </c>
      <c r="V5" s="18" t="s">
        <v>6</v>
      </c>
      <c r="W5" s="28"/>
    </row>
    <row r="6" spans="2:23" ht="21.75" customHeight="1" x14ac:dyDescent="0.25">
      <c r="B6" s="29" t="s">
        <v>7</v>
      </c>
      <c r="C6" s="30"/>
      <c r="D6" s="31" t="s">
        <v>8</v>
      </c>
      <c r="E6" s="31"/>
      <c r="F6" s="32">
        <v>260000000</v>
      </c>
      <c r="G6" s="33" t="s">
        <v>8</v>
      </c>
      <c r="H6" s="34"/>
      <c r="I6" s="34"/>
      <c r="J6" s="35">
        <v>360000000</v>
      </c>
      <c r="K6" s="33"/>
      <c r="L6" s="34" t="s">
        <v>8</v>
      </c>
      <c r="M6" s="34"/>
      <c r="N6" s="35">
        <v>177650000</v>
      </c>
      <c r="O6" s="33"/>
      <c r="P6" s="34"/>
      <c r="Q6" s="34" t="s">
        <v>8</v>
      </c>
      <c r="R6" s="35">
        <v>177650000</v>
      </c>
      <c r="S6" s="36"/>
      <c r="T6" s="37"/>
      <c r="U6" s="37"/>
      <c r="V6" s="38"/>
      <c r="W6" s="39">
        <f>J6+N6+R6</f>
        <v>715300000</v>
      </c>
    </row>
    <row r="7" spans="2:23" ht="21.75" customHeight="1" x14ac:dyDescent="0.25">
      <c r="B7" s="40" t="s">
        <v>9</v>
      </c>
      <c r="C7" s="41"/>
      <c r="D7" s="42"/>
      <c r="E7" s="42"/>
      <c r="F7" s="43">
        <v>37628254</v>
      </c>
      <c r="G7" s="44"/>
      <c r="H7" s="45"/>
      <c r="I7" s="45"/>
      <c r="J7" s="46">
        <v>37628254</v>
      </c>
      <c r="K7" s="44"/>
      <c r="L7" s="45"/>
      <c r="M7" s="45"/>
      <c r="N7" s="46">
        <v>37628254</v>
      </c>
      <c r="O7" s="44"/>
      <c r="P7" s="45"/>
      <c r="Q7" s="45"/>
      <c r="R7" s="46">
        <v>37628254</v>
      </c>
      <c r="S7" s="47"/>
      <c r="T7" s="48"/>
      <c r="U7" s="48"/>
      <c r="V7" s="49"/>
      <c r="W7" s="50">
        <f>J7+N7+R7</f>
        <v>112884762</v>
      </c>
    </row>
    <row r="8" spans="2:23" ht="21.75" customHeight="1" thickBot="1" x14ac:dyDescent="0.3">
      <c r="B8" s="51" t="s">
        <v>10</v>
      </c>
      <c r="C8" s="52"/>
      <c r="D8" s="53"/>
      <c r="E8" s="53"/>
      <c r="F8" s="54">
        <f>F6+F7</f>
        <v>297628254</v>
      </c>
      <c r="G8" s="55"/>
      <c r="H8" s="56"/>
      <c r="I8" s="56"/>
      <c r="J8" s="57">
        <f>J6+J7</f>
        <v>397628254</v>
      </c>
      <c r="K8" s="55"/>
      <c r="L8" s="56"/>
      <c r="M8" s="56"/>
      <c r="N8" s="57">
        <f>N6+N7</f>
        <v>215278254</v>
      </c>
      <c r="O8" s="55"/>
      <c r="P8" s="56"/>
      <c r="Q8" s="56"/>
      <c r="R8" s="57">
        <f>R6+R7</f>
        <v>215278254</v>
      </c>
      <c r="S8" s="58"/>
      <c r="T8" s="59"/>
      <c r="U8" s="59"/>
      <c r="V8" s="60"/>
      <c r="W8" s="61">
        <f>W6+W7</f>
        <v>828184762</v>
      </c>
    </row>
    <row r="9" spans="2:23" ht="21.75" customHeight="1" x14ac:dyDescent="0.25">
      <c r="B9" s="62" t="s">
        <v>7</v>
      </c>
      <c r="C9" s="30"/>
      <c r="D9" s="31"/>
      <c r="E9" s="31"/>
      <c r="F9" s="38"/>
      <c r="G9" s="63"/>
      <c r="H9" s="64"/>
      <c r="I9" s="64"/>
      <c r="J9" s="38"/>
      <c r="K9" s="65" t="s">
        <v>11</v>
      </c>
      <c r="L9" s="66"/>
      <c r="M9" s="66"/>
      <c r="N9" s="67">
        <v>87500000</v>
      </c>
      <c r="O9" s="65"/>
      <c r="P9" s="66" t="s">
        <v>11</v>
      </c>
      <c r="Q9" s="66"/>
      <c r="R9" s="67">
        <v>66500000</v>
      </c>
      <c r="S9" s="65"/>
      <c r="T9" s="66"/>
      <c r="U9" s="66" t="s">
        <v>11</v>
      </c>
      <c r="V9" s="67">
        <v>66500000</v>
      </c>
      <c r="W9" s="39">
        <f>N9+R9+V9</f>
        <v>220500000</v>
      </c>
    </row>
    <row r="10" spans="2:23" ht="21.75" customHeight="1" x14ac:dyDescent="0.25">
      <c r="B10" s="68" t="s">
        <v>9</v>
      </c>
      <c r="C10" s="41"/>
      <c r="D10" s="42"/>
      <c r="E10" s="42"/>
      <c r="F10" s="69"/>
      <c r="G10" s="70"/>
      <c r="H10" s="71"/>
      <c r="I10" s="71"/>
      <c r="J10" s="69"/>
      <c r="K10" s="72"/>
      <c r="L10" s="73"/>
      <c r="M10" s="73"/>
      <c r="N10" s="74">
        <v>0</v>
      </c>
      <c r="O10" s="72"/>
      <c r="P10" s="73"/>
      <c r="Q10" s="73"/>
      <c r="R10" s="74">
        <v>0</v>
      </c>
      <c r="S10" s="72"/>
      <c r="T10" s="73"/>
      <c r="U10" s="73"/>
      <c r="V10" s="74">
        <v>0</v>
      </c>
      <c r="W10" s="75">
        <f>N10+R10+V10</f>
        <v>0</v>
      </c>
    </row>
    <row r="11" spans="2:23" ht="21.75" customHeight="1" thickBot="1" x14ac:dyDescent="0.3">
      <c r="B11" s="76" t="s">
        <v>10</v>
      </c>
      <c r="C11" s="52"/>
      <c r="D11" s="53"/>
      <c r="E11" s="53"/>
      <c r="F11" s="60"/>
      <c r="G11" s="77"/>
      <c r="H11" s="78"/>
      <c r="I11" s="78"/>
      <c r="J11" s="60"/>
      <c r="K11" s="79"/>
      <c r="L11" s="80"/>
      <c r="M11" s="80"/>
      <c r="N11" s="81">
        <f>N9+N10</f>
        <v>87500000</v>
      </c>
      <c r="O11" s="79"/>
      <c r="P11" s="80"/>
      <c r="Q11" s="80"/>
      <c r="R11" s="81">
        <f>R9+R10</f>
        <v>66500000</v>
      </c>
      <c r="S11" s="79"/>
      <c r="T11" s="80"/>
      <c r="U11" s="80"/>
      <c r="V11" s="81">
        <f>V9+V10</f>
        <v>66500000</v>
      </c>
      <c r="W11" s="61">
        <f>W9+W10</f>
        <v>220500000</v>
      </c>
    </row>
    <row r="12" spans="2:23" ht="21.75" customHeight="1" x14ac:dyDescent="0.25">
      <c r="B12" s="82" t="s">
        <v>7</v>
      </c>
      <c r="C12" s="30"/>
      <c r="D12" s="31"/>
      <c r="E12" s="31"/>
      <c r="F12" s="83"/>
      <c r="G12" s="84"/>
      <c r="H12" s="85"/>
      <c r="I12" s="85"/>
      <c r="J12" s="83"/>
      <c r="K12" s="86" t="s">
        <v>12</v>
      </c>
      <c r="L12" s="87"/>
      <c r="M12" s="87"/>
      <c r="N12" s="88">
        <v>92500000</v>
      </c>
      <c r="O12" s="86"/>
      <c r="P12" s="87" t="s">
        <v>12</v>
      </c>
      <c r="Q12" s="87"/>
      <c r="R12" s="88">
        <v>62750000</v>
      </c>
      <c r="S12" s="86"/>
      <c r="T12" s="87"/>
      <c r="U12" s="87" t="s">
        <v>12</v>
      </c>
      <c r="V12" s="88">
        <v>62750000</v>
      </c>
      <c r="W12" s="39">
        <f>N12+R12+V12</f>
        <v>218000000</v>
      </c>
    </row>
    <row r="13" spans="2:23" ht="21.75" customHeight="1" x14ac:dyDescent="0.25">
      <c r="B13" s="89" t="s">
        <v>9</v>
      </c>
      <c r="C13" s="41"/>
      <c r="D13" s="42"/>
      <c r="E13" s="42"/>
      <c r="F13" s="69"/>
      <c r="G13" s="90"/>
      <c r="H13" s="71"/>
      <c r="I13" s="71"/>
      <c r="J13" s="69"/>
      <c r="K13" s="91"/>
      <c r="L13" s="92"/>
      <c r="M13" s="92"/>
      <c r="N13" s="93">
        <v>15000000</v>
      </c>
      <c r="O13" s="91"/>
      <c r="P13" s="92"/>
      <c r="Q13" s="92"/>
      <c r="R13" s="93">
        <v>15000000</v>
      </c>
      <c r="S13" s="91"/>
      <c r="T13" s="92"/>
      <c r="U13" s="92"/>
      <c r="V13" s="93">
        <v>15000000</v>
      </c>
      <c r="W13" s="50">
        <f>N13+R13+V13</f>
        <v>45000000</v>
      </c>
    </row>
    <row r="14" spans="2:23" ht="21.75" customHeight="1" thickBot="1" x14ac:dyDescent="0.3">
      <c r="B14" s="94" t="s">
        <v>10</v>
      </c>
      <c r="C14" s="52"/>
      <c r="D14" s="53"/>
      <c r="E14" s="53"/>
      <c r="F14" s="60"/>
      <c r="G14" s="95"/>
      <c r="H14" s="78"/>
      <c r="I14" s="78"/>
      <c r="J14" s="60"/>
      <c r="K14" s="96"/>
      <c r="L14" s="97"/>
      <c r="M14" s="97"/>
      <c r="N14" s="98">
        <f>N12+N13</f>
        <v>107500000</v>
      </c>
      <c r="O14" s="96"/>
      <c r="P14" s="97"/>
      <c r="Q14" s="97"/>
      <c r="R14" s="98">
        <f>R12+R13</f>
        <v>77750000</v>
      </c>
      <c r="S14" s="96"/>
      <c r="T14" s="97"/>
      <c r="U14" s="97"/>
      <c r="V14" s="98">
        <f>V12+V13</f>
        <v>77750000</v>
      </c>
      <c r="W14" s="61">
        <f>W12+W13</f>
        <v>263000000</v>
      </c>
    </row>
    <row r="15" spans="2:23" ht="7.5" customHeight="1" thickBot="1" x14ac:dyDescent="0.3">
      <c r="C15" s="99"/>
      <c r="D15" s="99"/>
      <c r="E15" s="99"/>
      <c r="G15" s="99"/>
      <c r="H15" s="99"/>
      <c r="I15" s="99"/>
      <c r="K15" s="99"/>
      <c r="L15" s="99"/>
      <c r="M15" s="99"/>
      <c r="O15" s="99"/>
      <c r="P15" s="99"/>
      <c r="Q15" s="99"/>
      <c r="S15" s="99"/>
      <c r="T15" s="99"/>
      <c r="U15" s="99"/>
    </row>
    <row r="16" spans="2:23" ht="21" customHeight="1" thickBot="1" x14ac:dyDescent="0.3">
      <c r="J16" s="100" t="s">
        <v>13</v>
      </c>
      <c r="K16" s="101" t="s">
        <v>14</v>
      </c>
      <c r="L16" s="102"/>
      <c r="M16" s="102"/>
      <c r="N16" s="103">
        <f>N8-N11</f>
        <v>127778254</v>
      </c>
      <c r="O16" s="101" t="s">
        <v>15</v>
      </c>
      <c r="P16" s="102"/>
      <c r="Q16" s="102"/>
      <c r="R16" s="103">
        <f>R8-R11</f>
        <v>148778254</v>
      </c>
      <c r="W16" s="104">
        <f>W8-W9</f>
        <v>607684762</v>
      </c>
    </row>
    <row r="17" spans="10:23" ht="21" customHeight="1" thickBot="1" x14ac:dyDescent="0.3">
      <c r="J17" s="105" t="s">
        <v>16</v>
      </c>
      <c r="K17" s="106"/>
      <c r="L17" s="107"/>
      <c r="M17" s="107"/>
      <c r="N17" s="108">
        <f>N8-N14</f>
        <v>107778254</v>
      </c>
      <c r="O17" s="106"/>
      <c r="P17" s="107"/>
      <c r="Q17" s="107"/>
      <c r="R17" s="108">
        <f>R8-R14</f>
        <v>137528254</v>
      </c>
      <c r="W17" s="109">
        <f>W8-W14</f>
        <v>565184762</v>
      </c>
    </row>
  </sheetData>
  <mergeCells count="46">
    <mergeCell ref="K16:M17"/>
    <mergeCell ref="O16:Q17"/>
    <mergeCell ref="O12:O14"/>
    <mergeCell ref="P12:P14"/>
    <mergeCell ref="Q12:Q14"/>
    <mergeCell ref="S12:S14"/>
    <mergeCell ref="T12:T14"/>
    <mergeCell ref="U12:U14"/>
    <mergeCell ref="C12:C14"/>
    <mergeCell ref="D12:D14"/>
    <mergeCell ref="E12:E14"/>
    <mergeCell ref="K12:K14"/>
    <mergeCell ref="L12:L14"/>
    <mergeCell ref="M12:M14"/>
    <mergeCell ref="O9:O11"/>
    <mergeCell ref="P9:P11"/>
    <mergeCell ref="Q9:Q11"/>
    <mergeCell ref="S9:S11"/>
    <mergeCell ref="T9:T11"/>
    <mergeCell ref="U9:U11"/>
    <mergeCell ref="O6:O8"/>
    <mergeCell ref="P6:P8"/>
    <mergeCell ref="Q6:Q8"/>
    <mergeCell ref="C9:C11"/>
    <mergeCell ref="D9:D11"/>
    <mergeCell ref="E9:E11"/>
    <mergeCell ref="G9:G11"/>
    <mergeCell ref="K9:K11"/>
    <mergeCell ref="L9:L11"/>
    <mergeCell ref="M9:M11"/>
    <mergeCell ref="W4:W5"/>
    <mergeCell ref="C6:C8"/>
    <mergeCell ref="D6:D8"/>
    <mergeCell ref="E6:E8"/>
    <mergeCell ref="G6:G8"/>
    <mergeCell ref="H6:H8"/>
    <mergeCell ref="I6:I8"/>
    <mergeCell ref="K6:K8"/>
    <mergeCell ref="L6:L8"/>
    <mergeCell ref="M6:M8"/>
    <mergeCell ref="D2:N2"/>
    <mergeCell ref="C4:F4"/>
    <mergeCell ref="G4:J4"/>
    <mergeCell ref="K4:N4"/>
    <mergeCell ref="O4:R4"/>
    <mergeCell ref="S4:V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2023-10-20T02:46:10Z</dcterms:created>
  <dcterms:modified xsi:type="dcterms:W3CDTF">2023-10-20T02:48:33Z</dcterms:modified>
</cp:coreProperties>
</file>