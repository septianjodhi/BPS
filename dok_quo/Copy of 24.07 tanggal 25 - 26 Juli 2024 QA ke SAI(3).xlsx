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codeName="ThisWorkbook" defaultThemeVersion="124226"/>
  <mc:AlternateContent xmlns:mc="http://schemas.openxmlformats.org/markup-compatibility/2006">
    <mc:Choice Requires="x15">
      <x15ac:absPath xmlns:x15ac="http://schemas.microsoft.com/office/spreadsheetml/2010/11/ac" url="D:\SHARING SAMI-130\QA SAMI-30\2. QA-ADMIN\6. BUDGET\Term 84\KONTROL BUDGET TERM 84\komparasi harga\"/>
    </mc:Choice>
  </mc:AlternateContent>
  <xr:revisionPtr revIDLastSave="0" documentId="13_ncr:1_{DEA5A0F9-0E8D-4BF6-9240-83BE5306815A}" xr6:coauthVersionLast="47" xr6:coauthVersionMax="47" xr10:uidLastSave="{00000000-0000-0000-0000-000000000000}"/>
  <bookViews>
    <workbookView xWindow="-120" yWindow="-120" windowWidth="24240" windowHeight="13140" tabRatio="761" activeTab="2" xr2:uid="{00000000-000D-0000-FFFF-FFFF00000000}"/>
  </bookViews>
  <sheets>
    <sheet name="TAHAP 1" sheetId="5" r:id="rId1"/>
    <sheet name="TAPAH 2.2 (Rincian)" sheetId="15" r:id="rId2"/>
    <sheet name="TAHAP 2.1 (SPD)" sheetId="16" r:id="rId3"/>
  </sheets>
  <definedNames>
    <definedName name="_xlnm.Print_Area" localSheetId="0">'TAHAP 1'!$A$1:$V$83</definedName>
    <definedName name="_xlnm.Print_Area" localSheetId="2">'TAHAP 2.1 (SPD)'!$A$1:$W$59</definedName>
    <definedName name="_xlnm.Print_Area" localSheetId="1">'TAPAH 2.2 (Rincian)'!$A$1:$P$82</definedName>
  </definedNames>
  <calcPr calcId="181029"/>
</workbook>
</file>

<file path=xl/calcChain.xml><?xml version="1.0" encoding="utf-8"?>
<calcChain xmlns="http://schemas.openxmlformats.org/spreadsheetml/2006/main">
  <c r="R67" i="5" l="1"/>
  <c r="G29" i="15"/>
  <c r="E73" i="15" l="1"/>
  <c r="M20" i="16" l="1"/>
  <c r="K20" i="16"/>
  <c r="K19" i="16"/>
  <c r="I20" i="16"/>
  <c r="G20" i="16"/>
  <c r="F20" i="16"/>
  <c r="C20" i="16"/>
  <c r="H24" i="15"/>
  <c r="F24" i="15"/>
  <c r="I23" i="15"/>
  <c r="H23" i="15"/>
  <c r="G25" i="15" s="1"/>
  <c r="F23" i="15"/>
  <c r="C23" i="15"/>
  <c r="C24" i="15" s="1"/>
  <c r="I22" i="15"/>
  <c r="H22" i="15"/>
  <c r="G22" i="15"/>
  <c r="F22" i="15"/>
  <c r="J24" i="15" l="1"/>
  <c r="J23" i="15"/>
  <c r="J25" i="15" s="1"/>
  <c r="H30" i="15" l="1"/>
  <c r="H29" i="15"/>
  <c r="F27" i="5"/>
  <c r="C27" i="5"/>
  <c r="AA20" i="16" l="1"/>
  <c r="AA21" i="16"/>
  <c r="S37" i="16"/>
  <c r="B34" i="16" l="1"/>
  <c r="B35" i="16"/>
  <c r="G35" i="16"/>
  <c r="B36" i="16"/>
  <c r="G36" i="16"/>
  <c r="Y21" i="16"/>
  <c r="F19" i="16"/>
  <c r="C19" i="16"/>
  <c r="AB21" i="16"/>
  <c r="Z21" i="16"/>
  <c r="AB20" i="16"/>
  <c r="Z20" i="16"/>
  <c r="Y20" i="16"/>
  <c r="C31" i="15" l="1"/>
  <c r="C36" i="16" s="1"/>
  <c r="C30" i="15"/>
  <c r="C35" i="16" l="1"/>
  <c r="C74" i="15"/>
  <c r="L35" i="16"/>
  <c r="H59" i="15"/>
  <c r="G68" i="15" l="1"/>
  <c r="R70" i="5" l="1"/>
  <c r="H73" i="15" l="1"/>
  <c r="I73" i="15" s="1"/>
  <c r="G69" i="15" l="1"/>
  <c r="M38" i="15" l="1"/>
  <c r="N38" i="15" s="1"/>
  <c r="C68" i="15"/>
  <c r="E68" i="15"/>
  <c r="H74" i="15" l="1"/>
  <c r="I74" i="15" s="1"/>
  <c r="I10" i="16" l="1"/>
  <c r="G34" i="16" l="1"/>
  <c r="I9" i="16" l="1"/>
  <c r="I53" i="15" l="1"/>
  <c r="I54" i="15"/>
  <c r="I55" i="15"/>
  <c r="I57" i="15"/>
  <c r="I58" i="15"/>
  <c r="I60" i="15"/>
  <c r="I48" i="15"/>
  <c r="I49" i="15" s="1"/>
  <c r="I56" i="15"/>
  <c r="M19" i="16"/>
  <c r="AB19" i="16" s="1"/>
  <c r="AA19" i="16"/>
  <c r="I19" i="16"/>
  <c r="Z19" i="16" s="1"/>
  <c r="G19" i="16"/>
  <c r="Y19" i="16" s="1"/>
  <c r="I61" i="15" l="1"/>
  <c r="I63" i="15" s="1"/>
  <c r="Q37" i="16"/>
  <c r="L36" i="16"/>
  <c r="C29" i="15"/>
  <c r="R75" i="5"/>
  <c r="R74" i="5"/>
  <c r="R73" i="5"/>
  <c r="R72" i="5"/>
  <c r="R69" i="5"/>
  <c r="R68" i="5"/>
  <c r="O34" i="16" l="1"/>
  <c r="C34" i="16"/>
  <c r="C73" i="15"/>
  <c r="O37" i="16" l="1"/>
  <c r="H32" i="15"/>
  <c r="T55" i="16"/>
  <c r="F8" i="15"/>
  <c r="O79" i="15"/>
  <c r="L34" i="16" l="1"/>
  <c r="L37" i="16" s="1"/>
  <c r="L38" i="16" s="1"/>
</calcChain>
</file>

<file path=xl/sharedStrings.xml><?xml version="1.0" encoding="utf-8"?>
<sst xmlns="http://schemas.openxmlformats.org/spreadsheetml/2006/main" count="464" uniqueCount="248">
  <si>
    <t>PT. SEMARANG AUTOCOMP MANUFACTURING INDONESIA</t>
  </si>
  <si>
    <t>NO</t>
  </si>
  <si>
    <t>NIK</t>
  </si>
  <si>
    <t>NAMA</t>
  </si>
  <si>
    <t>DEPT. / SECT.</t>
  </si>
  <si>
    <t>TANGGAL</t>
  </si>
  <si>
    <t>s/d</t>
  </si>
  <si>
    <t>-</t>
  </si>
  <si>
    <t>TUJUAN PERJALANAN DINAS</t>
  </si>
  <si>
    <t>KEPENTINGAN</t>
  </si>
  <si>
    <t>:</t>
  </si>
  <si>
    <t>UANG SAKU</t>
  </si>
  <si>
    <t>TOTAL</t>
  </si>
  <si>
    <t>STATION</t>
  </si>
  <si>
    <t>JENIS ARMADA</t>
  </si>
  <si>
    <t>WAKTU KEBERANGKATAN</t>
  </si>
  <si>
    <t>JAM</t>
  </si>
  <si>
    <t>LOKASI</t>
  </si>
  <si>
    <t>Sabuk Pengaman</t>
  </si>
  <si>
    <t>Ban Cadangan</t>
  </si>
  <si>
    <t>Dongkrak</t>
  </si>
  <si>
    <t xml:space="preserve">Pembuka Roda dan </t>
  </si>
  <si>
    <t>Apar</t>
  </si>
  <si>
    <t>Ganjal Ban (Wheel Block)</t>
  </si>
  <si>
    <t>Perisai Kolong Belakang</t>
  </si>
  <si>
    <t>Perisai Kolong Samping</t>
  </si>
  <si>
    <t>Alat Pemantul Cahaya</t>
  </si>
  <si>
    <t>Pemecah Kaca / Martil</t>
  </si>
  <si>
    <t>Usia Driver</t>
  </si>
  <si>
    <t>Kernet</t>
  </si>
  <si>
    <t>●</t>
  </si>
  <si>
    <t>x</t>
  </si>
  <si>
    <t>50 Tahun</t>
  </si>
  <si>
    <t>BUS</t>
  </si>
  <si>
    <t>NO.</t>
  </si>
  <si>
    <t>DEPARTURE</t>
  </si>
  <si>
    <t>ARRIVAL</t>
  </si>
  <si>
    <t>HOTEL</t>
  </si>
  <si>
    <t>PT. SEMARANG AUTOCOMP MANUFACTURING INDONESIA - TUGU FACTORY</t>
  </si>
  <si>
    <t>HARGA</t>
  </si>
  <si>
    <t>JML HARI</t>
  </si>
  <si>
    <t>JUMLAH</t>
  </si>
  <si>
    <t>Sewa Unit</t>
  </si>
  <si>
    <t>BBM (Estimasi)</t>
  </si>
  <si>
    <t>Tol (Estimasi)</t>
  </si>
  <si>
    <t>Parkir (Estimasi)</t>
  </si>
  <si>
    <t>Overtime Driver (Estimasi)</t>
  </si>
  <si>
    <t>Fee Luar Kota Driver</t>
  </si>
  <si>
    <t>Uang Inap</t>
  </si>
  <si>
    <t>ITEM</t>
  </si>
  <si>
    <t xml:space="preserve">Biaya Antar Ambil </t>
  </si>
  <si>
    <t>KET.</t>
  </si>
  <si>
    <t>NAMA HOTEL</t>
  </si>
  <si>
    <t>ALAMAT</t>
  </si>
  <si>
    <t>PREPARED</t>
  </si>
  <si>
    <t>CHECKED</t>
  </si>
  <si>
    <t>Renny</t>
  </si>
  <si>
    <t>SMK</t>
  </si>
  <si>
    <t>FYH</t>
  </si>
  <si>
    <t>REQUEST PERHITUNGAN BIAYA PERJALANAN DINAS</t>
  </si>
  <si>
    <t>RANGE TIME</t>
  </si>
  <si>
    <t>JABATAN</t>
  </si>
  <si>
    <t>FORM/CHECKSHEET</t>
  </si>
  <si>
    <t>NO. DOKUMEN</t>
  </si>
  <si>
    <t>REVISI</t>
  </si>
  <si>
    <t xml:space="preserve">HALAMAN </t>
  </si>
  <si>
    <t>MASA BERLAKU</t>
  </si>
  <si>
    <t>APPROVED I</t>
  </si>
  <si>
    <t>APPROVED II</t>
  </si>
  <si>
    <t>AWI</t>
  </si>
  <si>
    <t>: 0</t>
  </si>
  <si>
    <t>: 05-07-2023</t>
  </si>
  <si>
    <t>: 1</t>
  </si>
  <si>
    <t>1. MEMBER YANG AKAN PERJALANAN DINAS</t>
  </si>
  <si>
    <t>REQUEST KHUSUS</t>
  </si>
  <si>
    <t>JUMLAH KURSI (PENUMPANG)</t>
  </si>
  <si>
    <t>3. HOTEL</t>
  </si>
  <si>
    <t>2.a Pesawat</t>
  </si>
  <si>
    <t>2.b Kereta</t>
  </si>
  <si>
    <t>2.c Mobil / Hi Ace / Bus</t>
  </si>
  <si>
    <t>SMOKING</t>
  </si>
  <si>
    <t>BREAKFAST</t>
  </si>
  <si>
    <t>LAUNDRY</t>
  </si>
  <si>
    <t>No</t>
  </si>
  <si>
    <t xml:space="preserve">Mobil </t>
  </si>
  <si>
    <t>Hi Ace</t>
  </si>
  <si>
    <t>Ketentuan Jenis Kamar</t>
  </si>
  <si>
    <t>Golongan</t>
  </si>
  <si>
    <t>I</t>
  </si>
  <si>
    <t>II</t>
  </si>
  <si>
    <t>III</t>
  </si>
  <si>
    <t>IV</t>
  </si>
  <si>
    <t>V</t>
  </si>
  <si>
    <t>VI</t>
  </si>
  <si>
    <t>VII</t>
  </si>
  <si>
    <t>Standard maks. Bintang 3</t>
  </si>
  <si>
    <t>Standard maks. Bintang 4</t>
  </si>
  <si>
    <t>Standard maks. Bintang 5</t>
  </si>
  <si>
    <t>Golongan I - III</t>
  </si>
  <si>
    <t>Luar Negeri</t>
  </si>
  <si>
    <t>Dalam Negeri</t>
  </si>
  <si>
    <t>Pesawat Udara Kelas Ekonomi</t>
  </si>
  <si>
    <t>Kereta Api / Bus</t>
  </si>
  <si>
    <t>Golongan IV - V</t>
  </si>
  <si>
    <t>Golongan VI - VII</t>
  </si>
  <si>
    <t>Pesawat Udara Kelas Bisnis</t>
  </si>
  <si>
    <t>NOTE : Standar kelengkapan armada</t>
  </si>
  <si>
    <t>2. TRANSPORTASI</t>
  </si>
  <si>
    <t>PIC</t>
  </si>
  <si>
    <t>REVIEW</t>
  </si>
  <si>
    <t>TGL</t>
  </si>
  <si>
    <t>ISI PERUBAHAN</t>
  </si>
  <si>
    <t>REV.</t>
  </si>
  <si>
    <t>New Release</t>
  </si>
  <si>
    <t>PERLINDUNGAN HAK CIPTA!                                                                                       
Dokumen ini adalah milik dan untuk dipergunakan di lingkungan kerja PT. SAMI .
Tidak diperkenankan memindahkan, menyalin, atau menggandakan sebagian ataupun seluruhnya isi dokumen ini dalam bentuk dan dengan cara apapun, tanpa izin tertulis dari Wakil manajemen.</t>
  </si>
  <si>
    <r>
      <t xml:space="preserve">Referensi Prosedur/WI/OS/IS/ :
</t>
    </r>
    <r>
      <rPr>
        <sz val="10"/>
        <color theme="1"/>
        <rFont val="Calibri"/>
        <family val="2"/>
        <scheme val="minor"/>
      </rPr>
      <t>PGA-GA.PD.02 : Prosedur Perjalanan Dinas</t>
    </r>
  </si>
  <si>
    <t>Laundry</t>
  </si>
  <si>
    <t>SHUTTLE</t>
  </si>
  <si>
    <t xml:space="preserve">TTD PIC </t>
  </si>
  <si>
    <t>A</t>
  </si>
  <si>
    <r>
      <t xml:space="preserve">Perjalanan Dinas yang memakan waktu </t>
    </r>
    <r>
      <rPr>
        <b/>
        <i/>
        <u/>
        <sz val="12"/>
        <color theme="1"/>
        <rFont val="Calibri"/>
        <family val="2"/>
        <scheme val="minor"/>
      </rPr>
      <t xml:space="preserve">3 (tiga) hari atau lebih </t>
    </r>
    <r>
      <rPr>
        <i/>
        <sz val="12"/>
        <color theme="1"/>
        <rFont val="Calibri"/>
        <family val="2"/>
        <scheme val="minor"/>
      </rPr>
      <t xml:space="preserve">maka ia berhak atas penggantian biaya cuci pakaian (laundry) </t>
    </r>
    <r>
      <rPr>
        <b/>
        <i/>
        <u/>
        <sz val="12"/>
        <color theme="1"/>
        <rFont val="Calibri"/>
        <family val="2"/>
        <scheme val="minor"/>
      </rPr>
      <t xml:space="preserve">5pcs per-hari </t>
    </r>
    <r>
      <rPr>
        <i/>
        <sz val="12"/>
        <color theme="1"/>
        <rFont val="Calibri"/>
        <family val="2"/>
        <scheme val="minor"/>
      </rPr>
      <t>(blouse / kemeja, celana, pakaian dalam dan kaos kaki)</t>
    </r>
  </si>
  <si>
    <r>
      <t xml:space="preserve">Isi kolom di bawah ini dengan tanda </t>
    </r>
    <r>
      <rPr>
        <i/>
        <sz val="12"/>
        <color theme="1"/>
        <rFont val="Calibri"/>
        <family val="2"/>
      </rPr>
      <t>Ѵ atau X</t>
    </r>
  </si>
  <si>
    <r>
      <t xml:space="preserve">Segitiga Pengaman </t>
    </r>
    <r>
      <rPr>
        <i/>
        <sz val="12"/>
        <color theme="1"/>
        <rFont val="Calibri"/>
        <family val="2"/>
        <scheme val="minor"/>
      </rPr>
      <t>(Minimal 2 buah, berwarna merah, dapat memantulkan cahaya)</t>
    </r>
  </si>
  <si>
    <r>
      <t>Kotak P3K</t>
    </r>
    <r>
      <rPr>
        <i/>
        <sz val="12"/>
        <color theme="1"/>
        <rFont val="Calibri"/>
        <family val="2"/>
        <scheme val="minor"/>
      </rPr>
      <t>(Minimal berisi obat antiseptik, kain kassa, kapas, plester)</t>
    </r>
  </si>
  <si>
    <r>
      <t xml:space="preserve">●
</t>
    </r>
    <r>
      <rPr>
        <i/>
        <sz val="12"/>
        <color theme="1"/>
        <rFont val="Calibri"/>
        <family val="2"/>
      </rPr>
      <t>(1x M1 berat 1 Kg)</t>
    </r>
  </si>
  <si>
    <r>
      <t xml:space="preserve">●
</t>
    </r>
    <r>
      <rPr>
        <i/>
        <sz val="12"/>
        <color theme="1"/>
        <rFont val="Calibri"/>
        <family val="2"/>
      </rPr>
      <t>(2x M1 berat 1 Kg)</t>
    </r>
  </si>
  <si>
    <r>
      <t xml:space="preserve">●
</t>
    </r>
    <r>
      <rPr>
        <i/>
        <sz val="12"/>
        <color theme="1"/>
        <rFont val="Calibri"/>
        <family val="2"/>
      </rPr>
      <t>(Jika &gt; 3,500 Kg)</t>
    </r>
  </si>
  <si>
    <t>Point</t>
  </si>
  <si>
    <t>TAHAP</t>
  </si>
  <si>
    <t>KETERANGAN</t>
  </si>
  <si>
    <t>ISI FORM REQUEST PERHITUNGAN BIAYA PERJALANAN DINAS</t>
  </si>
  <si>
    <t>ISI FORM SUMMARY PERBANDINGAN PERJALANAN DINAS KEMUDIAN DI SERAHKAN KE USER</t>
  </si>
  <si>
    <t>PROSES PEMESANAN TIKET / ARMADA &amp; HOTEL</t>
  </si>
  <si>
    <t>PROSES PEMBUATAN PR UPD (yang harus cair sebelum dilaksanakannya perjalanan dinas)</t>
  </si>
  <si>
    <t>PROSES PEMBUATAN PR TIKET / ARMADA &amp; HOTEL</t>
  </si>
  <si>
    <t>EMAIL SPD KE-HR (cc FA)</t>
  </si>
  <si>
    <t>WHO</t>
  </si>
  <si>
    <t>User</t>
  </si>
  <si>
    <t>GA</t>
  </si>
  <si>
    <t>INFORMASI KUNJUNGAN PERJALANAN DINAS KE- GA AFFILIATE TUJUAN</t>
  </si>
  <si>
    <t>~ TIME TABLE PERSIAPAN PERJALANAN DINAS</t>
  </si>
  <si>
    <t>Date</t>
  </si>
  <si>
    <t>TIME LIMIT (ke-GA)</t>
  </si>
  <si>
    <t>H-10 sebelum hari-H</t>
  </si>
  <si>
    <t>H-13 sebelum hari-H</t>
  </si>
  <si>
    <t>H-15 sebelum hari-H</t>
  </si>
  <si>
    <t>H-1 sebelum hari-H</t>
  </si>
  <si>
    <t>H-7 sebelum hari-H</t>
  </si>
  <si>
    <t>H-8 sebelum hari-H</t>
  </si>
  <si>
    <t>di isi oleh GA</t>
  </si>
  <si>
    <t xml:space="preserve">ATUR &amp; KONFIRMASI PENJEMPUTAN </t>
  </si>
  <si>
    <t>plan</t>
  </si>
  <si>
    <t>actual</t>
  </si>
  <si>
    <t>AIR PORT</t>
  </si>
  <si>
    <t>NOTE : Standar transportasi berdasarkan Prosedur Perjalanan Dinas (PGA-GA.PD.02)</t>
  </si>
  <si>
    <t>NOTE : Standar penginapan berdasarkan Prosedur Perjalanan Dinas (PGA-GA.PD.02)</t>
  </si>
  <si>
    <t>MEMINTA APPROVAL SAMPAI DENGAN PRESDIR DAN MGR FA KEMUDIAN FORM DI SERAHKAN KE GA</t>
  </si>
  <si>
    <t>: 083/PGA/GS/FORM/RPBPD</t>
  </si>
  <si>
    <t>Date :</t>
  </si>
  <si>
    <r>
      <t>H</t>
    </r>
    <r>
      <rPr>
        <sz val="14"/>
        <color theme="1"/>
        <rFont val="Calibri"/>
        <family val="2"/>
        <scheme val="minor"/>
      </rPr>
      <t>+</t>
    </r>
    <r>
      <rPr>
        <sz val="12"/>
        <color theme="1"/>
        <rFont val="Calibri"/>
        <family val="2"/>
        <scheme val="minor"/>
      </rPr>
      <t>7 setelah Issued Tiket (point no.4)</t>
    </r>
  </si>
  <si>
    <t>NO. REKENING</t>
  </si>
  <si>
    <t>APPROVED</t>
  </si>
  <si>
    <t>HALAMAN</t>
  </si>
  <si>
    <r>
      <rPr>
        <b/>
        <sz val="11"/>
        <color theme="1"/>
        <rFont val="Calibri"/>
        <family val="2"/>
        <scheme val="minor"/>
      </rPr>
      <t>Referensi Prosedur/WI/OS/IS/ :</t>
    </r>
    <r>
      <rPr>
        <sz val="11"/>
        <color theme="1"/>
        <rFont val="Calibri"/>
        <family val="2"/>
        <scheme val="minor"/>
      </rPr>
      <t xml:space="preserve">
PGA-GA.PD.02 : Prosedur Perjalanan Dinas</t>
    </r>
  </si>
  <si>
    <t>NOTE : Standar UPD Dalam Negeri berdasarkan Prosedur Perjalanan Dinas (PGA-GA.PD.02)</t>
  </si>
  <si>
    <t>: 1/2</t>
  </si>
  <si>
    <t>: 4</t>
  </si>
  <si>
    <t>: 023/PGA/GA/FORM/SPDDN</t>
  </si>
  <si>
    <t>SURAT PERJALANAN DINAS DALAM NEGERI</t>
  </si>
  <si>
    <t>Add Actual UPD</t>
  </si>
  <si>
    <t>New Format</t>
  </si>
  <si>
    <t>Update Tgl Masa Berlaku &amp; Rev. No. Dok.</t>
  </si>
  <si>
    <t>LNA</t>
  </si>
  <si>
    <t>WIN</t>
  </si>
  <si>
    <t>Penggabungan approval perjalanan dinas</t>
  </si>
  <si>
    <t>: 04-07-2024</t>
  </si>
  <si>
    <t>RENNY</t>
  </si>
  <si>
    <t xml:space="preserve">LAMPIRAN (Rincian) </t>
  </si>
  <si>
    <t>GOL</t>
  </si>
  <si>
    <t>SUB TOTAL</t>
  </si>
  <si>
    <t>1. PESERTA</t>
  </si>
  <si>
    <t>FM / DFM</t>
  </si>
  <si>
    <t>PRESDIR</t>
  </si>
  <si>
    <t>BRI</t>
  </si>
  <si>
    <t>2. BIAYA PERJALANAN DINAS</t>
  </si>
  <si>
    <t>UPD</t>
  </si>
  <si>
    <t>PRICE</t>
  </si>
  <si>
    <t>ESTIMATED
PRICE</t>
  </si>
  <si>
    <t>Hari Senin 1 Minggu sebelum hari-H (08:00)</t>
  </si>
  <si>
    <t>: 11-07-2023</t>
  </si>
  <si>
    <t>: 10-07-2024</t>
  </si>
  <si>
    <t>YANG MENERIMA PERINTAH</t>
  </si>
  <si>
    <t>1. UPD</t>
  </si>
  <si>
    <r>
      <t>2. TRANSPORTASI</t>
    </r>
    <r>
      <rPr>
        <i/>
        <sz val="12"/>
        <color theme="1"/>
        <rFont val="Calibri"/>
        <family val="2"/>
        <scheme val="minor"/>
      </rPr>
      <t xml:space="preserve">      </t>
    </r>
    <r>
      <rPr>
        <i/>
        <u/>
        <sz val="12"/>
        <color theme="1"/>
        <rFont val="Calibri"/>
        <family val="2"/>
        <scheme val="minor"/>
      </rPr>
      <t>(PIC Perjalanan Dinas tanda tangan pada kolom transportasi yang dipilih atau yang diajukan)</t>
    </r>
  </si>
  <si>
    <t>SPV</t>
  </si>
  <si>
    <t>PERIODE BUDGET</t>
  </si>
  <si>
    <t>Rincian Golongan</t>
  </si>
  <si>
    <t>LUNCH</t>
  </si>
  <si>
    <t>DINNER</t>
  </si>
  <si>
    <t>JML BIAYA</t>
  </si>
  <si>
    <t>PERIODE</t>
  </si>
  <si>
    <t>KET ROOM</t>
  </si>
  <si>
    <t>Check In</t>
  </si>
  <si>
    <t>Check Out</t>
  </si>
  <si>
    <t>TRANSPORTASI</t>
  </si>
  <si>
    <t>: 2 / 2</t>
  </si>
  <si>
    <t xml:space="preserve"> </t>
  </si>
  <si>
    <t>QTY ROOM</t>
  </si>
  <si>
    <t>QTY NIGHT</t>
  </si>
  <si>
    <t>ROOM</t>
  </si>
  <si>
    <t>BIAYA SEWA UNIT</t>
  </si>
  <si>
    <t>BIAYA OPERATIONAL MOBIL</t>
  </si>
  <si>
    <t>MGR</t>
  </si>
  <si>
    <t>6.
MENGETAHUI
MGR FA</t>
  </si>
  <si>
    <r>
      <rPr>
        <b/>
        <u/>
        <sz val="18"/>
        <color theme="1"/>
        <rFont val="Times New Roman"/>
        <family val="1"/>
      </rPr>
      <t>NOTE :</t>
    </r>
    <r>
      <rPr>
        <b/>
        <sz val="14"/>
        <color theme="1"/>
        <rFont val="Times New Roman"/>
        <family val="1"/>
      </rPr>
      <t xml:space="preserve">
</t>
    </r>
    <r>
      <rPr>
        <sz val="14"/>
        <color theme="1"/>
        <rFont val="Times New Roman"/>
        <family val="1"/>
      </rPr>
      <t>1. Ket. Budget di isi bulan periode budget atau di tulis "additional" jika additional budget
2. Approval diproses oleh User
3. Approval pada form ini akan digunakan sebagai jaminan GA dalam melakukan proses issued ticket dan hotel sebelum user melakukan pembuatan PR (purchase requisition).
4. Pembuatan PR setelah proses issued bertujuan agar tidak terjadi selisih harga PR (purchase requisition) dengan actual.</t>
    </r>
  </si>
  <si>
    <t>GRAB CAR</t>
  </si>
  <si>
    <t>2.1 PESAWAT</t>
  </si>
  <si>
    <t>BERANGKAT</t>
  </si>
  <si>
    <t>PULANG</t>
  </si>
  <si>
    <t>QTY</t>
  </si>
  <si>
    <t>FLIGHT SCHEDULE</t>
  </si>
  <si>
    <t>LOKAL TRANSPORT</t>
  </si>
  <si>
    <t>YES</t>
  </si>
  <si>
    <t>di Hotel</t>
  </si>
  <si>
    <t>Yes</t>
  </si>
  <si>
    <t>2.2 MOBIL / LOCAL TRANSPORT</t>
  </si>
  <si>
    <t>X</t>
  </si>
  <si>
    <t>BY : CAR</t>
  </si>
  <si>
    <t>di Rumah</t>
  </si>
  <si>
    <t>Deluxe Room</t>
  </si>
  <si>
    <t>: SAI</t>
  </si>
  <si>
    <t>Smoking</t>
  </si>
  <si>
    <t xml:space="preserve"> Verwood Hotel Surabaya</t>
  </si>
  <si>
    <t>: YIG QUALITY MEETING</t>
  </si>
  <si>
    <t>QA</t>
  </si>
  <si>
    <t>ARY SUSANTO</t>
  </si>
  <si>
    <t>CSPV</t>
  </si>
  <si>
    <t>IRAWAN RAHARDIANTO</t>
  </si>
  <si>
    <t xml:space="preserve">MOBIL </t>
  </si>
  <si>
    <t>DARI RUMAH AST JAM 9:00, LANJUT KE SAMI (IRH)</t>
  </si>
  <si>
    <t>LUMINOR HOTEL</t>
  </si>
  <si>
    <t>Non Smoking</t>
  </si>
  <si>
    <t>Jl. Pahlawan, Jetis, Lemahputro, Kec. Sidoarjo, Kabupaten Sidoarjo, Jawa Timur 61213</t>
  </si>
  <si>
    <t>RUMAH (AST)
&amp; SAMI</t>
  </si>
  <si>
    <t>AST</t>
  </si>
  <si>
    <t>IRH</t>
  </si>
  <si>
    <t>AMU</t>
  </si>
  <si>
    <t>Name : Ary Susanto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</si>
</sst>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_(* \(#,##0\);_(* &quot;-&quot;_);_(@_)"/>
    <numFmt numFmtId="43" formatCode="_(* #,##0.00_);_(* \(#,##0.00\);_(* &quot;-&quot;??_);_(@_)"/>
    <numFmt numFmtId="164" formatCode="[$-13809]dd\ mmmm\ yyyy;@"/>
    <numFmt numFmtId="165" formatCode="_(* #,##0_);_(* \(#,##0\);_(* &quot;-&quot;??_);_(@_)"/>
    <numFmt numFmtId="166" formatCode="[$-F800]dddd\,\ mmmm\ dd\,\ yyyy"/>
    <numFmt numFmtId="167" formatCode="[$-13809]d\ mmm\ yyyy;@"/>
    <numFmt numFmtId="168" formatCode="[$-409]d\-mmm;@"/>
    <numFmt numFmtId="169" formatCode="_-[$Rp-421]* #,##0_-;\-[$Rp-421]* #,##0_-;_-[$Rp-421]* &quot;-&quot;??_-;_-@_-"/>
    <numFmt numFmtId="170" formatCode="[$-409]dd\-mmm\-yy;@"/>
    <numFmt numFmtId="171" formatCode="[$-409]d\-mmm\-yy;@"/>
    <numFmt numFmtId="172" formatCode="_-[$Rp-421]* #,##0_-;\-[$Rp-421]* #,##0_-;_-[$Rp-421]* &quot;-&quot;_-;_-@_-"/>
  </numFmts>
  <fonts count="63"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b/>
      <sz val="16"/>
      <color theme="1"/>
      <name val="Calibri"/>
      <family val="2"/>
      <scheme val="minor"/>
    </font>
    <font>
      <b/>
      <i/>
      <sz val="11"/>
      <color theme="1"/>
      <name val="Calibri"/>
      <family val="2"/>
      <scheme val="minor"/>
    </font>
    <font>
      <i/>
      <sz val="11"/>
      <color theme="1"/>
      <name val="Calibri"/>
      <family val="2"/>
      <scheme val="minor"/>
    </font>
    <font>
      <b/>
      <i/>
      <sz val="12"/>
      <color theme="1"/>
      <name val="Calibri"/>
      <family val="2"/>
      <scheme val="minor"/>
    </font>
    <font>
      <b/>
      <sz val="16"/>
      <color rgb="FF0000CC"/>
      <name val="Comic Sans MS"/>
      <family val="4"/>
    </font>
    <font>
      <b/>
      <sz val="11"/>
      <color rgb="FF0000CC"/>
      <name val="Comic Sans MS"/>
      <family val="4"/>
    </font>
    <font>
      <b/>
      <sz val="12"/>
      <color rgb="FF0000CC"/>
      <name val="Comic Sans MS"/>
      <family val="4"/>
    </font>
    <font>
      <i/>
      <sz val="9"/>
      <color theme="1"/>
      <name val="Calibri"/>
      <family val="2"/>
      <scheme val="minor"/>
    </font>
    <font>
      <b/>
      <i/>
      <sz val="10"/>
      <color theme="1"/>
      <name val="Calibri"/>
      <family val="2"/>
      <scheme val="minor"/>
    </font>
    <font>
      <b/>
      <i/>
      <sz val="12"/>
      <color theme="1"/>
      <name val="Calibri"/>
      <family val="2"/>
    </font>
    <font>
      <i/>
      <sz val="12"/>
      <color theme="1"/>
      <name val="Calibri"/>
      <family val="2"/>
      <scheme val="minor"/>
    </font>
    <font>
      <i/>
      <sz val="12"/>
      <color theme="1"/>
      <name val="Calibri"/>
      <family val="2"/>
    </font>
    <font>
      <b/>
      <sz val="10"/>
      <color theme="1"/>
      <name val="Calibri"/>
      <family val="2"/>
      <scheme val="minor"/>
    </font>
    <font>
      <b/>
      <sz val="9"/>
      <color rgb="FFFF0000"/>
      <name val="Calibri"/>
      <family val="2"/>
      <scheme val="minor"/>
    </font>
    <font>
      <b/>
      <i/>
      <u/>
      <sz val="12"/>
      <color theme="1"/>
      <name val="Calibri"/>
      <family val="2"/>
      <scheme val="minor"/>
    </font>
    <font>
      <u/>
      <sz val="12"/>
      <color theme="1"/>
      <name val="Calibri"/>
      <family val="2"/>
      <scheme val="minor"/>
    </font>
    <font>
      <sz val="14"/>
      <color theme="1"/>
      <name val="Calibri"/>
      <family val="2"/>
      <scheme val="minor"/>
    </font>
    <font>
      <sz val="12"/>
      <color rgb="FF0000CC"/>
      <name val="Calibri"/>
      <family val="2"/>
      <scheme val="minor"/>
    </font>
    <font>
      <b/>
      <sz val="14"/>
      <color rgb="FF0000CC"/>
      <name val="Comic Sans MS"/>
      <family val="4"/>
    </font>
    <font>
      <b/>
      <sz val="10"/>
      <color rgb="FFFF0000"/>
      <name val="Calibri"/>
      <family val="2"/>
      <scheme val="minor"/>
    </font>
    <font>
      <b/>
      <sz val="18"/>
      <color theme="1"/>
      <name val="Calibri"/>
      <family val="2"/>
      <scheme val="minor"/>
    </font>
    <font>
      <i/>
      <u/>
      <sz val="12"/>
      <color theme="1"/>
      <name val="Calibri"/>
      <family val="2"/>
      <scheme val="minor"/>
    </font>
    <font>
      <i/>
      <sz val="14"/>
      <color theme="1"/>
      <name val="Calibri"/>
      <family val="2"/>
      <scheme val="minor"/>
    </font>
    <font>
      <b/>
      <u/>
      <sz val="14"/>
      <color theme="1"/>
      <name val="Calibri"/>
      <family val="2"/>
      <scheme val="minor"/>
    </font>
    <font>
      <b/>
      <sz val="14"/>
      <color rgb="FFFF0000"/>
      <name val="Calibri"/>
      <family val="2"/>
      <scheme val="minor"/>
    </font>
    <font>
      <sz val="12"/>
      <color rgb="FF0000CC"/>
      <name val="Comic Sans MS"/>
      <family val="4"/>
    </font>
    <font>
      <b/>
      <i/>
      <sz val="14"/>
      <color theme="1"/>
      <name val="Calibri"/>
      <family val="2"/>
      <scheme val="minor"/>
    </font>
    <font>
      <b/>
      <sz val="14"/>
      <color theme="0"/>
      <name val="Calibri"/>
      <family val="2"/>
      <scheme val="minor"/>
    </font>
    <font>
      <sz val="14"/>
      <color rgb="FF0000CC"/>
      <name val="Calibri"/>
      <family val="2"/>
      <scheme val="minor"/>
    </font>
    <font>
      <b/>
      <sz val="14"/>
      <color rgb="FF0000CC"/>
      <name val="Calibri"/>
      <family val="2"/>
      <scheme val="minor"/>
    </font>
    <font>
      <b/>
      <sz val="16"/>
      <color theme="1"/>
      <name val="Times New Roman"/>
      <family val="1"/>
    </font>
    <font>
      <b/>
      <sz val="14"/>
      <color theme="1"/>
      <name val="Times New Roman"/>
      <family val="1"/>
    </font>
    <font>
      <b/>
      <sz val="20"/>
      <color theme="1"/>
      <name val="Times New Roman"/>
      <family val="1"/>
    </font>
    <font>
      <b/>
      <sz val="20"/>
      <color rgb="FF0000CC"/>
      <name val="Times New Roman"/>
      <family val="1"/>
    </font>
    <font>
      <sz val="20"/>
      <color theme="1"/>
      <name val="Times New Roman"/>
      <family val="1"/>
    </font>
    <font>
      <sz val="11"/>
      <color theme="1"/>
      <name val="Times New Roman"/>
      <family val="1"/>
    </font>
    <font>
      <sz val="12"/>
      <color theme="1"/>
      <name val="Times New Roman"/>
      <family val="1"/>
    </font>
    <font>
      <b/>
      <sz val="12"/>
      <color theme="1"/>
      <name val="Times New Roman"/>
      <family val="1"/>
    </font>
    <font>
      <b/>
      <sz val="10"/>
      <color theme="1"/>
      <name val="Times New Roman"/>
      <family val="1"/>
    </font>
    <font>
      <sz val="14"/>
      <color theme="1"/>
      <name val="Times New Roman"/>
      <family val="1"/>
    </font>
    <font>
      <sz val="16"/>
      <color rgb="FF0000CC"/>
      <name val="Times New Roman"/>
      <family val="1"/>
    </font>
    <font>
      <b/>
      <sz val="14"/>
      <color rgb="FF0000CC"/>
      <name val="Times New Roman"/>
      <family val="1"/>
    </font>
    <font>
      <i/>
      <sz val="14"/>
      <color rgb="FF0000CC"/>
      <name val="Times New Roman"/>
      <family val="1"/>
    </font>
    <font>
      <b/>
      <sz val="16"/>
      <color rgb="FF0000CC"/>
      <name val="Times New Roman"/>
      <family val="1"/>
    </font>
    <font>
      <b/>
      <u/>
      <sz val="20"/>
      <color theme="1"/>
      <name val="Times New Roman"/>
      <family val="1"/>
    </font>
    <font>
      <sz val="14"/>
      <color rgb="FF0000CC"/>
      <name val="Times New Roman"/>
      <family val="1"/>
    </font>
    <font>
      <sz val="16"/>
      <color theme="1"/>
      <name val="Times New Roman"/>
      <family val="1"/>
    </font>
    <font>
      <b/>
      <sz val="12"/>
      <color rgb="FF0000CC"/>
      <name val="Times New Roman"/>
      <family val="1"/>
    </font>
    <font>
      <sz val="10"/>
      <color theme="1"/>
      <name val="Times New Roman"/>
      <family val="1"/>
    </font>
    <font>
      <b/>
      <sz val="18"/>
      <color theme="1"/>
      <name val="Times New Roman"/>
      <family val="1"/>
    </font>
    <font>
      <b/>
      <u/>
      <sz val="18"/>
      <color theme="1"/>
      <name val="Times New Roman"/>
      <family val="1"/>
    </font>
    <font>
      <sz val="14"/>
      <color theme="0"/>
      <name val="Calibri"/>
      <family val="2"/>
      <scheme val="minor"/>
    </font>
    <font>
      <sz val="14"/>
      <name val="Times New Roman"/>
      <family val="1"/>
    </font>
    <font>
      <b/>
      <sz val="12"/>
      <color rgb="FF0000CC"/>
      <name val="Calibri"/>
      <family val="2"/>
      <scheme val="minor"/>
    </font>
    <font>
      <sz val="14"/>
      <name val="Calibri"/>
      <family val="2"/>
      <scheme val="minor"/>
    </font>
    <font>
      <sz val="12"/>
      <name val="Times New Roman"/>
      <family val="1"/>
    </font>
  </fonts>
  <fills count="10">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CC"/>
        <bgColor indexed="64"/>
      </patternFill>
    </fill>
    <fill>
      <patternFill patternType="solid">
        <fgColor theme="8"/>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bottom style="hair">
        <color auto="1"/>
      </bottom>
      <diagonal/>
    </border>
    <border>
      <left/>
      <right/>
      <top style="hair">
        <color auto="1"/>
      </top>
      <bottom style="hair">
        <color auto="1"/>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bottom/>
      <diagonal/>
    </border>
    <border>
      <left/>
      <right/>
      <top/>
      <bottom style="thick">
        <color auto="1"/>
      </bottom>
      <diagonal/>
    </border>
    <border>
      <left/>
      <right/>
      <top/>
      <bottom style="double">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auto="1"/>
      </bottom>
      <diagonal/>
    </border>
    <border>
      <left/>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hair">
        <color auto="1"/>
      </top>
      <bottom/>
      <diagonal/>
    </border>
    <border>
      <left/>
      <right style="thin">
        <color indexed="64"/>
      </right>
      <top style="hair">
        <color indexed="64"/>
      </top>
      <bottom/>
      <diagonal/>
    </border>
    <border>
      <left style="thin">
        <color indexed="64"/>
      </left>
      <right/>
      <top/>
      <bottom style="thick">
        <color indexed="64"/>
      </bottom>
      <diagonal/>
    </border>
    <border>
      <left/>
      <right style="thin">
        <color indexed="64"/>
      </right>
      <top/>
      <bottom style="thick">
        <color indexed="64"/>
      </bottom>
      <diagonal/>
    </border>
    <border>
      <left/>
      <right/>
      <top style="thin">
        <color indexed="64"/>
      </top>
      <bottom style="double">
        <color indexed="64"/>
      </bottom>
      <diagonal/>
    </border>
    <border>
      <left/>
      <right/>
      <top style="double">
        <color indexed="64"/>
      </top>
      <bottom style="thin">
        <color indexed="64"/>
      </bottom>
      <diagonal/>
    </border>
    <border>
      <left style="thin">
        <color indexed="64"/>
      </left>
      <right/>
      <top style="thick">
        <color indexed="64"/>
      </top>
      <bottom/>
      <diagonal/>
    </border>
    <border>
      <left/>
      <right/>
      <top style="thick">
        <color indexed="64"/>
      </top>
      <bottom/>
      <diagonal/>
    </border>
    <border>
      <left/>
      <right style="thin">
        <color indexed="64"/>
      </right>
      <top style="thick">
        <color indexed="64"/>
      </top>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s>
  <cellStyleXfs count="4">
    <xf numFmtId="0" fontId="0" fillId="0" borderId="0"/>
    <xf numFmtId="43" fontId="1" fillId="0" borderId="0" applyFont="0" applyFill="0" applyBorder="0" applyAlignment="0" applyProtection="0"/>
    <xf numFmtId="41" fontId="1" fillId="0" borderId="0" applyFont="0" applyFill="0" applyBorder="0" applyAlignment="0" applyProtection="0"/>
    <xf numFmtId="0" fontId="1" fillId="0" borderId="0"/>
  </cellStyleXfs>
  <cellXfs count="776">
    <xf numFmtId="0" fontId="0" fillId="0" borderId="0" xfId="0"/>
    <xf numFmtId="0" fontId="0" fillId="0" borderId="0" xfId="0" applyAlignment="1">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center"/>
    </xf>
    <xf numFmtId="0" fontId="6" fillId="0" borderId="0" xfId="0" applyFont="1" applyAlignment="1">
      <alignment vertical="center"/>
    </xf>
    <xf numFmtId="0" fontId="6" fillId="0" borderId="14" xfId="0" applyFont="1" applyBorder="1" applyAlignment="1">
      <alignment vertical="center"/>
    </xf>
    <xf numFmtId="0" fontId="6" fillId="0" borderId="0" xfId="0" applyFont="1" applyAlignment="1">
      <alignment horizontal="center" vertical="top"/>
    </xf>
    <xf numFmtId="0" fontId="2" fillId="0" borderId="0" xfId="0" applyFont="1" applyAlignment="1">
      <alignment vertical="center"/>
    </xf>
    <xf numFmtId="0" fontId="8" fillId="0" borderId="0" xfId="0" applyFont="1" applyAlignment="1">
      <alignment horizontal="center" vertical="center"/>
    </xf>
    <xf numFmtId="0" fontId="0" fillId="0" borderId="13" xfId="0" applyBorder="1" applyAlignment="1">
      <alignment vertical="center"/>
    </xf>
    <xf numFmtId="0" fontId="3" fillId="0" borderId="0" xfId="0" applyFont="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6" fillId="0" borderId="0" xfId="0" applyFont="1" applyAlignment="1">
      <alignment vertical="top"/>
    </xf>
    <xf numFmtId="0" fontId="2" fillId="0" borderId="1" xfId="0" applyFont="1" applyBorder="1" applyAlignment="1">
      <alignment horizontal="center" vertical="center"/>
    </xf>
    <xf numFmtId="0" fontId="0" fillId="0" borderId="8" xfId="0" applyBorder="1" applyAlignment="1">
      <alignment horizontal="center" vertical="center"/>
    </xf>
    <xf numFmtId="0" fontId="0" fillId="0" borderId="16" xfId="0" applyBorder="1" applyAlignment="1">
      <alignment vertical="center"/>
    </xf>
    <xf numFmtId="0" fontId="6" fillId="0" borderId="13" xfId="0" applyFont="1" applyBorder="1" applyAlignment="1">
      <alignment vertical="center"/>
    </xf>
    <xf numFmtId="0" fontId="6" fillId="0" borderId="16" xfId="0" applyFont="1" applyBorder="1" applyAlignment="1">
      <alignment vertical="center"/>
    </xf>
    <xf numFmtId="0" fontId="6" fillId="0" borderId="16" xfId="0" applyFont="1" applyBorder="1" applyAlignment="1">
      <alignment vertical="top"/>
    </xf>
    <xf numFmtId="0" fontId="5" fillId="0" borderId="0" xfId="0" applyFont="1" applyAlignment="1">
      <alignment vertical="center"/>
    </xf>
    <xf numFmtId="0" fontId="8" fillId="0" borderId="16" xfId="0" applyFont="1" applyBorder="1" applyAlignment="1">
      <alignment horizontal="center" vertical="center"/>
    </xf>
    <xf numFmtId="0" fontId="3" fillId="0" borderId="1" xfId="0" applyFont="1" applyBorder="1" applyAlignment="1">
      <alignment horizontal="center" vertical="center"/>
    </xf>
    <xf numFmtId="0" fontId="6" fillId="0" borderId="0" xfId="0" applyFont="1" applyAlignment="1">
      <alignment horizontal="center" vertical="center"/>
    </xf>
    <xf numFmtId="0" fontId="15" fillId="0" borderId="0" xfId="0" applyFont="1" applyAlignment="1">
      <alignment vertical="center"/>
    </xf>
    <xf numFmtId="0" fontId="10" fillId="3" borderId="1" xfId="0" applyFont="1" applyFill="1" applyBorder="1" applyAlignment="1">
      <alignment horizontal="center" vertical="center"/>
    </xf>
    <xf numFmtId="0" fontId="15" fillId="0" borderId="0" xfId="0" applyFont="1" applyAlignment="1">
      <alignment horizontal="center" vertical="top"/>
    </xf>
    <xf numFmtId="0" fontId="15" fillId="0" borderId="0" xfId="0" applyFont="1" applyAlignment="1">
      <alignment horizontal="left" vertical="top"/>
    </xf>
    <xf numFmtId="0" fontId="19" fillId="0" borderId="0" xfId="0" applyFont="1" applyAlignment="1">
      <alignment vertical="center"/>
    </xf>
    <xf numFmtId="0" fontId="19" fillId="0" borderId="1"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15" fillId="0" borderId="13" xfId="0" applyFont="1" applyBorder="1" applyAlignment="1">
      <alignment horizontal="center" vertical="top"/>
    </xf>
    <xf numFmtId="0" fontId="4" fillId="0" borderId="6" xfId="0" applyFont="1" applyBorder="1" applyAlignment="1">
      <alignment horizontal="center" vertical="center"/>
    </xf>
    <xf numFmtId="0" fontId="10" fillId="2" borderId="1" xfId="0" applyFont="1" applyFill="1" applyBorder="1" applyAlignment="1">
      <alignment horizontal="center" vertical="top"/>
    </xf>
    <xf numFmtId="0" fontId="6" fillId="5" borderId="1" xfId="0" applyFont="1" applyFill="1" applyBorder="1" applyAlignment="1">
      <alignment horizontal="center" vertical="center" wrapText="1"/>
    </xf>
    <xf numFmtId="0" fontId="5" fillId="0" borderId="14" xfId="0" applyFont="1" applyBorder="1" applyAlignment="1">
      <alignment horizontal="center" vertical="center"/>
    </xf>
    <xf numFmtId="0" fontId="5" fillId="0" borderId="15" xfId="0" applyFont="1" applyBorder="1" applyAlignment="1">
      <alignment horizontal="center" vertical="center"/>
    </xf>
    <xf numFmtId="0" fontId="5" fillId="0" borderId="14" xfId="0" applyFont="1" applyBorder="1" applyAlignment="1">
      <alignment horizontal="left" vertical="center"/>
    </xf>
    <xf numFmtId="0" fontId="3" fillId="0" borderId="25" xfId="0" applyFont="1" applyBorder="1" applyAlignment="1">
      <alignment horizontal="left" vertical="center"/>
    </xf>
    <xf numFmtId="0" fontId="15" fillId="0" borderId="25" xfId="0" applyFont="1" applyBorder="1" applyAlignment="1">
      <alignment horizontal="left" vertical="top"/>
    </xf>
    <xf numFmtId="0" fontId="15" fillId="0" borderId="25" xfId="0" applyFont="1" applyBorder="1" applyAlignment="1">
      <alignment horizontal="center" vertical="top"/>
    </xf>
    <xf numFmtId="0" fontId="15" fillId="0" borderId="25" xfId="0" applyFont="1" applyBorder="1" applyAlignment="1">
      <alignment vertical="center"/>
    </xf>
    <xf numFmtId="0" fontId="12" fillId="0" borderId="13" xfId="0" applyFont="1" applyBorder="1" applyAlignment="1">
      <alignment vertical="center"/>
    </xf>
    <xf numFmtId="0" fontId="5" fillId="0" borderId="34" xfId="0" applyFont="1" applyBorder="1" applyAlignment="1">
      <alignment vertical="center"/>
    </xf>
    <xf numFmtId="0" fontId="5" fillId="0" borderId="29" xfId="0" applyFont="1" applyBorder="1" applyAlignment="1">
      <alignment vertical="center"/>
    </xf>
    <xf numFmtId="0" fontId="7" fillId="0" borderId="13" xfId="0" applyFont="1" applyBorder="1" applyAlignment="1">
      <alignment vertical="center"/>
    </xf>
    <xf numFmtId="0" fontId="5" fillId="0" borderId="13" xfId="0" applyFont="1" applyBorder="1" applyAlignment="1">
      <alignment vertical="center"/>
    </xf>
    <xf numFmtId="0" fontId="4" fillId="0" borderId="16" xfId="0" applyFont="1" applyBorder="1" applyAlignment="1">
      <alignment vertical="center"/>
    </xf>
    <xf numFmtId="0" fontId="17" fillId="0" borderId="13" xfId="0" applyFont="1" applyBorder="1"/>
    <xf numFmtId="0" fontId="15" fillId="0" borderId="16" xfId="0" applyFont="1" applyBorder="1" applyAlignment="1">
      <alignment vertical="center"/>
    </xf>
    <xf numFmtId="0" fontId="19" fillId="0" borderId="16" xfId="0" applyFont="1" applyBorder="1" applyAlignment="1">
      <alignment vertical="center"/>
    </xf>
    <xf numFmtId="0" fontId="3" fillId="0" borderId="16" xfId="0" applyFont="1" applyBorder="1" applyAlignment="1">
      <alignment vertical="center"/>
    </xf>
    <xf numFmtId="0" fontId="6" fillId="0" borderId="16" xfId="0" applyFont="1" applyBorder="1" applyAlignment="1">
      <alignment horizontal="center" vertical="center"/>
    </xf>
    <xf numFmtId="0" fontId="3" fillId="0" borderId="19" xfId="0" applyFont="1" applyBorder="1" applyAlignment="1">
      <alignment horizontal="center" vertical="center"/>
    </xf>
    <xf numFmtId="0" fontId="15" fillId="0" borderId="20" xfId="0" applyFont="1" applyBorder="1" applyAlignment="1">
      <alignment vertical="center"/>
    </xf>
    <xf numFmtId="0" fontId="4" fillId="0" borderId="0" xfId="0" applyFont="1" applyAlignment="1">
      <alignment horizontal="left" vertical="top"/>
    </xf>
    <xf numFmtId="0" fontId="4" fillId="0" borderId="0" xfId="0" applyFont="1" applyAlignment="1">
      <alignment horizontal="center" vertical="top"/>
    </xf>
    <xf numFmtId="0" fontId="4" fillId="0" borderId="13" xfId="0" applyFont="1" applyBorder="1" applyAlignment="1">
      <alignment horizontal="center" vertical="top"/>
    </xf>
    <xf numFmtId="0" fontId="6" fillId="3" borderId="1" xfId="0" applyFont="1" applyFill="1" applyBorder="1" applyAlignment="1">
      <alignment horizontal="center" vertical="center"/>
    </xf>
    <xf numFmtId="0" fontId="0" fillId="0" borderId="26" xfId="0" applyBorder="1" applyAlignment="1">
      <alignment vertical="center"/>
    </xf>
    <xf numFmtId="0" fontId="0" fillId="0" borderId="27" xfId="0" applyBorder="1" applyAlignment="1">
      <alignment vertical="center"/>
    </xf>
    <xf numFmtId="0" fontId="0" fillId="0" borderId="28" xfId="0" applyBorder="1" applyAlignment="1">
      <alignment vertical="center"/>
    </xf>
    <xf numFmtId="0" fontId="0" fillId="0" borderId="29" xfId="0" applyBorder="1" applyAlignment="1">
      <alignment vertical="center"/>
    </xf>
    <xf numFmtId="0" fontId="0" fillId="0" borderId="15" xfId="0"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0" fillId="0" borderId="33" xfId="0" applyBorder="1" applyAlignment="1">
      <alignment vertical="center"/>
    </xf>
    <xf numFmtId="0" fontId="2" fillId="0" borderId="7" xfId="0" applyFont="1" applyBorder="1" applyAlignment="1">
      <alignment vertical="center"/>
    </xf>
    <xf numFmtId="0" fontId="0" fillId="0" borderId="8" xfId="0" applyBorder="1" applyAlignment="1">
      <alignment vertical="center"/>
    </xf>
    <xf numFmtId="0" fontId="8" fillId="0" borderId="9" xfId="0" applyFont="1" applyBorder="1" applyAlignment="1">
      <alignment horizontal="right" vertical="center"/>
    </xf>
    <xf numFmtId="0" fontId="2"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0" fillId="0" borderId="9" xfId="0" applyBorder="1" applyAlignment="1">
      <alignment vertical="center"/>
    </xf>
    <xf numFmtId="0" fontId="4" fillId="0" borderId="24" xfId="0" applyFont="1" applyBorder="1" applyAlignment="1">
      <alignment vertical="center"/>
    </xf>
    <xf numFmtId="0" fontId="4" fillId="0" borderId="24" xfId="0" applyFont="1" applyBorder="1" applyAlignment="1">
      <alignment horizontal="center" vertical="center"/>
    </xf>
    <xf numFmtId="0" fontId="5" fillId="0" borderId="16" xfId="0" applyFont="1" applyBorder="1" applyAlignment="1">
      <alignment vertical="center"/>
    </xf>
    <xf numFmtId="0" fontId="2" fillId="0" borderId="3" xfId="0" applyFont="1" applyBorder="1" applyAlignment="1">
      <alignment vertical="center"/>
    </xf>
    <xf numFmtId="0" fontId="2" fillId="0" borderId="2" xfId="0" applyFont="1" applyBorder="1" applyAlignment="1">
      <alignment vertical="center"/>
    </xf>
    <xf numFmtId="0" fontId="8" fillId="0" borderId="4" xfId="0" applyFont="1" applyBorder="1" applyAlignment="1">
      <alignment horizontal="right" vertical="center"/>
    </xf>
    <xf numFmtId="0" fontId="3" fillId="0" borderId="26" xfId="0" applyFont="1" applyBorder="1" applyAlignment="1">
      <alignment vertical="center"/>
    </xf>
    <xf numFmtId="0" fontId="3" fillId="0" borderId="27" xfId="0" applyFont="1" applyBorder="1" applyAlignment="1">
      <alignment vertical="center"/>
    </xf>
    <xf numFmtId="0" fontId="3" fillId="0" borderId="28" xfId="0" applyFont="1" applyBorder="1" applyAlignment="1">
      <alignment vertical="center"/>
    </xf>
    <xf numFmtId="0" fontId="3" fillId="0" borderId="29" xfId="0" applyFont="1" applyBorder="1" applyAlignment="1">
      <alignment vertical="center"/>
    </xf>
    <xf numFmtId="0" fontId="3" fillId="0" borderId="15" xfId="0" applyFont="1" applyBorder="1" applyAlignment="1">
      <alignment vertical="center"/>
    </xf>
    <xf numFmtId="0" fontId="3" fillId="0" borderId="30" xfId="0" applyFont="1" applyBorder="1" applyAlignment="1">
      <alignment vertical="center"/>
    </xf>
    <xf numFmtId="0" fontId="3" fillId="0" borderId="31" xfId="0" applyFont="1" applyBorder="1" applyAlignment="1">
      <alignment vertical="center"/>
    </xf>
    <xf numFmtId="0" fontId="3" fillId="0" borderId="32" xfId="0" applyFont="1" applyBorder="1" applyAlignment="1">
      <alignment vertical="center"/>
    </xf>
    <xf numFmtId="0" fontId="3" fillId="0" borderId="33" xfId="0" applyFont="1" applyBorder="1" applyAlignment="1">
      <alignment vertical="center"/>
    </xf>
    <xf numFmtId="0" fontId="9" fillId="0" borderId="0" xfId="0" applyFont="1" applyAlignment="1">
      <alignment horizontal="center" vertical="center"/>
    </xf>
    <xf numFmtId="170" fontId="0" fillId="0" borderId="1" xfId="0" applyNumberFormat="1" applyBorder="1" applyAlignment="1">
      <alignment horizontal="center" vertical="center"/>
    </xf>
    <xf numFmtId="0" fontId="0" fillId="0" borderId="6" xfId="0" applyBorder="1" applyAlignment="1">
      <alignment horizontal="center" vertical="center"/>
    </xf>
    <xf numFmtId="170" fontId="0" fillId="0" borderId="6" xfId="0" applyNumberFormat="1" applyBorder="1" applyAlignment="1">
      <alignment horizontal="center" vertical="center"/>
    </xf>
    <xf numFmtId="0" fontId="27" fillId="0" borderId="7" xfId="0" applyFont="1" applyBorder="1" applyAlignment="1">
      <alignment vertical="center"/>
    </xf>
    <xf numFmtId="0" fontId="5" fillId="0" borderId="13" xfId="0" applyFont="1" applyBorder="1" applyAlignment="1">
      <alignment horizontal="left" vertical="center"/>
    </xf>
    <xf numFmtId="0" fontId="5" fillId="0" borderId="0" xfId="0" applyFont="1" applyAlignment="1">
      <alignment horizontal="left" vertical="center"/>
    </xf>
    <xf numFmtId="0" fontId="27" fillId="0" borderId="13" xfId="0" applyFont="1" applyBorder="1" applyAlignment="1">
      <alignment vertical="center"/>
    </xf>
    <xf numFmtId="0" fontId="3" fillId="0" borderId="4" xfId="0" applyFont="1" applyBorder="1" applyAlignment="1">
      <alignment horizontal="left" vertical="center"/>
    </xf>
    <xf numFmtId="0" fontId="3" fillId="0" borderId="2" xfId="0" applyFont="1" applyBorder="1" applyAlignment="1">
      <alignment horizontal="left" vertical="center"/>
    </xf>
    <xf numFmtId="0" fontId="3" fillId="0" borderId="40" xfId="0" applyFont="1" applyBorder="1" applyAlignment="1">
      <alignment vertical="center"/>
    </xf>
    <xf numFmtId="0" fontId="3" fillId="0" borderId="41" xfId="0" applyFont="1" applyBorder="1" applyAlignment="1">
      <alignment vertical="center"/>
    </xf>
    <xf numFmtId="0" fontId="0" fillId="0" borderId="5" xfId="0" applyBorder="1" applyAlignment="1">
      <alignment horizontal="center" vertical="center"/>
    </xf>
    <xf numFmtId="0" fontId="27" fillId="0" borderId="42" xfId="0" applyFont="1" applyBorder="1" applyAlignment="1">
      <alignment vertical="center"/>
    </xf>
    <xf numFmtId="0" fontId="0" fillId="0" borderId="24" xfId="0" applyBorder="1" applyAlignment="1">
      <alignment horizontal="center" vertical="center"/>
    </xf>
    <xf numFmtId="0" fontId="0" fillId="0" borderId="24" xfId="0" applyBorder="1" applyAlignment="1">
      <alignment vertical="center"/>
    </xf>
    <xf numFmtId="0" fontId="0" fillId="0" borderId="43" xfId="0" applyBorder="1" applyAlignment="1">
      <alignment vertical="center"/>
    </xf>
    <xf numFmtId="0" fontId="5" fillId="6" borderId="0" xfId="0" applyFont="1" applyFill="1" applyAlignment="1">
      <alignment horizontal="left" vertical="center"/>
    </xf>
    <xf numFmtId="0" fontId="23" fillId="0" borderId="0" xfId="0" applyFont="1" applyAlignment="1">
      <alignment vertical="center"/>
    </xf>
    <xf numFmtId="0" fontId="23" fillId="0" borderId="16" xfId="0" applyFont="1" applyBorder="1" applyAlignment="1">
      <alignment vertical="center"/>
    </xf>
    <xf numFmtId="169" fontId="7" fillId="0" borderId="0" xfId="0" applyNumberFormat="1" applyFont="1" applyAlignment="1">
      <alignment horizontal="center" vertical="center"/>
    </xf>
    <xf numFmtId="0" fontId="7" fillId="0" borderId="0" xfId="0" applyFont="1" applyAlignment="1">
      <alignment horizontal="center" vertical="center"/>
    </xf>
    <xf numFmtId="0" fontId="7" fillId="0" borderId="16" xfId="0" applyFont="1" applyBorder="1" applyAlignment="1">
      <alignment horizontal="center" vertical="center"/>
    </xf>
    <xf numFmtId="0" fontId="5" fillId="0" borderId="42" xfId="0" applyFont="1" applyBorder="1" applyAlignment="1">
      <alignment horizontal="left" vertical="center"/>
    </xf>
    <xf numFmtId="0" fontId="5" fillId="0" borderId="24" xfId="0" applyFont="1" applyBorder="1" applyAlignment="1">
      <alignment horizontal="left" vertical="center"/>
    </xf>
    <xf numFmtId="0" fontId="23" fillId="0" borderId="1" xfId="0" applyFont="1" applyBorder="1" applyAlignment="1">
      <alignment horizontal="center" vertical="center"/>
    </xf>
    <xf numFmtId="0" fontId="5" fillId="0" borderId="0" xfId="0" applyFont="1" applyAlignment="1">
      <alignment horizontal="center" vertical="center"/>
    </xf>
    <xf numFmtId="170" fontId="1" fillId="0" borderId="6" xfId="3" applyNumberFormat="1" applyBorder="1" applyAlignment="1">
      <alignment horizontal="center" vertical="center"/>
    </xf>
    <xf numFmtId="170" fontId="1" fillId="0" borderId="1" xfId="3" applyNumberFormat="1" applyBorder="1" applyAlignment="1">
      <alignment horizontal="center" vertical="center"/>
    </xf>
    <xf numFmtId="0" fontId="2" fillId="0" borderId="1" xfId="3" applyFont="1" applyBorder="1" applyAlignment="1">
      <alignment horizontal="center" vertical="center"/>
    </xf>
    <xf numFmtId="0" fontId="5" fillId="7" borderId="1" xfId="0" applyFont="1" applyFill="1" applyBorder="1" applyAlignment="1">
      <alignment horizontal="center" vertical="center"/>
    </xf>
    <xf numFmtId="0" fontId="5" fillId="0" borderId="16" xfId="0" applyFont="1" applyBorder="1" applyAlignment="1">
      <alignment horizontal="center" vertical="center"/>
    </xf>
    <xf numFmtId="0" fontId="23" fillId="0" borderId="0" xfId="0" applyFont="1" applyAlignment="1">
      <alignment horizontal="center" vertical="center"/>
    </xf>
    <xf numFmtId="169" fontId="5" fillId="0" borderId="0" xfId="0" applyNumberFormat="1" applyFont="1" applyAlignment="1">
      <alignment horizontal="center" vertical="center"/>
    </xf>
    <xf numFmtId="0" fontId="5" fillId="0" borderId="24" xfId="0" applyFont="1" applyBorder="1" applyAlignment="1">
      <alignment horizontal="center" vertical="center"/>
    </xf>
    <xf numFmtId="165" fontId="5" fillId="0" borderId="24" xfId="0" applyNumberFormat="1" applyFont="1" applyBorder="1" applyAlignment="1">
      <alignment horizontal="center" vertical="center"/>
    </xf>
    <xf numFmtId="0" fontId="23" fillId="0" borderId="24" xfId="0" applyFont="1" applyBorder="1" applyAlignment="1">
      <alignment vertical="center"/>
    </xf>
    <xf numFmtId="0" fontId="27" fillId="6" borderId="13" xfId="0" applyFont="1" applyFill="1" applyBorder="1" applyAlignment="1">
      <alignment horizontal="left" vertical="center"/>
    </xf>
    <xf numFmtId="0" fontId="5" fillId="7" borderId="4" xfId="0" applyFont="1" applyFill="1" applyBorder="1" applyAlignment="1">
      <alignment horizontal="center" vertical="center"/>
    </xf>
    <xf numFmtId="0" fontId="4" fillId="0" borderId="0" xfId="0" applyFont="1" applyAlignment="1">
      <alignment horizontal="center" vertical="center" wrapText="1"/>
    </xf>
    <xf numFmtId="0" fontId="5" fillId="0" borderId="10" xfId="0" applyFont="1" applyBorder="1" applyAlignment="1">
      <alignment vertical="center"/>
    </xf>
    <xf numFmtId="0" fontId="5" fillId="0" borderId="11" xfId="0" applyFont="1" applyBorder="1" applyAlignment="1">
      <alignment vertical="center"/>
    </xf>
    <xf numFmtId="0" fontId="5" fillId="0" borderId="11" xfId="0" applyFont="1" applyBorder="1" applyAlignment="1">
      <alignment horizontal="right"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165" fontId="5" fillId="0" borderId="0" xfId="0" applyNumberFormat="1" applyFont="1" applyAlignment="1">
      <alignment vertical="center"/>
    </xf>
    <xf numFmtId="0" fontId="30" fillId="0" borderId="13" xfId="0" applyFont="1" applyBorder="1" applyAlignment="1">
      <alignment horizontal="left" vertical="center"/>
    </xf>
    <xf numFmtId="0" fontId="23" fillId="0" borderId="0" xfId="0" applyFont="1" applyAlignment="1">
      <alignment vertical="top"/>
    </xf>
    <xf numFmtId="16" fontId="23" fillId="0" borderId="0" xfId="0" applyNumberFormat="1" applyFont="1" applyAlignment="1">
      <alignment vertical="center"/>
    </xf>
    <xf numFmtId="0" fontId="23" fillId="0" borderId="13" xfId="0" applyFont="1" applyBorder="1" applyAlignment="1">
      <alignment vertical="center"/>
    </xf>
    <xf numFmtId="0" fontId="4" fillId="0" borderId="13" xfId="0" applyFont="1" applyBorder="1" applyAlignment="1">
      <alignment horizontal="center" vertical="center"/>
    </xf>
    <xf numFmtId="171" fontId="4" fillId="0" borderId="0" xfId="0" applyNumberFormat="1" applyFont="1" applyAlignment="1">
      <alignment horizontal="center" vertical="center"/>
    </xf>
    <xf numFmtId="0" fontId="0" fillId="0" borderId="0" xfId="0" applyAlignment="1">
      <alignment horizontal="center" vertical="center" wrapText="1"/>
    </xf>
    <xf numFmtId="165" fontId="4" fillId="0" borderId="0" xfId="1" applyNumberFormat="1" applyFont="1" applyBorder="1" applyAlignment="1">
      <alignment horizontal="center" vertical="center"/>
    </xf>
    <xf numFmtId="0" fontId="23" fillId="0" borderId="16" xfId="0" applyFont="1" applyBorder="1" applyAlignment="1">
      <alignment horizontal="left" vertical="center"/>
    </xf>
    <xf numFmtId="0" fontId="27" fillId="4" borderId="3" xfId="0" applyFont="1" applyFill="1" applyBorder="1" applyAlignment="1">
      <alignment horizontal="left" vertical="center"/>
    </xf>
    <xf numFmtId="0" fontId="5" fillId="4" borderId="2" xfId="0" applyFont="1" applyFill="1" applyBorder="1" applyAlignment="1">
      <alignment horizontal="left" vertical="center"/>
    </xf>
    <xf numFmtId="0" fontId="5" fillId="4" borderId="2" xfId="0" applyFont="1" applyFill="1" applyBorder="1" applyAlignment="1">
      <alignment horizontal="center" vertical="center"/>
    </xf>
    <xf numFmtId="165" fontId="5" fillId="4" borderId="2" xfId="0" applyNumberFormat="1" applyFont="1" applyFill="1" applyBorder="1" applyAlignment="1">
      <alignment horizontal="center" vertical="center"/>
    </xf>
    <xf numFmtId="0" fontId="31" fillId="0" borderId="13" xfId="0" quotePrefix="1" applyFont="1" applyBorder="1" applyAlignment="1">
      <alignment horizontal="left" vertical="center"/>
    </xf>
    <xf numFmtId="164" fontId="24" fillId="0" borderId="10" xfId="0" applyNumberFormat="1" applyFont="1" applyBorder="1" applyAlignment="1">
      <alignment horizontal="center" vertical="center"/>
    </xf>
    <xf numFmtId="164" fontId="24" fillId="0" borderId="11" xfId="0" applyNumberFormat="1" applyFont="1" applyBorder="1" applyAlignment="1">
      <alignment horizontal="center" vertical="center"/>
    </xf>
    <xf numFmtId="0" fontId="24" fillId="0" borderId="6" xfId="0" quotePrefix="1" applyFont="1" applyBorder="1" applyAlignment="1">
      <alignment horizontal="center" vertical="center"/>
    </xf>
    <xf numFmtId="164" fontId="24" fillId="0" borderId="3" xfId="0" applyNumberFormat="1" applyFont="1" applyBorder="1" applyAlignment="1">
      <alignment horizontal="center" vertical="center"/>
    </xf>
    <xf numFmtId="164" fontId="24" fillId="0" borderId="2" xfId="0" applyNumberFormat="1" applyFont="1" applyBorder="1" applyAlignment="1">
      <alignment horizontal="center" vertical="center"/>
    </xf>
    <xf numFmtId="0" fontId="24" fillId="0" borderId="3" xfId="0" applyFont="1" applyBorder="1" applyAlignment="1">
      <alignment vertical="center"/>
    </xf>
    <xf numFmtId="0" fontId="24" fillId="0" borderId="2" xfId="0" applyFont="1" applyBorder="1" applyAlignment="1">
      <alignment vertical="center"/>
    </xf>
    <xf numFmtId="0" fontId="24" fillId="0" borderId="4" xfId="0" applyFont="1" applyBorder="1" applyAlignment="1">
      <alignment vertical="center"/>
    </xf>
    <xf numFmtId="168" fontId="3" fillId="0" borderId="2" xfId="0" applyNumberFormat="1" applyFont="1" applyBorder="1" applyAlignment="1">
      <alignment horizontal="left" vertical="center"/>
    </xf>
    <xf numFmtId="0" fontId="5" fillId="0" borderId="13" xfId="0" applyFont="1" applyBorder="1" applyAlignment="1">
      <alignment horizontal="center" vertical="center"/>
    </xf>
    <xf numFmtId="0" fontId="23" fillId="0" borderId="0" xfId="0" applyFont="1" applyAlignment="1">
      <alignment horizontal="center" vertical="center" wrapText="1"/>
    </xf>
    <xf numFmtId="0" fontId="29" fillId="0" borderId="13" xfId="0" applyFont="1" applyBorder="1"/>
    <xf numFmtId="0" fontId="33" fillId="3" borderId="3" xfId="0" applyFont="1" applyFill="1" applyBorder="1" applyAlignment="1">
      <alignment vertical="center"/>
    </xf>
    <xf numFmtId="0" fontId="33" fillId="3" borderId="2" xfId="0" applyFont="1" applyFill="1" applyBorder="1" applyAlignment="1">
      <alignment vertical="center"/>
    </xf>
    <xf numFmtId="0" fontId="33" fillId="3" borderId="4" xfId="0" applyFont="1" applyFill="1" applyBorder="1" applyAlignment="1">
      <alignment vertical="center"/>
    </xf>
    <xf numFmtId="0" fontId="33" fillId="3" borderId="1" xfId="0" applyFont="1" applyFill="1" applyBorder="1" applyAlignment="1">
      <alignment horizontal="center" vertical="center"/>
    </xf>
    <xf numFmtId="0" fontId="33" fillId="3" borderId="3" xfId="0" applyFont="1" applyFill="1" applyBorder="1" applyAlignment="1">
      <alignment horizontal="center" vertical="center"/>
    </xf>
    <xf numFmtId="0" fontId="5" fillId="2" borderId="3" xfId="0" applyFont="1" applyFill="1" applyBorder="1" applyAlignment="1">
      <alignment vertical="center"/>
    </xf>
    <xf numFmtId="0" fontId="5" fillId="2" borderId="2" xfId="0" applyFont="1" applyFill="1" applyBorder="1" applyAlignment="1">
      <alignment vertical="center"/>
    </xf>
    <xf numFmtId="0" fontId="5" fillId="2" borderId="4" xfId="0" applyFont="1" applyFill="1" applyBorder="1" applyAlignment="1">
      <alignment vertical="center"/>
    </xf>
    <xf numFmtId="165" fontId="29" fillId="2" borderId="1" xfId="1" applyNumberFormat="1" applyFont="1" applyFill="1" applyBorder="1" applyAlignment="1">
      <alignment horizontal="center" vertical="center"/>
    </xf>
    <xf numFmtId="165" fontId="29" fillId="2" borderId="3" xfId="1" applyNumberFormat="1" applyFont="1" applyFill="1" applyBorder="1" applyAlignment="1">
      <alignment horizontal="center" vertical="center"/>
    </xf>
    <xf numFmtId="169" fontId="34" fillId="0" borderId="0" xfId="0" applyNumberFormat="1" applyFont="1" applyAlignment="1">
      <alignment horizontal="center" vertical="center"/>
    </xf>
    <xf numFmtId="0" fontId="5" fillId="9" borderId="1" xfId="0" applyFont="1" applyFill="1" applyBorder="1" applyAlignment="1">
      <alignment horizontal="center" vertical="center"/>
    </xf>
    <xf numFmtId="0" fontId="23" fillId="0" borderId="0" xfId="0" applyFont="1" applyAlignment="1">
      <alignment horizontal="left" vertical="center"/>
    </xf>
    <xf numFmtId="165" fontId="23" fillId="0" borderId="13" xfId="1" applyNumberFormat="1" applyFont="1" applyFill="1" applyBorder="1" applyAlignment="1">
      <alignment vertical="center"/>
    </xf>
    <xf numFmtId="0" fontId="23" fillId="0" borderId="13" xfId="0" applyFont="1" applyBorder="1" applyAlignment="1">
      <alignment horizontal="center" vertical="center"/>
    </xf>
    <xf numFmtId="171" fontId="23" fillId="0" borderId="0" xfId="0" applyNumberFormat="1" applyFont="1" applyAlignment="1">
      <alignment horizontal="center" vertical="center"/>
    </xf>
    <xf numFmtId="165" fontId="23" fillId="0" borderId="0" xfId="1" applyNumberFormat="1" applyFont="1" applyBorder="1" applyAlignment="1">
      <alignment horizontal="center" vertical="center"/>
    </xf>
    <xf numFmtId="165" fontId="23" fillId="0" borderId="0" xfId="1" applyNumberFormat="1" applyFont="1" applyFill="1" applyBorder="1" applyAlignment="1">
      <alignment horizontal="center" vertical="center"/>
    </xf>
    <xf numFmtId="165" fontId="23" fillId="0" borderId="0" xfId="1" applyNumberFormat="1" applyFont="1" applyFill="1" applyBorder="1" applyAlignment="1">
      <alignment vertical="center"/>
    </xf>
    <xf numFmtId="0" fontId="23" fillId="4" borderId="8" xfId="0" applyFont="1" applyFill="1" applyBorder="1" applyAlignment="1">
      <alignment vertical="center"/>
    </xf>
    <xf numFmtId="0" fontId="23" fillId="4" borderId="9" xfId="0" applyFont="1" applyFill="1" applyBorder="1" applyAlignment="1">
      <alignment vertical="center"/>
    </xf>
    <xf numFmtId="165" fontId="5" fillId="0" borderId="0" xfId="1" applyNumberFormat="1" applyFont="1" applyFill="1" applyBorder="1" applyAlignment="1">
      <alignment vertical="center"/>
    </xf>
    <xf numFmtId="165" fontId="5" fillId="0" borderId="16" xfId="1" applyNumberFormat="1" applyFont="1" applyFill="1" applyBorder="1" applyAlignment="1">
      <alignment vertical="center"/>
    </xf>
    <xf numFmtId="0" fontId="35" fillId="0" borderId="49" xfId="0" applyFont="1" applyBorder="1" applyAlignment="1">
      <alignment horizontal="center" vertical="center"/>
    </xf>
    <xf numFmtId="165" fontId="35" fillId="0" borderId="1" xfId="1" applyNumberFormat="1" applyFont="1" applyBorder="1" applyAlignment="1">
      <alignment vertical="center"/>
    </xf>
    <xf numFmtId="165" fontId="35" fillId="0" borderId="3" xfId="1" applyNumberFormat="1" applyFont="1" applyBorder="1" applyAlignment="1">
      <alignment vertical="center"/>
    </xf>
    <xf numFmtId="165" fontId="35" fillId="0" borderId="3" xfId="1" applyNumberFormat="1" applyFont="1" applyBorder="1" applyAlignment="1">
      <alignment horizontal="center" vertical="center"/>
    </xf>
    <xf numFmtId="165" fontId="35" fillId="0" borderId="4" xfId="1" applyNumberFormat="1" applyFont="1" applyBorder="1" applyAlignment="1">
      <alignment horizontal="center" vertical="center"/>
    </xf>
    <xf numFmtId="165" fontId="36" fillId="0" borderId="4" xfId="0" applyNumberFormat="1" applyFont="1" applyBorder="1" applyAlignment="1">
      <alignment vertical="center"/>
    </xf>
    <xf numFmtId="0" fontId="35" fillId="0" borderId="1" xfId="0" applyFont="1" applyBorder="1" applyAlignment="1">
      <alignment horizontal="center" vertical="center"/>
    </xf>
    <xf numFmtId="165" fontId="36" fillId="0" borderId="39" xfId="0" applyNumberFormat="1" applyFont="1" applyBorder="1" applyAlignment="1">
      <alignment vertical="center"/>
    </xf>
    <xf numFmtId="165" fontId="35" fillId="0" borderId="6" xfId="0" applyNumberFormat="1" applyFont="1" applyBorder="1" applyAlignment="1">
      <alignment vertical="center"/>
    </xf>
    <xf numFmtId="165" fontId="36" fillId="0" borderId="6" xfId="1" applyNumberFormat="1" applyFont="1" applyBorder="1" applyAlignment="1">
      <alignment vertical="center"/>
    </xf>
    <xf numFmtId="165" fontId="35" fillId="0" borderId="1" xfId="1" applyNumberFormat="1" applyFont="1" applyFill="1" applyBorder="1" applyAlignment="1">
      <alignment horizontal="center" vertical="center"/>
    </xf>
    <xf numFmtId="165" fontId="4" fillId="0" borderId="0" xfId="1" applyNumberFormat="1" applyFont="1" applyFill="1" applyBorder="1" applyAlignment="1">
      <alignment vertical="center"/>
    </xf>
    <xf numFmtId="0" fontId="4" fillId="0" borderId="0" xfId="0" applyFont="1" applyAlignment="1">
      <alignment horizontal="left" vertical="center"/>
    </xf>
    <xf numFmtId="16" fontId="4" fillId="0" borderId="24" xfId="0" applyNumberFormat="1" applyFont="1" applyBorder="1" applyAlignment="1">
      <alignment horizontal="left" vertical="center"/>
    </xf>
    <xf numFmtId="16" fontId="23" fillId="0" borderId="43" xfId="0" applyNumberFormat="1" applyFont="1" applyBorder="1" applyAlignment="1">
      <alignment horizontal="left" vertical="center"/>
    </xf>
    <xf numFmtId="165" fontId="36" fillId="0" borderId="4" xfId="1" applyNumberFormat="1" applyFont="1" applyBorder="1" applyAlignment="1">
      <alignment horizontal="center" vertical="center"/>
    </xf>
    <xf numFmtId="0" fontId="5" fillId="0" borderId="38" xfId="0" applyFont="1" applyBorder="1" applyAlignment="1">
      <alignment vertical="center"/>
    </xf>
    <xf numFmtId="0" fontId="23" fillId="0" borderId="10" xfId="0" applyFont="1" applyBorder="1" applyAlignment="1">
      <alignment horizontal="center" vertical="center"/>
    </xf>
    <xf numFmtId="0" fontId="23" fillId="0" borderId="11" xfId="0" applyFont="1" applyBorder="1" applyAlignment="1">
      <alignment vertical="center"/>
    </xf>
    <xf numFmtId="165" fontId="35" fillId="0" borderId="11" xfId="1" applyNumberFormat="1" applyFont="1" applyBorder="1" applyAlignment="1">
      <alignment vertical="center"/>
    </xf>
    <xf numFmtId="165" fontId="35" fillId="0" borderId="11" xfId="1" applyNumberFormat="1" applyFont="1" applyBorder="1" applyAlignment="1">
      <alignment horizontal="center" vertical="center"/>
    </xf>
    <xf numFmtId="0" fontId="23" fillId="0" borderId="7" xfId="0" applyFont="1" applyBorder="1" applyAlignment="1">
      <alignment horizontal="center" vertical="center"/>
    </xf>
    <xf numFmtId="0" fontId="23" fillId="0" borderId="8" xfId="0" applyFont="1" applyBorder="1" applyAlignment="1">
      <alignment vertical="center"/>
    </xf>
    <xf numFmtId="165" fontId="35" fillId="0" borderId="8" xfId="1" applyNumberFormat="1" applyFont="1" applyBorder="1" applyAlignment="1">
      <alignment vertical="center"/>
    </xf>
    <xf numFmtId="165" fontId="35" fillId="0" borderId="8" xfId="1" applyNumberFormat="1" applyFont="1" applyBorder="1" applyAlignment="1">
      <alignment horizontal="center" vertical="center"/>
    </xf>
    <xf numFmtId="165" fontId="36" fillId="0" borderId="3" xfId="0" applyNumberFormat="1" applyFont="1" applyBorder="1" applyAlignment="1">
      <alignment vertical="center"/>
    </xf>
    <xf numFmtId="0" fontId="37" fillId="0" borderId="13" xfId="0" applyFont="1" applyBorder="1"/>
    <xf numFmtId="0" fontId="37" fillId="0" borderId="0" xfId="0" applyFont="1"/>
    <xf numFmtId="0" fontId="37" fillId="0" borderId="8" xfId="0" applyFont="1" applyBorder="1"/>
    <xf numFmtId="0" fontId="38" fillId="0" borderId="0" xfId="0" applyFont="1" applyAlignment="1">
      <alignment vertical="center"/>
    </xf>
    <xf numFmtId="0" fontId="38" fillId="0" borderId="16" xfId="0" applyFont="1" applyBorder="1" applyAlignment="1">
      <alignment vertical="center"/>
    </xf>
    <xf numFmtId="0" fontId="39" fillId="0" borderId="13" xfId="0" applyFont="1" applyBorder="1"/>
    <xf numFmtId="0" fontId="39" fillId="0" borderId="14" xfId="0" applyFont="1" applyBorder="1"/>
    <xf numFmtId="0" fontId="40" fillId="0" borderId="14" xfId="0" applyFont="1" applyBorder="1"/>
    <xf numFmtId="0" fontId="41" fillId="0" borderId="0" xfId="0" applyFont="1" applyAlignment="1">
      <alignment vertical="center"/>
    </xf>
    <xf numFmtId="0" fontId="39" fillId="0" borderId="16" xfId="0" applyFont="1" applyBorder="1" applyAlignment="1">
      <alignment vertical="center"/>
    </xf>
    <xf numFmtId="0" fontId="39" fillId="0" borderId="0" xfId="0" applyFont="1" applyAlignment="1">
      <alignment vertical="center"/>
    </xf>
    <xf numFmtId="0" fontId="39" fillId="0" borderId="15" xfId="0" applyFont="1" applyBorder="1"/>
    <xf numFmtId="0" fontId="42" fillId="0" borderId="13" xfId="0" applyFont="1" applyBorder="1" applyAlignment="1">
      <alignment vertical="center"/>
    </xf>
    <xf numFmtId="0" fontId="42" fillId="0" borderId="0" xfId="0" applyFont="1" applyAlignment="1">
      <alignment horizontal="center" vertical="center"/>
    </xf>
    <xf numFmtId="0" fontId="42" fillId="0" borderId="0" xfId="0" applyFont="1" applyAlignment="1">
      <alignment vertical="center"/>
    </xf>
    <xf numFmtId="0" fontId="43" fillId="0" borderId="0" xfId="0" applyFont="1" applyAlignment="1">
      <alignment vertical="center"/>
    </xf>
    <xf numFmtId="0" fontId="42" fillId="0" borderId="16" xfId="0" applyFont="1" applyBorder="1" applyAlignment="1">
      <alignment vertical="center"/>
    </xf>
    <xf numFmtId="0" fontId="39" fillId="0" borderId="13" xfId="0" applyFont="1" applyBorder="1" applyAlignment="1">
      <alignment vertical="center"/>
    </xf>
    <xf numFmtId="0" fontId="43" fillId="0" borderId="0" xfId="0" applyFont="1" applyAlignment="1">
      <alignment horizontal="center" vertical="center"/>
    </xf>
    <xf numFmtId="0" fontId="43" fillId="0" borderId="16" xfId="0" applyFont="1" applyBorder="1" applyAlignment="1">
      <alignment vertical="center"/>
    </xf>
    <xf numFmtId="0" fontId="37" fillId="7" borderId="1" xfId="0" applyFont="1" applyFill="1" applyBorder="1" applyAlignment="1">
      <alignment horizontal="center" vertical="top"/>
    </xf>
    <xf numFmtId="0" fontId="38" fillId="0" borderId="0" xfId="0" applyFont="1" applyAlignment="1">
      <alignment vertical="center" wrapText="1"/>
    </xf>
    <xf numFmtId="0" fontId="44" fillId="0" borderId="0" xfId="0" applyFont="1" applyAlignment="1">
      <alignment horizontal="center" vertical="top"/>
    </xf>
    <xf numFmtId="0" fontId="46" fillId="0" borderId="0" xfId="0" applyFont="1" applyAlignment="1">
      <alignment vertical="center"/>
    </xf>
    <xf numFmtId="167" fontId="48" fillId="0" borderId="3" xfId="0" applyNumberFormat="1" applyFont="1" applyBorder="1" applyAlignment="1">
      <alignment horizontal="center" vertical="center"/>
    </xf>
    <xf numFmtId="0" fontId="38" fillId="0" borderId="16" xfId="0" applyFont="1" applyBorder="1" applyAlignment="1">
      <alignment horizontal="center" vertical="center"/>
    </xf>
    <xf numFmtId="0" fontId="46" fillId="0" borderId="0" xfId="0" applyFont="1" applyAlignment="1">
      <alignment horizontal="left" vertical="center"/>
    </xf>
    <xf numFmtId="0" fontId="44" fillId="0" borderId="16" xfId="0" applyFont="1" applyBorder="1" applyAlignment="1">
      <alignment vertical="center"/>
    </xf>
    <xf numFmtId="0" fontId="53" fillId="0" borderId="0" xfId="0" applyFont="1" applyAlignment="1">
      <alignment horizontal="center" vertical="center"/>
    </xf>
    <xf numFmtId="0" fontId="52" fillId="0" borderId="1" xfId="0" applyFont="1" applyBorder="1" applyAlignment="1">
      <alignment horizontal="center" vertical="center" wrapText="1"/>
    </xf>
    <xf numFmtId="0" fontId="52" fillId="0" borderId="3" xfId="0" applyFont="1" applyBorder="1" applyAlignment="1">
      <alignment vertical="center"/>
    </xf>
    <xf numFmtId="0" fontId="52" fillId="0" borderId="2" xfId="0" applyFont="1" applyBorder="1" applyAlignment="1">
      <alignment vertical="center"/>
    </xf>
    <xf numFmtId="0" fontId="52" fillId="0" borderId="4" xfId="0" applyFont="1" applyBorder="1" applyAlignment="1">
      <alignment vertical="center"/>
    </xf>
    <xf numFmtId="169" fontId="54" fillId="0" borderId="1" xfId="0" applyNumberFormat="1" applyFont="1" applyBorder="1" applyAlignment="1">
      <alignment vertical="center" wrapText="1"/>
    </xf>
    <xf numFmtId="0" fontId="37" fillId="0" borderId="16" xfId="0" applyFont="1" applyBorder="1" applyAlignment="1">
      <alignment vertical="center"/>
    </xf>
    <xf numFmtId="0" fontId="52" fillId="0" borderId="17" xfId="0" applyFont="1" applyBorder="1" applyAlignment="1">
      <alignment horizontal="center" vertical="center" wrapText="1"/>
    </xf>
    <xf numFmtId="0" fontId="52" fillId="0" borderId="21" xfId="0" applyFont="1" applyBorder="1" applyAlignment="1">
      <alignment vertical="center"/>
    </xf>
    <xf numFmtId="0" fontId="47" fillId="8" borderId="21" xfId="0" quotePrefix="1" applyFont="1" applyFill="1" applyBorder="1" applyAlignment="1">
      <alignment horizontal="center" vertical="center" wrapText="1"/>
    </xf>
    <xf numFmtId="0" fontId="47" fillId="8" borderId="44" xfId="0" applyFont="1" applyFill="1" applyBorder="1" applyAlignment="1">
      <alignment horizontal="center" vertical="center" wrapText="1"/>
    </xf>
    <xf numFmtId="0" fontId="47" fillId="8" borderId="22" xfId="0" applyFont="1" applyFill="1" applyBorder="1" applyAlignment="1">
      <alignment horizontal="center" vertical="center" wrapText="1"/>
    </xf>
    <xf numFmtId="0" fontId="38" fillId="0" borderId="0" xfId="0" quotePrefix="1" applyFont="1" applyAlignment="1">
      <alignment vertical="center" wrapText="1"/>
    </xf>
    <xf numFmtId="0" fontId="55" fillId="0" borderId="16" xfId="0" applyFont="1" applyBorder="1" applyAlignment="1">
      <alignment horizontal="center" vertical="center"/>
    </xf>
    <xf numFmtId="0" fontId="43" fillId="0" borderId="13" xfId="0" applyFont="1" applyBorder="1" applyAlignment="1">
      <alignment vertical="center"/>
    </xf>
    <xf numFmtId="0" fontId="44" fillId="0" borderId="0" xfId="0" quotePrefix="1" applyFont="1" applyAlignment="1">
      <alignment vertical="center" wrapText="1"/>
    </xf>
    <xf numFmtId="0" fontId="55" fillId="0" borderId="0" xfId="0" applyFont="1" applyAlignment="1">
      <alignment horizontal="left" vertical="center"/>
    </xf>
    <xf numFmtId="0" fontId="55" fillId="0" borderId="16" xfId="0" applyFont="1" applyBorder="1" applyAlignment="1">
      <alignment horizontal="left" vertical="center"/>
    </xf>
    <xf numFmtId="0" fontId="43" fillId="0" borderId="19" xfId="0" applyFont="1" applyBorder="1" applyAlignment="1">
      <alignment vertical="center"/>
    </xf>
    <xf numFmtId="0" fontId="43" fillId="0" borderId="25" xfId="0" applyFont="1" applyBorder="1" applyAlignment="1">
      <alignment horizontal="center" vertical="center"/>
    </xf>
    <xf numFmtId="0" fontId="43" fillId="0" borderId="25" xfId="0" applyFont="1" applyBorder="1" applyAlignment="1">
      <alignment horizontal="left" vertical="center"/>
    </xf>
    <xf numFmtId="0" fontId="43" fillId="0" borderId="25" xfId="0" applyFont="1" applyBorder="1" applyAlignment="1">
      <alignment vertical="center"/>
    </xf>
    <xf numFmtId="16" fontId="55" fillId="0" borderId="25" xfId="0" applyNumberFormat="1" applyFont="1" applyBorder="1" applyAlignment="1">
      <alignment horizontal="left" vertical="center"/>
    </xf>
    <xf numFmtId="16" fontId="55" fillId="0" borderId="20" xfId="0" applyNumberFormat="1" applyFont="1" applyBorder="1" applyAlignment="1">
      <alignment horizontal="left" vertical="center"/>
    </xf>
    <xf numFmtId="0" fontId="39" fillId="0" borderId="29" xfId="0" applyFont="1" applyBorder="1"/>
    <xf numFmtId="0" fontId="5" fillId="0" borderId="11" xfId="0" applyFont="1" applyBorder="1" applyAlignment="1">
      <alignment horizontal="left" vertical="center"/>
    </xf>
    <xf numFmtId="0" fontId="58" fillId="0" borderId="0" xfId="0" applyFont="1" applyAlignment="1">
      <alignment horizontal="center" vertical="center" wrapText="1"/>
    </xf>
    <xf numFmtId="0" fontId="5" fillId="0" borderId="8" xfId="0" applyFont="1" applyBorder="1" applyAlignment="1">
      <alignment horizontal="left" vertical="center"/>
    </xf>
    <xf numFmtId="0" fontId="23" fillId="0" borderId="8" xfId="0" applyFont="1" applyBorder="1" applyAlignment="1">
      <alignment horizontal="center" vertical="center"/>
    </xf>
    <xf numFmtId="0" fontId="27" fillId="0" borderId="10" xfId="0" applyFont="1" applyBorder="1" applyAlignment="1">
      <alignment horizontal="left" vertical="center"/>
    </xf>
    <xf numFmtId="169" fontId="54" fillId="0" borderId="17" xfId="0" applyNumberFormat="1" applyFont="1" applyBorder="1" applyAlignment="1">
      <alignment vertical="center" wrapText="1"/>
    </xf>
    <xf numFmtId="0" fontId="23" fillId="0" borderId="6" xfId="0" applyFont="1" applyBorder="1" applyAlignment="1">
      <alignment horizontal="center" vertical="center"/>
    </xf>
    <xf numFmtId="165" fontId="35" fillId="0" borderId="18" xfId="1" applyNumberFormat="1" applyFont="1" applyBorder="1" applyAlignment="1">
      <alignment vertical="center"/>
    </xf>
    <xf numFmtId="165" fontId="35" fillId="0" borderId="19" xfId="1" applyNumberFormat="1" applyFont="1" applyBorder="1" applyAlignment="1">
      <alignment horizontal="center" vertical="center"/>
    </xf>
    <xf numFmtId="165" fontId="35" fillId="0" borderId="20" xfId="1" applyNumberFormat="1" applyFont="1" applyBorder="1" applyAlignment="1">
      <alignment horizontal="center" vertical="center"/>
    </xf>
    <xf numFmtId="0" fontId="5" fillId="7" borderId="5" xfId="0" applyFont="1" applyFill="1" applyBorder="1" applyAlignment="1">
      <alignment horizontal="center" vertical="center"/>
    </xf>
    <xf numFmtId="0" fontId="5" fillId="0" borderId="1" xfId="0" applyFont="1" applyBorder="1" applyAlignment="1">
      <alignment horizontal="center" vertical="center"/>
    </xf>
    <xf numFmtId="0" fontId="37" fillId="7" borderId="13" xfId="0" applyFont="1" applyFill="1" applyBorder="1" applyAlignment="1">
      <alignment vertical="top" wrapText="1"/>
    </xf>
    <xf numFmtId="0" fontId="37" fillId="7" borderId="16" xfId="0" applyFont="1" applyFill="1" applyBorder="1" applyAlignment="1">
      <alignment vertical="top" wrapText="1"/>
    </xf>
    <xf numFmtId="0" fontId="37" fillId="7" borderId="10" xfId="0" applyFont="1" applyFill="1" applyBorder="1" applyAlignment="1">
      <alignment vertical="top" wrapText="1"/>
    </xf>
    <xf numFmtId="0" fontId="37" fillId="7" borderId="11" xfId="0" applyFont="1" applyFill="1" applyBorder="1" applyAlignment="1">
      <alignment vertical="top" wrapText="1"/>
    </xf>
    <xf numFmtId="0" fontId="37" fillId="7" borderId="12" xfId="0" applyFont="1" applyFill="1" applyBorder="1" applyAlignment="1">
      <alignment vertical="top" wrapText="1"/>
    </xf>
    <xf numFmtId="0" fontId="52" fillId="8" borderId="17" xfId="0" applyFont="1" applyFill="1" applyBorder="1" applyAlignment="1">
      <alignment vertical="center" wrapText="1"/>
    </xf>
    <xf numFmtId="165" fontId="35" fillId="0" borderId="1" xfId="1" applyNumberFormat="1" applyFont="1" applyBorder="1" applyAlignment="1">
      <alignment horizontal="center" vertical="center"/>
    </xf>
    <xf numFmtId="20" fontId="23" fillId="0" borderId="0" xfId="0" applyNumberFormat="1" applyFont="1" applyAlignment="1">
      <alignment vertical="center"/>
    </xf>
    <xf numFmtId="166" fontId="52" fillId="7" borderId="13" xfId="0" applyNumberFormat="1" applyFont="1" applyFill="1" applyBorder="1" applyAlignment="1">
      <alignment horizontal="right" vertical="top" wrapText="1"/>
    </xf>
    <xf numFmtId="166" fontId="52" fillId="7" borderId="16" xfId="0" applyNumberFormat="1" applyFont="1" applyFill="1" applyBorder="1" applyAlignment="1">
      <alignment horizontal="left" vertical="top" wrapText="1"/>
    </xf>
    <xf numFmtId="165" fontId="5" fillId="0" borderId="0" xfId="0" applyNumberFormat="1" applyFont="1" applyAlignment="1">
      <alignment horizontal="left" vertical="center"/>
    </xf>
    <xf numFmtId="165" fontId="35" fillId="0" borderId="1" xfId="1" applyNumberFormat="1" applyFont="1" applyFill="1" applyBorder="1" applyAlignment="1">
      <alignment vertical="center"/>
    </xf>
    <xf numFmtId="165" fontId="61" fillId="0" borderId="3" xfId="1" applyNumberFormat="1" applyFont="1" applyBorder="1" applyAlignment="1">
      <alignment horizontal="center" vertical="center"/>
    </xf>
    <xf numFmtId="165" fontId="61" fillId="0" borderId="4" xfId="1" applyNumberFormat="1" applyFont="1" applyBorder="1" applyAlignment="1">
      <alignment horizontal="center" vertical="center"/>
    </xf>
    <xf numFmtId="0" fontId="23" fillId="6" borderId="0" xfId="0" applyFont="1" applyFill="1" applyAlignment="1">
      <alignment horizontal="center" vertical="center"/>
    </xf>
    <xf numFmtId="171" fontId="48" fillId="0" borderId="8" xfId="0" applyNumberFormat="1" applyFont="1" applyBorder="1" applyAlignment="1">
      <alignment horizontal="center" vertical="center"/>
    </xf>
    <xf numFmtId="0" fontId="62" fillId="8" borderId="5" xfId="0" applyFont="1" applyFill="1" applyBorder="1" applyAlignment="1">
      <alignment horizontal="center"/>
    </xf>
    <xf numFmtId="0" fontId="62" fillId="8" borderId="1" xfId="0" applyFont="1" applyFill="1" applyBorder="1" applyAlignment="1">
      <alignment horizontal="center" vertical="center"/>
    </xf>
    <xf numFmtId="0" fontId="62" fillId="8" borderId="1" xfId="0" applyFont="1" applyFill="1" applyBorder="1" applyAlignment="1">
      <alignment horizontal="center"/>
    </xf>
    <xf numFmtId="0" fontId="52" fillId="0" borderId="5" xfId="0" applyFont="1" applyBorder="1" applyAlignment="1">
      <alignment horizontal="center" vertical="center" wrapText="1"/>
    </xf>
    <xf numFmtId="0" fontId="52" fillId="0" borderId="7" xfId="0" applyFont="1" applyBorder="1" applyAlignment="1">
      <alignment vertical="center"/>
    </xf>
    <xf numFmtId="0" fontId="52" fillId="0" borderId="8" xfId="0" applyFont="1" applyBorder="1" applyAlignment="1">
      <alignment vertical="center"/>
    </xf>
    <xf numFmtId="0" fontId="52" fillId="0" borderId="9" xfId="0" applyFont="1" applyBorder="1" applyAlignment="1">
      <alignment vertical="center"/>
    </xf>
    <xf numFmtId="0" fontId="47" fillId="8" borderId="7" xfId="0" quotePrefix="1" applyFont="1" applyFill="1" applyBorder="1" applyAlignment="1">
      <alignment horizontal="center" vertical="center" wrapText="1"/>
    </xf>
    <xf numFmtId="0" fontId="47" fillId="8" borderId="8" xfId="0" applyFont="1" applyFill="1" applyBorder="1" applyAlignment="1">
      <alignment horizontal="center" vertical="center" wrapText="1"/>
    </xf>
    <xf numFmtId="0" fontId="47" fillId="8" borderId="9" xfId="0" applyFont="1" applyFill="1" applyBorder="1" applyAlignment="1">
      <alignment horizontal="center" vertical="center" wrapText="1"/>
    </xf>
    <xf numFmtId="0" fontId="52" fillId="8" borderId="5" xfId="0" applyFont="1" applyFill="1" applyBorder="1" applyAlignment="1">
      <alignment horizontal="center" vertical="center" wrapText="1"/>
    </xf>
    <xf numFmtId="169" fontId="54" fillId="0" borderId="23" xfId="0" applyNumberFormat="1" applyFont="1" applyBorder="1" applyAlignment="1">
      <alignment vertical="center" wrapText="1"/>
    </xf>
    <xf numFmtId="0" fontId="52" fillId="8" borderId="5" xfId="0" applyFont="1" applyFill="1" applyBorder="1" applyAlignment="1">
      <alignment vertical="center" wrapText="1"/>
    </xf>
    <xf numFmtId="169" fontId="54" fillId="0" borderId="5" xfId="0" applyNumberFormat="1" applyFont="1" applyBorder="1" applyAlignment="1">
      <alignment vertical="center" wrapText="1"/>
    </xf>
    <xf numFmtId="0" fontId="52" fillId="0" borderId="44" xfId="0" applyFont="1" applyBorder="1" applyAlignment="1">
      <alignment vertical="center"/>
    </xf>
    <xf numFmtId="0" fontId="52" fillId="0" borderId="22" xfId="0" applyFont="1" applyBorder="1" applyAlignment="1">
      <alignment vertical="center"/>
    </xf>
    <xf numFmtId="172" fontId="54" fillId="0" borderId="1" xfId="0" applyNumberFormat="1" applyFont="1" applyBorder="1" applyAlignment="1">
      <alignment vertical="center" wrapText="1"/>
    </xf>
    <xf numFmtId="172" fontId="54" fillId="0" borderId="23" xfId="0" applyNumberFormat="1" applyFont="1" applyBorder="1" applyAlignment="1">
      <alignment vertical="center" wrapText="1"/>
    </xf>
    <xf numFmtId="0" fontId="50" fillId="0" borderId="1" xfId="0" applyFont="1" applyBorder="1" applyAlignment="1">
      <alignment horizontal="center" vertical="center"/>
    </xf>
    <xf numFmtId="0" fontId="37" fillId="7" borderId="0" xfId="0" applyFont="1" applyFill="1" applyAlignment="1">
      <alignment vertical="top" wrapText="1"/>
    </xf>
    <xf numFmtId="0" fontId="44" fillId="7" borderId="5" xfId="0" applyFont="1" applyFill="1" applyBorder="1" applyAlignment="1">
      <alignment horizontal="center" vertical="top" wrapText="1"/>
    </xf>
    <xf numFmtId="0" fontId="52" fillId="7" borderId="13" xfId="0" applyFont="1" applyFill="1" applyBorder="1" applyAlignment="1">
      <alignment vertical="top" wrapText="1"/>
    </xf>
    <xf numFmtId="0" fontId="52" fillId="7" borderId="0" xfId="0" applyFont="1" applyFill="1" applyAlignment="1">
      <alignment vertical="top" wrapText="1"/>
    </xf>
    <xf numFmtId="0" fontId="52" fillId="7" borderId="16" xfId="0" applyFont="1" applyFill="1" applyBorder="1" applyAlignment="1">
      <alignment vertical="top" wrapText="1"/>
    </xf>
    <xf numFmtId="0" fontId="52" fillId="7" borderId="10" xfId="0" applyFont="1" applyFill="1" applyBorder="1" applyAlignment="1">
      <alignment vertical="top" wrapText="1"/>
    </xf>
    <xf numFmtId="0" fontId="52" fillId="7" borderId="11" xfId="0" applyFont="1" applyFill="1" applyBorder="1" applyAlignment="1">
      <alignment vertical="top" wrapText="1"/>
    </xf>
    <xf numFmtId="0" fontId="52" fillId="7" borderId="12" xfId="0" applyFont="1" applyFill="1" applyBorder="1" applyAlignment="1">
      <alignment vertical="top" wrapText="1"/>
    </xf>
    <xf numFmtId="164" fontId="35" fillId="0" borderId="3" xfId="0" applyNumberFormat="1" applyFont="1" applyBorder="1" applyAlignment="1">
      <alignment horizontal="center" vertical="center"/>
    </xf>
    <xf numFmtId="164" fontId="35" fillId="0" borderId="2" xfId="0" applyNumberFormat="1" applyFont="1" applyBorder="1" applyAlignment="1">
      <alignment horizontal="center" vertical="center"/>
    </xf>
    <xf numFmtId="167" fontId="50" fillId="0" borderId="3" xfId="0" applyNumberFormat="1" applyFont="1" applyBorder="1" applyAlignment="1">
      <alignment horizontal="center" vertical="center"/>
    </xf>
    <xf numFmtId="171" fontId="50" fillId="0" borderId="2" xfId="0" applyNumberFormat="1" applyFont="1" applyBorder="1" applyAlignment="1">
      <alignment horizontal="center" vertical="center"/>
    </xf>
    <xf numFmtId="0" fontId="37" fillId="7" borderId="1" xfId="0" applyFont="1" applyFill="1" applyBorder="1" applyAlignment="1">
      <alignment horizontal="center" vertical="top" wrapText="1"/>
    </xf>
    <xf numFmtId="0" fontId="52" fillId="8" borderId="17" xfId="0" applyFont="1" applyFill="1" applyBorder="1" applyAlignment="1">
      <alignment horizontal="center" vertical="center" wrapText="1"/>
    </xf>
    <xf numFmtId="0" fontId="44" fillId="7" borderId="1" xfId="0" applyFont="1" applyFill="1" applyBorder="1" applyAlignment="1">
      <alignment horizontal="center" vertical="top" wrapText="1"/>
    </xf>
    <xf numFmtId="172" fontId="54" fillId="0" borderId="18" xfId="0" applyNumberFormat="1" applyFont="1" applyBorder="1" applyAlignment="1">
      <alignment vertical="center" wrapText="1"/>
    </xf>
    <xf numFmtId="165" fontId="61" fillId="0" borderId="4" xfId="1" applyNumberFormat="1" applyFont="1" applyFill="1" applyBorder="1" applyAlignment="1">
      <alignment horizontal="center" vertical="center"/>
    </xf>
    <xf numFmtId="165" fontId="36" fillId="0" borderId="4" xfId="0" applyNumberFormat="1" applyFont="1" applyBorder="1" applyAlignment="1">
      <alignment horizontal="left" vertical="center"/>
    </xf>
    <xf numFmtId="0" fontId="62" fillId="8" borderId="6" xfId="0" applyFont="1" applyFill="1" applyBorder="1" applyAlignment="1">
      <alignment vertical="center"/>
    </xf>
    <xf numFmtId="16" fontId="52" fillId="8" borderId="1" xfId="0" quotePrefix="1" applyNumberFormat="1" applyFont="1" applyFill="1" applyBorder="1" applyAlignment="1">
      <alignment horizontal="center" vertical="center" wrapText="1"/>
    </xf>
    <xf numFmtId="0" fontId="6" fillId="5" borderId="23" xfId="0" applyFont="1" applyFill="1" applyBorder="1" applyAlignment="1">
      <alignment horizontal="center" vertical="center" wrapText="1"/>
    </xf>
    <xf numFmtId="0" fontId="6" fillId="5" borderId="13" xfId="0" applyFont="1" applyFill="1" applyBorder="1" applyAlignment="1">
      <alignment horizontal="center" vertical="center" wrapText="1"/>
    </xf>
    <xf numFmtId="0" fontId="6" fillId="5" borderId="23" xfId="0" applyFont="1" applyFill="1" applyBorder="1" applyAlignment="1">
      <alignment horizontal="center" vertical="center"/>
    </xf>
    <xf numFmtId="20" fontId="4" fillId="0" borderId="1" xfId="0" applyNumberFormat="1" applyFont="1" applyBorder="1" applyAlignment="1">
      <alignment horizontal="center" vertical="center"/>
    </xf>
    <xf numFmtId="0" fontId="5" fillId="0" borderId="3" xfId="0" applyFont="1" applyBorder="1" applyAlignment="1">
      <alignment vertical="center"/>
    </xf>
    <xf numFmtId="0" fontId="62" fillId="8" borderId="10" xfId="0" applyFont="1" applyFill="1" applyBorder="1"/>
    <xf numFmtId="0" fontId="62" fillId="8" borderId="12" xfId="0" applyFont="1" applyFill="1" applyBorder="1"/>
    <xf numFmtId="164" fontId="24" fillId="0" borderId="1" xfId="0" applyNumberFormat="1" applyFont="1" applyBorder="1" applyAlignment="1">
      <alignment horizontal="center" vertical="center"/>
    </xf>
    <xf numFmtId="0" fontId="22" fillId="3" borderId="1" xfId="0" applyFont="1" applyFill="1" applyBorder="1" applyAlignment="1">
      <alignment horizontal="center" vertical="center"/>
    </xf>
    <xf numFmtId="0" fontId="22" fillId="3" borderId="36" xfId="0" applyFont="1" applyFill="1" applyBorder="1" applyAlignment="1">
      <alignment horizontal="center" vertical="center"/>
    </xf>
    <xf numFmtId="0" fontId="22" fillId="3" borderId="35" xfId="0" applyFont="1" applyFill="1" applyBorder="1" applyAlignment="1">
      <alignment horizontal="center" vertical="center"/>
    </xf>
    <xf numFmtId="0" fontId="22" fillId="3" borderId="37" xfId="0" applyFont="1" applyFill="1" applyBorder="1" applyAlignment="1">
      <alignment horizontal="center" vertical="center"/>
    </xf>
    <xf numFmtId="0" fontId="4" fillId="0" borderId="3" xfId="0" applyFont="1" applyBorder="1" applyAlignment="1">
      <alignment vertical="center"/>
    </xf>
    <xf numFmtId="0" fontId="4" fillId="0" borderId="2" xfId="0" applyFont="1" applyBorder="1" applyAlignment="1">
      <alignment vertical="center"/>
    </xf>
    <xf numFmtId="0" fontId="4" fillId="0" borderId="4" xfId="0" applyFont="1" applyBorder="1" applyAlignment="1">
      <alignment vertical="center"/>
    </xf>
    <xf numFmtId="0" fontId="6" fillId="5" borderId="17" xfId="0" applyFont="1" applyFill="1" applyBorder="1" applyAlignment="1">
      <alignment horizontal="center" vertical="center"/>
    </xf>
    <xf numFmtId="0" fontId="17" fillId="2" borderId="3" xfId="0" applyFont="1" applyFill="1" applyBorder="1" applyAlignment="1">
      <alignment vertical="center"/>
    </xf>
    <xf numFmtId="0" fontId="17" fillId="2" borderId="2" xfId="0" applyFont="1" applyFill="1" applyBorder="1" applyAlignment="1">
      <alignment vertical="center"/>
    </xf>
    <xf numFmtId="0" fontId="17" fillId="2" borderId="4" xfId="0" applyFont="1" applyFill="1" applyBorder="1" applyAlignment="1">
      <alignment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32" fillId="0" borderId="6" xfId="0" applyFont="1" applyBorder="1" applyAlignment="1">
      <alignment horizontal="center" vertical="center"/>
    </xf>
    <xf numFmtId="0" fontId="6" fillId="5" borderId="5" xfId="0" applyFont="1" applyFill="1" applyBorder="1" applyAlignment="1">
      <alignment horizontal="center" vertical="center"/>
    </xf>
    <xf numFmtId="0" fontId="6" fillId="5" borderId="18" xfId="0" applyFont="1" applyFill="1" applyBorder="1" applyAlignment="1">
      <alignment horizontal="center" vertical="center"/>
    </xf>
    <xf numFmtId="0" fontId="4" fillId="0" borderId="2" xfId="0" applyFont="1" applyBorder="1" applyAlignment="1">
      <alignment horizontal="center" vertical="center"/>
    </xf>
    <xf numFmtId="0" fontId="24" fillId="0" borderId="3" xfId="0" applyFont="1" applyBorder="1" applyAlignment="1">
      <alignment horizontal="center" vertical="center"/>
    </xf>
    <xf numFmtId="0" fontId="24" fillId="0" borderId="4" xfId="0" applyFont="1" applyBorder="1" applyAlignment="1">
      <alignment horizontal="center" vertical="center"/>
    </xf>
    <xf numFmtId="0" fontId="24" fillId="0" borderId="3" xfId="0" quotePrefix="1" applyFont="1" applyBorder="1" applyAlignment="1">
      <alignment horizontal="center" vertical="center"/>
    </xf>
    <xf numFmtId="0" fontId="17" fillId="2" borderId="1" xfId="0" applyFont="1" applyFill="1" applyBorder="1" applyAlignment="1">
      <alignment horizontal="left" vertical="top"/>
    </xf>
    <xf numFmtId="0" fontId="10" fillId="3" borderId="1" xfId="0" applyFont="1" applyFill="1" applyBorder="1" applyAlignment="1">
      <alignment horizontal="center" vertical="top"/>
    </xf>
    <xf numFmtId="0" fontId="10" fillId="2" borderId="3" xfId="0" applyFont="1" applyFill="1" applyBorder="1" applyAlignment="1">
      <alignment horizontal="center" vertical="top"/>
    </xf>
    <xf numFmtId="0" fontId="10" fillId="2" borderId="2" xfId="0" applyFont="1" applyFill="1" applyBorder="1" applyAlignment="1">
      <alignment horizontal="center" vertical="top"/>
    </xf>
    <xf numFmtId="0" fontId="10" fillId="2" borderId="4" xfId="0" applyFont="1" applyFill="1" applyBorder="1" applyAlignment="1">
      <alignment horizontal="center" vertical="top"/>
    </xf>
    <xf numFmtId="0" fontId="4" fillId="0" borderId="3" xfId="0" applyFont="1" applyBorder="1" applyAlignment="1">
      <alignment horizontal="center" vertical="center"/>
    </xf>
    <xf numFmtId="0" fontId="24" fillId="0" borderId="1" xfId="0" applyFont="1" applyBorder="1" applyAlignment="1">
      <alignment horizontal="center" vertical="center"/>
    </xf>
    <xf numFmtId="164" fontId="24" fillId="4" borderId="1" xfId="0" applyNumberFormat="1" applyFont="1" applyFill="1" applyBorder="1" applyAlignment="1">
      <alignment horizontal="center" vertical="center"/>
    </xf>
    <xf numFmtId="0" fontId="17" fillId="2" borderId="1" xfId="0" applyFont="1" applyFill="1" applyBorder="1" applyAlignment="1">
      <alignment horizontal="left" vertical="center"/>
    </xf>
    <xf numFmtId="0" fontId="10" fillId="2" borderId="1" xfId="0" applyFont="1" applyFill="1" applyBorder="1" applyAlignment="1">
      <alignment horizontal="center" vertical="top"/>
    </xf>
    <xf numFmtId="0" fontId="6" fillId="5" borderId="7" xfId="0" applyFont="1" applyFill="1" applyBorder="1" applyAlignment="1">
      <alignment horizontal="center" vertical="center"/>
    </xf>
    <xf numFmtId="0" fontId="6" fillId="5" borderId="8"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19" xfId="0" applyFont="1" applyFill="1" applyBorder="1" applyAlignment="1">
      <alignment horizontal="center" vertical="center"/>
    </xf>
    <xf numFmtId="0" fontId="6" fillId="5" borderId="25" xfId="0" applyFont="1" applyFill="1" applyBorder="1" applyAlignment="1">
      <alignment horizontal="center" vertical="center"/>
    </xf>
    <xf numFmtId="0" fontId="6" fillId="5" borderId="20" xfId="0" applyFont="1" applyFill="1" applyBorder="1" applyAlignment="1">
      <alignment horizontal="center" vertical="center"/>
    </xf>
    <xf numFmtId="0" fontId="10" fillId="2" borderId="1" xfId="0" applyFont="1" applyFill="1" applyBorder="1" applyAlignment="1">
      <alignment horizontal="left" vertical="top"/>
    </xf>
    <xf numFmtId="0" fontId="10" fillId="3" borderId="1" xfId="0" applyFont="1" applyFill="1" applyBorder="1" applyAlignment="1">
      <alignment horizontal="center" vertical="center"/>
    </xf>
    <xf numFmtId="0" fontId="16" fillId="2" borderId="3" xfId="0" applyFont="1" applyFill="1" applyBorder="1" applyAlignment="1">
      <alignment horizontal="center" vertical="top" wrapText="1"/>
    </xf>
    <xf numFmtId="0" fontId="16" fillId="2" borderId="2" xfId="0" applyFont="1" applyFill="1" applyBorder="1" applyAlignment="1">
      <alignment horizontal="center" vertical="top" wrapText="1"/>
    </xf>
    <xf numFmtId="0" fontId="16" fillId="2" borderId="4" xfId="0" applyFont="1" applyFill="1" applyBorder="1" applyAlignment="1">
      <alignment horizontal="center" vertical="top" wrapText="1"/>
    </xf>
    <xf numFmtId="0" fontId="17" fillId="5" borderId="1" xfId="0" applyFont="1" applyFill="1" applyBorder="1" applyAlignment="1">
      <alignment horizontal="center" vertical="center"/>
    </xf>
    <xf numFmtId="0" fontId="24" fillId="0" borderId="36" xfId="0" applyFont="1" applyBorder="1" applyAlignment="1">
      <alignment horizontal="center" vertical="center"/>
    </xf>
    <xf numFmtId="0" fontId="24" fillId="0" borderId="35" xfId="0" applyFont="1" applyBorder="1" applyAlignment="1">
      <alignment horizontal="center" vertical="center"/>
    </xf>
    <xf numFmtId="0" fontId="24" fillId="0" borderId="37" xfId="0" applyFont="1" applyBorder="1" applyAlignment="1">
      <alignment horizontal="center" vertical="center"/>
    </xf>
    <xf numFmtId="0" fontId="24" fillId="0" borderId="10" xfId="0" applyFont="1" applyBorder="1" applyAlignment="1">
      <alignment horizontal="center" vertical="center"/>
    </xf>
    <xf numFmtId="0" fontId="24" fillId="0" borderId="11" xfId="0" applyFont="1" applyBorder="1" applyAlignment="1">
      <alignment horizontal="center" vertical="center"/>
    </xf>
    <xf numFmtId="0" fontId="24" fillId="0" borderId="12" xfId="0" applyFont="1" applyBorder="1" applyAlignment="1">
      <alignment horizontal="center" vertical="center"/>
    </xf>
    <xf numFmtId="0" fontId="24" fillId="0" borderId="36" xfId="0" applyFont="1" applyBorder="1" applyAlignment="1">
      <alignment horizontal="center" vertical="center" wrapText="1"/>
    </xf>
    <xf numFmtId="0" fontId="24" fillId="0" borderId="35" xfId="0" applyFont="1" applyBorder="1" applyAlignment="1">
      <alignment horizontal="center" vertical="center" wrapText="1"/>
    </xf>
    <xf numFmtId="0" fontId="24" fillId="0" borderId="37" xfId="0" applyFont="1" applyBorder="1" applyAlignment="1">
      <alignment horizontal="center" vertical="center" wrapText="1"/>
    </xf>
    <xf numFmtId="0" fontId="24" fillId="0" borderId="10" xfId="0" applyFont="1" applyBorder="1" applyAlignment="1">
      <alignment horizontal="center" vertical="center" wrapText="1"/>
    </xf>
    <xf numFmtId="0" fontId="24" fillId="0" borderId="11" xfId="0" applyFont="1" applyBorder="1" applyAlignment="1">
      <alignment horizontal="center" vertical="center" wrapText="1"/>
    </xf>
    <xf numFmtId="0" fontId="24" fillId="0" borderId="12" xfId="0" applyFont="1" applyBorder="1" applyAlignment="1">
      <alignment horizontal="center" vertical="center" wrapText="1"/>
    </xf>
    <xf numFmtId="0" fontId="6" fillId="3" borderId="3"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4" xfId="0" applyFont="1" applyFill="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 fillId="0" borderId="36" xfId="0" applyFont="1" applyBorder="1" applyAlignment="1">
      <alignment horizontal="left" vertical="center"/>
    </xf>
    <xf numFmtId="0" fontId="5" fillId="0" borderId="35"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20" fillId="0" borderId="7" xfId="0" applyFont="1" applyBorder="1" applyAlignment="1">
      <alignment horizontal="left" vertical="top" wrapText="1"/>
    </xf>
    <xf numFmtId="0" fontId="20" fillId="0" borderId="8" xfId="0" applyFont="1" applyBorder="1" applyAlignment="1">
      <alignment horizontal="left" vertical="top"/>
    </xf>
    <xf numFmtId="0" fontId="20" fillId="0" borderId="9" xfId="0" applyFont="1" applyBorder="1" applyAlignment="1">
      <alignment horizontal="left" vertical="top"/>
    </xf>
    <xf numFmtId="0" fontId="20" fillId="0" borderId="13" xfId="0" applyFont="1" applyBorder="1" applyAlignment="1">
      <alignment horizontal="left" vertical="top"/>
    </xf>
    <xf numFmtId="0" fontId="20" fillId="0" borderId="0" xfId="0" applyFont="1" applyAlignment="1">
      <alignment horizontal="left" vertical="top"/>
    </xf>
    <xf numFmtId="0" fontId="20" fillId="0" borderId="16" xfId="0" applyFont="1" applyBorder="1" applyAlignment="1">
      <alignment horizontal="left" vertical="top"/>
    </xf>
    <xf numFmtId="0" fontId="20" fillId="0" borderId="10" xfId="0" applyFont="1" applyBorder="1" applyAlignment="1">
      <alignment horizontal="left" vertical="top"/>
    </xf>
    <xf numFmtId="0" fontId="20" fillId="0" borderId="11" xfId="0" applyFont="1" applyBorder="1" applyAlignment="1">
      <alignment horizontal="left" vertical="top"/>
    </xf>
    <xf numFmtId="0" fontId="20" fillId="0" borderId="12" xfId="0" applyFont="1" applyBorder="1" applyAlignment="1">
      <alignment horizontal="left" vertical="top"/>
    </xf>
    <xf numFmtId="16" fontId="3" fillId="0" borderId="3" xfId="0" applyNumberFormat="1" applyFont="1" applyBorder="1" applyAlignment="1">
      <alignment horizontal="center" vertical="center"/>
    </xf>
    <xf numFmtId="0" fontId="19" fillId="0" borderId="3" xfId="0" applyFont="1" applyBorder="1" applyAlignment="1">
      <alignment horizontal="center" vertical="center"/>
    </xf>
    <xf numFmtId="0" fontId="19" fillId="0" borderId="4" xfId="0" applyFont="1" applyBorder="1" applyAlignment="1">
      <alignment horizontal="center" vertical="center"/>
    </xf>
    <xf numFmtId="0" fontId="27" fillId="0" borderId="13" xfId="0" applyFont="1" applyBorder="1" applyAlignment="1">
      <alignment horizontal="center" vertical="center"/>
    </xf>
    <xf numFmtId="0" fontId="27" fillId="0" borderId="0" xfId="0" applyFont="1" applyAlignment="1">
      <alignment horizontal="center" vertical="center"/>
    </xf>
    <xf numFmtId="0" fontId="27" fillId="0" borderId="16" xfId="0"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17" fillId="2" borderId="1" xfId="0" applyFont="1" applyFill="1" applyBorder="1" applyAlignment="1">
      <alignment horizontal="center" vertical="center" wrapText="1"/>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4" fillId="0" borderId="7" xfId="0" applyFont="1" applyBorder="1"/>
    <xf numFmtId="0" fontId="14" fillId="0" borderId="8" xfId="0" applyFont="1" applyBorder="1"/>
    <xf numFmtId="0" fontId="14" fillId="0" borderId="9" xfId="0" applyFont="1" applyBorder="1"/>
    <xf numFmtId="0" fontId="10" fillId="3" borderId="2" xfId="0" applyFont="1" applyFill="1" applyBorder="1" applyAlignment="1">
      <alignment horizontal="center" vertical="center"/>
    </xf>
    <xf numFmtId="0" fontId="3" fillId="0" borderId="5" xfId="0" applyFont="1" applyBorder="1" applyAlignment="1">
      <alignment horizontal="center" vertical="top"/>
    </xf>
    <xf numFmtId="0" fontId="3" fillId="0" borderId="23" xfId="0" applyFont="1" applyBorder="1" applyAlignment="1">
      <alignment horizontal="center" vertical="top"/>
    </xf>
    <xf numFmtId="0" fontId="3" fillId="0" borderId="6" xfId="0" applyFont="1" applyBorder="1" applyAlignment="1">
      <alignment horizontal="center" vertical="top"/>
    </xf>
    <xf numFmtId="0" fontId="19" fillId="0" borderId="7" xfId="0" applyFont="1" applyBorder="1" applyAlignment="1">
      <alignment horizontal="left" vertical="top" wrapText="1"/>
    </xf>
    <xf numFmtId="0" fontId="19" fillId="0" borderId="9" xfId="0" applyFont="1" applyBorder="1" applyAlignment="1">
      <alignment horizontal="left" vertical="top"/>
    </xf>
    <xf numFmtId="0" fontId="19" fillId="0" borderId="13" xfId="0" applyFont="1" applyBorder="1" applyAlignment="1">
      <alignment horizontal="left" vertical="top"/>
    </xf>
    <xf numFmtId="0" fontId="19" fillId="0" borderId="16" xfId="0" applyFont="1" applyBorder="1" applyAlignment="1">
      <alignment horizontal="left" vertical="top"/>
    </xf>
    <xf numFmtId="0" fontId="19" fillId="0" borderId="10" xfId="0" applyFont="1" applyBorder="1" applyAlignment="1">
      <alignment horizontal="left" vertical="top"/>
    </xf>
    <xf numFmtId="0" fontId="19" fillId="0" borderId="12" xfId="0" applyFont="1" applyBorder="1" applyAlignment="1">
      <alignment horizontal="left" vertical="top"/>
    </xf>
    <xf numFmtId="0" fontId="19" fillId="0" borderId="2" xfId="0" applyFont="1" applyBorder="1" applyAlignment="1">
      <alignment horizontal="center" vertical="center"/>
    </xf>
    <xf numFmtId="0" fontId="3" fillId="0" borderId="2" xfId="0" applyFont="1" applyBorder="1" applyAlignment="1">
      <alignment horizontal="center" vertical="center"/>
    </xf>
    <xf numFmtId="0" fontId="16" fillId="2" borderId="3" xfId="0" applyFont="1" applyFill="1" applyBorder="1" applyAlignment="1">
      <alignment horizontal="center" vertical="top"/>
    </xf>
    <xf numFmtId="0" fontId="16" fillId="2" borderId="2" xfId="0" applyFont="1" applyFill="1" applyBorder="1" applyAlignment="1">
      <alignment horizontal="center" vertical="top"/>
    </xf>
    <xf numFmtId="0" fontId="16" fillId="2" borderId="4" xfId="0" applyFont="1" applyFill="1" applyBorder="1" applyAlignment="1">
      <alignment horizontal="center" vertical="top"/>
    </xf>
    <xf numFmtId="0" fontId="16" fillId="2" borderId="1" xfId="0" applyFont="1" applyFill="1" applyBorder="1" applyAlignment="1">
      <alignment horizontal="center" vertical="top"/>
    </xf>
    <xf numFmtId="0" fontId="16" fillId="2" borderId="1" xfId="0" applyFont="1" applyFill="1" applyBorder="1" applyAlignment="1">
      <alignment horizontal="center" vertical="top" wrapText="1"/>
    </xf>
    <xf numFmtId="0" fontId="4" fillId="0" borderId="1" xfId="0" applyFont="1" applyBorder="1" applyAlignment="1">
      <alignment horizontal="center" vertical="center"/>
    </xf>
    <xf numFmtId="20" fontId="4" fillId="0" borderId="1" xfId="0" applyNumberFormat="1" applyFont="1" applyBorder="1" applyAlignment="1">
      <alignment horizontal="center" vertical="center"/>
    </xf>
    <xf numFmtId="0" fontId="6" fillId="5" borderId="3" xfId="0" applyFont="1" applyFill="1" applyBorder="1" applyAlignment="1">
      <alignment horizontal="center" vertical="center" wrapText="1"/>
    </xf>
    <xf numFmtId="0" fontId="6" fillId="5" borderId="2" xfId="0" applyFont="1" applyFill="1" applyBorder="1" applyAlignment="1">
      <alignment horizontal="center" vertical="center" wrapText="1"/>
    </xf>
    <xf numFmtId="170" fontId="4" fillId="0" borderId="1" xfId="0" applyNumberFormat="1" applyFont="1" applyBorder="1" applyAlignment="1">
      <alignment horizontal="center" vertical="center"/>
    </xf>
    <xf numFmtId="0" fontId="6" fillId="5" borderId="4" xfId="0" applyFont="1" applyFill="1" applyBorder="1" applyAlignment="1">
      <alignment horizontal="center" vertical="center" wrapText="1"/>
    </xf>
    <xf numFmtId="20" fontId="24" fillId="0" borderId="10" xfId="0" applyNumberFormat="1" applyFont="1" applyBorder="1" applyAlignment="1">
      <alignment horizontal="center" vertical="center" wrapText="1"/>
    </xf>
    <xf numFmtId="20" fontId="24" fillId="0" borderId="12" xfId="0" applyNumberFormat="1" applyFont="1" applyBorder="1" applyAlignment="1">
      <alignment horizontal="center" vertical="center"/>
    </xf>
    <xf numFmtId="0" fontId="6" fillId="5" borderId="5"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6" fillId="5" borderId="21" xfId="0" applyFont="1" applyFill="1" applyBorder="1" applyAlignment="1">
      <alignment horizontal="center" vertical="center" wrapText="1"/>
    </xf>
    <xf numFmtId="0" fontId="6" fillId="5" borderId="22" xfId="0" applyFont="1" applyFill="1" applyBorder="1" applyAlignment="1">
      <alignment horizontal="center" vertical="center" wrapText="1"/>
    </xf>
    <xf numFmtId="0" fontId="4" fillId="0" borderId="45" xfId="0" applyFont="1" applyBorder="1" applyAlignment="1">
      <alignment horizontal="center" vertical="center"/>
    </xf>
    <xf numFmtId="0" fontId="10" fillId="2" borderId="1" xfId="0" applyFont="1" applyFill="1" applyBorder="1" applyAlignment="1">
      <alignment horizontal="left" vertical="top" wrapText="1"/>
    </xf>
    <xf numFmtId="0" fontId="6" fillId="0" borderId="0" xfId="0" applyFont="1" applyAlignment="1">
      <alignment horizontal="center" vertical="top"/>
    </xf>
    <xf numFmtId="164" fontId="4" fillId="0" borderId="1" xfId="0" applyNumberFormat="1" applyFont="1" applyBorder="1" applyAlignment="1">
      <alignment horizontal="center" vertical="center"/>
    </xf>
    <xf numFmtId="20" fontId="24" fillId="0" borderId="10" xfId="0" applyNumberFormat="1" applyFont="1" applyBorder="1" applyAlignment="1">
      <alignment horizontal="center" vertical="center"/>
    </xf>
    <xf numFmtId="0" fontId="24" fillId="0" borderId="6" xfId="0" applyFont="1" applyBorder="1" applyAlignment="1">
      <alignment horizontal="center" vertical="center"/>
    </xf>
    <xf numFmtId="0" fontId="6" fillId="5" borderId="1" xfId="0" applyFont="1" applyFill="1" applyBorder="1" applyAlignment="1">
      <alignment horizontal="center" vertical="center" wrapText="1"/>
    </xf>
    <xf numFmtId="0" fontId="6" fillId="5" borderId="17" xfId="0" applyFont="1" applyFill="1" applyBorder="1" applyAlignment="1">
      <alignment horizontal="center" vertical="center" wrapText="1"/>
    </xf>
    <xf numFmtId="0" fontId="6" fillId="5" borderId="50" xfId="0" applyFont="1" applyFill="1" applyBorder="1" applyAlignment="1">
      <alignment horizontal="center" vertical="center"/>
    </xf>
    <xf numFmtId="0" fontId="6" fillId="5" borderId="7"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19" fillId="0" borderId="15" xfId="0" applyFont="1" applyBorder="1" applyAlignment="1">
      <alignment horizontal="left"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6" fillId="5" borderId="3"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13" xfId="0" applyFont="1" applyFill="1" applyBorder="1" applyAlignment="1">
      <alignment horizontal="center" vertical="center"/>
    </xf>
    <xf numFmtId="0" fontId="6" fillId="5" borderId="16" xfId="0" applyFont="1" applyFill="1" applyBorder="1" applyAlignment="1">
      <alignment horizontal="center" vertical="center"/>
    </xf>
    <xf numFmtId="0" fontId="6" fillId="5" borderId="23" xfId="0" applyFont="1" applyFill="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3"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13" fillId="0" borderId="7" xfId="0" applyFont="1" applyBorder="1" applyAlignment="1">
      <alignment horizontal="center" vertical="center"/>
    </xf>
    <xf numFmtId="0" fontId="13" fillId="0" borderId="8" xfId="0" applyFont="1" applyBorder="1" applyAlignment="1">
      <alignment horizontal="center" vertical="center"/>
    </xf>
    <xf numFmtId="0" fontId="13" fillId="0" borderId="9" xfId="0" applyFont="1" applyBorder="1" applyAlignment="1">
      <alignment horizontal="center" vertical="center"/>
    </xf>
    <xf numFmtId="0" fontId="13" fillId="0" borderId="13" xfId="0" applyFont="1" applyBorder="1" applyAlignment="1">
      <alignment horizontal="center" vertical="center"/>
    </xf>
    <xf numFmtId="0" fontId="13" fillId="0" borderId="0" xfId="0" applyFont="1" applyAlignment="1">
      <alignment horizontal="center" vertical="center"/>
    </xf>
    <xf numFmtId="0" fontId="13" fillId="0" borderId="16" xfId="0" applyFont="1" applyBorder="1" applyAlignment="1">
      <alignment horizontal="center" vertical="center"/>
    </xf>
    <xf numFmtId="0" fontId="13" fillId="0" borderId="10" xfId="0" applyFont="1" applyBorder="1" applyAlignment="1">
      <alignment horizontal="center" vertical="center"/>
    </xf>
    <xf numFmtId="0" fontId="13" fillId="0" borderId="11" xfId="0" applyFont="1" applyBorder="1" applyAlignment="1">
      <alignment horizontal="center" vertical="center"/>
    </xf>
    <xf numFmtId="0" fontId="13" fillId="0" borderId="12" xfId="0" applyFont="1" applyBorder="1" applyAlignment="1">
      <alignment horizontal="center" vertical="center"/>
    </xf>
    <xf numFmtId="0" fontId="6" fillId="5" borderId="21" xfId="0" applyFont="1" applyFill="1" applyBorder="1" applyAlignment="1">
      <alignment horizontal="center" vertical="center"/>
    </xf>
    <xf numFmtId="0" fontId="6" fillId="5" borderId="22" xfId="0" applyFont="1" applyFill="1" applyBorder="1" applyAlignment="1">
      <alignment horizontal="center" vertical="center"/>
    </xf>
    <xf numFmtId="0" fontId="6" fillId="5" borderId="36" xfId="0" applyFont="1" applyFill="1" applyBorder="1" applyAlignment="1">
      <alignment horizontal="center" vertical="center"/>
    </xf>
    <xf numFmtId="0" fontId="6" fillId="5" borderId="37" xfId="0" applyFont="1" applyFill="1" applyBorder="1" applyAlignment="1">
      <alignment horizontal="center" vertical="center"/>
    </xf>
    <xf numFmtId="0" fontId="6" fillId="5" borderId="8" xfId="0" applyFont="1" applyFill="1" applyBorder="1" applyAlignment="1">
      <alignment horizontal="center" vertical="center" wrapText="1"/>
    </xf>
    <xf numFmtId="0" fontId="5" fillId="7" borderId="1" xfId="0" applyFont="1" applyFill="1" applyBorder="1" applyAlignment="1">
      <alignment horizontal="center" vertical="center"/>
    </xf>
    <xf numFmtId="166" fontId="23" fillId="0" borderId="1" xfId="0" applyNumberFormat="1" applyFont="1" applyBorder="1" applyAlignment="1">
      <alignment horizontal="left" vertical="center"/>
    </xf>
    <xf numFmtId="0" fontId="5" fillId="0" borderId="6" xfId="0" applyFont="1" applyBorder="1" applyAlignment="1">
      <alignment horizontal="center" vertical="center"/>
    </xf>
    <xf numFmtId="165" fontId="35" fillId="0" borderId="6" xfId="0" applyNumberFormat="1" applyFont="1" applyBorder="1" applyAlignment="1">
      <alignment horizontal="center" vertical="center"/>
    </xf>
    <xf numFmtId="0" fontId="35" fillId="0" borderId="6" xfId="0" applyFont="1" applyBorder="1" applyAlignment="1">
      <alignment horizontal="center" vertical="center"/>
    </xf>
    <xf numFmtId="165" fontId="35" fillId="0" borderId="38" xfId="1" applyNumberFormat="1" applyFont="1" applyBorder="1" applyAlignment="1">
      <alignment horizontal="center" vertical="center"/>
    </xf>
    <xf numFmtId="165" fontId="35" fillId="0" borderId="39" xfId="1" applyNumberFormat="1" applyFont="1" applyBorder="1" applyAlignment="1">
      <alignment horizontal="center" vertical="center"/>
    </xf>
    <xf numFmtId="0" fontId="35" fillId="0" borderId="1" xfId="0" applyFont="1" applyBorder="1" applyAlignment="1">
      <alignment horizontal="left" vertical="center"/>
    </xf>
    <xf numFmtId="165" fontId="5" fillId="0" borderId="5" xfId="0" applyNumberFormat="1" applyFont="1" applyBorder="1" applyAlignment="1">
      <alignment horizontal="center" vertical="center"/>
    </xf>
    <xf numFmtId="165" fontId="5" fillId="0" borderId="6" xfId="0" applyNumberFormat="1" applyFont="1" applyBorder="1" applyAlignment="1">
      <alignment horizontal="center"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165" fontId="23" fillId="0" borderId="5" xfId="0" applyNumberFormat="1" applyFont="1" applyBorder="1" applyAlignment="1">
      <alignment horizontal="center" vertical="center"/>
    </xf>
    <xf numFmtId="165" fontId="23" fillId="0" borderId="6" xfId="0" applyNumberFormat="1" applyFont="1" applyBorder="1" applyAlignment="1">
      <alignment horizontal="center" vertical="center"/>
    </xf>
    <xf numFmtId="0" fontId="5" fillId="0" borderId="3" xfId="0" applyFont="1" applyBorder="1" applyAlignment="1">
      <alignment horizontal="center" vertical="center"/>
    </xf>
    <xf numFmtId="0" fontId="5" fillId="0" borderId="2" xfId="0" applyFont="1" applyBorder="1" applyAlignment="1">
      <alignment horizontal="center" vertical="center"/>
    </xf>
    <xf numFmtId="0" fontId="5" fillId="0" borderId="4" xfId="0" applyFont="1" applyBorder="1" applyAlignment="1">
      <alignment horizontal="center" vertical="center"/>
    </xf>
    <xf numFmtId="0" fontId="27" fillId="4" borderId="46" xfId="0" applyFont="1" applyFill="1" applyBorder="1" applyAlignment="1">
      <alignment horizontal="left" vertical="center" wrapText="1"/>
    </xf>
    <xf numFmtId="0" fontId="27" fillId="4" borderId="47" xfId="0" applyFont="1" applyFill="1" applyBorder="1" applyAlignment="1">
      <alignment horizontal="left" vertical="center" wrapText="1"/>
    </xf>
    <xf numFmtId="0" fontId="27" fillId="4" borderId="48" xfId="0" applyFont="1" applyFill="1" applyBorder="1" applyAlignment="1">
      <alignment horizontal="left" vertical="center" wrapText="1"/>
    </xf>
    <xf numFmtId="0" fontId="27" fillId="4" borderId="13" xfId="0" applyFont="1" applyFill="1" applyBorder="1" applyAlignment="1">
      <alignment horizontal="left" vertical="center" wrapText="1"/>
    </xf>
    <xf numFmtId="0" fontId="27" fillId="4" borderId="0" xfId="0" applyFont="1" applyFill="1" applyAlignment="1">
      <alignment horizontal="left" vertical="center" wrapText="1"/>
    </xf>
    <xf numFmtId="0" fontId="27" fillId="4" borderId="16" xfId="0" applyFont="1" applyFill="1" applyBorder="1" applyAlignment="1">
      <alignment horizontal="left" vertical="center" wrapText="1"/>
    </xf>
    <xf numFmtId="0" fontId="5" fillId="7" borderId="3"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5" fillId="0" borderId="38" xfId="0" applyFont="1" applyBorder="1" applyAlignment="1">
      <alignment horizontal="left" vertical="center"/>
    </xf>
    <xf numFmtId="0" fontId="5" fillId="0" borderId="45" xfId="0" applyFont="1" applyBorder="1" applyAlignment="1">
      <alignment horizontal="left" vertical="center"/>
    </xf>
    <xf numFmtId="0" fontId="5" fillId="0" borderId="39" xfId="0" applyFont="1" applyBorder="1" applyAlignment="1">
      <alignment horizontal="left" vertical="center"/>
    </xf>
    <xf numFmtId="171" fontId="6" fillId="9" borderId="7" xfId="0" applyNumberFormat="1" applyFont="1" applyFill="1" applyBorder="1" applyAlignment="1">
      <alignment horizontal="center" vertical="center"/>
    </xf>
    <xf numFmtId="171" fontId="6" fillId="9" borderId="9" xfId="0" applyNumberFormat="1" applyFont="1" applyFill="1" applyBorder="1" applyAlignment="1">
      <alignment horizontal="center" vertical="center"/>
    </xf>
    <xf numFmtId="171" fontId="6" fillId="9" borderId="10" xfId="0" applyNumberFormat="1" applyFont="1" applyFill="1" applyBorder="1" applyAlignment="1">
      <alignment horizontal="center" vertical="center"/>
    </xf>
    <xf numFmtId="171" fontId="6" fillId="9" borderId="12" xfId="0" applyNumberFormat="1" applyFont="1" applyFill="1" applyBorder="1" applyAlignment="1">
      <alignment horizontal="center" vertical="center"/>
    </xf>
    <xf numFmtId="171" fontId="6" fillId="9" borderId="5" xfId="0" applyNumberFormat="1" applyFont="1" applyFill="1" applyBorder="1" applyAlignment="1">
      <alignment horizontal="center" vertical="center"/>
    </xf>
    <xf numFmtId="171" fontId="6" fillId="9" borderId="6" xfId="0" applyNumberFormat="1" applyFont="1" applyFill="1" applyBorder="1" applyAlignment="1">
      <alignment horizontal="center" vertical="center"/>
    </xf>
    <xf numFmtId="0" fontId="5" fillId="9" borderId="3" xfId="0" applyFont="1" applyFill="1" applyBorder="1" applyAlignment="1">
      <alignment horizontal="center" vertical="center"/>
    </xf>
    <xf numFmtId="0" fontId="5" fillId="9" borderId="2" xfId="0" applyFont="1" applyFill="1" applyBorder="1" applyAlignment="1">
      <alignment horizontal="center" vertical="center"/>
    </xf>
    <xf numFmtId="0" fontId="5" fillId="9" borderId="4" xfId="0" applyFont="1" applyFill="1" applyBorder="1" applyAlignment="1">
      <alignment horizontal="center" vertical="center"/>
    </xf>
    <xf numFmtId="165" fontId="36" fillId="0" borderId="4" xfId="0" applyNumberFormat="1" applyFont="1" applyBorder="1" applyAlignment="1">
      <alignment horizontal="left" vertical="center"/>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25" fillId="0" borderId="9"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Alignment="1">
      <alignment horizontal="center" vertical="center"/>
    </xf>
    <xf numFmtId="0" fontId="25" fillId="0" borderId="16" xfId="0" applyFont="1" applyBorder="1" applyAlignment="1">
      <alignment horizontal="center" vertical="center"/>
    </xf>
    <xf numFmtId="0" fontId="27" fillId="4" borderId="46" xfId="0" applyFont="1" applyFill="1" applyBorder="1" applyAlignment="1">
      <alignment horizontal="left" vertical="center"/>
    </xf>
    <xf numFmtId="0" fontId="27" fillId="4" borderId="47" xfId="0" applyFont="1" applyFill="1" applyBorder="1" applyAlignment="1">
      <alignment horizontal="left" vertical="center"/>
    </xf>
    <xf numFmtId="0" fontId="6" fillId="0" borderId="0" xfId="0" applyFont="1" applyAlignment="1">
      <alignment horizontal="center" vertical="center"/>
    </xf>
    <xf numFmtId="0" fontId="6" fillId="0" borderId="16" xfId="0" applyFont="1" applyBorder="1" applyAlignment="1">
      <alignment horizontal="center" vertical="center"/>
    </xf>
    <xf numFmtId="1" fontId="35" fillId="0" borderId="1" xfId="0" applyNumberFormat="1" applyFont="1" applyBorder="1" applyAlignment="1">
      <alignment horizontal="left" vertical="center"/>
    </xf>
    <xf numFmtId="0" fontId="2" fillId="0" borderId="1" xfId="0" applyFont="1" applyBorder="1" applyAlignment="1">
      <alignment horizontal="center" vertical="center"/>
    </xf>
    <xf numFmtId="0" fontId="26" fillId="0" borderId="13" xfId="0" applyFont="1" applyBorder="1" applyAlignment="1">
      <alignment horizontal="left" vertical="top" wrapText="1"/>
    </xf>
    <xf numFmtId="0" fontId="26" fillId="0" borderId="0" xfId="0" applyFont="1" applyAlignment="1">
      <alignment horizontal="left" vertical="top"/>
    </xf>
    <xf numFmtId="0" fontId="26" fillId="0" borderId="16" xfId="0" applyFont="1" applyBorder="1" applyAlignment="1">
      <alignment horizontal="left" vertical="top"/>
    </xf>
    <xf numFmtId="0" fontId="26" fillId="0" borderId="13" xfId="0" applyFont="1" applyBorder="1" applyAlignment="1">
      <alignment horizontal="left" vertical="top"/>
    </xf>
    <xf numFmtId="0" fontId="26" fillId="0" borderId="10" xfId="0" applyFont="1" applyBorder="1" applyAlignment="1">
      <alignment horizontal="left" vertical="top"/>
    </xf>
    <xf numFmtId="0" fontId="26" fillId="0" borderId="11" xfId="0" applyFont="1" applyBorder="1" applyAlignment="1">
      <alignment horizontal="left" vertical="top"/>
    </xf>
    <xf numFmtId="0" fontId="26" fillId="0" borderId="12" xfId="0" applyFont="1" applyBorder="1" applyAlignment="1">
      <alignment horizontal="left" vertical="top"/>
    </xf>
    <xf numFmtId="0" fontId="0" fillId="0" borderId="13"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13" xfId="0" applyBorder="1" applyAlignment="1">
      <alignment horizontal="left" vertical="top" wrapText="1"/>
    </xf>
    <xf numFmtId="0" fontId="0" fillId="0" borderId="0" xfId="0"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 xfId="0" applyBorder="1" applyAlignment="1">
      <alignment horizontal="center" vertical="center" wrapText="1"/>
    </xf>
    <xf numFmtId="0" fontId="24" fillId="0" borderId="5" xfId="0" applyFont="1" applyBorder="1" applyAlignment="1">
      <alignment horizontal="center" vertical="center" wrapText="1"/>
    </xf>
    <xf numFmtId="0" fontId="24" fillId="0" borderId="6" xfId="0" applyFont="1" applyBorder="1" applyAlignment="1">
      <alignment horizontal="center" vertical="center" wrapText="1"/>
    </xf>
    <xf numFmtId="0" fontId="6" fillId="9" borderId="1" xfId="0" applyFont="1" applyFill="1" applyBorder="1" applyAlignment="1">
      <alignment horizontal="center" vertical="center" wrapText="1"/>
    </xf>
    <xf numFmtId="0" fontId="5" fillId="0" borderId="0" xfId="0" applyFont="1" applyAlignment="1">
      <alignment horizontal="center" vertical="top"/>
    </xf>
    <xf numFmtId="0" fontId="5" fillId="0" borderId="16" xfId="0" applyFont="1" applyBorder="1" applyAlignment="1">
      <alignment horizontal="center" vertical="top"/>
    </xf>
    <xf numFmtId="0" fontId="5" fillId="7" borderId="7" xfId="0" applyFont="1" applyFill="1" applyBorder="1" applyAlignment="1">
      <alignment horizontal="center" vertical="top"/>
    </xf>
    <xf numFmtId="0" fontId="5" fillId="7" borderId="9" xfId="0" applyFont="1" applyFill="1" applyBorder="1" applyAlignment="1">
      <alignment horizontal="center" vertical="top"/>
    </xf>
    <xf numFmtId="0" fontId="5" fillId="7" borderId="19" xfId="0" applyFont="1" applyFill="1" applyBorder="1" applyAlignment="1">
      <alignment horizontal="center" vertical="top"/>
    </xf>
    <xf numFmtId="0" fontId="5" fillId="7" borderId="20" xfId="0" applyFont="1" applyFill="1" applyBorder="1" applyAlignment="1">
      <alignment horizontal="center" vertical="top"/>
    </xf>
    <xf numFmtId="0" fontId="5" fillId="7" borderId="5" xfId="0" applyFont="1" applyFill="1" applyBorder="1" applyAlignment="1">
      <alignment horizontal="center" vertical="top"/>
    </xf>
    <xf numFmtId="0" fontId="5" fillId="7" borderId="18" xfId="0" applyFont="1" applyFill="1" applyBorder="1" applyAlignment="1">
      <alignment horizontal="center" vertical="top"/>
    </xf>
    <xf numFmtId="0" fontId="5" fillId="7" borderId="3" xfId="0" applyFont="1" applyFill="1" applyBorder="1" applyAlignment="1">
      <alignment horizontal="center" vertical="top"/>
    </xf>
    <xf numFmtId="0" fontId="5" fillId="7" borderId="2" xfId="0" applyFont="1" applyFill="1" applyBorder="1" applyAlignment="1">
      <alignment horizontal="center" vertical="top"/>
    </xf>
    <xf numFmtId="0" fontId="5" fillId="7" borderId="4" xfId="0" applyFont="1" applyFill="1" applyBorder="1" applyAlignment="1">
      <alignment horizontal="center" vertical="top"/>
    </xf>
    <xf numFmtId="0" fontId="35" fillId="0" borderId="45" xfId="0" applyFont="1" applyBorder="1" applyAlignment="1">
      <alignment horizontal="center" vertical="center" wrapText="1"/>
    </xf>
    <xf numFmtId="0" fontId="5" fillId="7" borderId="8" xfId="0" applyFont="1" applyFill="1" applyBorder="1" applyAlignment="1">
      <alignment horizontal="center" vertical="top"/>
    </xf>
    <xf numFmtId="0" fontId="5" fillId="7" borderId="25" xfId="0" applyFont="1" applyFill="1" applyBorder="1" applyAlignment="1">
      <alignment horizontal="center" vertical="top"/>
    </xf>
    <xf numFmtId="0" fontId="60" fillId="0" borderId="49" xfId="0" applyFont="1" applyBorder="1" applyAlignment="1">
      <alignment horizontal="center" vertical="center" wrapText="1"/>
    </xf>
    <xf numFmtId="0" fontId="24" fillId="0" borderId="49" xfId="0" applyFont="1" applyBorder="1" applyAlignment="1">
      <alignment horizontal="center" vertical="center" wrapText="1"/>
    </xf>
    <xf numFmtId="0" fontId="5" fillId="7" borderId="21" xfId="0" applyFont="1" applyFill="1" applyBorder="1" applyAlignment="1">
      <alignment horizontal="center" vertical="top"/>
    </xf>
    <xf numFmtId="0" fontId="5" fillId="7" borderId="22" xfId="0" applyFont="1" applyFill="1" applyBorder="1" applyAlignment="1">
      <alignment horizontal="center" vertical="top"/>
    </xf>
    <xf numFmtId="0" fontId="6" fillId="9" borderId="7" xfId="0" applyFont="1" applyFill="1" applyBorder="1" applyAlignment="1">
      <alignment horizontal="center" vertical="center" wrapText="1"/>
    </xf>
    <xf numFmtId="0" fontId="6" fillId="9" borderId="10" xfId="0" applyFont="1" applyFill="1" applyBorder="1" applyAlignment="1">
      <alignment horizontal="center" vertical="center" wrapText="1"/>
    </xf>
    <xf numFmtId="171" fontId="35" fillId="0" borderId="38" xfId="0" applyNumberFormat="1" applyFont="1" applyBorder="1" applyAlignment="1">
      <alignment horizontal="center" vertical="center"/>
    </xf>
    <xf numFmtId="171" fontId="35" fillId="0" borderId="39" xfId="0" applyNumberFormat="1" applyFont="1" applyBorder="1" applyAlignment="1">
      <alignment horizontal="center" vertical="center"/>
    </xf>
    <xf numFmtId="0" fontId="23" fillId="0" borderId="19" xfId="0" applyFont="1" applyBorder="1" applyAlignment="1">
      <alignment vertical="center"/>
    </xf>
    <xf numFmtId="0" fontId="23" fillId="0" borderId="25" xfId="0" applyFont="1" applyBorder="1" applyAlignment="1">
      <alignment vertical="center"/>
    </xf>
    <xf numFmtId="0" fontId="23" fillId="0" borderId="20" xfId="0" applyFont="1" applyBorder="1" applyAlignment="1">
      <alignment vertical="center"/>
    </xf>
    <xf numFmtId="0" fontId="5" fillId="7" borderId="3" xfId="0" applyFont="1" applyFill="1" applyBorder="1" applyAlignment="1">
      <alignment horizontal="center" vertical="center"/>
    </xf>
    <xf numFmtId="0" fontId="5" fillId="7" borderId="2" xfId="0" applyFont="1" applyFill="1" applyBorder="1" applyAlignment="1">
      <alignment horizontal="center" vertical="center"/>
    </xf>
    <xf numFmtId="0" fontId="5" fillId="7" borderId="4" xfId="0" applyFont="1" applyFill="1" applyBorder="1" applyAlignment="1">
      <alignment horizontal="center" vertical="center"/>
    </xf>
    <xf numFmtId="0" fontId="5" fillId="0" borderId="2" xfId="0" applyFont="1" applyBorder="1" applyAlignment="1">
      <alignment horizontal="left" vertical="center"/>
    </xf>
    <xf numFmtId="0" fontId="23" fillId="0" borderId="3" xfId="0" applyFont="1" applyBorder="1" applyAlignment="1">
      <alignment vertical="center"/>
    </xf>
    <xf numFmtId="0" fontId="23" fillId="0" borderId="2" xfId="0" applyFont="1" applyBorder="1" applyAlignment="1">
      <alignment vertical="center"/>
    </xf>
    <xf numFmtId="0" fontId="23" fillId="0" borderId="4" xfId="0" applyFont="1" applyBorder="1" applyAlignment="1">
      <alignment vertical="center"/>
    </xf>
    <xf numFmtId="0" fontId="23" fillId="0" borderId="1" xfId="0" applyFont="1" applyBorder="1" applyAlignment="1">
      <alignment vertical="center"/>
    </xf>
    <xf numFmtId="165" fontId="61" fillId="0" borderId="3" xfId="1" applyNumberFormat="1" applyFont="1" applyBorder="1" applyAlignment="1">
      <alignment horizontal="center" vertical="center"/>
    </xf>
    <xf numFmtId="165" fontId="61" fillId="0" borderId="4" xfId="1" applyNumberFormat="1" applyFont="1" applyBorder="1" applyAlignment="1">
      <alignment horizontal="center" vertical="center"/>
    </xf>
    <xf numFmtId="0" fontId="62" fillId="8" borderId="5" xfId="0" applyFont="1" applyFill="1" applyBorder="1" applyAlignment="1">
      <alignment horizontal="center"/>
    </xf>
    <xf numFmtId="0" fontId="62" fillId="8" borderId="6" xfId="0" applyFont="1" applyFill="1" applyBorder="1" applyAlignment="1">
      <alignment horizontal="center"/>
    </xf>
    <xf numFmtId="0" fontId="62" fillId="8" borderId="7" xfId="0" applyFont="1" applyFill="1" applyBorder="1" applyAlignment="1">
      <alignment horizontal="center" vertical="center" wrapText="1"/>
    </xf>
    <xf numFmtId="0" fontId="62" fillId="8" borderId="9" xfId="0" applyFont="1" applyFill="1" applyBorder="1" applyAlignment="1">
      <alignment horizontal="center" vertical="center" wrapText="1"/>
    </xf>
    <xf numFmtId="0" fontId="62" fillId="8" borderId="10" xfId="0" applyFont="1" applyFill="1" applyBorder="1" applyAlignment="1">
      <alignment horizontal="center" vertical="center" wrapText="1"/>
    </xf>
    <xf numFmtId="0" fontId="62" fillId="8" borderId="12" xfId="0" applyFont="1" applyFill="1" applyBorder="1" applyAlignment="1">
      <alignment horizontal="center" vertical="center" wrapText="1"/>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3" xfId="0" applyFont="1" applyBorder="1" applyAlignment="1">
      <alignment horizontal="center" vertical="center"/>
    </xf>
    <xf numFmtId="0" fontId="11" fillId="0" borderId="0" xfId="0" applyFont="1" applyAlignment="1">
      <alignment horizontal="center" vertical="center"/>
    </xf>
    <xf numFmtId="0" fontId="11" fillId="0" borderId="16"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49" fillId="0" borderId="8" xfId="0" applyFont="1" applyBorder="1" applyAlignment="1">
      <alignment horizontal="center" vertical="center"/>
    </xf>
    <xf numFmtId="0" fontId="50" fillId="0" borderId="7" xfId="0" applyFont="1" applyBorder="1" applyAlignment="1">
      <alignment horizontal="center" vertical="center"/>
    </xf>
    <xf numFmtId="0" fontId="50" fillId="0" borderId="9" xfId="0" applyFont="1" applyBorder="1" applyAlignment="1">
      <alignment horizontal="center" vertical="center"/>
    </xf>
    <xf numFmtId="0" fontId="50" fillId="0" borderId="7" xfId="0" applyFont="1" applyBorder="1" applyAlignment="1">
      <alignment horizontal="center" vertical="center" wrapText="1"/>
    </xf>
    <xf numFmtId="0" fontId="50" fillId="0" borderId="9" xfId="0" applyFont="1" applyBorder="1" applyAlignment="1">
      <alignment horizontal="center" vertical="center" wrapText="1"/>
    </xf>
    <xf numFmtId="0" fontId="50" fillId="0" borderId="7" xfId="0" applyFont="1" applyBorder="1" applyAlignment="1">
      <alignment horizontal="left" vertical="center" wrapText="1"/>
    </xf>
    <xf numFmtId="0" fontId="50" fillId="0" borderId="8" xfId="0" applyFont="1" applyBorder="1" applyAlignment="1">
      <alignment horizontal="left" vertical="center" wrapText="1"/>
    </xf>
    <xf numFmtId="0" fontId="50" fillId="0" borderId="9" xfId="0" applyFont="1" applyBorder="1" applyAlignment="1">
      <alignment horizontal="left" vertical="center" wrapText="1"/>
    </xf>
    <xf numFmtId="0" fontId="37" fillId="7" borderId="7" xfId="0" applyFont="1" applyFill="1" applyBorder="1" applyAlignment="1">
      <alignment horizontal="center" vertical="top"/>
    </xf>
    <xf numFmtId="0" fontId="37" fillId="7" borderId="8" xfId="0" applyFont="1" applyFill="1" applyBorder="1" applyAlignment="1">
      <alignment horizontal="center" vertical="top"/>
    </xf>
    <xf numFmtId="0" fontId="37" fillId="7" borderId="9" xfId="0" applyFont="1" applyFill="1" applyBorder="1" applyAlignment="1">
      <alignment horizontal="center" vertical="top"/>
    </xf>
    <xf numFmtId="0" fontId="37" fillId="7" borderId="13" xfId="0" applyFont="1" applyFill="1" applyBorder="1" applyAlignment="1">
      <alignment horizontal="center" vertical="top"/>
    </xf>
    <xf numFmtId="0" fontId="37" fillId="7" borderId="0" xfId="0" applyFont="1" applyFill="1" applyAlignment="1">
      <alignment horizontal="center" vertical="top"/>
    </xf>
    <xf numFmtId="0" fontId="37" fillId="7" borderId="16" xfId="0" applyFont="1" applyFill="1" applyBorder="1" applyAlignment="1">
      <alignment horizontal="center" vertical="top"/>
    </xf>
    <xf numFmtId="0" fontId="37" fillId="7" borderId="10" xfId="0" applyFont="1" applyFill="1" applyBorder="1" applyAlignment="1">
      <alignment horizontal="center" vertical="top"/>
    </xf>
    <xf numFmtId="0" fontId="37" fillId="7" borderId="11" xfId="0" applyFont="1" applyFill="1" applyBorder="1" applyAlignment="1">
      <alignment horizontal="center" vertical="top"/>
    </xf>
    <xf numFmtId="0" fontId="37" fillId="7" borderId="12" xfId="0" applyFont="1" applyFill="1" applyBorder="1" applyAlignment="1">
      <alignment horizontal="center" vertical="top"/>
    </xf>
    <xf numFmtId="0" fontId="37" fillId="7" borderId="5" xfId="0" applyFont="1" applyFill="1" applyBorder="1" applyAlignment="1">
      <alignment horizontal="center" vertical="top" wrapText="1"/>
    </xf>
    <xf numFmtId="0" fontId="37" fillId="7" borderId="23" xfId="0" applyFont="1" applyFill="1" applyBorder="1" applyAlignment="1">
      <alignment horizontal="center" vertical="top" wrapText="1"/>
    </xf>
    <xf numFmtId="0" fontId="37" fillId="7" borderId="6" xfId="0" applyFont="1" applyFill="1" applyBorder="1" applyAlignment="1">
      <alignment horizontal="center" vertical="top" wrapText="1"/>
    </xf>
    <xf numFmtId="0" fontId="37" fillId="7" borderId="7" xfId="0" applyFont="1" applyFill="1" applyBorder="1" applyAlignment="1">
      <alignment horizontal="center" vertical="top" wrapText="1"/>
    </xf>
    <xf numFmtId="0" fontId="37" fillId="7" borderId="8" xfId="0" applyFont="1" applyFill="1" applyBorder="1" applyAlignment="1">
      <alignment horizontal="center" vertical="top" wrapText="1"/>
    </xf>
    <xf numFmtId="0" fontId="37" fillId="7" borderId="9" xfId="0" applyFont="1" applyFill="1" applyBorder="1" applyAlignment="1">
      <alignment horizontal="center" vertical="top" wrapText="1"/>
    </xf>
    <xf numFmtId="0" fontId="37" fillId="7" borderId="13" xfId="0" applyFont="1" applyFill="1" applyBorder="1" applyAlignment="1">
      <alignment horizontal="center" vertical="top" wrapText="1"/>
    </xf>
    <xf numFmtId="0" fontId="37" fillId="7" borderId="0" xfId="0" applyFont="1" applyFill="1" applyAlignment="1">
      <alignment horizontal="center" vertical="top" wrapText="1"/>
    </xf>
    <xf numFmtId="0" fontId="37" fillId="7" borderId="16" xfId="0" applyFont="1" applyFill="1" applyBorder="1" applyAlignment="1">
      <alignment horizontal="center" vertical="top" wrapText="1"/>
    </xf>
    <xf numFmtId="0" fontId="37" fillId="7" borderId="10" xfId="0" applyFont="1" applyFill="1" applyBorder="1" applyAlignment="1">
      <alignment horizontal="center" vertical="top" wrapText="1"/>
    </xf>
    <xf numFmtId="0" fontId="37" fillId="7" borderId="11" xfId="0" applyFont="1" applyFill="1" applyBorder="1" applyAlignment="1">
      <alignment horizontal="center" vertical="top" wrapText="1"/>
    </xf>
    <xf numFmtId="0" fontId="37" fillId="7" borderId="12" xfId="0" applyFont="1" applyFill="1" applyBorder="1" applyAlignment="1">
      <alignment horizontal="center" vertical="top" wrapText="1"/>
    </xf>
    <xf numFmtId="0" fontId="38" fillId="7" borderId="7" xfId="0" applyFont="1" applyFill="1" applyBorder="1" applyAlignment="1">
      <alignment horizontal="center" vertical="top" wrapText="1"/>
    </xf>
    <xf numFmtId="0" fontId="38" fillId="7" borderId="9" xfId="0" applyFont="1" applyFill="1" applyBorder="1" applyAlignment="1">
      <alignment horizontal="center" vertical="top" wrapText="1"/>
    </xf>
    <xf numFmtId="0" fontId="38" fillId="7" borderId="13" xfId="0" applyFont="1" applyFill="1" applyBorder="1" applyAlignment="1">
      <alignment horizontal="center" vertical="top" wrapText="1"/>
    </xf>
    <xf numFmtId="0" fontId="38" fillId="7" borderId="16" xfId="0" applyFont="1" applyFill="1" applyBorder="1" applyAlignment="1">
      <alignment horizontal="center" vertical="top" wrapText="1"/>
    </xf>
    <xf numFmtId="0" fontId="38" fillId="7" borderId="10" xfId="0" applyFont="1" applyFill="1" applyBorder="1" applyAlignment="1">
      <alignment horizontal="center" vertical="top" wrapText="1"/>
    </xf>
    <xf numFmtId="0" fontId="38" fillId="7" borderId="12" xfId="0" applyFont="1" applyFill="1" applyBorder="1" applyAlignment="1">
      <alignment horizontal="center" vertical="top" wrapText="1"/>
    </xf>
    <xf numFmtId="0" fontId="44" fillId="0" borderId="16" xfId="0" applyFont="1" applyBorder="1" applyAlignment="1">
      <alignment horizontal="center" vertical="center" wrapText="1"/>
    </xf>
    <xf numFmtId="0" fontId="37" fillId="7" borderId="3" xfId="0" applyFont="1" applyFill="1" applyBorder="1" applyAlignment="1">
      <alignment horizontal="center" vertical="top"/>
    </xf>
    <xf numFmtId="0" fontId="37" fillId="7" borderId="4" xfId="0" applyFont="1" applyFill="1" applyBorder="1" applyAlignment="1">
      <alignment horizontal="center" vertical="top"/>
    </xf>
    <xf numFmtId="0" fontId="56" fillId="0" borderId="7" xfId="0" quotePrefix="1" applyFont="1" applyBorder="1" applyAlignment="1">
      <alignment horizontal="left" vertical="center" wrapText="1"/>
    </xf>
    <xf numFmtId="0" fontId="38" fillId="0" borderId="8" xfId="0" quotePrefix="1" applyFont="1" applyBorder="1" applyAlignment="1">
      <alignment horizontal="left" vertical="center" wrapText="1"/>
    </xf>
    <xf numFmtId="0" fontId="38" fillId="0" borderId="9" xfId="0" quotePrefix="1" applyFont="1" applyBorder="1" applyAlignment="1">
      <alignment horizontal="left" vertical="center" wrapText="1"/>
    </xf>
    <xf numFmtId="0" fontId="38" fillId="0" borderId="13" xfId="0" quotePrefix="1" applyFont="1" applyBorder="1" applyAlignment="1">
      <alignment horizontal="left" vertical="center" wrapText="1"/>
    </xf>
    <xf numFmtId="0" fontId="38" fillId="0" borderId="0" xfId="0" quotePrefix="1" applyFont="1" applyAlignment="1">
      <alignment horizontal="left" vertical="center" wrapText="1"/>
    </xf>
    <xf numFmtId="0" fontId="38" fillId="0" borderId="16" xfId="0" quotePrefix="1" applyFont="1" applyBorder="1" applyAlignment="1">
      <alignment horizontal="left" vertical="center" wrapText="1"/>
    </xf>
    <xf numFmtId="0" fontId="38" fillId="0" borderId="10" xfId="0" quotePrefix="1" applyFont="1" applyBorder="1" applyAlignment="1">
      <alignment horizontal="left" vertical="center" wrapText="1"/>
    </xf>
    <xf numFmtId="0" fontId="38" fillId="0" borderId="11" xfId="0" quotePrefix="1" applyFont="1" applyBorder="1" applyAlignment="1">
      <alignment horizontal="left" vertical="center" wrapText="1"/>
    </xf>
    <xf numFmtId="0" fontId="38" fillId="0" borderId="12" xfId="0" quotePrefix="1" applyFont="1" applyBorder="1" applyAlignment="1">
      <alignment horizontal="left" vertical="center" wrapText="1"/>
    </xf>
    <xf numFmtId="169" fontId="40" fillId="0" borderId="1" xfId="0" applyNumberFormat="1" applyFont="1" applyBorder="1" applyAlignment="1">
      <alignment horizontal="center" vertical="center" wrapText="1"/>
    </xf>
    <xf numFmtId="0" fontId="38" fillId="7" borderId="7" xfId="0" applyFont="1" applyFill="1" applyBorder="1" applyAlignment="1">
      <alignment horizontal="center" vertical="center" wrapText="1"/>
    </xf>
    <xf numFmtId="0" fontId="38" fillId="7" borderId="8" xfId="0" applyFont="1" applyFill="1" applyBorder="1" applyAlignment="1">
      <alignment horizontal="center" vertical="center" wrapText="1"/>
    </xf>
    <xf numFmtId="0" fontId="38" fillId="7" borderId="9" xfId="0" applyFont="1" applyFill="1" applyBorder="1" applyAlignment="1">
      <alignment horizontal="center" vertical="center" wrapText="1"/>
    </xf>
    <xf numFmtId="0" fontId="38" fillId="7" borderId="13" xfId="0" applyFont="1" applyFill="1" applyBorder="1" applyAlignment="1">
      <alignment horizontal="center" vertical="center" wrapText="1"/>
    </xf>
    <xf numFmtId="0" fontId="38" fillId="7" borderId="0" xfId="0" applyFont="1" applyFill="1" applyAlignment="1">
      <alignment horizontal="center" vertical="center" wrapText="1"/>
    </xf>
    <xf numFmtId="0" fontId="38" fillId="7" borderId="16" xfId="0" applyFont="1" applyFill="1" applyBorder="1" applyAlignment="1">
      <alignment horizontal="center" vertical="center" wrapText="1"/>
    </xf>
    <xf numFmtId="0" fontId="38" fillId="7" borderId="10" xfId="0" applyFont="1" applyFill="1" applyBorder="1" applyAlignment="1">
      <alignment horizontal="center" vertical="center" wrapText="1"/>
    </xf>
    <xf numFmtId="0" fontId="38" fillId="7" borderId="11" xfId="0" applyFont="1" applyFill="1" applyBorder="1" applyAlignment="1">
      <alignment horizontal="center" vertical="center" wrapText="1"/>
    </xf>
    <xf numFmtId="0" fontId="38" fillId="7" borderId="12" xfId="0" applyFont="1" applyFill="1" applyBorder="1" applyAlignment="1">
      <alignment horizontal="center" vertical="center" wrapText="1"/>
    </xf>
    <xf numFmtId="0" fontId="62" fillId="8" borderId="7" xfId="0" applyFont="1" applyFill="1" applyBorder="1" applyAlignment="1">
      <alignment horizontal="center"/>
    </xf>
    <xf numFmtId="0" fontId="62" fillId="8" borderId="8" xfId="0" applyFont="1" applyFill="1" applyBorder="1" applyAlignment="1">
      <alignment horizontal="center"/>
    </xf>
    <xf numFmtId="0" fontId="62" fillId="8" borderId="9" xfId="0" applyFont="1" applyFill="1" applyBorder="1" applyAlignment="1">
      <alignment horizontal="center"/>
    </xf>
    <xf numFmtId="0" fontId="62" fillId="8" borderId="13" xfId="0" applyFont="1" applyFill="1" applyBorder="1" applyAlignment="1">
      <alignment horizontal="center"/>
    </xf>
    <xf numFmtId="0" fontId="62" fillId="8" borderId="0" xfId="0" applyFont="1" applyFill="1" applyAlignment="1">
      <alignment horizontal="center"/>
    </xf>
    <xf numFmtId="0" fontId="62" fillId="8" borderId="16" xfId="0" applyFont="1" applyFill="1" applyBorder="1" applyAlignment="1">
      <alignment horizontal="center"/>
    </xf>
    <xf numFmtId="0" fontId="62" fillId="8" borderId="10" xfId="0" applyFont="1" applyFill="1" applyBorder="1" applyAlignment="1">
      <alignment horizontal="center"/>
    </xf>
    <xf numFmtId="0" fontId="62" fillId="8" borderId="11" xfId="0" applyFont="1" applyFill="1" applyBorder="1" applyAlignment="1">
      <alignment horizontal="center"/>
    </xf>
    <xf numFmtId="0" fontId="62" fillId="8" borderId="12" xfId="0" applyFont="1" applyFill="1" applyBorder="1" applyAlignment="1">
      <alignment horizontal="center"/>
    </xf>
    <xf numFmtId="0" fontId="49" fillId="0" borderId="2" xfId="0" applyFont="1" applyBorder="1" applyAlignment="1">
      <alignment horizontal="center" vertical="center"/>
    </xf>
    <xf numFmtId="0" fontId="50" fillId="0" borderId="3" xfId="0" applyFont="1" applyBorder="1" applyAlignment="1">
      <alignment horizontal="center" vertical="center"/>
    </xf>
    <xf numFmtId="0" fontId="50" fillId="0" borderId="4" xfId="0" applyFont="1" applyBorder="1" applyAlignment="1">
      <alignment horizontal="center" vertical="center"/>
    </xf>
    <xf numFmtId="0" fontId="50" fillId="0" borderId="3" xfId="0" applyFont="1" applyBorder="1" applyAlignment="1">
      <alignment horizontal="left" vertical="center" wrapText="1"/>
    </xf>
    <xf numFmtId="0" fontId="50" fillId="0" borderId="2" xfId="0" applyFont="1" applyBorder="1" applyAlignment="1">
      <alignment horizontal="left" vertical="center" wrapText="1"/>
    </xf>
    <xf numFmtId="0" fontId="50" fillId="0" borderId="4" xfId="0" applyFont="1" applyBorder="1" applyAlignment="1">
      <alignment horizontal="left" vertical="center" wrapText="1"/>
    </xf>
    <xf numFmtId="0" fontId="37" fillId="7" borderId="1" xfId="0" applyFont="1" applyFill="1" applyBorder="1" applyAlignment="1">
      <alignment horizontal="center" vertical="top" wrapText="1"/>
    </xf>
    <xf numFmtId="0" fontId="40" fillId="0" borderId="1" xfId="0" applyFont="1" applyBorder="1" applyAlignment="1">
      <alignment horizontal="left" vertical="center" wrapText="1"/>
    </xf>
    <xf numFmtId="0" fontId="50" fillId="0" borderId="6" xfId="0" applyFont="1" applyBorder="1" applyAlignment="1">
      <alignment horizontal="left" vertical="center" wrapText="1"/>
    </xf>
    <xf numFmtId="169" fontId="50" fillId="0" borderId="6" xfId="0" applyNumberFormat="1" applyFont="1" applyBorder="1" applyAlignment="1">
      <alignment horizontal="center" vertical="center" wrapText="1"/>
    </xf>
    <xf numFmtId="0" fontId="47" fillId="8" borderId="3" xfId="0" quotePrefix="1" applyFont="1" applyFill="1" applyBorder="1" applyAlignment="1">
      <alignment horizontal="center" vertical="center" wrapText="1"/>
    </xf>
    <xf numFmtId="0" fontId="47" fillId="8" borderId="2" xfId="0" applyFont="1" applyFill="1" applyBorder="1" applyAlignment="1">
      <alignment horizontal="center" vertical="center" wrapText="1"/>
    </xf>
    <xf numFmtId="0" fontId="47" fillId="8" borderId="4" xfId="0" applyFont="1" applyFill="1" applyBorder="1" applyAlignment="1">
      <alignment horizontal="center" vertical="center" wrapText="1"/>
    </xf>
    <xf numFmtId="0" fontId="45" fillId="7" borderId="5" xfId="0" applyFont="1" applyFill="1" applyBorder="1" applyAlignment="1">
      <alignment horizontal="center" vertical="top" wrapText="1"/>
    </xf>
    <xf numFmtId="0" fontId="45" fillId="7" borderId="23" xfId="0" applyFont="1" applyFill="1" applyBorder="1" applyAlignment="1">
      <alignment horizontal="center" vertical="top" wrapText="1"/>
    </xf>
    <xf numFmtId="0" fontId="45" fillId="7" borderId="6" xfId="0" applyFont="1" applyFill="1" applyBorder="1" applyAlignment="1">
      <alignment horizontal="center" vertical="top" wrapText="1"/>
    </xf>
    <xf numFmtId="0" fontId="38" fillId="7" borderId="7" xfId="0" applyFont="1" applyFill="1" applyBorder="1" applyAlignment="1">
      <alignment horizontal="center" vertical="top"/>
    </xf>
    <xf numFmtId="0" fontId="38" fillId="7" borderId="9" xfId="0" applyFont="1" applyFill="1" applyBorder="1" applyAlignment="1">
      <alignment horizontal="center" vertical="top"/>
    </xf>
    <xf numFmtId="0" fontId="38" fillId="7" borderId="13" xfId="0" applyFont="1" applyFill="1" applyBorder="1" applyAlignment="1">
      <alignment horizontal="center" vertical="top"/>
    </xf>
    <xf numFmtId="0" fontId="38" fillId="7" borderId="16" xfId="0" applyFont="1" applyFill="1" applyBorder="1" applyAlignment="1">
      <alignment horizontal="center" vertical="top"/>
    </xf>
    <xf numFmtId="0" fontId="38" fillId="7" borderId="10" xfId="0" applyFont="1" applyFill="1" applyBorder="1" applyAlignment="1">
      <alignment horizontal="center" vertical="top"/>
    </xf>
    <xf numFmtId="0" fontId="38" fillId="7" borderId="12" xfId="0" applyFont="1" applyFill="1" applyBorder="1" applyAlignment="1">
      <alignment horizontal="center" vertical="top"/>
    </xf>
    <xf numFmtId="0" fontId="38" fillId="7" borderId="5" xfId="0" applyFont="1" applyFill="1" applyBorder="1" applyAlignment="1">
      <alignment horizontal="center" vertical="top"/>
    </xf>
    <xf numFmtId="0" fontId="38" fillId="7" borderId="23" xfId="0" applyFont="1" applyFill="1" applyBorder="1" applyAlignment="1">
      <alignment horizontal="center" vertical="top"/>
    </xf>
    <xf numFmtId="0" fontId="38" fillId="7" borderId="6" xfId="0" applyFont="1" applyFill="1" applyBorder="1" applyAlignment="1">
      <alignment horizontal="center" vertical="top"/>
    </xf>
    <xf numFmtId="0" fontId="2" fillId="0" borderId="3" xfId="3" applyFont="1" applyBorder="1" applyAlignment="1">
      <alignment horizontal="center" vertical="center"/>
    </xf>
    <xf numFmtId="0" fontId="2" fillId="0" borderId="2" xfId="3" applyFont="1" applyBorder="1" applyAlignment="1">
      <alignment horizontal="center" vertical="center"/>
    </xf>
    <xf numFmtId="0" fontId="2" fillId="0" borderId="4" xfId="3" applyFont="1" applyBorder="1" applyAlignment="1">
      <alignment horizontal="center" vertical="center"/>
    </xf>
    <xf numFmtId="0" fontId="0" fillId="0" borderId="16"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left" vertical="top"/>
    </xf>
    <xf numFmtId="0" fontId="0" fillId="0" borderId="16" xfId="0" applyBorder="1" applyAlignment="1">
      <alignment horizontal="left" vertical="top"/>
    </xf>
    <xf numFmtId="0" fontId="0" fillId="0" borderId="13" xfId="0" applyBorder="1" applyAlignment="1">
      <alignment horizontal="left" vertical="top"/>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1" fillId="0" borderId="10" xfId="3" applyBorder="1" applyAlignment="1">
      <alignment horizontal="center" vertical="center"/>
    </xf>
    <xf numFmtId="0" fontId="1" fillId="0" borderId="11" xfId="3" applyBorder="1" applyAlignment="1">
      <alignment horizontal="center" vertical="center"/>
    </xf>
    <xf numFmtId="0" fontId="1" fillId="0" borderId="12" xfId="3" applyBorder="1" applyAlignment="1">
      <alignment horizontal="center" vertical="center"/>
    </xf>
    <xf numFmtId="0" fontId="1" fillId="0" borderId="3" xfId="3" applyBorder="1" applyAlignment="1">
      <alignment horizontal="center" vertical="center"/>
    </xf>
    <xf numFmtId="0" fontId="1" fillId="0" borderId="2" xfId="3" applyBorder="1" applyAlignment="1">
      <alignment horizontal="center" vertical="center"/>
    </xf>
    <xf numFmtId="0" fontId="1" fillId="0" borderId="4" xfId="3" applyBorder="1" applyAlignment="1">
      <alignment horizontal="center" vertical="center"/>
    </xf>
    <xf numFmtId="170" fontId="0" fillId="0" borderId="38" xfId="0" applyNumberFormat="1" applyBorder="1" applyAlignment="1">
      <alignment horizontal="center" vertical="center"/>
    </xf>
    <xf numFmtId="170" fontId="0" fillId="0" borderId="45" xfId="0" applyNumberFormat="1" applyBorder="1" applyAlignment="1">
      <alignment horizontal="center" vertical="center"/>
    </xf>
    <xf numFmtId="170" fontId="0" fillId="0" borderId="39" xfId="0" applyNumberFormat="1" applyBorder="1" applyAlignment="1">
      <alignment horizontal="center" vertical="center"/>
    </xf>
    <xf numFmtId="170" fontId="0" fillId="0" borderId="3" xfId="0" applyNumberFormat="1" applyBorder="1" applyAlignment="1">
      <alignment horizontal="center" vertical="center"/>
    </xf>
    <xf numFmtId="170" fontId="0" fillId="0" borderId="2" xfId="0" applyNumberFormat="1" applyBorder="1" applyAlignment="1">
      <alignment horizontal="center" vertical="center"/>
    </xf>
    <xf numFmtId="170" fontId="0" fillId="0" borderId="4" xfId="0" applyNumberFormat="1" applyBorder="1" applyAlignment="1">
      <alignment horizontal="center" vertical="center"/>
    </xf>
    <xf numFmtId="169" fontId="48" fillId="0" borderId="7" xfId="0" applyNumberFormat="1" applyFont="1" applyBorder="1" applyAlignment="1">
      <alignment horizontal="center" vertical="center" wrapText="1"/>
    </xf>
    <xf numFmtId="169" fontId="48" fillId="0" borderId="9" xfId="0" applyNumberFormat="1" applyFont="1" applyBorder="1" applyAlignment="1">
      <alignment horizontal="center" vertical="center" wrapText="1"/>
    </xf>
    <xf numFmtId="166" fontId="59" fillId="7" borderId="13" xfId="0" applyNumberFormat="1" applyFont="1" applyFill="1" applyBorder="1" applyAlignment="1">
      <alignment horizontal="center" vertical="top" wrapText="1"/>
    </xf>
    <xf numFmtId="166" fontId="59" fillId="7" borderId="16" xfId="0" applyNumberFormat="1" applyFont="1" applyFill="1" applyBorder="1" applyAlignment="1">
      <alignment horizontal="center" vertical="top" wrapText="1"/>
    </xf>
    <xf numFmtId="0" fontId="59" fillId="7" borderId="10" xfId="0" applyFont="1" applyFill="1" applyBorder="1" applyAlignment="1">
      <alignment horizontal="center" vertical="top" wrapText="1"/>
    </xf>
    <xf numFmtId="0" fontId="59" fillId="7" borderId="12" xfId="0" applyFont="1" applyFill="1" applyBorder="1" applyAlignment="1">
      <alignment horizontal="center" vertical="top" wrapText="1"/>
    </xf>
    <xf numFmtId="169" fontId="48" fillId="0" borderId="21" xfId="0" applyNumberFormat="1" applyFont="1" applyBorder="1" applyAlignment="1">
      <alignment horizontal="center" vertical="center" wrapText="1"/>
    </xf>
    <xf numFmtId="169" fontId="48" fillId="0" borderId="22" xfId="0" applyNumberFormat="1" applyFont="1" applyBorder="1" applyAlignment="1">
      <alignment horizontal="center" vertical="center" wrapText="1"/>
    </xf>
    <xf numFmtId="169" fontId="48" fillId="0" borderId="3" xfId="0" applyNumberFormat="1" applyFont="1" applyBorder="1" applyAlignment="1">
      <alignment horizontal="center" vertical="center" wrapText="1"/>
    </xf>
    <xf numFmtId="169" fontId="48" fillId="0" borderId="4" xfId="0" applyNumberFormat="1" applyFont="1" applyBorder="1" applyAlignment="1">
      <alignment horizontal="center" vertical="center" wrapText="1"/>
    </xf>
    <xf numFmtId="0" fontId="51" fillId="0" borderId="13" xfId="0" applyFont="1" applyBorder="1" applyAlignment="1">
      <alignment horizontal="left" vertical="top"/>
    </xf>
    <xf numFmtId="0" fontId="51" fillId="0" borderId="0" xfId="0" applyFont="1" applyAlignment="1">
      <alignment horizontal="left" vertical="top"/>
    </xf>
    <xf numFmtId="0" fontId="51" fillId="0" borderId="16" xfId="0" applyFont="1" applyBorder="1" applyAlignment="1">
      <alignment horizontal="left" vertical="top"/>
    </xf>
    <xf numFmtId="0" fontId="51" fillId="0" borderId="10" xfId="0" applyFont="1" applyBorder="1" applyAlignment="1">
      <alignment horizontal="left" vertical="top"/>
    </xf>
    <xf numFmtId="0" fontId="51" fillId="0" borderId="11" xfId="0" applyFont="1" applyBorder="1" applyAlignment="1">
      <alignment horizontal="left" vertical="top"/>
    </xf>
    <xf numFmtId="0" fontId="51" fillId="0" borderId="12" xfId="0" applyFont="1" applyBorder="1" applyAlignment="1">
      <alignment horizontal="left" vertical="top"/>
    </xf>
    <xf numFmtId="0" fontId="37" fillId="7" borderId="2" xfId="0" applyFont="1" applyFill="1" applyBorder="1" applyAlignment="1">
      <alignment horizontal="center" vertical="top"/>
    </xf>
    <xf numFmtId="0" fontId="37" fillId="7" borderId="3" xfId="0" applyFont="1" applyFill="1" applyBorder="1" applyAlignment="1">
      <alignment horizontal="center" vertical="top" wrapText="1"/>
    </xf>
    <xf numFmtId="0" fontId="37" fillId="7" borderId="2" xfId="0" applyFont="1" applyFill="1" applyBorder="1" applyAlignment="1">
      <alignment horizontal="center" vertical="top" wrapText="1"/>
    </xf>
    <xf numFmtId="0" fontId="37" fillId="7" borderId="4" xfId="0" applyFont="1" applyFill="1" applyBorder="1" applyAlignment="1">
      <alignment horizontal="center" vertical="top" wrapText="1"/>
    </xf>
    <xf numFmtId="0" fontId="44" fillId="7" borderId="7" xfId="0" applyFont="1" applyFill="1" applyBorder="1" applyAlignment="1">
      <alignment horizontal="center" vertical="top" wrapText="1"/>
    </xf>
    <xf numFmtId="0" fontId="44" fillId="7" borderId="9" xfId="0" applyFont="1" applyFill="1" applyBorder="1" applyAlignment="1">
      <alignment horizontal="center" vertical="top" wrapText="1"/>
    </xf>
    <xf numFmtId="0" fontId="52" fillId="8" borderId="17" xfId="0" applyFont="1" applyFill="1" applyBorder="1" applyAlignment="1">
      <alignment horizontal="center" vertical="center" wrapText="1"/>
    </xf>
    <xf numFmtId="0" fontId="52" fillId="8" borderId="1" xfId="0" applyFont="1" applyFill="1" applyBorder="1" applyAlignment="1">
      <alignment horizontal="center" vertical="center" wrapText="1"/>
    </xf>
    <xf numFmtId="0" fontId="44" fillId="7" borderId="1" xfId="0" applyFont="1" applyFill="1" applyBorder="1" applyAlignment="1">
      <alignment horizontal="center" vertical="top" wrapText="1"/>
    </xf>
    <xf numFmtId="0" fontId="52" fillId="8" borderId="3" xfId="0" applyFont="1" applyFill="1" applyBorder="1" applyAlignment="1">
      <alignment horizontal="center" vertical="center" wrapText="1"/>
    </xf>
    <xf numFmtId="0" fontId="52" fillId="8" borderId="2" xfId="0" applyFont="1" applyFill="1" applyBorder="1" applyAlignment="1">
      <alignment horizontal="center" vertical="center" wrapText="1"/>
    </xf>
    <xf numFmtId="0" fontId="52" fillId="8" borderId="4" xfId="0" applyFont="1" applyFill="1" applyBorder="1" applyAlignment="1">
      <alignment horizontal="center" vertical="center" wrapText="1"/>
    </xf>
    <xf numFmtId="0" fontId="52" fillId="7" borderId="7" xfId="0" applyFont="1" applyFill="1" applyBorder="1" applyAlignment="1">
      <alignment horizontal="center" vertical="top" wrapText="1"/>
    </xf>
    <xf numFmtId="0" fontId="52" fillId="7" borderId="8" xfId="0" applyFont="1" applyFill="1" applyBorder="1" applyAlignment="1">
      <alignment horizontal="center" vertical="top" wrapText="1"/>
    </xf>
    <xf numFmtId="0" fontId="52" fillId="7" borderId="9" xfId="0" applyFont="1" applyFill="1" applyBorder="1" applyAlignment="1">
      <alignment horizontal="center" vertical="top" wrapText="1"/>
    </xf>
    <xf numFmtId="0" fontId="52" fillId="7" borderId="13" xfId="0" applyFont="1" applyFill="1" applyBorder="1" applyAlignment="1">
      <alignment horizontal="center" vertical="top" wrapText="1"/>
    </xf>
    <xf numFmtId="0" fontId="52" fillId="7" borderId="0" xfId="0" applyFont="1" applyFill="1" applyAlignment="1">
      <alignment horizontal="center" vertical="top" wrapText="1"/>
    </xf>
    <xf numFmtId="0" fontId="52" fillId="7" borderId="16" xfId="0" applyFont="1" applyFill="1" applyBorder="1" applyAlignment="1">
      <alignment horizontal="center" vertical="top" wrapText="1"/>
    </xf>
  </cellXfs>
  <cellStyles count="4">
    <cellStyle name="Comma" xfId="1" builtinId="3"/>
    <cellStyle name="Comma [0] 2" xfId="2" xr:uid="{00000000-0005-0000-0000-000001000000}"/>
    <cellStyle name="Normal" xfId="0" builtinId="0"/>
    <cellStyle name="Normal 2" xfId="3" xr:uid="{00000000-0005-0000-0000-000003000000}"/>
  </cellStyles>
  <dxfs count="0"/>
  <tableStyles count="0" defaultTableStyle="TableStyleMedium2" defaultPivotStyle="PivotStyleLight16"/>
  <colors>
    <mruColors>
      <color rgb="FFFFFFC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126999</xdr:colOff>
      <xdr:row>76</xdr:row>
      <xdr:rowOff>126999</xdr:rowOff>
    </xdr:from>
    <xdr:to>
      <xdr:col>6</xdr:col>
      <xdr:colOff>952500</xdr:colOff>
      <xdr:row>81</xdr:row>
      <xdr:rowOff>52916</xdr:rowOff>
    </xdr:to>
    <xdr:pic>
      <xdr:nvPicPr>
        <xdr:cNvPr id="4" name="Picture 3">
          <a:extLst>
            <a:ext uri="{FF2B5EF4-FFF2-40B4-BE49-F238E27FC236}">
              <a16:creationId xmlns:a16="http://schemas.microsoft.com/office/drawing/2014/main" id="{BF211578-70B0-4DBA-91C2-6199511930A9}"/>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005666" y="16795749"/>
          <a:ext cx="825501" cy="878417"/>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102099</xdr:colOff>
      <xdr:row>76</xdr:row>
      <xdr:rowOff>135717</xdr:rowOff>
    </xdr:from>
    <xdr:ext cx="825501" cy="878417"/>
    <xdr:pic>
      <xdr:nvPicPr>
        <xdr:cNvPr id="2" name="Picture 1">
          <a:extLst>
            <a:ext uri="{FF2B5EF4-FFF2-40B4-BE49-F238E27FC236}">
              <a16:creationId xmlns:a16="http://schemas.microsoft.com/office/drawing/2014/main" id="{09289EA7-1319-42DA-BE32-596C3B3A134B}"/>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923305" y="17426393"/>
          <a:ext cx="825501" cy="878417"/>
        </a:xfrm>
        <a:prstGeom prst="rect">
          <a:avLst/>
        </a:prstGeom>
        <a:noFill/>
        <a:ln w="9525">
          <a:noFill/>
          <a:miter lim="800000"/>
          <a:headEnd/>
          <a:tailEnd/>
        </a:ln>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6</xdr:col>
      <xdr:colOff>109803</xdr:colOff>
      <xdr:row>53</xdr:row>
      <xdr:rowOff>14552</xdr:rowOff>
    </xdr:from>
    <xdr:to>
      <xdr:col>7</xdr:col>
      <xdr:colOff>234157</xdr:colOff>
      <xdr:row>56</xdr:row>
      <xdr:rowOff>142875</xdr:rowOff>
    </xdr:to>
    <xdr:pic>
      <xdr:nvPicPr>
        <xdr:cNvPr id="2" name="Picture 1">
          <a:extLst>
            <a:ext uri="{FF2B5EF4-FFF2-40B4-BE49-F238E27FC236}">
              <a16:creationId xmlns:a16="http://schemas.microsoft.com/office/drawing/2014/main" id="{6621655B-6A2B-4D34-B6D9-E33DE1F3C7C2}"/>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3276866" y="16945240"/>
          <a:ext cx="826823" cy="878417"/>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FF00"/>
    <pageSetUpPr fitToPage="1"/>
  </sheetPr>
  <dimension ref="B1:Z88"/>
  <sheetViews>
    <sheetView showGridLines="0" topLeftCell="B52" zoomScale="90" zoomScaleNormal="90" workbookViewId="0">
      <selection activeCell="S58" sqref="S58"/>
    </sheetView>
  </sheetViews>
  <sheetFormatPr defaultRowHeight="15" x14ac:dyDescent="0.25"/>
  <cols>
    <col min="1" max="1" width="1.7109375" style="1" customWidth="1"/>
    <col min="2" max="2" width="8.7109375" style="1" customWidth="1"/>
    <col min="3" max="3" width="18.7109375" style="2" customWidth="1"/>
    <col min="4" max="4" width="3.7109375" style="2" customWidth="1"/>
    <col min="5" max="5" width="2.7109375" style="2" customWidth="1"/>
    <col min="6" max="6" width="18.7109375" style="2" customWidth="1"/>
    <col min="7" max="7" width="15.7109375" style="1" customWidth="1"/>
    <col min="8" max="8" width="12.7109375" style="1" customWidth="1"/>
    <col min="9" max="9" width="15.7109375" style="1" customWidth="1"/>
    <col min="10" max="17" width="8.7109375" style="1" customWidth="1"/>
    <col min="18" max="21" width="9.7109375" style="1" customWidth="1"/>
    <col min="22" max="22" width="1.7109375" style="1" customWidth="1"/>
    <col min="23" max="26" width="15.7109375" style="1" customWidth="1"/>
    <col min="27" max="16384" width="9.140625" style="1"/>
  </cols>
  <sheetData>
    <row r="1" spans="2:26" x14ac:dyDescent="0.25">
      <c r="U1" s="14" t="s">
        <v>119</v>
      </c>
    </row>
    <row r="2" spans="2:26" ht="15" customHeight="1" x14ac:dyDescent="0.25">
      <c r="B2" s="73" t="s">
        <v>0</v>
      </c>
      <c r="C2" s="18"/>
      <c r="D2" s="18"/>
      <c r="E2" s="18"/>
      <c r="F2" s="18"/>
      <c r="G2" s="74"/>
      <c r="H2" s="75" t="s">
        <v>62</v>
      </c>
      <c r="I2" s="64" t="s">
        <v>63</v>
      </c>
      <c r="J2" s="65" t="s">
        <v>157</v>
      </c>
      <c r="K2" s="65"/>
      <c r="L2" s="65"/>
      <c r="M2" s="66"/>
      <c r="N2" s="478" t="s">
        <v>68</v>
      </c>
      <c r="O2" s="479"/>
      <c r="P2" s="478" t="s">
        <v>67</v>
      </c>
      <c r="Q2" s="479"/>
      <c r="R2" s="478" t="s">
        <v>55</v>
      </c>
      <c r="S2" s="479"/>
      <c r="T2" s="478" t="s">
        <v>54</v>
      </c>
      <c r="U2" s="479"/>
    </row>
    <row r="3" spans="2:26" ht="15" customHeight="1" x14ac:dyDescent="0.25">
      <c r="B3" s="495" t="s">
        <v>59</v>
      </c>
      <c r="C3" s="496"/>
      <c r="D3" s="496"/>
      <c r="E3" s="496"/>
      <c r="F3" s="496"/>
      <c r="G3" s="496"/>
      <c r="H3" s="497"/>
      <c r="I3" s="67" t="s">
        <v>64</v>
      </c>
      <c r="J3" s="68" t="s">
        <v>70</v>
      </c>
      <c r="K3" s="68"/>
      <c r="L3" s="68"/>
      <c r="M3" s="69"/>
      <c r="N3" s="486" t="s">
        <v>161</v>
      </c>
      <c r="O3" s="487"/>
      <c r="P3" s="487"/>
      <c r="Q3" s="487"/>
      <c r="R3" s="487"/>
      <c r="S3" s="487"/>
      <c r="T3" s="487"/>
      <c r="U3" s="488"/>
    </row>
    <row r="4" spans="2:26" ht="15" customHeight="1" x14ac:dyDescent="0.25">
      <c r="B4" s="498"/>
      <c r="C4" s="499"/>
      <c r="D4" s="499"/>
      <c r="E4" s="499"/>
      <c r="F4" s="499"/>
      <c r="G4" s="499"/>
      <c r="H4" s="500"/>
      <c r="I4" s="67" t="s">
        <v>5</v>
      </c>
      <c r="J4" s="68" t="s">
        <v>71</v>
      </c>
      <c r="K4" s="68"/>
      <c r="L4" s="68"/>
      <c r="M4" s="69"/>
      <c r="N4" s="489"/>
      <c r="O4" s="490"/>
      <c r="P4" s="490"/>
      <c r="Q4" s="490"/>
      <c r="R4" s="490"/>
      <c r="S4" s="490"/>
      <c r="T4" s="490"/>
      <c r="U4" s="491"/>
    </row>
    <row r="5" spans="2:26" ht="15" customHeight="1" x14ac:dyDescent="0.25">
      <c r="B5" s="498"/>
      <c r="C5" s="499"/>
      <c r="D5" s="499"/>
      <c r="E5" s="499"/>
      <c r="F5" s="499"/>
      <c r="G5" s="499"/>
      <c r="H5" s="500"/>
      <c r="I5" s="67" t="s">
        <v>65</v>
      </c>
      <c r="J5" s="68" t="s">
        <v>72</v>
      </c>
      <c r="K5" s="68"/>
      <c r="L5" s="68"/>
      <c r="M5" s="69"/>
      <c r="N5" s="492"/>
      <c r="O5" s="493"/>
      <c r="P5" s="493"/>
      <c r="Q5" s="493"/>
      <c r="R5" s="493"/>
      <c r="S5" s="493"/>
      <c r="T5" s="493"/>
      <c r="U5" s="494"/>
    </row>
    <row r="6" spans="2:26" ht="15" customHeight="1" x14ac:dyDescent="0.25">
      <c r="B6" s="501"/>
      <c r="C6" s="502"/>
      <c r="D6" s="502"/>
      <c r="E6" s="502"/>
      <c r="F6" s="502"/>
      <c r="G6" s="502"/>
      <c r="H6" s="503"/>
      <c r="I6" s="70" t="s">
        <v>66</v>
      </c>
      <c r="J6" s="71" t="s">
        <v>175</v>
      </c>
      <c r="K6" s="71"/>
      <c r="L6" s="71"/>
      <c r="M6" s="72"/>
      <c r="N6" s="478" t="s">
        <v>69</v>
      </c>
      <c r="O6" s="479"/>
      <c r="P6" s="478" t="s">
        <v>58</v>
      </c>
      <c r="Q6" s="479"/>
      <c r="R6" s="478" t="s">
        <v>57</v>
      </c>
      <c r="S6" s="479"/>
      <c r="T6" s="478" t="s">
        <v>56</v>
      </c>
      <c r="U6" s="479"/>
    </row>
    <row r="7" spans="2:26" ht="15" customHeight="1" x14ac:dyDescent="0.25">
      <c r="B7" s="47"/>
      <c r="U7" s="19"/>
    </row>
    <row r="8" spans="2:26" s="5" customFormat="1" ht="21.95" customHeight="1" x14ac:dyDescent="0.25">
      <c r="B8" s="48" t="s">
        <v>8</v>
      </c>
      <c r="C8" s="40"/>
      <c r="D8" s="40"/>
      <c r="E8" s="40"/>
      <c r="F8" s="40"/>
      <c r="G8" s="42" t="s">
        <v>230</v>
      </c>
      <c r="H8" s="6"/>
      <c r="I8" s="6"/>
      <c r="J8" s="6"/>
      <c r="U8" s="21"/>
    </row>
    <row r="9" spans="2:26" s="5" customFormat="1" ht="30.75" customHeight="1" x14ac:dyDescent="0.25">
      <c r="B9" s="49" t="s">
        <v>9</v>
      </c>
      <c r="C9" s="41"/>
      <c r="D9" s="41"/>
      <c r="E9" s="41"/>
      <c r="F9" s="41"/>
      <c r="G9" s="477" t="s">
        <v>233</v>
      </c>
      <c r="H9" s="477"/>
      <c r="I9" s="477"/>
      <c r="J9" s="477"/>
      <c r="U9" s="21"/>
    </row>
    <row r="10" spans="2:26" s="5" customFormat="1" ht="15" customHeight="1" x14ac:dyDescent="0.25">
      <c r="B10" s="20"/>
      <c r="C10" s="26"/>
      <c r="D10" s="26"/>
      <c r="E10" s="26"/>
      <c r="F10" s="26"/>
      <c r="G10" s="12"/>
      <c r="U10" s="21"/>
    </row>
    <row r="11" spans="2:26" ht="24.95" customHeight="1" x14ac:dyDescent="0.25">
      <c r="B11" s="50" t="s">
        <v>73</v>
      </c>
      <c r="U11" s="19"/>
    </row>
    <row r="12" spans="2:26" s="7" customFormat="1" ht="24.95" customHeight="1" x14ac:dyDescent="0.25">
      <c r="B12" s="39" t="s">
        <v>1</v>
      </c>
      <c r="C12" s="473" t="s">
        <v>5</v>
      </c>
      <c r="D12" s="508"/>
      <c r="E12" s="508"/>
      <c r="F12" s="474"/>
      <c r="G12" s="454" t="s">
        <v>4</v>
      </c>
      <c r="H12" s="457"/>
      <c r="I12" s="454" t="s">
        <v>61</v>
      </c>
      <c r="J12" s="455"/>
      <c r="K12" s="454" t="s">
        <v>2</v>
      </c>
      <c r="L12" s="457"/>
      <c r="M12" s="460" t="s">
        <v>3</v>
      </c>
      <c r="N12" s="460"/>
      <c r="O12" s="460"/>
      <c r="P12" s="460"/>
      <c r="Q12" s="460"/>
      <c r="R12" s="16"/>
      <c r="S12" s="16"/>
      <c r="T12" s="16"/>
      <c r="U12" s="22"/>
      <c r="V12" s="16"/>
      <c r="W12" s="16"/>
      <c r="X12" s="16"/>
      <c r="Y12" s="466"/>
      <c r="Z12" s="466"/>
    </row>
    <row r="13" spans="2:26" ht="24.95" customHeight="1" x14ac:dyDescent="0.25">
      <c r="B13" s="15">
        <v>1</v>
      </c>
      <c r="C13" s="159">
        <v>45498</v>
      </c>
      <c r="D13" s="361" t="s">
        <v>6</v>
      </c>
      <c r="E13" s="361"/>
      <c r="F13" s="160">
        <v>45499</v>
      </c>
      <c r="G13" s="362" t="s">
        <v>234</v>
      </c>
      <c r="H13" s="363"/>
      <c r="I13" s="362" t="s">
        <v>236</v>
      </c>
      <c r="J13" s="363"/>
      <c r="K13" s="364">
        <v>703</v>
      </c>
      <c r="L13" s="363"/>
      <c r="M13" s="161" t="s">
        <v>235</v>
      </c>
      <c r="N13" s="162"/>
      <c r="O13" s="162"/>
      <c r="P13" s="162"/>
      <c r="Q13" s="163"/>
      <c r="U13" s="19"/>
    </row>
    <row r="14" spans="2:26" ht="24.95" customHeight="1" x14ac:dyDescent="0.25">
      <c r="B14" s="15">
        <v>2</v>
      </c>
      <c r="C14" s="159">
        <v>45498</v>
      </c>
      <c r="D14" s="361" t="s">
        <v>6</v>
      </c>
      <c r="E14" s="361"/>
      <c r="F14" s="160">
        <v>45499</v>
      </c>
      <c r="G14" s="362" t="s">
        <v>234</v>
      </c>
      <c r="H14" s="363"/>
      <c r="I14" s="362" t="s">
        <v>194</v>
      </c>
      <c r="J14" s="363"/>
      <c r="K14" s="364">
        <v>13636</v>
      </c>
      <c r="L14" s="363"/>
      <c r="M14" s="161" t="s">
        <v>237</v>
      </c>
      <c r="N14" s="162"/>
      <c r="O14" s="162"/>
      <c r="P14" s="162"/>
      <c r="Q14" s="163"/>
      <c r="U14" s="19"/>
    </row>
    <row r="15" spans="2:26" ht="24.95" customHeight="1" x14ac:dyDescent="0.25">
      <c r="B15" s="15">
        <v>3</v>
      </c>
      <c r="C15" s="325"/>
      <c r="D15" s="361" t="s">
        <v>6</v>
      </c>
      <c r="E15" s="361"/>
      <c r="F15" s="326"/>
      <c r="G15" s="362"/>
      <c r="H15" s="363"/>
      <c r="I15" s="362"/>
      <c r="J15" s="363"/>
      <c r="K15" s="364"/>
      <c r="L15" s="363"/>
      <c r="M15" s="161"/>
      <c r="N15" s="162"/>
      <c r="O15" s="162"/>
      <c r="P15" s="162"/>
      <c r="Q15" s="163"/>
      <c r="U15" s="19"/>
    </row>
    <row r="16" spans="2:26" ht="15" customHeight="1" x14ac:dyDescent="0.25">
      <c r="B16" s="10"/>
      <c r="U16" s="19"/>
    </row>
    <row r="17" spans="2:23" ht="20.100000000000001" customHeight="1" x14ac:dyDescent="0.25">
      <c r="B17" s="50" t="s">
        <v>107</v>
      </c>
      <c r="U17" s="19"/>
    </row>
    <row r="18" spans="2:23" ht="20.100000000000001" customHeight="1" x14ac:dyDescent="0.25">
      <c r="B18" s="51" t="s">
        <v>77</v>
      </c>
      <c r="K18" s="23" t="s">
        <v>78</v>
      </c>
      <c r="L18" s="23"/>
      <c r="U18" s="19"/>
    </row>
    <row r="19" spans="2:23" s="3" customFormat="1" ht="20.100000000000001" customHeight="1" thickBot="1" x14ac:dyDescent="0.3">
      <c r="B19" s="352" t="s">
        <v>1</v>
      </c>
      <c r="C19" s="504" t="s">
        <v>5</v>
      </c>
      <c r="D19" s="505"/>
      <c r="E19" s="454" t="s">
        <v>153</v>
      </c>
      <c r="F19" s="455"/>
      <c r="G19" s="457"/>
      <c r="H19" s="454" t="s">
        <v>60</v>
      </c>
      <c r="I19" s="457"/>
      <c r="J19" s="5"/>
      <c r="K19" s="359" t="s">
        <v>1</v>
      </c>
      <c r="L19" s="375" t="s">
        <v>5</v>
      </c>
      <c r="M19" s="377"/>
      <c r="N19" s="480" t="s">
        <v>13</v>
      </c>
      <c r="O19" s="481"/>
      <c r="P19" s="481"/>
      <c r="Q19" s="482"/>
      <c r="R19" s="480" t="s">
        <v>60</v>
      </c>
      <c r="S19" s="481"/>
      <c r="T19" s="481"/>
      <c r="U19" s="482"/>
      <c r="V19" s="8"/>
      <c r="W19" s="8"/>
    </row>
    <row r="20" spans="2:23" s="3" customFormat="1" ht="20.100000000000001" customHeight="1" thickTop="1" x14ac:dyDescent="0.25">
      <c r="B20" s="472"/>
      <c r="C20" s="506"/>
      <c r="D20" s="507"/>
      <c r="E20" s="473" t="s">
        <v>35</v>
      </c>
      <c r="F20" s="474"/>
      <c r="G20" s="337" t="s">
        <v>36</v>
      </c>
      <c r="H20" s="338" t="s">
        <v>35</v>
      </c>
      <c r="I20" s="339" t="s">
        <v>36</v>
      </c>
      <c r="J20" s="5"/>
      <c r="K20" s="485"/>
      <c r="L20" s="483"/>
      <c r="M20" s="484"/>
      <c r="N20" s="375" t="s">
        <v>35</v>
      </c>
      <c r="O20" s="377"/>
      <c r="P20" s="375" t="s">
        <v>36</v>
      </c>
      <c r="Q20" s="377"/>
      <c r="R20" s="375" t="s">
        <v>35</v>
      </c>
      <c r="S20" s="377"/>
      <c r="T20" s="375" t="s">
        <v>36</v>
      </c>
      <c r="U20" s="377"/>
      <c r="V20" s="8"/>
      <c r="W20" s="8"/>
    </row>
    <row r="21" spans="2:23" ht="24.95" customHeight="1" x14ac:dyDescent="0.25">
      <c r="B21" s="15">
        <v>1</v>
      </c>
      <c r="C21" s="467"/>
      <c r="D21" s="467"/>
      <c r="E21" s="452"/>
      <c r="F21" s="452"/>
      <c r="G21" s="340"/>
      <c r="H21" s="340"/>
      <c r="I21" s="15"/>
      <c r="J21" s="12"/>
      <c r="K21" s="15">
        <v>1</v>
      </c>
      <c r="L21" s="456"/>
      <c r="M21" s="456"/>
      <c r="N21" s="453"/>
      <c r="O21" s="452"/>
      <c r="P21" s="453"/>
      <c r="Q21" s="453"/>
      <c r="R21" s="453"/>
      <c r="S21" s="453"/>
      <c r="T21" s="453"/>
      <c r="U21" s="453"/>
      <c r="V21" s="8"/>
      <c r="W21" s="8"/>
    </row>
    <row r="22" spans="2:23" ht="24.95" customHeight="1" x14ac:dyDescent="0.25">
      <c r="B22" s="15">
        <v>2</v>
      </c>
      <c r="C22" s="467"/>
      <c r="D22" s="467"/>
      <c r="E22" s="452"/>
      <c r="F22" s="452"/>
      <c r="G22" s="340"/>
      <c r="H22" s="340"/>
      <c r="I22" s="340"/>
      <c r="J22" s="12"/>
      <c r="K22" s="15">
        <v>2</v>
      </c>
      <c r="L22" s="456"/>
      <c r="M22" s="456"/>
      <c r="N22" s="453"/>
      <c r="O22" s="453"/>
      <c r="P22" s="452"/>
      <c r="Q22" s="452"/>
      <c r="R22" s="452"/>
      <c r="S22" s="452"/>
      <c r="T22" s="452"/>
      <c r="U22" s="452"/>
    </row>
    <row r="23" spans="2:23" ht="15" customHeight="1" x14ac:dyDescent="0.25">
      <c r="B23" s="10"/>
      <c r="U23" s="19"/>
    </row>
    <row r="24" spans="2:23" ht="20.100000000000001" customHeight="1" x14ac:dyDescent="0.25">
      <c r="B24" s="20" t="s">
        <v>79</v>
      </c>
      <c r="C24" s="13"/>
      <c r="D24" s="13"/>
      <c r="E24" s="13"/>
      <c r="F24" s="13"/>
      <c r="G24" s="12"/>
      <c r="H24" s="12"/>
      <c r="I24" s="12"/>
      <c r="J24" s="12"/>
      <c r="K24" s="12"/>
      <c r="L24" s="12"/>
      <c r="M24" s="12"/>
      <c r="N24" s="12"/>
      <c r="O24" s="12"/>
      <c r="P24" s="12"/>
      <c r="Q24" s="12"/>
      <c r="R24" s="12"/>
      <c r="S24" s="12"/>
      <c r="T24" s="12"/>
      <c r="U24" s="52"/>
    </row>
    <row r="25" spans="2:23" s="3" customFormat="1" ht="20.100000000000001" customHeight="1" x14ac:dyDescent="0.25">
      <c r="B25" s="359" t="s">
        <v>1</v>
      </c>
      <c r="C25" s="375" t="s">
        <v>5</v>
      </c>
      <c r="D25" s="376"/>
      <c r="E25" s="376"/>
      <c r="F25" s="377"/>
      <c r="G25" s="473" t="s">
        <v>14</v>
      </c>
      <c r="H25" s="474"/>
      <c r="I25" s="460" t="s">
        <v>75</v>
      </c>
      <c r="J25" s="454" t="s">
        <v>15</v>
      </c>
      <c r="K25" s="455"/>
      <c r="L25" s="455"/>
      <c r="M25" s="457"/>
      <c r="N25" s="470" t="s">
        <v>74</v>
      </c>
      <c r="O25" s="470"/>
      <c r="P25" s="470"/>
      <c r="Q25" s="470"/>
      <c r="R25" s="470"/>
      <c r="S25" s="470"/>
      <c r="T25" s="470"/>
      <c r="U25" s="470"/>
      <c r="V25" s="8"/>
      <c r="W25" s="8"/>
    </row>
    <row r="26" spans="2:23" s="3" customFormat="1" ht="20.100000000000001" customHeight="1" thickBot="1" x14ac:dyDescent="0.3">
      <c r="B26" s="360"/>
      <c r="C26" s="378"/>
      <c r="D26" s="379"/>
      <c r="E26" s="379"/>
      <c r="F26" s="380"/>
      <c r="G26" s="475"/>
      <c r="H26" s="476"/>
      <c r="I26" s="461"/>
      <c r="J26" s="462" t="s">
        <v>17</v>
      </c>
      <c r="K26" s="463"/>
      <c r="L26" s="462" t="s">
        <v>16</v>
      </c>
      <c r="M26" s="463"/>
      <c r="N26" s="471"/>
      <c r="O26" s="471"/>
      <c r="P26" s="471"/>
      <c r="Q26" s="471"/>
      <c r="R26" s="471"/>
      <c r="S26" s="471"/>
      <c r="T26" s="471"/>
      <c r="U26" s="471"/>
      <c r="V26" s="8"/>
      <c r="W26" s="8"/>
    </row>
    <row r="27" spans="2:23" ht="50.1" customHeight="1" thickTop="1" x14ac:dyDescent="0.25">
      <c r="B27" s="37">
        <v>1</v>
      </c>
      <c r="C27" s="156">
        <f>C13</f>
        <v>45498</v>
      </c>
      <c r="D27" s="464" t="s">
        <v>6</v>
      </c>
      <c r="E27" s="464"/>
      <c r="F27" s="157">
        <f>F13</f>
        <v>45499</v>
      </c>
      <c r="G27" s="390" t="s">
        <v>238</v>
      </c>
      <c r="H27" s="392"/>
      <c r="I27" s="158">
        <v>2</v>
      </c>
      <c r="J27" s="458" t="s">
        <v>243</v>
      </c>
      <c r="K27" s="459"/>
      <c r="L27" s="468">
        <v>0.375</v>
      </c>
      <c r="M27" s="392"/>
      <c r="N27" s="469" t="s">
        <v>239</v>
      </c>
      <c r="O27" s="469"/>
      <c r="P27" s="469"/>
      <c r="Q27" s="469"/>
      <c r="R27" s="469"/>
      <c r="S27" s="469"/>
      <c r="T27" s="469"/>
      <c r="U27" s="469"/>
      <c r="V27" s="8"/>
      <c r="W27" s="8"/>
    </row>
    <row r="28" spans="2:23" ht="24.95" customHeight="1" x14ac:dyDescent="0.25">
      <c r="B28" s="53" t="s">
        <v>106</v>
      </c>
      <c r="C28" s="13"/>
      <c r="D28" s="13"/>
      <c r="E28" s="13"/>
      <c r="F28" s="13"/>
      <c r="G28" s="12"/>
      <c r="H28" s="12"/>
      <c r="I28" s="12"/>
      <c r="J28" s="12"/>
      <c r="K28" s="12"/>
      <c r="L28" s="12"/>
      <c r="M28" s="12"/>
      <c r="N28" s="12"/>
      <c r="O28" s="12"/>
      <c r="U28" s="19"/>
    </row>
    <row r="29" spans="2:23" s="9" customFormat="1" ht="20.100000000000001" customHeight="1" x14ac:dyDescent="0.25">
      <c r="B29" s="28" t="s">
        <v>83</v>
      </c>
      <c r="C29" s="382" t="s">
        <v>127</v>
      </c>
      <c r="D29" s="382"/>
      <c r="E29" s="382"/>
      <c r="F29" s="382"/>
      <c r="G29" s="382"/>
      <c r="H29" s="382"/>
      <c r="I29" s="382"/>
      <c r="J29" s="408" t="s">
        <v>84</v>
      </c>
      <c r="K29" s="435"/>
      <c r="L29" s="409"/>
      <c r="M29" s="408" t="s">
        <v>85</v>
      </c>
      <c r="N29" s="435"/>
      <c r="O29" s="409"/>
      <c r="P29" s="382" t="s">
        <v>33</v>
      </c>
      <c r="Q29" s="382"/>
      <c r="R29" s="382"/>
      <c r="U29" s="24"/>
    </row>
    <row r="30" spans="2:23" s="27" customFormat="1" ht="17.100000000000001" customHeight="1" x14ac:dyDescent="0.25">
      <c r="B30" s="38">
        <v>1</v>
      </c>
      <c r="C30" s="381" t="s">
        <v>18</v>
      </c>
      <c r="D30" s="381"/>
      <c r="E30" s="381"/>
      <c r="F30" s="381"/>
      <c r="G30" s="381"/>
      <c r="H30" s="381"/>
      <c r="I30" s="381"/>
      <c r="J30" s="447" t="s">
        <v>30</v>
      </c>
      <c r="K30" s="448"/>
      <c r="L30" s="449"/>
      <c r="M30" s="447" t="s">
        <v>30</v>
      </c>
      <c r="N30" s="448"/>
      <c r="O30" s="449"/>
      <c r="P30" s="450" t="s">
        <v>30</v>
      </c>
      <c r="Q30" s="450"/>
      <c r="R30" s="450"/>
      <c r="U30" s="54"/>
    </row>
    <row r="31" spans="2:23" s="27" customFormat="1" ht="17.100000000000001" customHeight="1" x14ac:dyDescent="0.25">
      <c r="B31" s="38">
        <v>2</v>
      </c>
      <c r="C31" s="381" t="s">
        <v>19</v>
      </c>
      <c r="D31" s="381"/>
      <c r="E31" s="381"/>
      <c r="F31" s="381"/>
      <c r="G31" s="381"/>
      <c r="H31" s="381"/>
      <c r="I31" s="381"/>
      <c r="J31" s="447" t="s">
        <v>30</v>
      </c>
      <c r="K31" s="448"/>
      <c r="L31" s="449"/>
      <c r="M31" s="447" t="s">
        <v>30</v>
      </c>
      <c r="N31" s="448"/>
      <c r="O31" s="449"/>
      <c r="P31" s="450" t="s">
        <v>30</v>
      </c>
      <c r="Q31" s="450"/>
      <c r="R31" s="450"/>
      <c r="U31" s="54"/>
    </row>
    <row r="32" spans="2:23" s="27" customFormat="1" ht="17.100000000000001" customHeight="1" x14ac:dyDescent="0.25">
      <c r="B32" s="38">
        <v>3</v>
      </c>
      <c r="C32" s="465" t="s">
        <v>122</v>
      </c>
      <c r="D32" s="465"/>
      <c r="E32" s="465"/>
      <c r="F32" s="465"/>
      <c r="G32" s="465"/>
      <c r="H32" s="465"/>
      <c r="I32" s="465"/>
      <c r="J32" s="447" t="s">
        <v>30</v>
      </c>
      <c r="K32" s="448"/>
      <c r="L32" s="449"/>
      <c r="M32" s="447" t="s">
        <v>30</v>
      </c>
      <c r="N32" s="448"/>
      <c r="O32" s="449"/>
      <c r="P32" s="450" t="s">
        <v>30</v>
      </c>
      <c r="Q32" s="450"/>
      <c r="R32" s="450"/>
      <c r="U32" s="54"/>
    </row>
    <row r="33" spans="2:21" s="27" customFormat="1" ht="17.100000000000001" customHeight="1" x14ac:dyDescent="0.25">
      <c r="B33" s="38">
        <v>4</v>
      </c>
      <c r="C33" s="381" t="s">
        <v>20</v>
      </c>
      <c r="D33" s="381"/>
      <c r="E33" s="381"/>
      <c r="F33" s="381"/>
      <c r="G33" s="381"/>
      <c r="H33" s="381"/>
      <c r="I33" s="381"/>
      <c r="J33" s="447" t="s">
        <v>30</v>
      </c>
      <c r="K33" s="448"/>
      <c r="L33" s="449"/>
      <c r="M33" s="447" t="s">
        <v>30</v>
      </c>
      <c r="N33" s="448"/>
      <c r="O33" s="449"/>
      <c r="P33" s="450" t="s">
        <v>30</v>
      </c>
      <c r="Q33" s="450"/>
      <c r="R33" s="450"/>
      <c r="U33" s="54"/>
    </row>
    <row r="34" spans="2:21" s="27" customFormat="1" ht="17.100000000000001" customHeight="1" x14ac:dyDescent="0.25">
      <c r="B34" s="38">
        <v>5</v>
      </c>
      <c r="C34" s="381" t="s">
        <v>21</v>
      </c>
      <c r="D34" s="381"/>
      <c r="E34" s="381"/>
      <c r="F34" s="381"/>
      <c r="G34" s="381"/>
      <c r="H34" s="381"/>
      <c r="I34" s="381"/>
      <c r="J34" s="447" t="s">
        <v>30</v>
      </c>
      <c r="K34" s="448"/>
      <c r="L34" s="449"/>
      <c r="M34" s="447" t="s">
        <v>30</v>
      </c>
      <c r="N34" s="448"/>
      <c r="O34" s="449"/>
      <c r="P34" s="450" t="s">
        <v>30</v>
      </c>
      <c r="Q34" s="450"/>
      <c r="R34" s="450"/>
      <c r="U34" s="54"/>
    </row>
    <row r="35" spans="2:21" s="27" customFormat="1" ht="17.100000000000001" customHeight="1" x14ac:dyDescent="0.25">
      <c r="B35" s="38">
        <v>6</v>
      </c>
      <c r="C35" s="465" t="s">
        <v>123</v>
      </c>
      <c r="D35" s="465"/>
      <c r="E35" s="465"/>
      <c r="F35" s="465"/>
      <c r="G35" s="465"/>
      <c r="H35" s="465"/>
      <c r="I35" s="465"/>
      <c r="J35" s="447" t="s">
        <v>30</v>
      </c>
      <c r="K35" s="448"/>
      <c r="L35" s="449"/>
      <c r="M35" s="447" t="s">
        <v>30</v>
      </c>
      <c r="N35" s="448"/>
      <c r="O35" s="449"/>
      <c r="P35" s="450" t="s">
        <v>30</v>
      </c>
      <c r="Q35" s="450"/>
      <c r="R35" s="450"/>
      <c r="U35" s="54"/>
    </row>
    <row r="36" spans="2:21" s="27" customFormat="1" ht="35.1" customHeight="1" x14ac:dyDescent="0.25">
      <c r="B36" s="38">
        <v>7</v>
      </c>
      <c r="C36" s="381" t="s">
        <v>22</v>
      </c>
      <c r="D36" s="381"/>
      <c r="E36" s="381"/>
      <c r="F36" s="381"/>
      <c r="G36" s="381"/>
      <c r="H36" s="381"/>
      <c r="I36" s="381"/>
      <c r="J36" s="383" t="s">
        <v>124</v>
      </c>
      <c r="K36" s="384"/>
      <c r="L36" s="385"/>
      <c r="M36" s="383" t="s">
        <v>125</v>
      </c>
      <c r="N36" s="384"/>
      <c r="O36" s="385"/>
      <c r="P36" s="451" t="s">
        <v>125</v>
      </c>
      <c r="Q36" s="451"/>
      <c r="R36" s="451"/>
      <c r="U36" s="54"/>
    </row>
    <row r="37" spans="2:21" s="27" customFormat="1" ht="35.1" customHeight="1" x14ac:dyDescent="0.25">
      <c r="B37" s="38">
        <v>8</v>
      </c>
      <c r="C37" s="381" t="s">
        <v>23</v>
      </c>
      <c r="D37" s="381"/>
      <c r="E37" s="381"/>
      <c r="F37" s="381"/>
      <c r="G37" s="381"/>
      <c r="H37" s="381"/>
      <c r="I37" s="381"/>
      <c r="J37" s="367" t="s">
        <v>31</v>
      </c>
      <c r="K37" s="368"/>
      <c r="L37" s="369"/>
      <c r="M37" s="383" t="s">
        <v>126</v>
      </c>
      <c r="N37" s="384"/>
      <c r="O37" s="385"/>
      <c r="P37" s="451" t="s">
        <v>126</v>
      </c>
      <c r="Q37" s="451"/>
      <c r="R37" s="451"/>
      <c r="U37" s="54"/>
    </row>
    <row r="38" spans="2:21" s="27" customFormat="1" ht="17.100000000000001" customHeight="1" x14ac:dyDescent="0.25">
      <c r="B38" s="38">
        <v>9</v>
      </c>
      <c r="C38" s="381" t="s">
        <v>24</v>
      </c>
      <c r="D38" s="381"/>
      <c r="E38" s="381"/>
      <c r="F38" s="381"/>
      <c r="G38" s="381"/>
      <c r="H38" s="381"/>
      <c r="I38" s="381"/>
      <c r="J38" s="367" t="s">
        <v>31</v>
      </c>
      <c r="K38" s="368"/>
      <c r="L38" s="369"/>
      <c r="M38" s="367" t="s">
        <v>31</v>
      </c>
      <c r="N38" s="368"/>
      <c r="O38" s="369"/>
      <c r="P38" s="374" t="s">
        <v>31</v>
      </c>
      <c r="Q38" s="374"/>
      <c r="R38" s="374"/>
      <c r="U38" s="54"/>
    </row>
    <row r="39" spans="2:21" s="27" customFormat="1" ht="17.100000000000001" customHeight="1" x14ac:dyDescent="0.25">
      <c r="B39" s="38">
        <v>10</v>
      </c>
      <c r="C39" s="381" t="s">
        <v>25</v>
      </c>
      <c r="D39" s="381"/>
      <c r="E39" s="381"/>
      <c r="F39" s="381"/>
      <c r="G39" s="381"/>
      <c r="H39" s="381"/>
      <c r="I39" s="381"/>
      <c r="J39" s="367" t="s">
        <v>31</v>
      </c>
      <c r="K39" s="368"/>
      <c r="L39" s="369"/>
      <c r="M39" s="367" t="s">
        <v>31</v>
      </c>
      <c r="N39" s="368"/>
      <c r="O39" s="369"/>
      <c r="P39" s="374" t="s">
        <v>31</v>
      </c>
      <c r="Q39" s="374"/>
      <c r="R39" s="374"/>
      <c r="U39" s="54"/>
    </row>
    <row r="40" spans="2:21" s="27" customFormat="1" ht="17.100000000000001" customHeight="1" x14ac:dyDescent="0.25">
      <c r="B40" s="38">
        <v>11</v>
      </c>
      <c r="C40" s="381" t="s">
        <v>26</v>
      </c>
      <c r="D40" s="381"/>
      <c r="E40" s="381"/>
      <c r="F40" s="381"/>
      <c r="G40" s="381"/>
      <c r="H40" s="381"/>
      <c r="I40" s="381"/>
      <c r="J40" s="367" t="s">
        <v>31</v>
      </c>
      <c r="K40" s="368"/>
      <c r="L40" s="369"/>
      <c r="M40" s="367" t="s">
        <v>31</v>
      </c>
      <c r="N40" s="368"/>
      <c r="O40" s="369"/>
      <c r="P40" s="374" t="s">
        <v>31</v>
      </c>
      <c r="Q40" s="374"/>
      <c r="R40" s="374"/>
      <c r="U40" s="54"/>
    </row>
    <row r="41" spans="2:21" s="27" customFormat="1" ht="17.100000000000001" customHeight="1" x14ac:dyDescent="0.25">
      <c r="B41" s="38">
        <v>12</v>
      </c>
      <c r="C41" s="381" t="s">
        <v>27</v>
      </c>
      <c r="D41" s="381"/>
      <c r="E41" s="381"/>
      <c r="F41" s="381"/>
      <c r="G41" s="381"/>
      <c r="H41" s="381"/>
      <c r="I41" s="381"/>
      <c r="J41" s="367" t="s">
        <v>31</v>
      </c>
      <c r="K41" s="368"/>
      <c r="L41" s="369"/>
      <c r="M41" s="367" t="s">
        <v>31</v>
      </c>
      <c r="N41" s="368"/>
      <c r="O41" s="369"/>
      <c r="P41" s="374" t="s">
        <v>31</v>
      </c>
      <c r="Q41" s="374"/>
      <c r="R41" s="374"/>
      <c r="U41" s="54"/>
    </row>
    <row r="42" spans="2:21" s="27" customFormat="1" ht="17.100000000000001" customHeight="1" x14ac:dyDescent="0.25">
      <c r="B42" s="38">
        <v>13</v>
      </c>
      <c r="C42" s="381" t="s">
        <v>28</v>
      </c>
      <c r="D42" s="381"/>
      <c r="E42" s="381"/>
      <c r="F42" s="381"/>
      <c r="G42" s="381"/>
      <c r="H42" s="381"/>
      <c r="I42" s="381"/>
      <c r="J42" s="367" t="s">
        <v>32</v>
      </c>
      <c r="K42" s="368"/>
      <c r="L42" s="369"/>
      <c r="M42" s="367" t="s">
        <v>32</v>
      </c>
      <c r="N42" s="368"/>
      <c r="O42" s="369"/>
      <c r="P42" s="374" t="s">
        <v>32</v>
      </c>
      <c r="Q42" s="374"/>
      <c r="R42" s="374"/>
      <c r="U42" s="54"/>
    </row>
    <row r="43" spans="2:21" s="27" customFormat="1" ht="17.100000000000001" customHeight="1" x14ac:dyDescent="0.25">
      <c r="B43" s="38">
        <v>14</v>
      </c>
      <c r="C43" s="381" t="s">
        <v>29</v>
      </c>
      <c r="D43" s="381"/>
      <c r="E43" s="381"/>
      <c r="F43" s="381"/>
      <c r="G43" s="381"/>
      <c r="H43" s="381"/>
      <c r="I43" s="381"/>
      <c r="J43" s="367" t="s">
        <v>31</v>
      </c>
      <c r="K43" s="368"/>
      <c r="L43" s="369"/>
      <c r="M43" s="367" t="s">
        <v>31</v>
      </c>
      <c r="N43" s="368"/>
      <c r="O43" s="369"/>
      <c r="P43" s="374" t="s">
        <v>31</v>
      </c>
      <c r="Q43" s="374"/>
      <c r="R43" s="374"/>
      <c r="U43" s="54"/>
    </row>
    <row r="44" spans="2:21" ht="24.95" customHeight="1" x14ac:dyDescent="0.25">
      <c r="B44" s="53" t="s">
        <v>154</v>
      </c>
      <c r="C44" s="13"/>
      <c r="D44" s="13"/>
      <c r="E44" s="13"/>
      <c r="F44" s="13"/>
      <c r="G44" s="12"/>
      <c r="H44" s="12"/>
      <c r="I44" s="12"/>
      <c r="J44" s="12"/>
      <c r="K44" s="12"/>
      <c r="L44" s="12"/>
      <c r="M44" s="12"/>
      <c r="N44" s="12"/>
      <c r="O44" s="12"/>
      <c r="U44" s="19"/>
    </row>
    <row r="45" spans="2:21" s="31" customFormat="1" ht="17.100000000000001" customHeight="1" x14ac:dyDescent="0.25">
      <c r="B45" s="382" t="s">
        <v>51</v>
      </c>
      <c r="C45" s="382"/>
      <c r="D45" s="382" t="s">
        <v>98</v>
      </c>
      <c r="E45" s="382"/>
      <c r="F45" s="382"/>
      <c r="G45" s="382"/>
      <c r="H45" s="366" t="s">
        <v>103</v>
      </c>
      <c r="I45" s="366"/>
      <c r="J45" s="366"/>
      <c r="K45" s="366" t="s">
        <v>104</v>
      </c>
      <c r="L45" s="366"/>
      <c r="M45" s="366"/>
      <c r="N45" s="366"/>
      <c r="O45" s="366"/>
      <c r="U45" s="55"/>
    </row>
    <row r="46" spans="2:21" s="11" customFormat="1" ht="17.100000000000001" customHeight="1" x14ac:dyDescent="0.25">
      <c r="B46" s="373" t="s">
        <v>99</v>
      </c>
      <c r="C46" s="373"/>
      <c r="D46" s="373" t="s">
        <v>101</v>
      </c>
      <c r="E46" s="373"/>
      <c r="F46" s="373"/>
      <c r="G46" s="373"/>
      <c r="H46" s="365" t="s">
        <v>101</v>
      </c>
      <c r="I46" s="365"/>
      <c r="J46" s="365"/>
      <c r="K46" s="365" t="s">
        <v>105</v>
      </c>
      <c r="L46" s="365"/>
      <c r="M46" s="365"/>
      <c r="N46" s="365"/>
      <c r="O46" s="365"/>
      <c r="U46" s="56"/>
    </row>
    <row r="47" spans="2:21" s="11" customFormat="1" ht="17.100000000000001" customHeight="1" x14ac:dyDescent="0.25">
      <c r="B47" s="373" t="s">
        <v>100</v>
      </c>
      <c r="C47" s="373"/>
      <c r="D47" s="373" t="s">
        <v>102</v>
      </c>
      <c r="E47" s="373"/>
      <c r="F47" s="373"/>
      <c r="G47" s="373"/>
      <c r="H47" s="365" t="s">
        <v>101</v>
      </c>
      <c r="I47" s="365"/>
      <c r="J47" s="365"/>
      <c r="K47" s="365" t="s">
        <v>101</v>
      </c>
      <c r="L47" s="365"/>
      <c r="M47" s="365"/>
      <c r="N47" s="365"/>
      <c r="O47" s="365"/>
      <c r="U47" s="56"/>
    </row>
    <row r="48" spans="2:21" s="27" customFormat="1" ht="15" customHeight="1" x14ac:dyDescent="0.25">
      <c r="B48" s="36"/>
      <c r="C48" s="30"/>
      <c r="D48" s="30"/>
      <c r="E48" s="30"/>
      <c r="F48" s="30"/>
      <c r="G48" s="30"/>
      <c r="H48" s="30"/>
      <c r="I48" s="30"/>
      <c r="J48" s="29"/>
      <c r="K48" s="29"/>
      <c r="L48" s="29"/>
      <c r="M48" s="29"/>
      <c r="N48" s="29"/>
      <c r="O48" s="29"/>
      <c r="U48" s="54"/>
    </row>
    <row r="49" spans="2:21" ht="20.100000000000001" customHeight="1" x14ac:dyDescent="0.25">
      <c r="B49" s="50" t="s">
        <v>76</v>
      </c>
      <c r="U49" s="19"/>
    </row>
    <row r="50" spans="2:21" s="26" customFormat="1" ht="20.100000000000001" customHeight="1" x14ac:dyDescent="0.25">
      <c r="B50" s="359" t="s">
        <v>1</v>
      </c>
      <c r="C50" s="375" t="s">
        <v>52</v>
      </c>
      <c r="D50" s="376"/>
      <c r="E50" s="376"/>
      <c r="F50" s="377"/>
      <c r="G50" s="375" t="s">
        <v>53</v>
      </c>
      <c r="H50" s="376"/>
      <c r="I50" s="376"/>
      <c r="J50" s="376"/>
      <c r="K50" s="377"/>
      <c r="L50" s="386" t="s">
        <v>121</v>
      </c>
      <c r="M50" s="386"/>
      <c r="N50" s="386"/>
      <c r="O50" s="386"/>
      <c r="P50" s="386"/>
      <c r="Q50" s="386"/>
      <c r="R50" s="386"/>
      <c r="S50" s="386"/>
      <c r="U50" s="57"/>
    </row>
    <row r="51" spans="2:21" s="26" customFormat="1" ht="20.100000000000001" customHeight="1" thickBot="1" x14ac:dyDescent="0.3">
      <c r="B51" s="360"/>
      <c r="C51" s="378"/>
      <c r="D51" s="379"/>
      <c r="E51" s="379"/>
      <c r="F51" s="380"/>
      <c r="G51" s="378"/>
      <c r="H51" s="379"/>
      <c r="I51" s="379"/>
      <c r="J51" s="379"/>
      <c r="K51" s="380"/>
      <c r="L51" s="352" t="s">
        <v>80</v>
      </c>
      <c r="M51" s="352"/>
      <c r="N51" s="352" t="s">
        <v>81</v>
      </c>
      <c r="O51" s="352"/>
      <c r="P51" s="352" t="s">
        <v>82</v>
      </c>
      <c r="Q51" s="352"/>
      <c r="R51" s="352" t="s">
        <v>117</v>
      </c>
      <c r="S51" s="352"/>
      <c r="U51" s="57"/>
    </row>
    <row r="52" spans="2:21" ht="30" customHeight="1" thickTop="1" x14ac:dyDescent="0.25">
      <c r="B52" s="37">
        <v>1</v>
      </c>
      <c r="C52" s="387" t="s">
        <v>240</v>
      </c>
      <c r="D52" s="388"/>
      <c r="E52" s="388"/>
      <c r="F52" s="389"/>
      <c r="G52" s="393" t="s">
        <v>242</v>
      </c>
      <c r="H52" s="394"/>
      <c r="I52" s="394"/>
      <c r="J52" s="394"/>
      <c r="K52" s="395"/>
      <c r="L52" s="358" t="s">
        <v>231</v>
      </c>
      <c r="M52" s="358"/>
      <c r="N52" s="358" t="s">
        <v>222</v>
      </c>
      <c r="O52" s="358"/>
      <c r="P52" s="358" t="s">
        <v>226</v>
      </c>
      <c r="Q52" s="358"/>
      <c r="R52" s="358" t="s">
        <v>226</v>
      </c>
      <c r="S52" s="358"/>
      <c r="U52" s="19"/>
    </row>
    <row r="53" spans="2:21" ht="24.95" customHeight="1" x14ac:dyDescent="0.25">
      <c r="B53" s="15">
        <v>2</v>
      </c>
      <c r="C53" s="390"/>
      <c r="D53" s="391"/>
      <c r="E53" s="391"/>
      <c r="F53" s="392"/>
      <c r="G53" s="396"/>
      <c r="H53" s="397"/>
      <c r="I53" s="397"/>
      <c r="J53" s="397"/>
      <c r="K53" s="398"/>
      <c r="L53" s="358" t="s">
        <v>241</v>
      </c>
      <c r="M53" s="358"/>
      <c r="N53" s="358" t="s">
        <v>222</v>
      </c>
      <c r="O53" s="358"/>
      <c r="P53" s="358" t="s">
        <v>226</v>
      </c>
      <c r="Q53" s="358"/>
      <c r="R53" s="358" t="s">
        <v>226</v>
      </c>
      <c r="S53" s="358"/>
      <c r="U53" s="19"/>
    </row>
    <row r="54" spans="2:21" ht="24.95" customHeight="1" x14ac:dyDescent="0.25">
      <c r="B54" s="53" t="s">
        <v>155</v>
      </c>
      <c r="U54" s="19"/>
    </row>
    <row r="55" spans="2:21" s="27" customFormat="1" ht="20.100000000000001" customHeight="1" x14ac:dyDescent="0.25">
      <c r="B55" s="408" t="s">
        <v>87</v>
      </c>
      <c r="C55" s="409"/>
      <c r="D55" s="408" t="s">
        <v>86</v>
      </c>
      <c r="E55" s="435"/>
      <c r="F55" s="435"/>
      <c r="G55" s="409"/>
      <c r="H55" s="382" t="s">
        <v>116</v>
      </c>
      <c r="I55" s="382"/>
      <c r="J55" s="382"/>
      <c r="K55" s="382"/>
      <c r="L55" s="29"/>
      <c r="M55" s="29"/>
      <c r="N55" s="29"/>
      <c r="O55" s="29"/>
      <c r="P55" s="29"/>
      <c r="Q55" s="29"/>
      <c r="U55" s="54"/>
    </row>
    <row r="56" spans="2:21" s="27" customFormat="1" ht="17.100000000000001" customHeight="1" x14ac:dyDescent="0.25">
      <c r="B56" s="356" t="s">
        <v>88</v>
      </c>
      <c r="C56" s="357"/>
      <c r="D56" s="353" t="s">
        <v>95</v>
      </c>
      <c r="E56" s="354"/>
      <c r="F56" s="354"/>
      <c r="G56" s="355"/>
      <c r="H56" s="428" t="s">
        <v>120</v>
      </c>
      <c r="I56" s="428"/>
      <c r="J56" s="428"/>
      <c r="K56" s="428"/>
      <c r="L56" s="29"/>
      <c r="M56" s="29"/>
      <c r="N56" s="29"/>
      <c r="O56" s="429" t="s">
        <v>118</v>
      </c>
      <c r="P56" s="430"/>
      <c r="Q56" s="431"/>
      <c r="U56" s="54"/>
    </row>
    <row r="57" spans="2:21" s="27" customFormat="1" ht="17.100000000000001" customHeight="1" x14ac:dyDescent="0.2">
      <c r="B57" s="356" t="s">
        <v>89</v>
      </c>
      <c r="C57" s="357"/>
      <c r="D57" s="353" t="s">
        <v>95</v>
      </c>
      <c r="E57" s="354"/>
      <c r="F57" s="354"/>
      <c r="G57" s="355"/>
      <c r="H57" s="428"/>
      <c r="I57" s="428"/>
      <c r="J57" s="428"/>
      <c r="K57" s="428"/>
      <c r="L57" s="29"/>
      <c r="M57" s="29"/>
      <c r="N57" s="29"/>
      <c r="O57" s="432"/>
      <c r="P57" s="433"/>
      <c r="Q57" s="434"/>
      <c r="U57" s="54"/>
    </row>
    <row r="58" spans="2:21" s="27" customFormat="1" ht="17.100000000000001" customHeight="1" x14ac:dyDescent="0.25">
      <c r="B58" s="356" t="s">
        <v>90</v>
      </c>
      <c r="C58" s="357"/>
      <c r="D58" s="353" t="s">
        <v>95</v>
      </c>
      <c r="E58" s="354"/>
      <c r="F58" s="354"/>
      <c r="G58" s="355"/>
      <c r="H58" s="428"/>
      <c r="I58" s="428"/>
      <c r="J58" s="428"/>
      <c r="K58" s="428"/>
      <c r="L58" s="29"/>
      <c r="M58" s="29"/>
      <c r="N58" s="29"/>
      <c r="O58" s="422"/>
      <c r="P58" s="423"/>
      <c r="Q58" s="424"/>
      <c r="U58" s="54"/>
    </row>
    <row r="59" spans="2:21" s="27" customFormat="1" ht="17.100000000000001" customHeight="1" x14ac:dyDescent="0.2">
      <c r="B59" s="356" t="s">
        <v>91</v>
      </c>
      <c r="C59" s="357"/>
      <c r="D59" s="353" t="s">
        <v>96</v>
      </c>
      <c r="E59" s="354"/>
      <c r="F59" s="354"/>
      <c r="G59" s="355"/>
      <c r="H59" s="428"/>
      <c r="I59" s="428"/>
      <c r="J59" s="428"/>
      <c r="K59" s="428"/>
      <c r="L59" s="29"/>
      <c r="M59" s="29"/>
      <c r="N59" s="29"/>
      <c r="O59" s="425"/>
      <c r="P59" s="426"/>
      <c r="Q59" s="427"/>
      <c r="U59" s="54"/>
    </row>
    <row r="60" spans="2:21" s="27" customFormat="1" ht="17.100000000000001" customHeight="1" x14ac:dyDescent="0.25">
      <c r="B60" s="356" t="s">
        <v>92</v>
      </c>
      <c r="C60" s="357"/>
      <c r="D60" s="353" t="s">
        <v>96</v>
      </c>
      <c r="E60" s="354"/>
      <c r="F60" s="354"/>
      <c r="G60" s="355"/>
      <c r="H60" s="428"/>
      <c r="I60" s="428"/>
      <c r="J60" s="428"/>
      <c r="K60" s="428"/>
      <c r="L60" s="29"/>
      <c r="M60" s="29"/>
      <c r="N60" s="29"/>
      <c r="O60" s="77" t="s">
        <v>247</v>
      </c>
      <c r="P60" s="104"/>
      <c r="Q60" s="78"/>
      <c r="U60" s="54"/>
    </row>
    <row r="61" spans="2:21" s="27" customFormat="1" ht="17.100000000000001" customHeight="1" x14ac:dyDescent="0.25">
      <c r="B61" s="356" t="s">
        <v>93</v>
      </c>
      <c r="C61" s="357"/>
      <c r="D61" s="353" t="s">
        <v>97</v>
      </c>
      <c r="E61" s="354"/>
      <c r="F61" s="354"/>
      <c r="G61" s="355"/>
      <c r="H61" s="428"/>
      <c r="I61" s="428"/>
      <c r="J61" s="428"/>
      <c r="K61" s="428"/>
      <c r="L61" s="29"/>
      <c r="M61" s="29"/>
      <c r="N61" s="29"/>
      <c r="O61" s="77" t="s">
        <v>158</v>
      </c>
      <c r="P61" s="164"/>
      <c r="Q61" s="103"/>
      <c r="U61" s="54"/>
    </row>
    <row r="62" spans="2:21" s="27" customFormat="1" ht="17.100000000000001" customHeight="1" x14ac:dyDescent="0.25">
      <c r="B62" s="356" t="s">
        <v>94</v>
      </c>
      <c r="C62" s="357"/>
      <c r="D62" s="353" t="s">
        <v>97</v>
      </c>
      <c r="E62" s="354"/>
      <c r="F62" s="354"/>
      <c r="G62" s="355"/>
      <c r="H62" s="428"/>
      <c r="I62" s="428"/>
      <c r="J62" s="428"/>
      <c r="K62" s="428"/>
      <c r="L62" s="29"/>
      <c r="M62" s="29"/>
      <c r="N62" s="29"/>
      <c r="O62" s="29"/>
      <c r="P62" s="29"/>
      <c r="U62" s="54"/>
    </row>
    <row r="63" spans="2:21" s="27" customFormat="1" ht="9.9499999999999993" customHeight="1" thickBot="1" x14ac:dyDescent="0.3">
      <c r="B63" s="58"/>
      <c r="C63" s="43"/>
      <c r="D63" s="43"/>
      <c r="E63" s="43"/>
      <c r="F63" s="43"/>
      <c r="G63" s="44"/>
      <c r="H63" s="44"/>
      <c r="I63" s="44"/>
      <c r="J63" s="44"/>
      <c r="K63" s="44"/>
      <c r="L63" s="45"/>
      <c r="M63" s="45"/>
      <c r="N63" s="45"/>
      <c r="O63" s="45"/>
      <c r="P63" s="45"/>
      <c r="Q63" s="45"/>
      <c r="R63" s="46"/>
      <c r="S63" s="46"/>
      <c r="T63" s="46"/>
      <c r="U63" s="59"/>
    </row>
    <row r="64" spans="2:21" s="12" customFormat="1" ht="17.100000000000001" customHeight="1" thickTop="1" x14ac:dyDescent="0.25">
      <c r="B64" s="404" t="s">
        <v>140</v>
      </c>
      <c r="C64" s="405"/>
      <c r="D64" s="405"/>
      <c r="E64" s="405"/>
      <c r="F64" s="405"/>
      <c r="G64" s="405"/>
      <c r="H64" s="405"/>
      <c r="I64" s="405"/>
      <c r="J64" s="60"/>
      <c r="K64" s="60"/>
      <c r="L64" s="61"/>
      <c r="M64" s="61"/>
      <c r="N64" s="61"/>
      <c r="O64" s="61"/>
      <c r="P64" s="61"/>
      <c r="Q64" s="61"/>
      <c r="R64" s="346" t="s">
        <v>149</v>
      </c>
      <c r="S64" s="347"/>
      <c r="T64" s="347"/>
      <c r="U64" s="348"/>
    </row>
    <row r="65" spans="2:21" s="12" customFormat="1" ht="17.100000000000001" customHeight="1" x14ac:dyDescent="0.25">
      <c r="B65" s="406"/>
      <c r="C65" s="407"/>
      <c r="D65" s="407"/>
      <c r="E65" s="407"/>
      <c r="F65" s="407"/>
      <c r="G65" s="407"/>
      <c r="H65" s="407"/>
      <c r="I65" s="407"/>
      <c r="J65" s="60"/>
      <c r="K65" s="60"/>
      <c r="L65" s="61"/>
      <c r="M65" s="61"/>
      <c r="N65" s="61"/>
      <c r="O65" s="61"/>
      <c r="P65" s="61"/>
      <c r="Q65" s="61"/>
      <c r="R65" s="345" t="s">
        <v>141</v>
      </c>
      <c r="S65" s="345"/>
      <c r="T65" s="345"/>
      <c r="U65" s="345"/>
    </row>
    <row r="66" spans="2:21" s="26" customFormat="1" ht="17.100000000000001" customHeight="1" x14ac:dyDescent="0.25">
      <c r="B66" s="63" t="s">
        <v>128</v>
      </c>
      <c r="C66" s="399" t="s">
        <v>129</v>
      </c>
      <c r="D66" s="400"/>
      <c r="E66" s="400"/>
      <c r="F66" s="400"/>
      <c r="G66" s="400"/>
      <c r="H66" s="400"/>
      <c r="I66" s="400"/>
      <c r="J66" s="400"/>
      <c r="K66" s="401"/>
      <c r="L66" s="63" t="s">
        <v>136</v>
      </c>
      <c r="M66" s="399" t="s">
        <v>142</v>
      </c>
      <c r="N66" s="400"/>
      <c r="O66" s="400"/>
      <c r="P66" s="400"/>
      <c r="Q66" s="401"/>
      <c r="R66" s="345" t="s">
        <v>151</v>
      </c>
      <c r="S66" s="345"/>
      <c r="T66" s="345" t="s">
        <v>152</v>
      </c>
      <c r="U66" s="345"/>
    </row>
    <row r="67" spans="2:21" s="12" customFormat="1" ht="17.100000000000001" customHeight="1" x14ac:dyDescent="0.25">
      <c r="B67" s="15">
        <v>1</v>
      </c>
      <c r="C67" s="349" t="s">
        <v>130</v>
      </c>
      <c r="D67" s="350"/>
      <c r="E67" s="350"/>
      <c r="F67" s="350"/>
      <c r="G67" s="350"/>
      <c r="H67" s="350"/>
      <c r="I67" s="350"/>
      <c r="J67" s="350"/>
      <c r="K67" s="351"/>
      <c r="L67" s="15" t="s">
        <v>137</v>
      </c>
      <c r="M67" s="370" t="s">
        <v>145</v>
      </c>
      <c r="N67" s="361"/>
      <c r="O67" s="361"/>
      <c r="P67" s="361"/>
      <c r="Q67" s="361"/>
      <c r="R67" s="344">
        <f>C13-15</f>
        <v>45483</v>
      </c>
      <c r="S67" s="371"/>
      <c r="T67" s="344">
        <v>45476</v>
      </c>
      <c r="U67" s="344"/>
    </row>
    <row r="68" spans="2:21" s="12" customFormat="1" ht="17.100000000000001" customHeight="1" x14ac:dyDescent="0.25">
      <c r="B68" s="15">
        <v>2</v>
      </c>
      <c r="C68" s="349" t="s">
        <v>131</v>
      </c>
      <c r="D68" s="350"/>
      <c r="E68" s="350"/>
      <c r="F68" s="350"/>
      <c r="G68" s="350"/>
      <c r="H68" s="350"/>
      <c r="I68" s="350"/>
      <c r="J68" s="350"/>
      <c r="K68" s="351"/>
      <c r="L68" s="15" t="s">
        <v>138</v>
      </c>
      <c r="M68" s="370" t="s">
        <v>144</v>
      </c>
      <c r="N68" s="361"/>
      <c r="O68" s="361"/>
      <c r="P68" s="361"/>
      <c r="Q68" s="361"/>
      <c r="R68" s="344">
        <f>+C13-13</f>
        <v>45485</v>
      </c>
      <c r="S68" s="371"/>
      <c r="T68" s="344">
        <v>45477</v>
      </c>
      <c r="U68" s="344"/>
    </row>
    <row r="69" spans="2:21" s="12" customFormat="1" ht="17.100000000000001" customHeight="1" x14ac:dyDescent="0.25">
      <c r="B69" s="15">
        <v>3</v>
      </c>
      <c r="C69" s="349" t="s">
        <v>156</v>
      </c>
      <c r="D69" s="350"/>
      <c r="E69" s="350"/>
      <c r="F69" s="350"/>
      <c r="G69" s="350"/>
      <c r="H69" s="350"/>
      <c r="I69" s="350"/>
      <c r="J69" s="350"/>
      <c r="K69" s="351"/>
      <c r="L69" s="15" t="s">
        <v>137</v>
      </c>
      <c r="M69" s="370" t="s">
        <v>143</v>
      </c>
      <c r="N69" s="361"/>
      <c r="O69" s="361"/>
      <c r="P69" s="361"/>
      <c r="Q69" s="361"/>
      <c r="R69" s="344">
        <f>+C13-10</f>
        <v>45488</v>
      </c>
      <c r="S69" s="371"/>
      <c r="T69" s="344"/>
      <c r="U69" s="344"/>
    </row>
    <row r="70" spans="2:21" s="12" customFormat="1" ht="17.100000000000001" customHeight="1" x14ac:dyDescent="0.25">
      <c r="B70" s="15">
        <v>4</v>
      </c>
      <c r="C70" s="349" t="s">
        <v>132</v>
      </c>
      <c r="D70" s="350"/>
      <c r="E70" s="350"/>
      <c r="F70" s="350"/>
      <c r="G70" s="350"/>
      <c r="H70" s="350"/>
      <c r="I70" s="350"/>
      <c r="J70" s="350"/>
      <c r="K70" s="351"/>
      <c r="L70" s="15" t="s">
        <v>138</v>
      </c>
      <c r="M70" s="370" t="s">
        <v>148</v>
      </c>
      <c r="N70" s="361"/>
      <c r="O70" s="361"/>
      <c r="P70" s="361"/>
      <c r="Q70" s="361"/>
      <c r="R70" s="344">
        <f>+C13-8</f>
        <v>45490</v>
      </c>
      <c r="S70" s="371"/>
      <c r="T70" s="344"/>
      <c r="U70" s="344"/>
    </row>
    <row r="71" spans="2:21" s="12" customFormat="1" ht="17.100000000000001" customHeight="1" x14ac:dyDescent="0.25">
      <c r="B71" s="15">
        <v>5</v>
      </c>
      <c r="C71" s="349" t="s">
        <v>133</v>
      </c>
      <c r="D71" s="350"/>
      <c r="E71" s="350"/>
      <c r="F71" s="350"/>
      <c r="G71" s="350"/>
      <c r="H71" s="350"/>
      <c r="I71" s="350"/>
      <c r="J71" s="350"/>
      <c r="K71" s="351"/>
      <c r="L71" s="15" t="s">
        <v>137</v>
      </c>
      <c r="M71" s="370" t="s">
        <v>188</v>
      </c>
      <c r="N71" s="361"/>
      <c r="O71" s="361"/>
      <c r="P71" s="361"/>
      <c r="Q71" s="361"/>
      <c r="R71" s="372">
        <v>45488</v>
      </c>
      <c r="S71" s="372"/>
      <c r="T71" s="344"/>
      <c r="U71" s="344"/>
    </row>
    <row r="72" spans="2:21" s="12" customFormat="1" ht="17.100000000000001" customHeight="1" x14ac:dyDescent="0.25">
      <c r="B72" s="15">
        <v>6</v>
      </c>
      <c r="C72" s="349" t="s">
        <v>134</v>
      </c>
      <c r="D72" s="350"/>
      <c r="E72" s="350"/>
      <c r="F72" s="350"/>
      <c r="G72" s="350"/>
      <c r="H72" s="350"/>
      <c r="I72" s="350"/>
      <c r="J72" s="350"/>
      <c r="K72" s="351"/>
      <c r="L72" s="15" t="s">
        <v>137</v>
      </c>
      <c r="M72" s="370" t="s">
        <v>159</v>
      </c>
      <c r="N72" s="361"/>
      <c r="O72" s="361"/>
      <c r="P72" s="361"/>
      <c r="Q72" s="361"/>
      <c r="R72" s="344">
        <f>+R70+7</f>
        <v>45497</v>
      </c>
      <c r="S72" s="371"/>
      <c r="T72" s="344"/>
      <c r="U72" s="344"/>
    </row>
    <row r="73" spans="2:21" s="12" customFormat="1" ht="17.100000000000001" customHeight="1" x14ac:dyDescent="0.25">
      <c r="B73" s="15">
        <v>7</v>
      </c>
      <c r="C73" s="349" t="s">
        <v>139</v>
      </c>
      <c r="D73" s="350"/>
      <c r="E73" s="350"/>
      <c r="F73" s="350"/>
      <c r="G73" s="350"/>
      <c r="H73" s="350"/>
      <c r="I73" s="350"/>
      <c r="J73" s="350"/>
      <c r="K73" s="351"/>
      <c r="L73" s="15" t="s">
        <v>138</v>
      </c>
      <c r="M73" s="370" t="s">
        <v>147</v>
      </c>
      <c r="N73" s="361"/>
      <c r="O73" s="361"/>
      <c r="P73" s="361"/>
      <c r="Q73" s="361"/>
      <c r="R73" s="344">
        <f>+C13-7</f>
        <v>45491</v>
      </c>
      <c r="S73" s="371"/>
      <c r="T73" s="344"/>
      <c r="U73" s="344"/>
    </row>
    <row r="74" spans="2:21" s="12" customFormat="1" ht="17.100000000000001" customHeight="1" x14ac:dyDescent="0.25">
      <c r="B74" s="15">
        <v>8</v>
      </c>
      <c r="C74" s="349" t="s">
        <v>135</v>
      </c>
      <c r="D74" s="350"/>
      <c r="E74" s="350"/>
      <c r="F74" s="350"/>
      <c r="G74" s="350"/>
      <c r="H74" s="350"/>
      <c r="I74" s="350"/>
      <c r="J74" s="350"/>
      <c r="K74" s="351"/>
      <c r="L74" s="15" t="s">
        <v>138</v>
      </c>
      <c r="M74" s="370" t="s">
        <v>146</v>
      </c>
      <c r="N74" s="361"/>
      <c r="O74" s="361"/>
      <c r="P74" s="361"/>
      <c r="Q74" s="361"/>
      <c r="R74" s="344">
        <f>+C13-1</f>
        <v>45497</v>
      </c>
      <c r="S74" s="371"/>
      <c r="T74" s="344"/>
      <c r="U74" s="344"/>
    </row>
    <row r="75" spans="2:21" s="12" customFormat="1" ht="17.100000000000001" customHeight="1" x14ac:dyDescent="0.25">
      <c r="B75" s="15">
        <v>9</v>
      </c>
      <c r="C75" s="349" t="s">
        <v>150</v>
      </c>
      <c r="D75" s="350"/>
      <c r="E75" s="350"/>
      <c r="F75" s="350"/>
      <c r="G75" s="350"/>
      <c r="H75" s="350"/>
      <c r="I75" s="350"/>
      <c r="J75" s="350"/>
      <c r="K75" s="351"/>
      <c r="L75" s="15" t="s">
        <v>138</v>
      </c>
      <c r="M75" s="370" t="s">
        <v>146</v>
      </c>
      <c r="N75" s="361"/>
      <c r="O75" s="361"/>
      <c r="P75" s="361"/>
      <c r="Q75" s="361"/>
      <c r="R75" s="344">
        <f>+C13-1</f>
        <v>45497</v>
      </c>
      <c r="S75" s="371"/>
      <c r="T75" s="344"/>
      <c r="U75" s="344"/>
    </row>
    <row r="76" spans="2:21" s="12" customFormat="1" ht="17.100000000000001" customHeight="1" x14ac:dyDescent="0.25">
      <c r="B76" s="62"/>
      <c r="C76" s="60"/>
      <c r="D76" s="60"/>
      <c r="E76" s="60"/>
      <c r="F76" s="60"/>
      <c r="G76" s="60"/>
      <c r="H76" s="60"/>
      <c r="I76" s="60"/>
      <c r="J76" s="60"/>
      <c r="K76" s="60"/>
      <c r="L76" s="61"/>
      <c r="M76" s="61"/>
      <c r="N76" s="61"/>
      <c r="O76" s="61"/>
      <c r="P76" s="61"/>
      <c r="Q76" s="61"/>
      <c r="U76" s="52"/>
    </row>
    <row r="77" spans="2:21" s="11" customFormat="1" ht="15" customHeight="1" x14ac:dyDescent="0.25">
      <c r="B77" s="410" t="s">
        <v>114</v>
      </c>
      <c r="C77" s="411"/>
      <c r="D77" s="411"/>
      <c r="E77" s="411"/>
      <c r="F77" s="412"/>
      <c r="G77" s="436"/>
      <c r="H77" s="439" t="s">
        <v>115</v>
      </c>
      <c r="I77" s="440"/>
      <c r="J77" s="25"/>
      <c r="K77" s="402"/>
      <c r="L77" s="446"/>
      <c r="M77" s="446"/>
      <c r="N77" s="403"/>
      <c r="O77" s="402"/>
      <c r="P77" s="403"/>
      <c r="Q77" s="25"/>
      <c r="R77" s="25"/>
      <c r="S77" s="402"/>
      <c r="T77" s="403"/>
      <c r="U77" s="25"/>
    </row>
    <row r="78" spans="2:21" s="11" customFormat="1" ht="15" customHeight="1" x14ac:dyDescent="0.25">
      <c r="B78" s="413"/>
      <c r="C78" s="414"/>
      <c r="D78" s="414"/>
      <c r="E78" s="414"/>
      <c r="F78" s="415"/>
      <c r="G78" s="437"/>
      <c r="H78" s="441"/>
      <c r="I78" s="442"/>
      <c r="J78" s="25"/>
      <c r="K78" s="402"/>
      <c r="L78" s="446"/>
      <c r="M78" s="446"/>
      <c r="N78" s="403"/>
      <c r="O78" s="402"/>
      <c r="P78" s="403"/>
      <c r="Q78" s="25"/>
      <c r="R78" s="25"/>
      <c r="S78" s="402"/>
      <c r="T78" s="403"/>
      <c r="U78" s="25"/>
    </row>
    <row r="79" spans="2:21" s="11" customFormat="1" ht="15" customHeight="1" x14ac:dyDescent="0.25">
      <c r="B79" s="413"/>
      <c r="C79" s="414"/>
      <c r="D79" s="414"/>
      <c r="E79" s="414"/>
      <c r="F79" s="415"/>
      <c r="G79" s="437"/>
      <c r="H79" s="441"/>
      <c r="I79" s="442"/>
      <c r="J79" s="25"/>
      <c r="K79" s="33"/>
      <c r="L79" s="34"/>
      <c r="M79" s="34"/>
      <c r="N79" s="35"/>
      <c r="O79" s="33"/>
      <c r="P79" s="35"/>
      <c r="Q79" s="25"/>
      <c r="R79" s="25"/>
      <c r="S79" s="33"/>
      <c r="T79" s="35"/>
      <c r="U79" s="25"/>
    </row>
    <row r="80" spans="2:21" s="11" customFormat="1" ht="15" customHeight="1" x14ac:dyDescent="0.25">
      <c r="B80" s="413"/>
      <c r="C80" s="414"/>
      <c r="D80" s="414"/>
      <c r="E80" s="414"/>
      <c r="F80" s="415"/>
      <c r="G80" s="437"/>
      <c r="H80" s="441"/>
      <c r="I80" s="442"/>
      <c r="J80" s="25"/>
      <c r="K80" s="402"/>
      <c r="L80" s="446"/>
      <c r="M80" s="446"/>
      <c r="N80" s="403"/>
      <c r="O80" s="402"/>
      <c r="P80" s="403"/>
      <c r="Q80" s="25"/>
      <c r="R80" s="25"/>
      <c r="S80" s="402"/>
      <c r="T80" s="403"/>
      <c r="U80" s="25"/>
    </row>
    <row r="81" spans="2:21" s="11" customFormat="1" ht="15" customHeight="1" x14ac:dyDescent="0.25">
      <c r="B81" s="413"/>
      <c r="C81" s="414"/>
      <c r="D81" s="414"/>
      <c r="E81" s="414"/>
      <c r="F81" s="415"/>
      <c r="G81" s="437"/>
      <c r="H81" s="441"/>
      <c r="I81" s="442"/>
      <c r="J81" s="25">
        <v>0</v>
      </c>
      <c r="K81" s="402" t="s">
        <v>113</v>
      </c>
      <c r="L81" s="446"/>
      <c r="M81" s="446"/>
      <c r="N81" s="403"/>
      <c r="O81" s="419">
        <v>45112</v>
      </c>
      <c r="P81" s="403"/>
      <c r="Q81" s="25" t="s">
        <v>56</v>
      </c>
      <c r="R81" s="25" t="s">
        <v>7</v>
      </c>
      <c r="S81" s="402" t="s">
        <v>7</v>
      </c>
      <c r="T81" s="403"/>
      <c r="U81" s="25" t="s">
        <v>7</v>
      </c>
    </row>
    <row r="82" spans="2:21" s="3" customFormat="1" ht="15" customHeight="1" x14ac:dyDescent="0.25">
      <c r="B82" s="416"/>
      <c r="C82" s="417"/>
      <c r="D82" s="417"/>
      <c r="E82" s="417"/>
      <c r="F82" s="418"/>
      <c r="G82" s="438"/>
      <c r="H82" s="443"/>
      <c r="I82" s="444"/>
      <c r="J82" s="32" t="s">
        <v>112</v>
      </c>
      <c r="K82" s="420" t="s">
        <v>111</v>
      </c>
      <c r="L82" s="445"/>
      <c r="M82" s="445"/>
      <c r="N82" s="421"/>
      <c r="O82" s="420" t="s">
        <v>5</v>
      </c>
      <c r="P82" s="421"/>
      <c r="Q82" s="32" t="s">
        <v>108</v>
      </c>
      <c r="R82" s="32" t="s">
        <v>109</v>
      </c>
      <c r="S82" s="420" t="s">
        <v>110</v>
      </c>
      <c r="T82" s="421"/>
      <c r="U82" s="32" t="s">
        <v>108</v>
      </c>
    </row>
    <row r="83" spans="2:21" ht="20.100000000000001" customHeight="1" x14ac:dyDescent="0.25"/>
    <row r="84" spans="2:21" ht="20.100000000000001" customHeight="1" x14ac:dyDescent="0.25"/>
    <row r="85" spans="2:21" ht="20.100000000000001" customHeight="1" x14ac:dyDescent="0.25"/>
    <row r="86" spans="2:21" ht="20.100000000000001" customHeight="1" x14ac:dyDescent="0.25"/>
    <row r="87" spans="2:21" ht="20.100000000000001" customHeight="1" x14ac:dyDescent="0.25"/>
    <row r="88" spans="2:21" ht="20.100000000000001" customHeight="1" x14ac:dyDescent="0.25"/>
  </sheetData>
  <mergeCells count="242">
    <mergeCell ref="G9:J9"/>
    <mergeCell ref="T2:U2"/>
    <mergeCell ref="R6:S6"/>
    <mergeCell ref="R2:S2"/>
    <mergeCell ref="P6:Q6"/>
    <mergeCell ref="P2:Q2"/>
    <mergeCell ref="E21:F21"/>
    <mergeCell ref="N6:O6"/>
    <mergeCell ref="R20:S20"/>
    <mergeCell ref="R19:U19"/>
    <mergeCell ref="P20:Q20"/>
    <mergeCell ref="L19:M20"/>
    <mergeCell ref="K19:K20"/>
    <mergeCell ref="T6:U6"/>
    <mergeCell ref="N3:U5"/>
    <mergeCell ref="N2:O2"/>
    <mergeCell ref="N20:O20"/>
    <mergeCell ref="N19:Q19"/>
    <mergeCell ref="N21:O21"/>
    <mergeCell ref="B3:H6"/>
    <mergeCell ref="G12:H12"/>
    <mergeCell ref="C19:D20"/>
    <mergeCell ref="D13:E13"/>
    <mergeCell ref="C12:F12"/>
    <mergeCell ref="T21:U21"/>
    <mergeCell ref="B25:B26"/>
    <mergeCell ref="C25:F26"/>
    <mergeCell ref="Y12:Z12"/>
    <mergeCell ref="C22:D22"/>
    <mergeCell ref="E22:F22"/>
    <mergeCell ref="C21:D21"/>
    <mergeCell ref="L27:M27"/>
    <mergeCell ref="N27:U27"/>
    <mergeCell ref="L26:M26"/>
    <mergeCell ref="N25:U26"/>
    <mergeCell ref="L22:M22"/>
    <mergeCell ref="B19:B20"/>
    <mergeCell ref="E20:F20"/>
    <mergeCell ref="E19:G19"/>
    <mergeCell ref="H19:I19"/>
    <mergeCell ref="G13:H13"/>
    <mergeCell ref="T22:U22"/>
    <mergeCell ref="R22:S22"/>
    <mergeCell ref="K12:L12"/>
    <mergeCell ref="M12:Q12"/>
    <mergeCell ref="I13:J13"/>
    <mergeCell ref="T20:U20"/>
    <mergeCell ref="G25:H26"/>
    <mergeCell ref="P22:Q22"/>
    <mergeCell ref="P21:Q21"/>
    <mergeCell ref="I12:J12"/>
    <mergeCell ref="P30:R30"/>
    <mergeCell ref="P31:R31"/>
    <mergeCell ref="P32:R32"/>
    <mergeCell ref="P33:R33"/>
    <mergeCell ref="L21:M21"/>
    <mergeCell ref="J25:M25"/>
    <mergeCell ref="J27:K27"/>
    <mergeCell ref="N22:O22"/>
    <mergeCell ref="M29:O29"/>
    <mergeCell ref="M30:O30"/>
    <mergeCell ref="M31:O31"/>
    <mergeCell ref="M32:O32"/>
    <mergeCell ref="I25:I26"/>
    <mergeCell ref="J26:K26"/>
    <mergeCell ref="K13:L13"/>
    <mergeCell ref="R21:S21"/>
    <mergeCell ref="C33:I33"/>
    <mergeCell ref="J30:L30"/>
    <mergeCell ref="J31:L31"/>
    <mergeCell ref="P29:R29"/>
    <mergeCell ref="D27:E27"/>
    <mergeCell ref="C69:K69"/>
    <mergeCell ref="C70:K70"/>
    <mergeCell ref="M66:Q66"/>
    <mergeCell ref="G27:H27"/>
    <mergeCell ref="M33:O33"/>
    <mergeCell ref="M34:O34"/>
    <mergeCell ref="J29:L29"/>
    <mergeCell ref="P35:R35"/>
    <mergeCell ref="P36:R36"/>
    <mergeCell ref="P37:R37"/>
    <mergeCell ref="C34:I34"/>
    <mergeCell ref="J34:L34"/>
    <mergeCell ref="P34:R34"/>
    <mergeCell ref="C37:I37"/>
    <mergeCell ref="J32:L32"/>
    <mergeCell ref="J33:L33"/>
    <mergeCell ref="C29:I29"/>
    <mergeCell ref="C30:I30"/>
    <mergeCell ref="C31:I31"/>
    <mergeCell ref="C32:I32"/>
    <mergeCell ref="J35:L35"/>
    <mergeCell ref="J36:L36"/>
    <mergeCell ref="J37:L37"/>
    <mergeCell ref="M35:O35"/>
    <mergeCell ref="S77:T77"/>
    <mergeCell ref="S78:T78"/>
    <mergeCell ref="S80:T80"/>
    <mergeCell ref="S81:T81"/>
    <mergeCell ref="G77:G82"/>
    <mergeCell ref="C75:K75"/>
    <mergeCell ref="H77:I82"/>
    <mergeCell ref="S82:T82"/>
    <mergeCell ref="T75:U75"/>
    <mergeCell ref="R75:S75"/>
    <mergeCell ref="M75:Q75"/>
    <mergeCell ref="K82:N82"/>
    <mergeCell ref="K77:N77"/>
    <mergeCell ref="K78:N78"/>
    <mergeCell ref="K80:N80"/>
    <mergeCell ref="K81:N81"/>
    <mergeCell ref="C74:K74"/>
    <mergeCell ref="C66:K66"/>
    <mergeCell ref="O78:P78"/>
    <mergeCell ref="C71:K71"/>
    <mergeCell ref="D59:G59"/>
    <mergeCell ref="B64:I65"/>
    <mergeCell ref="C68:K68"/>
    <mergeCell ref="B55:C55"/>
    <mergeCell ref="B56:C56"/>
    <mergeCell ref="B57:C57"/>
    <mergeCell ref="B58:C58"/>
    <mergeCell ref="B59:C59"/>
    <mergeCell ref="B77:F82"/>
    <mergeCell ref="O80:P80"/>
    <mergeCell ref="O81:P81"/>
    <mergeCell ref="O82:P82"/>
    <mergeCell ref="O77:P77"/>
    <mergeCell ref="O58:Q58"/>
    <mergeCell ref="O59:Q59"/>
    <mergeCell ref="H56:K62"/>
    <mergeCell ref="B62:C62"/>
    <mergeCell ref="O56:Q56"/>
    <mergeCell ref="O57:Q57"/>
    <mergeCell ref="D55:G55"/>
    <mergeCell ref="P38:R38"/>
    <mergeCell ref="B60:C60"/>
    <mergeCell ref="B45:C45"/>
    <mergeCell ref="M37:O37"/>
    <mergeCell ref="J38:L38"/>
    <mergeCell ref="J39:L39"/>
    <mergeCell ref="H55:K55"/>
    <mergeCell ref="C38:I38"/>
    <mergeCell ref="C39:I39"/>
    <mergeCell ref="M43:O43"/>
    <mergeCell ref="C41:I41"/>
    <mergeCell ref="L50:S50"/>
    <mergeCell ref="L52:M52"/>
    <mergeCell ref="L53:M53"/>
    <mergeCell ref="N52:O52"/>
    <mergeCell ref="N53:O53"/>
    <mergeCell ref="K47:O47"/>
    <mergeCell ref="M38:O38"/>
    <mergeCell ref="M39:O39"/>
    <mergeCell ref="J43:L43"/>
    <mergeCell ref="C52:F53"/>
    <mergeCell ref="G52:K53"/>
    <mergeCell ref="B46:C46"/>
    <mergeCell ref="P39:R39"/>
    <mergeCell ref="P40:R40"/>
    <mergeCell ref="P41:R41"/>
    <mergeCell ref="P42:R42"/>
    <mergeCell ref="P43:R43"/>
    <mergeCell ref="C50:F51"/>
    <mergeCell ref="G50:K51"/>
    <mergeCell ref="L51:M51"/>
    <mergeCell ref="N51:O51"/>
    <mergeCell ref="M41:O41"/>
    <mergeCell ref="C40:I40"/>
    <mergeCell ref="J40:L40"/>
    <mergeCell ref="M42:O42"/>
    <mergeCell ref="C43:I43"/>
    <mergeCell ref="B47:C47"/>
    <mergeCell ref="D45:G45"/>
    <mergeCell ref="D46:G46"/>
    <mergeCell ref="D47:G47"/>
    <mergeCell ref="C42:I42"/>
    <mergeCell ref="H47:J47"/>
    <mergeCell ref="J42:L42"/>
    <mergeCell ref="T74:U74"/>
    <mergeCell ref="M72:Q72"/>
    <mergeCell ref="M73:Q73"/>
    <mergeCell ref="M74:Q74"/>
    <mergeCell ref="R67:S67"/>
    <mergeCell ref="R68:S68"/>
    <mergeCell ref="R69:S69"/>
    <mergeCell ref="R70:S70"/>
    <mergeCell ref="M67:Q67"/>
    <mergeCell ref="M68:Q68"/>
    <mergeCell ref="R71:S71"/>
    <mergeCell ref="R72:S72"/>
    <mergeCell ref="R73:S73"/>
    <mergeCell ref="R74:S74"/>
    <mergeCell ref="M71:Q71"/>
    <mergeCell ref="T67:U67"/>
    <mergeCell ref="T68:U68"/>
    <mergeCell ref="T69:U69"/>
    <mergeCell ref="T70:U70"/>
    <mergeCell ref="K45:O45"/>
    <mergeCell ref="M69:Q69"/>
    <mergeCell ref="M70:Q70"/>
    <mergeCell ref="D15:E15"/>
    <mergeCell ref="G15:H15"/>
    <mergeCell ref="I15:J15"/>
    <mergeCell ref="K15:L15"/>
    <mergeCell ref="D14:E14"/>
    <mergeCell ref="G14:H14"/>
    <mergeCell ref="I14:J14"/>
    <mergeCell ref="K14:L14"/>
    <mergeCell ref="K46:O46"/>
    <mergeCell ref="H45:J45"/>
    <mergeCell ref="H46:J46"/>
    <mergeCell ref="M40:O40"/>
    <mergeCell ref="J41:L41"/>
    <mergeCell ref="M36:O36"/>
    <mergeCell ref="C35:I35"/>
    <mergeCell ref="C36:I36"/>
    <mergeCell ref="T73:U73"/>
    <mergeCell ref="R65:U65"/>
    <mergeCell ref="R64:U64"/>
    <mergeCell ref="C67:K67"/>
    <mergeCell ref="R66:S66"/>
    <mergeCell ref="T66:U66"/>
    <mergeCell ref="P51:Q51"/>
    <mergeCell ref="D56:G56"/>
    <mergeCell ref="D57:G57"/>
    <mergeCell ref="B61:C61"/>
    <mergeCell ref="P52:Q52"/>
    <mergeCell ref="P53:Q53"/>
    <mergeCell ref="R51:S51"/>
    <mergeCell ref="R52:S52"/>
    <mergeCell ref="R53:S53"/>
    <mergeCell ref="B50:B51"/>
    <mergeCell ref="T71:U71"/>
    <mergeCell ref="T72:U72"/>
    <mergeCell ref="D58:G58"/>
    <mergeCell ref="D60:G60"/>
    <mergeCell ref="D61:G61"/>
    <mergeCell ref="D62:G62"/>
    <mergeCell ref="C72:K72"/>
    <mergeCell ref="C73:K73"/>
  </mergeCells>
  <printOptions horizontalCentered="1" verticalCentered="1"/>
  <pageMargins left="0" right="0" top="0" bottom="0" header="0" footer="0"/>
  <pageSetup paperSize="9" scale="4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B1:T82"/>
  <sheetViews>
    <sheetView showGridLines="0" view="pageBreakPreview" zoomScale="85" zoomScaleNormal="85" zoomScaleSheetLayoutView="85" workbookViewId="0">
      <selection activeCell="F59" sqref="F59"/>
    </sheetView>
  </sheetViews>
  <sheetFormatPr defaultRowHeight="15" x14ac:dyDescent="0.25"/>
  <cols>
    <col min="1" max="1" width="1.7109375" style="1" customWidth="1"/>
    <col min="2" max="2" width="5.7109375" style="1" customWidth="1"/>
    <col min="3" max="6" width="14.7109375" style="2" customWidth="1"/>
    <col min="7" max="16" width="14.7109375" style="1" customWidth="1"/>
    <col min="17" max="17" width="1.7109375" style="1" customWidth="1"/>
    <col min="18" max="47" width="15.7109375" style="1" customWidth="1"/>
    <col min="48" max="16384" width="9.140625" style="1"/>
  </cols>
  <sheetData>
    <row r="1" spans="2:16" x14ac:dyDescent="0.25">
      <c r="P1" s="95" t="s">
        <v>119</v>
      </c>
    </row>
    <row r="2" spans="2:16" ht="15" customHeight="1" x14ac:dyDescent="0.25">
      <c r="B2" s="83" t="s">
        <v>38</v>
      </c>
      <c r="C2" s="76"/>
      <c r="D2" s="76"/>
      <c r="E2" s="76"/>
      <c r="F2" s="76"/>
      <c r="G2" s="84"/>
      <c r="H2" s="84"/>
      <c r="I2" s="85" t="s">
        <v>62</v>
      </c>
      <c r="J2" s="87" t="s">
        <v>63</v>
      </c>
      <c r="K2" s="87" t="s">
        <v>167</v>
      </c>
      <c r="L2" s="88"/>
      <c r="M2" s="4" t="s">
        <v>68</v>
      </c>
      <c r="N2" s="4" t="s">
        <v>67</v>
      </c>
      <c r="O2" s="4" t="s">
        <v>55</v>
      </c>
      <c r="P2" s="4" t="s">
        <v>54</v>
      </c>
    </row>
    <row r="3" spans="2:16" ht="15" customHeight="1" x14ac:dyDescent="0.25">
      <c r="B3" s="547" t="s">
        <v>168</v>
      </c>
      <c r="C3" s="548"/>
      <c r="D3" s="548"/>
      <c r="E3" s="548"/>
      <c r="F3" s="548"/>
      <c r="G3" s="548"/>
      <c r="H3" s="548"/>
      <c r="I3" s="549"/>
      <c r="J3" s="90" t="s">
        <v>5</v>
      </c>
      <c r="K3" s="90" t="s">
        <v>189</v>
      </c>
      <c r="L3" s="91"/>
      <c r="M3" s="486" t="s">
        <v>161</v>
      </c>
      <c r="N3" s="487"/>
      <c r="O3" s="487"/>
      <c r="P3" s="488"/>
    </row>
    <row r="4" spans="2:16" ht="15" customHeight="1" x14ac:dyDescent="0.25">
      <c r="B4" s="550"/>
      <c r="C4" s="551"/>
      <c r="D4" s="551"/>
      <c r="E4" s="551"/>
      <c r="F4" s="551"/>
      <c r="G4" s="551"/>
      <c r="H4" s="551"/>
      <c r="I4" s="552"/>
      <c r="J4" s="90" t="s">
        <v>64</v>
      </c>
      <c r="K4" s="90" t="s">
        <v>166</v>
      </c>
      <c r="L4" s="91"/>
      <c r="M4" s="489"/>
      <c r="N4" s="490"/>
      <c r="O4" s="490"/>
      <c r="P4" s="491"/>
    </row>
    <row r="5" spans="2:16" ht="15" customHeight="1" x14ac:dyDescent="0.25">
      <c r="B5" s="550"/>
      <c r="C5" s="551"/>
      <c r="D5" s="551"/>
      <c r="E5" s="551"/>
      <c r="F5" s="551"/>
      <c r="G5" s="551"/>
      <c r="H5" s="551"/>
      <c r="I5" s="552"/>
      <c r="J5" s="90" t="s">
        <v>162</v>
      </c>
      <c r="K5" s="90" t="s">
        <v>205</v>
      </c>
      <c r="L5" s="91"/>
      <c r="M5" s="492"/>
      <c r="N5" s="493"/>
      <c r="O5" s="493"/>
      <c r="P5" s="494"/>
    </row>
    <row r="6" spans="2:16" ht="15" customHeight="1" x14ac:dyDescent="0.25">
      <c r="B6" s="550"/>
      <c r="C6" s="551"/>
      <c r="D6" s="551"/>
      <c r="E6" s="551"/>
      <c r="F6" s="551"/>
      <c r="G6" s="551"/>
      <c r="H6" s="551"/>
      <c r="I6" s="552"/>
      <c r="J6" s="105" t="s">
        <v>66</v>
      </c>
      <c r="K6" s="105" t="s">
        <v>190</v>
      </c>
      <c r="L6" s="106"/>
      <c r="M6" s="107" t="s">
        <v>69</v>
      </c>
      <c r="N6" s="107" t="s">
        <v>58</v>
      </c>
      <c r="O6" s="107" t="s">
        <v>57</v>
      </c>
      <c r="P6" s="107" t="s">
        <v>176</v>
      </c>
    </row>
    <row r="7" spans="2:16" ht="9.9499999999999993" customHeight="1" x14ac:dyDescent="0.25">
      <c r="B7" s="99"/>
      <c r="C7" s="18"/>
      <c r="D7" s="18"/>
      <c r="E7" s="18"/>
      <c r="F7" s="18"/>
      <c r="G7" s="74"/>
      <c r="H7" s="74"/>
      <c r="I7" s="74"/>
      <c r="J7" s="74"/>
      <c r="K7" s="74"/>
      <c r="L7" s="74"/>
      <c r="M7" s="74"/>
      <c r="N7" s="74"/>
      <c r="O7" s="74"/>
      <c r="P7" s="79"/>
    </row>
    <row r="8" spans="2:16" ht="24.95" customHeight="1" x14ac:dyDescent="0.25">
      <c r="B8" s="102" t="s">
        <v>177</v>
      </c>
      <c r="F8" s="2" t="str">
        <f>+'TAHAP 1'!G9</f>
        <v>: YIG QUALITY MEETING</v>
      </c>
      <c r="P8" s="19"/>
    </row>
    <row r="9" spans="2:16" ht="9.9499999999999993" customHeight="1" thickBot="1" x14ac:dyDescent="0.3">
      <c r="B9" s="108"/>
      <c r="C9" s="109"/>
      <c r="D9" s="109"/>
      <c r="E9" s="109"/>
      <c r="F9" s="109"/>
      <c r="G9" s="110"/>
      <c r="H9" s="110"/>
      <c r="I9" s="110"/>
      <c r="J9" s="110"/>
      <c r="K9" s="110"/>
      <c r="L9" s="110"/>
      <c r="M9" s="110"/>
      <c r="N9" s="110"/>
      <c r="O9" s="110"/>
      <c r="P9" s="111"/>
    </row>
    <row r="10" spans="2:16" ht="24.95" customHeight="1" thickTop="1" x14ac:dyDescent="0.25">
      <c r="B10" s="553" t="s">
        <v>192</v>
      </c>
      <c r="C10" s="554"/>
      <c r="D10" s="554"/>
      <c r="M10" s="555"/>
      <c r="N10" s="555"/>
      <c r="O10" s="555"/>
      <c r="P10" s="556"/>
    </row>
    <row r="11" spans="2:16" s="113" customFormat="1" ht="20.100000000000001" customHeight="1" x14ac:dyDescent="0.3">
      <c r="B11" s="167" t="s">
        <v>164</v>
      </c>
      <c r="C11" s="127"/>
      <c r="D11" s="127"/>
      <c r="E11" s="127"/>
      <c r="F11" s="127"/>
      <c r="M11" s="144"/>
      <c r="N11" s="144"/>
      <c r="P11" s="114"/>
    </row>
    <row r="12" spans="2:16" s="113" customFormat="1" ht="15" customHeight="1" x14ac:dyDescent="0.25">
      <c r="B12" s="168" t="s">
        <v>87</v>
      </c>
      <c r="C12" s="169"/>
      <c r="D12" s="169"/>
      <c r="E12" s="170"/>
      <c r="F12" s="171" t="s">
        <v>11</v>
      </c>
      <c r="G12" s="172" t="s">
        <v>81</v>
      </c>
      <c r="H12" s="172" t="s">
        <v>197</v>
      </c>
      <c r="I12" s="171" t="s">
        <v>198</v>
      </c>
      <c r="M12" s="144"/>
      <c r="N12" s="144"/>
      <c r="P12" s="114"/>
    </row>
    <row r="13" spans="2:16" s="113" customFormat="1" ht="15" customHeight="1" x14ac:dyDescent="0.25">
      <c r="B13" s="173" t="s">
        <v>88</v>
      </c>
      <c r="C13" s="174"/>
      <c r="D13" s="174"/>
      <c r="E13" s="175"/>
      <c r="F13" s="176">
        <v>30000</v>
      </c>
      <c r="G13" s="177">
        <v>12500</v>
      </c>
      <c r="H13" s="177">
        <v>20000</v>
      </c>
      <c r="I13" s="176">
        <v>20000</v>
      </c>
      <c r="M13" s="144"/>
      <c r="N13" s="144"/>
      <c r="P13" s="114"/>
    </row>
    <row r="14" spans="2:16" s="113" customFormat="1" ht="15" customHeight="1" x14ac:dyDescent="0.25">
      <c r="B14" s="173" t="s">
        <v>89</v>
      </c>
      <c r="C14" s="174"/>
      <c r="D14" s="174"/>
      <c r="E14" s="175"/>
      <c r="F14" s="176">
        <v>30000</v>
      </c>
      <c r="G14" s="177">
        <v>12500</v>
      </c>
      <c r="H14" s="177">
        <v>20000</v>
      </c>
      <c r="I14" s="176">
        <v>20000</v>
      </c>
      <c r="P14" s="114"/>
    </row>
    <row r="15" spans="2:16" s="113" customFormat="1" ht="15" customHeight="1" x14ac:dyDescent="0.25">
      <c r="B15" s="173" t="s">
        <v>90</v>
      </c>
      <c r="C15" s="174"/>
      <c r="D15" s="174"/>
      <c r="E15" s="175"/>
      <c r="F15" s="176">
        <v>35000</v>
      </c>
      <c r="G15" s="177">
        <v>12500</v>
      </c>
      <c r="H15" s="177">
        <v>20000</v>
      </c>
      <c r="I15" s="176">
        <v>20000</v>
      </c>
      <c r="P15" s="114"/>
    </row>
    <row r="16" spans="2:16" s="113" customFormat="1" ht="15" customHeight="1" x14ac:dyDescent="0.25">
      <c r="B16" s="173" t="s">
        <v>91</v>
      </c>
      <c r="C16" s="174"/>
      <c r="D16" s="174"/>
      <c r="E16" s="175"/>
      <c r="F16" s="176">
        <v>40000</v>
      </c>
      <c r="G16" s="177">
        <v>12500</v>
      </c>
      <c r="H16" s="177">
        <v>27500</v>
      </c>
      <c r="I16" s="176">
        <v>27500</v>
      </c>
      <c r="P16" s="114"/>
    </row>
    <row r="17" spans="2:16" s="113" customFormat="1" ht="15" customHeight="1" x14ac:dyDescent="0.25">
      <c r="B17" s="173" t="s">
        <v>92</v>
      </c>
      <c r="C17" s="174"/>
      <c r="D17" s="174"/>
      <c r="E17" s="175"/>
      <c r="F17" s="176">
        <v>50000</v>
      </c>
      <c r="G17" s="177">
        <v>22500</v>
      </c>
      <c r="H17" s="177">
        <v>30000</v>
      </c>
      <c r="I17" s="176">
        <v>30000</v>
      </c>
      <c r="P17" s="114"/>
    </row>
    <row r="18" spans="2:16" s="113" customFormat="1" ht="15" customHeight="1" x14ac:dyDescent="0.25">
      <c r="B18" s="173" t="s">
        <v>93</v>
      </c>
      <c r="C18" s="174"/>
      <c r="D18" s="174"/>
      <c r="E18" s="175"/>
      <c r="F18" s="176">
        <v>60000</v>
      </c>
      <c r="G18" s="177">
        <v>22500</v>
      </c>
      <c r="H18" s="177">
        <v>50000</v>
      </c>
      <c r="I18" s="176">
        <v>50000</v>
      </c>
      <c r="P18" s="114"/>
    </row>
    <row r="19" spans="2:16" s="113" customFormat="1" ht="15" customHeight="1" x14ac:dyDescent="0.25">
      <c r="B19" s="173" t="s">
        <v>94</v>
      </c>
      <c r="C19" s="174"/>
      <c r="D19" s="174"/>
      <c r="E19" s="175"/>
      <c r="F19" s="176">
        <v>70000</v>
      </c>
      <c r="G19" s="177">
        <v>22500</v>
      </c>
      <c r="H19" s="177">
        <v>60000</v>
      </c>
      <c r="I19" s="176">
        <v>60000</v>
      </c>
      <c r="P19" s="114"/>
    </row>
    <row r="20" spans="2:16" s="113" customFormat="1" ht="20.100000000000001" customHeight="1" x14ac:dyDescent="0.25">
      <c r="B20" s="272"/>
      <c r="C20" s="272"/>
      <c r="D20" s="272"/>
      <c r="E20" s="273"/>
      <c r="F20" s="127"/>
      <c r="P20" s="114"/>
    </row>
    <row r="21" spans="2:16" s="113" customFormat="1" ht="20.100000000000001" customHeight="1" x14ac:dyDescent="0.25">
      <c r="B21" s="135"/>
      <c r="C21" s="137" t="s">
        <v>196</v>
      </c>
      <c r="D21" s="136" t="s">
        <v>10</v>
      </c>
      <c r="E21" s="136" t="s">
        <v>91</v>
      </c>
      <c r="F21" s="136"/>
      <c r="G21" s="136"/>
      <c r="H21" s="136"/>
      <c r="I21" s="136"/>
      <c r="J21" s="136"/>
      <c r="P21" s="114"/>
    </row>
    <row r="22" spans="2:16" s="121" customFormat="1" ht="17.100000000000001" customHeight="1" x14ac:dyDescent="0.25">
      <c r="B22" s="125" t="s">
        <v>34</v>
      </c>
      <c r="C22" s="509" t="s">
        <v>5</v>
      </c>
      <c r="D22" s="509"/>
      <c r="E22" s="509"/>
      <c r="F22" s="125" t="str">
        <f>+$F$12</f>
        <v>UANG SAKU</v>
      </c>
      <c r="G22" s="125" t="str">
        <f>+$G$12</f>
        <v>BREAKFAST</v>
      </c>
      <c r="H22" s="125" t="str">
        <f>+$H$12</f>
        <v>LUNCH</v>
      </c>
      <c r="I22" s="125" t="str">
        <f>+$I$12</f>
        <v>DINNER</v>
      </c>
      <c r="J22" s="125" t="s">
        <v>41</v>
      </c>
      <c r="P22" s="126"/>
    </row>
    <row r="23" spans="2:16" s="113" customFormat="1" ht="17.100000000000001" customHeight="1" x14ac:dyDescent="0.25">
      <c r="B23" s="120">
        <v>1</v>
      </c>
      <c r="C23" s="510">
        <f>+'TAHAP 1'!$C$13</f>
        <v>45498</v>
      </c>
      <c r="D23" s="510"/>
      <c r="E23" s="510"/>
      <c r="F23" s="288">
        <f>VLOOKUP($E$21,B12:$I$19,5,0)</f>
        <v>40000</v>
      </c>
      <c r="G23" s="288" t="s">
        <v>228</v>
      </c>
      <c r="H23" s="288">
        <f>VLOOKUP($E$21,B12:$I$19,7,0)</f>
        <v>27500</v>
      </c>
      <c r="I23" s="288">
        <f>VLOOKUP($E$21,B12:$I$19,8,0)</f>
        <v>27500</v>
      </c>
      <c r="J23" s="192">
        <f>SUM(F23:I23)</f>
        <v>95000</v>
      </c>
      <c r="L23" s="289"/>
      <c r="P23" s="114"/>
    </row>
    <row r="24" spans="2:16" s="113" customFormat="1" ht="17.100000000000001" customHeight="1" x14ac:dyDescent="0.25">
      <c r="B24" s="120">
        <v>2</v>
      </c>
      <c r="C24" s="510">
        <f>+C23+1</f>
        <v>45499</v>
      </c>
      <c r="D24" s="510"/>
      <c r="E24" s="510"/>
      <c r="F24" s="288">
        <f>VLOOKUP($E$21,B12:$I$19,5,0)</f>
        <v>40000</v>
      </c>
      <c r="G24" s="288" t="s">
        <v>223</v>
      </c>
      <c r="H24" s="288">
        <f>VLOOKUP($E$21,B12:$I$19,7,0)</f>
        <v>27500</v>
      </c>
      <c r="I24" s="288">
        <v>0</v>
      </c>
      <c r="J24" s="192">
        <f>SUM(F24:I24)</f>
        <v>67500</v>
      </c>
      <c r="P24" s="114"/>
    </row>
    <row r="25" spans="2:16" s="113" customFormat="1" ht="16.5" customHeight="1" x14ac:dyDescent="0.25">
      <c r="B25" s="511" t="s">
        <v>12</v>
      </c>
      <c r="C25" s="511"/>
      <c r="D25" s="511"/>
      <c r="E25" s="511"/>
      <c r="F25" s="199"/>
      <c r="G25" s="512">
        <f>SUM(G23:I24)</f>
        <v>82500</v>
      </c>
      <c r="H25" s="513"/>
      <c r="I25" s="513"/>
      <c r="J25" s="200">
        <f>SUM(J23:J24)</f>
        <v>162500</v>
      </c>
      <c r="P25" s="114"/>
    </row>
    <row r="26" spans="2:16" s="113" customFormat="1" ht="24.95" customHeight="1" x14ac:dyDescent="0.25">
      <c r="B26" s="165"/>
      <c r="C26" s="121"/>
      <c r="D26" s="121"/>
      <c r="E26" s="121"/>
      <c r="F26" s="121"/>
      <c r="G26" s="121"/>
      <c r="H26" s="141"/>
      <c r="I26" s="101"/>
      <c r="J26" s="101"/>
      <c r="K26" s="128"/>
      <c r="L26" s="121"/>
      <c r="M26" s="121"/>
      <c r="P26" s="126"/>
    </row>
    <row r="27" spans="2:16" s="12" customFormat="1" ht="20.100000000000001" customHeight="1" x14ac:dyDescent="0.25">
      <c r="B27" s="274" t="s">
        <v>185</v>
      </c>
      <c r="C27" s="270"/>
      <c r="D27" s="270"/>
      <c r="E27" s="270"/>
      <c r="F27" s="101"/>
      <c r="G27" s="101"/>
      <c r="H27" s="101"/>
      <c r="I27" s="101"/>
      <c r="J27" s="101"/>
      <c r="K27" s="115"/>
      <c r="L27" s="116"/>
      <c r="M27" s="116"/>
      <c r="N27" s="116"/>
      <c r="O27" s="116"/>
      <c r="P27" s="117"/>
    </row>
    <row r="28" spans="2:16" s="113" customFormat="1" ht="24.95" customHeight="1" x14ac:dyDescent="0.25">
      <c r="B28" s="179" t="s">
        <v>34</v>
      </c>
      <c r="C28" s="543" t="s">
        <v>3</v>
      </c>
      <c r="D28" s="544"/>
      <c r="E28" s="544"/>
      <c r="F28" s="545"/>
      <c r="G28" s="179" t="s">
        <v>178</v>
      </c>
      <c r="H28" s="545" t="s">
        <v>185</v>
      </c>
      <c r="I28" s="101"/>
      <c r="J28" s="101"/>
      <c r="K28" s="128"/>
      <c r="L28" s="121"/>
      <c r="M28" s="121"/>
      <c r="P28" s="126"/>
    </row>
    <row r="29" spans="2:16" s="113" customFormat="1" ht="20.100000000000001" customHeight="1" x14ac:dyDescent="0.25">
      <c r="B29" s="120">
        <v>1</v>
      </c>
      <c r="C29" s="516" t="str">
        <f>+'TAHAP 1'!M13</f>
        <v>ARY SUSANTO</v>
      </c>
      <c r="D29" s="516"/>
      <c r="E29" s="516"/>
      <c r="F29" s="516"/>
      <c r="G29" s="197" t="str">
        <f>E21</f>
        <v>IV</v>
      </c>
      <c r="H29" s="546">
        <f>J25</f>
        <v>162500</v>
      </c>
      <c r="I29" s="101"/>
      <c r="J29" s="101"/>
      <c r="K29" s="178"/>
      <c r="L29" s="121"/>
      <c r="M29" s="121"/>
      <c r="P29" s="126"/>
    </row>
    <row r="30" spans="2:16" s="113" customFormat="1" ht="20.100000000000001" customHeight="1" x14ac:dyDescent="0.25">
      <c r="B30" s="120">
        <v>2</v>
      </c>
      <c r="C30" s="516" t="str">
        <f>+'TAHAP 1'!M14</f>
        <v>IRAWAN RAHARDIANTO</v>
      </c>
      <c r="D30" s="516"/>
      <c r="E30" s="516"/>
      <c r="F30" s="516"/>
      <c r="G30" s="197" t="s">
        <v>91</v>
      </c>
      <c r="H30" s="334">
        <f>J25</f>
        <v>162500</v>
      </c>
      <c r="I30" s="101"/>
      <c r="J30" s="101"/>
      <c r="K30" s="178"/>
      <c r="L30" s="121"/>
      <c r="M30" s="121"/>
      <c r="P30" s="126"/>
    </row>
    <row r="31" spans="2:16" s="113" customFormat="1" ht="20.100000000000001" customHeight="1" x14ac:dyDescent="0.25">
      <c r="B31" s="120">
        <v>3</v>
      </c>
      <c r="C31" s="516">
        <f>+'TAHAP 1'!M15</f>
        <v>0</v>
      </c>
      <c r="D31" s="516"/>
      <c r="E31" s="516"/>
      <c r="F31" s="516"/>
      <c r="G31" s="197"/>
      <c r="H31" s="334"/>
      <c r="I31" s="101"/>
      <c r="J31" s="292"/>
      <c r="K31" s="178"/>
      <c r="L31" s="121"/>
      <c r="M31" s="121"/>
      <c r="P31" s="126"/>
    </row>
    <row r="32" spans="2:16" s="113" customFormat="1" ht="24.95" customHeight="1" x14ac:dyDescent="0.25">
      <c r="B32" s="523" t="s">
        <v>12</v>
      </c>
      <c r="C32" s="524"/>
      <c r="D32" s="524"/>
      <c r="E32" s="524"/>
      <c r="F32" s="524"/>
      <c r="G32" s="525"/>
      <c r="H32" s="196">
        <f>SUM(H29:H31)</f>
        <v>325000</v>
      </c>
      <c r="I32" s="101"/>
      <c r="J32" s="101"/>
      <c r="K32" s="128"/>
      <c r="L32" s="121"/>
      <c r="M32" s="121"/>
      <c r="P32" s="126"/>
    </row>
    <row r="33" spans="2:16" s="113" customFormat="1" ht="24.95" customHeight="1" thickBot="1" x14ac:dyDescent="0.3">
      <c r="B33" s="165"/>
      <c r="C33" s="121"/>
      <c r="D33" s="121"/>
      <c r="E33" s="121"/>
      <c r="F33" s="121"/>
      <c r="G33" s="121"/>
      <c r="H33" s="141"/>
      <c r="I33" s="101"/>
      <c r="J33" s="101"/>
      <c r="K33" s="128"/>
      <c r="L33" s="121"/>
      <c r="M33" s="121"/>
      <c r="P33" s="126"/>
    </row>
    <row r="34" spans="2:16" s="113" customFormat="1" ht="20.100000000000001" customHeight="1" thickTop="1" x14ac:dyDescent="0.25">
      <c r="B34" s="526" t="s">
        <v>193</v>
      </c>
      <c r="C34" s="527"/>
      <c r="D34" s="527"/>
      <c r="E34" s="527"/>
      <c r="F34" s="527"/>
      <c r="G34" s="527"/>
      <c r="H34" s="527"/>
      <c r="I34" s="527"/>
      <c r="J34" s="527"/>
      <c r="K34" s="527"/>
      <c r="L34" s="527"/>
      <c r="M34" s="527"/>
      <c r="N34" s="527"/>
      <c r="O34" s="527"/>
      <c r="P34" s="528"/>
    </row>
    <row r="35" spans="2:16" s="113" customFormat="1" ht="20.100000000000001" customHeight="1" x14ac:dyDescent="0.25">
      <c r="B35" s="529"/>
      <c r="C35" s="530"/>
      <c r="D35" s="530"/>
      <c r="E35" s="530"/>
      <c r="F35" s="530"/>
      <c r="G35" s="530"/>
      <c r="H35" s="530"/>
      <c r="I35" s="530"/>
      <c r="J35" s="530"/>
      <c r="K35" s="530"/>
      <c r="L35" s="530"/>
      <c r="M35" s="530"/>
      <c r="N35" s="530"/>
      <c r="O35" s="530"/>
      <c r="P35" s="531"/>
    </row>
    <row r="36" spans="2:16" s="113" customFormat="1" ht="24.95" customHeight="1" x14ac:dyDescent="0.25">
      <c r="B36" s="132" t="s">
        <v>216</v>
      </c>
      <c r="C36" s="112"/>
      <c r="D36" s="112"/>
      <c r="E36" s="127"/>
      <c r="F36" s="127"/>
      <c r="P36" s="114"/>
    </row>
    <row r="37" spans="2:16" s="113" customFormat="1" ht="20.100000000000001" customHeight="1" x14ac:dyDescent="0.25">
      <c r="B37" s="280" t="s">
        <v>34</v>
      </c>
      <c r="C37" s="509" t="s">
        <v>51</v>
      </c>
      <c r="D37" s="509"/>
      <c r="E37" s="509" t="s">
        <v>220</v>
      </c>
      <c r="F37" s="509"/>
      <c r="G37" s="509"/>
      <c r="H37" s="509"/>
      <c r="I37" s="509"/>
      <c r="J37" s="509"/>
      <c r="K37" s="133" t="s">
        <v>186</v>
      </c>
      <c r="L37" s="125" t="s">
        <v>219</v>
      </c>
      <c r="M37" s="125" t="s">
        <v>41</v>
      </c>
      <c r="N37" s="125" t="s">
        <v>12</v>
      </c>
      <c r="P37" s="114"/>
    </row>
    <row r="38" spans="2:16" s="113" customFormat="1" ht="20.100000000000001" customHeight="1" x14ac:dyDescent="0.25">
      <c r="B38" s="281">
        <v>1</v>
      </c>
      <c r="C38" s="519" t="s">
        <v>217</v>
      </c>
      <c r="D38" s="520"/>
      <c r="E38" s="452"/>
      <c r="F38" s="452"/>
      <c r="G38" s="452"/>
      <c r="H38" s="452"/>
      <c r="I38" s="452"/>
      <c r="J38" s="452"/>
      <c r="K38" s="521"/>
      <c r="L38" s="521"/>
      <c r="M38" s="521">
        <f>+K38*L38</f>
        <v>0</v>
      </c>
      <c r="N38" s="517">
        <f>SUM(M38:M39)</f>
        <v>0</v>
      </c>
      <c r="P38" s="114"/>
    </row>
    <row r="39" spans="2:16" s="113" customFormat="1" ht="20.100000000000001" customHeight="1" x14ac:dyDescent="0.25">
      <c r="B39" s="281">
        <v>2</v>
      </c>
      <c r="C39" s="519" t="s">
        <v>218</v>
      </c>
      <c r="D39" s="520"/>
      <c r="E39" s="452"/>
      <c r="F39" s="452"/>
      <c r="G39" s="452"/>
      <c r="H39" s="452"/>
      <c r="I39" s="452"/>
      <c r="J39" s="452"/>
      <c r="K39" s="522"/>
      <c r="L39" s="522"/>
      <c r="M39" s="522"/>
      <c r="N39" s="518"/>
      <c r="P39" s="114"/>
    </row>
    <row r="40" spans="2:16" s="113" customFormat="1" ht="20.100000000000001" customHeight="1" x14ac:dyDescent="0.25">
      <c r="B40" s="100"/>
      <c r="C40" s="101"/>
      <c r="D40" s="101"/>
      <c r="E40" s="101"/>
      <c r="F40" s="101"/>
      <c r="G40" s="101"/>
      <c r="H40" s="23"/>
      <c r="I40" s="141"/>
      <c r="J40" s="101"/>
      <c r="K40" s="128"/>
      <c r="L40" s="121"/>
      <c r="M40" s="121"/>
      <c r="P40" s="114"/>
    </row>
    <row r="41" spans="2:16" s="113" customFormat="1" ht="20.100000000000001" customHeight="1" x14ac:dyDescent="0.25">
      <c r="B41" s="100"/>
      <c r="C41" s="101"/>
      <c r="D41" s="101"/>
      <c r="E41" s="101"/>
      <c r="F41" s="101"/>
      <c r="G41" s="101"/>
      <c r="H41" s="23"/>
      <c r="I41" s="141"/>
      <c r="J41" s="101"/>
      <c r="K41" s="128"/>
      <c r="L41" s="121"/>
      <c r="M41" s="121"/>
      <c r="P41" s="114"/>
    </row>
    <row r="42" spans="2:16" s="113" customFormat="1" ht="24.95" customHeight="1" x14ac:dyDescent="0.25">
      <c r="B42" s="132" t="s">
        <v>225</v>
      </c>
      <c r="C42" s="112"/>
      <c r="D42" s="112"/>
      <c r="E42" s="296"/>
      <c r="F42" s="296"/>
      <c r="P42" s="114"/>
    </row>
    <row r="43" spans="2:16" s="113" customFormat="1" ht="24.95" hidden="1" customHeight="1" x14ac:dyDescent="0.25">
      <c r="B43" s="142"/>
      <c r="C43" s="101"/>
      <c r="D43" s="101"/>
      <c r="E43" s="127"/>
      <c r="F43" s="127"/>
      <c r="P43" s="114"/>
    </row>
    <row r="44" spans="2:16" s="113" customFormat="1" ht="20.100000000000001" hidden="1" customHeight="1" x14ac:dyDescent="0.25">
      <c r="B44" s="155"/>
      <c r="C44" s="101"/>
      <c r="D44" s="101"/>
      <c r="E44" s="127"/>
      <c r="F44" s="127"/>
      <c r="P44" s="114"/>
    </row>
    <row r="45" spans="2:16" s="113" customFormat="1" ht="20.100000000000001" hidden="1" customHeight="1" x14ac:dyDescent="0.25">
      <c r="B45" s="155"/>
      <c r="C45" s="101"/>
      <c r="D45" s="101"/>
      <c r="E45" s="127"/>
      <c r="F45" s="127"/>
      <c r="P45" s="114"/>
    </row>
    <row r="46" spans="2:16" s="113" customFormat="1" ht="9.9499999999999993" customHeight="1" x14ac:dyDescent="0.25">
      <c r="B46" s="100"/>
      <c r="C46" s="127"/>
      <c r="D46" s="127"/>
      <c r="E46" s="127"/>
      <c r="F46" s="127"/>
      <c r="P46" s="114"/>
    </row>
    <row r="47" spans="2:16" s="23" customFormat="1" ht="24.95" customHeight="1" x14ac:dyDescent="0.25">
      <c r="B47" s="125" t="s">
        <v>34</v>
      </c>
      <c r="C47" s="603" t="s">
        <v>49</v>
      </c>
      <c r="D47" s="604"/>
      <c r="E47" s="605"/>
      <c r="F47" s="133" t="s">
        <v>39</v>
      </c>
      <c r="G47" s="125" t="s">
        <v>40</v>
      </c>
      <c r="H47" s="532" t="s">
        <v>199</v>
      </c>
      <c r="I47" s="533"/>
      <c r="P47" s="82"/>
    </row>
    <row r="48" spans="2:16" s="113" customFormat="1" ht="17.100000000000001" customHeight="1" x14ac:dyDescent="0.25">
      <c r="B48" s="120">
        <v>1</v>
      </c>
      <c r="C48" s="607" t="s">
        <v>42</v>
      </c>
      <c r="D48" s="608"/>
      <c r="E48" s="609"/>
      <c r="F48" s="192">
        <v>0</v>
      </c>
      <c r="G48" s="193">
        <v>0</v>
      </c>
      <c r="H48" s="194"/>
      <c r="I48" s="206">
        <f>+F48*G48</f>
        <v>0</v>
      </c>
      <c r="P48" s="114"/>
    </row>
    <row r="49" spans="2:16" s="113" customFormat="1" ht="24.95" customHeight="1" x14ac:dyDescent="0.25">
      <c r="B49" s="519" t="s">
        <v>210</v>
      </c>
      <c r="C49" s="606"/>
      <c r="D49" s="606"/>
      <c r="E49" s="606"/>
      <c r="F49" s="606"/>
      <c r="G49" s="520"/>
      <c r="H49" s="341"/>
      <c r="I49" s="196">
        <f>SUM(I42:I48)</f>
        <v>0</v>
      </c>
      <c r="O49" s="23"/>
      <c r="P49" s="82"/>
    </row>
    <row r="50" spans="2:16" s="113" customFormat="1" ht="17.100000000000001" customHeight="1" x14ac:dyDescent="0.25">
      <c r="B50" s="212"/>
      <c r="C50" s="213"/>
      <c r="D50" s="213"/>
      <c r="E50" s="213"/>
      <c r="F50" s="214"/>
      <c r="G50" s="214"/>
      <c r="H50" s="215"/>
      <c r="I50" s="215"/>
      <c r="P50" s="114"/>
    </row>
    <row r="51" spans="2:16" s="113" customFormat="1" ht="17.100000000000001" customHeight="1" x14ac:dyDescent="0.25">
      <c r="B51" s="208"/>
      <c r="C51" s="209"/>
      <c r="D51" s="209"/>
      <c r="E51" s="209"/>
      <c r="F51" s="210"/>
      <c r="G51" s="210"/>
      <c r="H51" s="211"/>
      <c r="I51" s="211"/>
      <c r="P51" s="114"/>
    </row>
    <row r="52" spans="2:16" s="23" customFormat="1" ht="24.95" customHeight="1" x14ac:dyDescent="0.25">
      <c r="B52" s="125" t="s">
        <v>34</v>
      </c>
      <c r="C52" s="603" t="s">
        <v>49</v>
      </c>
      <c r="D52" s="604"/>
      <c r="E52" s="605"/>
      <c r="F52" s="133" t="s">
        <v>39</v>
      </c>
      <c r="G52" s="125" t="s">
        <v>40</v>
      </c>
      <c r="H52" s="532" t="s">
        <v>199</v>
      </c>
      <c r="I52" s="533"/>
      <c r="P52" s="82"/>
    </row>
    <row r="53" spans="2:16" s="113" customFormat="1" ht="17.100000000000001" customHeight="1" x14ac:dyDescent="0.25">
      <c r="B53" s="120">
        <v>1</v>
      </c>
      <c r="C53" s="607" t="s">
        <v>50</v>
      </c>
      <c r="D53" s="608"/>
      <c r="E53" s="609"/>
      <c r="F53" s="192">
        <v>0</v>
      </c>
      <c r="G53" s="193">
        <v>0</v>
      </c>
      <c r="H53" s="194"/>
      <c r="I53" s="195">
        <f t="shared" ref="I53:I60" si="0">+F53*G53</f>
        <v>0</v>
      </c>
      <c r="P53" s="114"/>
    </row>
    <row r="54" spans="2:16" s="113" customFormat="1" ht="17.100000000000001" customHeight="1" x14ac:dyDescent="0.25">
      <c r="B54" s="120">
        <v>2</v>
      </c>
      <c r="C54" s="138" t="s">
        <v>47</v>
      </c>
      <c r="D54" s="139"/>
      <c r="E54" s="140"/>
      <c r="F54" s="293">
        <v>100000</v>
      </c>
      <c r="G54" s="193">
        <v>2</v>
      </c>
      <c r="H54" s="294"/>
      <c r="I54" s="295">
        <f t="shared" si="0"/>
        <v>200000</v>
      </c>
      <c r="P54" s="114"/>
    </row>
    <row r="55" spans="2:16" s="113" customFormat="1" ht="17.100000000000001" customHeight="1" x14ac:dyDescent="0.25">
      <c r="B55" s="120">
        <v>3</v>
      </c>
      <c r="C55" s="138" t="s">
        <v>48</v>
      </c>
      <c r="D55" s="139"/>
      <c r="E55" s="140"/>
      <c r="F55" s="293">
        <v>150000</v>
      </c>
      <c r="G55" s="193">
        <v>1</v>
      </c>
      <c r="H55" s="294"/>
      <c r="I55" s="295">
        <f t="shared" si="0"/>
        <v>150000</v>
      </c>
      <c r="P55" s="114"/>
    </row>
    <row r="56" spans="2:16" s="113" customFormat="1" ht="17.100000000000001" customHeight="1" x14ac:dyDescent="0.25">
      <c r="B56" s="120">
        <v>4</v>
      </c>
      <c r="C56" s="138" t="s">
        <v>46</v>
      </c>
      <c r="D56" s="139"/>
      <c r="E56" s="140"/>
      <c r="F56" s="293">
        <v>250000</v>
      </c>
      <c r="G56" s="193">
        <v>2</v>
      </c>
      <c r="H56" s="294"/>
      <c r="I56" s="295">
        <f t="shared" si="0"/>
        <v>500000</v>
      </c>
      <c r="P56" s="114"/>
    </row>
    <row r="57" spans="2:16" s="113" customFormat="1" ht="17.100000000000001" customHeight="1" x14ac:dyDescent="0.25">
      <c r="B57" s="120">
        <v>5</v>
      </c>
      <c r="C57" s="607" t="s">
        <v>43</v>
      </c>
      <c r="D57" s="608"/>
      <c r="E57" s="609"/>
      <c r="F57" s="293">
        <v>950000</v>
      </c>
      <c r="G57" s="193">
        <v>1</v>
      </c>
      <c r="H57" s="294"/>
      <c r="I57" s="333">
        <f t="shared" si="0"/>
        <v>950000</v>
      </c>
      <c r="P57" s="114"/>
    </row>
    <row r="58" spans="2:16" s="113" customFormat="1" ht="17.100000000000001" customHeight="1" x14ac:dyDescent="0.25">
      <c r="B58" s="120">
        <v>6</v>
      </c>
      <c r="C58" s="607" t="s">
        <v>44</v>
      </c>
      <c r="D58" s="608"/>
      <c r="E58" s="609"/>
      <c r="F58" s="293">
        <v>1000000</v>
      </c>
      <c r="G58" s="193">
        <v>1</v>
      </c>
      <c r="H58" s="294"/>
      <c r="I58" s="333">
        <f t="shared" si="0"/>
        <v>1000000</v>
      </c>
      <c r="P58" s="114"/>
    </row>
    <row r="59" spans="2:16" s="113" customFormat="1" ht="17.100000000000001" customHeight="1" x14ac:dyDescent="0.25">
      <c r="B59" s="120">
        <v>7</v>
      </c>
      <c r="C59" s="610" t="s">
        <v>45</v>
      </c>
      <c r="D59" s="610"/>
      <c r="E59" s="610"/>
      <c r="F59" s="293">
        <v>50000</v>
      </c>
      <c r="G59" s="192">
        <v>1</v>
      </c>
      <c r="H59" s="611">
        <f>+F59*G59</f>
        <v>50000</v>
      </c>
      <c r="I59" s="612"/>
      <c r="P59" s="114"/>
    </row>
    <row r="60" spans="2:16" s="113" customFormat="1" ht="17.100000000000001" customHeight="1" thickBot="1" x14ac:dyDescent="0.3">
      <c r="B60" s="276">
        <v>8</v>
      </c>
      <c r="C60" s="600" t="s">
        <v>215</v>
      </c>
      <c r="D60" s="601"/>
      <c r="E60" s="602"/>
      <c r="F60" s="277">
        <v>0</v>
      </c>
      <c r="G60" s="192">
        <v>0</v>
      </c>
      <c r="H60" s="278"/>
      <c r="I60" s="279">
        <f t="shared" si="0"/>
        <v>0</v>
      </c>
      <c r="P60" s="114"/>
    </row>
    <row r="61" spans="2:16" s="113" customFormat="1" ht="24.95" customHeight="1" thickTop="1" x14ac:dyDescent="0.25">
      <c r="B61" s="534" t="s">
        <v>211</v>
      </c>
      <c r="C61" s="535"/>
      <c r="D61" s="535"/>
      <c r="E61" s="535"/>
      <c r="F61" s="535"/>
      <c r="G61" s="536"/>
      <c r="H61" s="207"/>
      <c r="I61" s="198">
        <f>SUM(H53:I60)</f>
        <v>2850000</v>
      </c>
      <c r="O61" s="23"/>
      <c r="P61" s="82"/>
    </row>
    <row r="62" spans="2:16" s="113" customFormat="1" ht="20.100000000000001" customHeight="1" x14ac:dyDescent="0.25">
      <c r="B62" s="100"/>
      <c r="C62" s="101"/>
      <c r="D62" s="101"/>
      <c r="E62" s="101"/>
      <c r="F62" s="101"/>
      <c r="G62" s="101"/>
      <c r="H62" s="23"/>
      <c r="I62" s="141"/>
      <c r="J62" s="101"/>
      <c r="K62" s="128"/>
      <c r="L62" s="121"/>
      <c r="M62" s="121"/>
      <c r="P62" s="114"/>
    </row>
    <row r="63" spans="2:16" s="113" customFormat="1" ht="20.100000000000001" customHeight="1" x14ac:dyDescent="0.25">
      <c r="B63" s="100"/>
      <c r="C63" s="101"/>
      <c r="D63" s="101"/>
      <c r="E63" s="101"/>
      <c r="F63" s="101"/>
      <c r="G63" s="101"/>
      <c r="H63" s="216"/>
      <c r="I63" s="196">
        <f>+I61+I49</f>
        <v>2850000</v>
      </c>
      <c r="J63" s="292"/>
      <c r="K63" s="128"/>
      <c r="L63" s="121"/>
      <c r="M63" s="121"/>
      <c r="P63" s="114"/>
    </row>
    <row r="64" spans="2:16" s="113" customFormat="1" ht="20.100000000000001" customHeight="1" x14ac:dyDescent="0.25">
      <c r="B64" s="100"/>
      <c r="C64" s="101"/>
      <c r="D64" s="101"/>
      <c r="E64" s="101"/>
      <c r="F64" s="101"/>
      <c r="G64" s="101"/>
      <c r="J64" s="101"/>
      <c r="K64" s="128"/>
      <c r="L64" s="121"/>
      <c r="M64" s="121"/>
      <c r="O64" s="180"/>
      <c r="P64" s="150"/>
    </row>
    <row r="65" spans="2:20" s="113" customFormat="1" ht="24.95" customHeight="1" x14ac:dyDescent="0.25">
      <c r="B65" s="151" t="s">
        <v>76</v>
      </c>
      <c r="C65" s="152"/>
      <c r="D65" s="152"/>
      <c r="E65" s="153"/>
      <c r="F65" s="153"/>
      <c r="G65" s="153"/>
      <c r="H65" s="153"/>
      <c r="I65" s="153"/>
      <c r="J65" s="153"/>
      <c r="K65" s="154"/>
      <c r="L65" s="154"/>
      <c r="M65" s="187"/>
      <c r="N65" s="187"/>
      <c r="O65" s="187"/>
      <c r="P65" s="188"/>
      <c r="Q65" s="145"/>
    </row>
    <row r="66" spans="2:20" s="143" customFormat="1" ht="20.100000000000001" customHeight="1" x14ac:dyDescent="0.25">
      <c r="B66" s="584" t="s">
        <v>1</v>
      </c>
      <c r="C66" s="586" t="s">
        <v>200</v>
      </c>
      <c r="D66" s="587"/>
      <c r="E66" s="587"/>
      <c r="F66" s="588"/>
      <c r="G66" s="580" t="s">
        <v>52</v>
      </c>
      <c r="H66" s="590"/>
      <c r="I66" s="590"/>
      <c r="J66" s="581"/>
      <c r="K66" s="580" t="s">
        <v>201</v>
      </c>
      <c r="L66" s="581"/>
      <c r="M66" s="580" t="s">
        <v>39</v>
      </c>
      <c r="N66" s="581"/>
      <c r="O66" s="578"/>
      <c r="P66" s="579"/>
      <c r="Q66" s="578"/>
    </row>
    <row r="67" spans="2:20" s="143" customFormat="1" ht="20.100000000000001" customHeight="1" thickBot="1" x14ac:dyDescent="0.3">
      <c r="B67" s="585"/>
      <c r="C67" s="594" t="s">
        <v>202</v>
      </c>
      <c r="D67" s="595"/>
      <c r="E67" s="594" t="s">
        <v>203</v>
      </c>
      <c r="F67" s="595"/>
      <c r="G67" s="582"/>
      <c r="H67" s="591"/>
      <c r="I67" s="591"/>
      <c r="J67" s="583"/>
      <c r="K67" s="582"/>
      <c r="L67" s="583"/>
      <c r="M67" s="582"/>
      <c r="N67" s="583"/>
      <c r="O67" s="578"/>
      <c r="P67" s="579"/>
      <c r="Q67" s="578"/>
    </row>
    <row r="68" spans="2:20" s="127" customFormat="1" ht="99.95" customHeight="1" thickTop="1" x14ac:dyDescent="0.25">
      <c r="B68" s="191">
        <v>1</v>
      </c>
      <c r="C68" s="598">
        <f>+'TAHAP 1'!C13</f>
        <v>45498</v>
      </c>
      <c r="D68" s="599"/>
      <c r="E68" s="598">
        <f>+'TAHAP 1'!F13</f>
        <v>45499</v>
      </c>
      <c r="F68" s="599"/>
      <c r="G68" s="592" t="str">
        <f>'TAHAP 1'!C52</f>
        <v>LUMINOR HOTEL</v>
      </c>
      <c r="H68" s="593"/>
      <c r="I68" s="593"/>
      <c r="J68" s="593"/>
      <c r="K68" s="589" t="s">
        <v>229</v>
      </c>
      <c r="L68" s="589"/>
      <c r="M68" s="514"/>
      <c r="N68" s="515"/>
      <c r="O68" s="189"/>
      <c r="P68" s="190"/>
      <c r="Q68" s="186"/>
    </row>
    <row r="69" spans="2:20" s="127" customFormat="1" ht="21.95" customHeight="1" x14ac:dyDescent="0.25">
      <c r="B69" s="182"/>
      <c r="C69" s="183"/>
      <c r="D69" s="183"/>
      <c r="E69" s="183"/>
      <c r="F69" s="183"/>
      <c r="G69" s="271" t="str">
        <f>+G68</f>
        <v>LUMINOR HOTEL</v>
      </c>
      <c r="H69" s="166"/>
      <c r="I69" s="166"/>
      <c r="J69" s="166"/>
      <c r="K69" s="166"/>
      <c r="L69" s="166"/>
      <c r="M69" s="166"/>
      <c r="N69" s="184"/>
      <c r="O69" s="184"/>
      <c r="P69" s="185"/>
      <c r="Q69" s="181"/>
    </row>
    <row r="70" spans="2:20" s="127" customFormat="1" ht="21.95" customHeight="1" x14ac:dyDescent="0.25">
      <c r="B70" s="182"/>
      <c r="C70" s="183"/>
      <c r="D70" s="183"/>
      <c r="E70" s="183"/>
      <c r="F70" s="183"/>
      <c r="G70" s="166"/>
      <c r="H70" s="166"/>
      <c r="I70" s="166"/>
      <c r="J70" s="166"/>
      <c r="K70" s="166"/>
      <c r="L70" s="166"/>
      <c r="M70" s="166"/>
      <c r="N70" s="184"/>
      <c r="O70" s="184"/>
      <c r="P70" s="185"/>
      <c r="Q70" s="181"/>
    </row>
    <row r="71" spans="2:20" s="127" customFormat="1" ht="21.95" customHeight="1" x14ac:dyDescent="0.25">
      <c r="B71" s="182"/>
      <c r="C71" s="537" t="s">
        <v>3</v>
      </c>
      <c r="D71" s="538"/>
      <c r="E71" s="541" t="s">
        <v>209</v>
      </c>
      <c r="F71" s="541" t="s">
        <v>207</v>
      </c>
      <c r="G71" s="541" t="s">
        <v>208</v>
      </c>
      <c r="H71" s="541" t="s">
        <v>186</v>
      </c>
      <c r="I71" s="541" t="s">
        <v>12</v>
      </c>
      <c r="J71" s="541" t="s">
        <v>81</v>
      </c>
      <c r="K71" s="596" t="s">
        <v>80</v>
      </c>
      <c r="L71" s="577" t="s">
        <v>82</v>
      </c>
      <c r="M71" s="166"/>
      <c r="N71" s="184"/>
      <c r="O71" s="490"/>
      <c r="P71" s="491"/>
      <c r="Q71" s="186"/>
    </row>
    <row r="72" spans="2:20" s="127" customFormat="1" ht="21.95" customHeight="1" x14ac:dyDescent="0.25">
      <c r="B72" s="182"/>
      <c r="C72" s="539"/>
      <c r="D72" s="540"/>
      <c r="E72" s="542"/>
      <c r="F72" s="542"/>
      <c r="G72" s="542"/>
      <c r="H72" s="542"/>
      <c r="I72" s="542"/>
      <c r="J72" s="542"/>
      <c r="K72" s="597"/>
      <c r="L72" s="577"/>
      <c r="M72" s="166"/>
      <c r="N72" s="184"/>
      <c r="O72" s="121"/>
      <c r="P72" s="126"/>
      <c r="Q72" s="186"/>
    </row>
    <row r="73" spans="2:20" s="127" customFormat="1" ht="21.95" customHeight="1" x14ac:dyDescent="0.25">
      <c r="B73" s="182"/>
      <c r="C73" s="557" t="str">
        <f>+C29</f>
        <v>ARY SUSANTO</v>
      </c>
      <c r="D73" s="557"/>
      <c r="E73" s="575" t="str">
        <f>+K68</f>
        <v>Deluxe Room</v>
      </c>
      <c r="F73" s="197">
        <v>1</v>
      </c>
      <c r="G73" s="197">
        <v>1</v>
      </c>
      <c r="H73" s="201">
        <f>+N68</f>
        <v>0</v>
      </c>
      <c r="I73" s="201">
        <f>+H73*G73*F73</f>
        <v>0</v>
      </c>
      <c r="J73" s="201" t="s">
        <v>224</v>
      </c>
      <c r="K73" s="201" t="s">
        <v>83</v>
      </c>
      <c r="L73" s="201" t="s">
        <v>83</v>
      </c>
      <c r="M73" s="166"/>
      <c r="N73" s="184"/>
      <c r="O73" s="113"/>
      <c r="P73" s="114"/>
      <c r="Q73" s="186"/>
    </row>
    <row r="74" spans="2:20" s="127" customFormat="1" ht="21.95" customHeight="1" x14ac:dyDescent="0.25">
      <c r="B74" s="182"/>
      <c r="C74" s="557" t="str">
        <f>+C30</f>
        <v>IRAWAN RAHARDIANTO</v>
      </c>
      <c r="D74" s="557"/>
      <c r="E74" s="576"/>
      <c r="F74" s="197">
        <v>1</v>
      </c>
      <c r="G74" s="197">
        <v>1</v>
      </c>
      <c r="H74" s="201">
        <f>+N68</f>
        <v>0</v>
      </c>
      <c r="I74" s="201">
        <f>+H74*G74*F74</f>
        <v>0</v>
      </c>
      <c r="J74" s="201" t="s">
        <v>224</v>
      </c>
      <c r="K74" s="201" t="s">
        <v>224</v>
      </c>
      <c r="L74" s="201" t="s">
        <v>83</v>
      </c>
      <c r="M74" s="166"/>
      <c r="N74" s="184"/>
      <c r="O74" s="113"/>
      <c r="P74" s="114"/>
      <c r="Q74" s="186"/>
    </row>
    <row r="75" spans="2:20" s="13" customFormat="1" ht="21.95" customHeight="1" x14ac:dyDescent="0.25">
      <c r="B75" s="146"/>
      <c r="C75" s="147"/>
      <c r="D75" s="147"/>
      <c r="E75" s="147"/>
      <c r="F75" s="147"/>
      <c r="G75" s="134"/>
      <c r="H75" s="134"/>
      <c r="I75" s="134"/>
      <c r="J75" s="134"/>
      <c r="K75" s="134"/>
      <c r="L75" s="134"/>
      <c r="M75" s="148"/>
      <c r="N75" s="149"/>
      <c r="O75" s="203"/>
      <c r="P75" s="150"/>
      <c r="Q75" s="202"/>
    </row>
    <row r="76" spans="2:20" s="113" customFormat="1" ht="21.95" customHeight="1" thickBot="1" x14ac:dyDescent="0.3">
      <c r="B76" s="118"/>
      <c r="C76" s="119"/>
      <c r="D76" s="119"/>
      <c r="E76" s="129"/>
      <c r="F76" s="129"/>
      <c r="G76" s="129"/>
      <c r="H76" s="129"/>
      <c r="I76" s="129"/>
      <c r="J76" s="129"/>
      <c r="K76" s="130"/>
      <c r="L76" s="130"/>
      <c r="M76" s="131"/>
      <c r="N76" s="131"/>
      <c r="O76" s="204"/>
      <c r="P76" s="205"/>
      <c r="S76" s="144"/>
      <c r="T76" s="144"/>
    </row>
    <row r="77" spans="2:20" ht="15" customHeight="1" thickTop="1" x14ac:dyDescent="0.25">
      <c r="B77" s="559" t="s">
        <v>114</v>
      </c>
      <c r="C77" s="560"/>
      <c r="D77" s="560"/>
      <c r="E77" s="560"/>
      <c r="F77" s="561"/>
      <c r="G77" s="566"/>
      <c r="H77" s="568" t="s">
        <v>163</v>
      </c>
      <c r="I77" s="569"/>
      <c r="J77" s="574" t="s">
        <v>174</v>
      </c>
      <c r="K77" s="574"/>
      <c r="L77" s="122">
        <v>45118</v>
      </c>
      <c r="M77" s="97" t="s">
        <v>56</v>
      </c>
      <c r="N77" s="97"/>
      <c r="O77" s="98"/>
      <c r="P77" s="97"/>
    </row>
    <row r="78" spans="2:20" ht="15" customHeight="1" x14ac:dyDescent="0.25">
      <c r="B78" s="562"/>
      <c r="C78" s="560"/>
      <c r="D78" s="560"/>
      <c r="E78" s="560"/>
      <c r="F78" s="561"/>
      <c r="G78" s="566"/>
      <c r="H78" s="570"/>
      <c r="I78" s="571"/>
      <c r="J78" s="574" t="s">
        <v>171</v>
      </c>
      <c r="K78" s="574"/>
      <c r="L78" s="123">
        <v>44702</v>
      </c>
      <c r="M78" s="4" t="s">
        <v>56</v>
      </c>
      <c r="N78" s="4"/>
      <c r="O78" s="96"/>
      <c r="P78" s="4"/>
    </row>
    <row r="79" spans="2:20" ht="15" customHeight="1" x14ac:dyDescent="0.25">
      <c r="B79" s="562"/>
      <c r="C79" s="560"/>
      <c r="D79" s="560"/>
      <c r="E79" s="560"/>
      <c r="F79" s="561"/>
      <c r="G79" s="566"/>
      <c r="H79" s="570"/>
      <c r="I79" s="571"/>
      <c r="J79" s="574" t="s">
        <v>170</v>
      </c>
      <c r="K79" s="574"/>
      <c r="L79" s="123">
        <v>44314</v>
      </c>
      <c r="M79" s="4" t="s">
        <v>56</v>
      </c>
      <c r="N79" s="4">
        <v>3</v>
      </c>
      <c r="O79" s="96">
        <f>+L77</f>
        <v>45118</v>
      </c>
      <c r="P79" s="4" t="s">
        <v>58</v>
      </c>
    </row>
    <row r="80" spans="2:20" ht="15" customHeight="1" x14ac:dyDescent="0.25">
      <c r="B80" s="562"/>
      <c r="C80" s="560"/>
      <c r="D80" s="560"/>
      <c r="E80" s="560"/>
      <c r="F80" s="561"/>
      <c r="G80" s="566"/>
      <c r="H80" s="570"/>
      <c r="I80" s="571"/>
      <c r="J80" s="574" t="s">
        <v>169</v>
      </c>
      <c r="K80" s="574"/>
      <c r="L80" s="123">
        <v>44147</v>
      </c>
      <c r="M80" s="4" t="s">
        <v>56</v>
      </c>
      <c r="N80" s="4">
        <v>2</v>
      </c>
      <c r="O80" s="96">
        <v>44702</v>
      </c>
      <c r="P80" s="4" t="s">
        <v>173</v>
      </c>
    </row>
    <row r="81" spans="2:16" ht="15" customHeight="1" x14ac:dyDescent="0.25">
      <c r="B81" s="562"/>
      <c r="C81" s="560"/>
      <c r="D81" s="560"/>
      <c r="E81" s="560"/>
      <c r="F81" s="561"/>
      <c r="G81" s="566"/>
      <c r="H81" s="570"/>
      <c r="I81" s="571"/>
      <c r="J81" s="574" t="s">
        <v>113</v>
      </c>
      <c r="K81" s="574"/>
      <c r="L81" s="123">
        <v>45113</v>
      </c>
      <c r="M81" s="4" t="s">
        <v>172</v>
      </c>
      <c r="N81" s="4">
        <v>1</v>
      </c>
      <c r="O81" s="96">
        <v>44314</v>
      </c>
      <c r="P81" s="4" t="s">
        <v>58</v>
      </c>
    </row>
    <row r="82" spans="2:16" s="3" customFormat="1" ht="15" customHeight="1" x14ac:dyDescent="0.25">
      <c r="B82" s="563"/>
      <c r="C82" s="564"/>
      <c r="D82" s="564"/>
      <c r="E82" s="564"/>
      <c r="F82" s="565"/>
      <c r="G82" s="567"/>
      <c r="H82" s="572"/>
      <c r="I82" s="573"/>
      <c r="J82" s="558" t="s">
        <v>111</v>
      </c>
      <c r="K82" s="558"/>
      <c r="L82" s="17" t="s">
        <v>5</v>
      </c>
      <c r="M82" s="17" t="s">
        <v>108</v>
      </c>
      <c r="N82" s="17" t="s">
        <v>109</v>
      </c>
      <c r="O82" s="17" t="s">
        <v>110</v>
      </c>
      <c r="P82" s="17" t="s">
        <v>108</v>
      </c>
    </row>
  </sheetData>
  <mergeCells count="77">
    <mergeCell ref="H52:I52"/>
    <mergeCell ref="C59:E59"/>
    <mergeCell ref="H59:I59"/>
    <mergeCell ref="C53:E53"/>
    <mergeCell ref="C58:E58"/>
    <mergeCell ref="C52:E52"/>
    <mergeCell ref="C60:E60"/>
    <mergeCell ref="C47:E47"/>
    <mergeCell ref="B49:G49"/>
    <mergeCell ref="C57:E57"/>
    <mergeCell ref="C48:E48"/>
    <mergeCell ref="L71:L72"/>
    <mergeCell ref="Q66:Q67"/>
    <mergeCell ref="O66:P67"/>
    <mergeCell ref="K66:L67"/>
    <mergeCell ref="B66:B67"/>
    <mergeCell ref="C66:F66"/>
    <mergeCell ref="M66:N67"/>
    <mergeCell ref="O71:P71"/>
    <mergeCell ref="K68:L68"/>
    <mergeCell ref="G66:J67"/>
    <mergeCell ref="G68:J68"/>
    <mergeCell ref="E67:F67"/>
    <mergeCell ref="C67:D67"/>
    <mergeCell ref="K71:K72"/>
    <mergeCell ref="C68:D68"/>
    <mergeCell ref="E68:F68"/>
    <mergeCell ref="C74:D74"/>
    <mergeCell ref="C73:D73"/>
    <mergeCell ref="J82:K82"/>
    <mergeCell ref="B77:F82"/>
    <mergeCell ref="G77:G82"/>
    <mergeCell ref="H77:I82"/>
    <mergeCell ref="J77:K77"/>
    <mergeCell ref="J78:K78"/>
    <mergeCell ref="J79:K79"/>
    <mergeCell ref="J80:K80"/>
    <mergeCell ref="J81:K81"/>
    <mergeCell ref="E73:E74"/>
    <mergeCell ref="B3:I6"/>
    <mergeCell ref="M3:P5"/>
    <mergeCell ref="B10:D10"/>
    <mergeCell ref="M10:N10"/>
    <mergeCell ref="O10:P10"/>
    <mergeCell ref="C28:F28"/>
    <mergeCell ref="H28"/>
    <mergeCell ref="C29:F29"/>
    <mergeCell ref="H29"/>
    <mergeCell ref="C31:F31"/>
    <mergeCell ref="C71:D72"/>
    <mergeCell ref="J71:J72"/>
    <mergeCell ref="I71:I72"/>
    <mergeCell ref="H71:H72"/>
    <mergeCell ref="G71:G72"/>
    <mergeCell ref="F71:F72"/>
    <mergeCell ref="E71:E72"/>
    <mergeCell ref="M68:N68"/>
    <mergeCell ref="C30:F30"/>
    <mergeCell ref="E38:J38"/>
    <mergeCell ref="E39:J39"/>
    <mergeCell ref="N38:N39"/>
    <mergeCell ref="C38:D38"/>
    <mergeCell ref="C39:D39"/>
    <mergeCell ref="K38:K39"/>
    <mergeCell ref="L38:L39"/>
    <mergeCell ref="M38:M39"/>
    <mergeCell ref="C37:D37"/>
    <mergeCell ref="B32:G32"/>
    <mergeCell ref="B34:P35"/>
    <mergeCell ref="E37:J37"/>
    <mergeCell ref="H47:I47"/>
    <mergeCell ref="B61:G61"/>
    <mergeCell ref="C22:E22"/>
    <mergeCell ref="C23:E23"/>
    <mergeCell ref="C24:E24"/>
    <mergeCell ref="B25:E25"/>
    <mergeCell ref="G25:I25"/>
  </mergeCells>
  <printOptions horizontalCentered="1"/>
  <pageMargins left="0" right="0" top="0.75" bottom="0" header="0.75" footer="0"/>
  <pageSetup paperSize="9" scale="47"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FF00"/>
    <pageSetUpPr fitToPage="1"/>
  </sheetPr>
  <dimension ref="A1:AB60"/>
  <sheetViews>
    <sheetView showGridLines="0" tabSelected="1" view="pageBreakPreview" topLeftCell="A8" zoomScale="80" zoomScaleNormal="80" zoomScaleSheetLayoutView="80" workbookViewId="0">
      <selection activeCell="S19" sqref="S19:S20"/>
    </sheetView>
  </sheetViews>
  <sheetFormatPr defaultRowHeight="15" x14ac:dyDescent="0.25"/>
  <cols>
    <col min="1" max="1" width="1.7109375" style="1" customWidth="1"/>
    <col min="2" max="2" width="6.7109375" style="1" customWidth="1"/>
    <col min="3" max="3" width="18.7109375" style="2" customWidth="1"/>
    <col min="4" max="5" width="2.7109375" style="2" customWidth="1"/>
    <col min="6" max="6" width="17.7109375" style="2" customWidth="1"/>
    <col min="7" max="7" width="10.5703125" style="1" customWidth="1"/>
    <col min="8" max="13" width="7.7109375" style="1" customWidth="1"/>
    <col min="14" max="14" width="14.7109375" style="1" customWidth="1"/>
    <col min="15" max="15" width="15.7109375" style="1" customWidth="1"/>
    <col min="16" max="16" width="18.5703125" style="1" customWidth="1"/>
    <col min="17" max="18" width="14.7109375" style="1" customWidth="1"/>
    <col min="19" max="19" width="15.7109375" style="1" customWidth="1"/>
    <col min="20" max="23" width="7.7109375" style="1" customWidth="1"/>
    <col min="24" max="24" width="1.7109375" style="1" customWidth="1"/>
    <col min="25" max="54" width="15.7109375" style="1" customWidth="1"/>
    <col min="55" max="16384" width="9.140625" style="1"/>
  </cols>
  <sheetData>
    <row r="1" spans="2:23" x14ac:dyDescent="0.25">
      <c r="W1" s="95" t="s">
        <v>119</v>
      </c>
    </row>
    <row r="2" spans="2:23" ht="20.100000000000001" customHeight="1" x14ac:dyDescent="0.25">
      <c r="B2" s="83" t="s">
        <v>0</v>
      </c>
      <c r="C2" s="76"/>
      <c r="D2" s="76"/>
      <c r="E2" s="76"/>
      <c r="F2" s="76"/>
      <c r="G2" s="84"/>
      <c r="H2" s="84"/>
      <c r="I2" s="84"/>
      <c r="J2" s="84"/>
      <c r="K2" s="85" t="s">
        <v>62</v>
      </c>
      <c r="L2" s="86" t="s">
        <v>63</v>
      </c>
      <c r="M2" s="87"/>
      <c r="N2" s="87" t="s">
        <v>167</v>
      </c>
      <c r="O2" s="87"/>
      <c r="P2" s="87"/>
      <c r="Q2" s="88"/>
      <c r="R2" s="4" t="s">
        <v>68</v>
      </c>
      <c r="S2" s="4" t="s">
        <v>67</v>
      </c>
      <c r="T2" s="478" t="s">
        <v>55</v>
      </c>
      <c r="U2" s="479"/>
      <c r="V2" s="478" t="s">
        <v>54</v>
      </c>
      <c r="W2" s="479"/>
    </row>
    <row r="3" spans="2:23" ht="20.100000000000001" customHeight="1" x14ac:dyDescent="0.25">
      <c r="B3" s="619" t="s">
        <v>168</v>
      </c>
      <c r="C3" s="620"/>
      <c r="D3" s="620"/>
      <c r="E3" s="620"/>
      <c r="F3" s="620"/>
      <c r="G3" s="620"/>
      <c r="H3" s="620"/>
      <c r="I3" s="620"/>
      <c r="J3" s="620"/>
      <c r="K3" s="621"/>
      <c r="L3" s="89" t="s">
        <v>5</v>
      </c>
      <c r="M3" s="90"/>
      <c r="N3" s="90" t="s">
        <v>189</v>
      </c>
      <c r="O3" s="90"/>
      <c r="P3" s="90"/>
      <c r="Q3" s="91"/>
      <c r="R3" s="486" t="s">
        <v>161</v>
      </c>
      <c r="S3" s="487"/>
      <c r="T3" s="487"/>
      <c r="U3" s="487"/>
      <c r="V3" s="487"/>
      <c r="W3" s="488"/>
    </row>
    <row r="4" spans="2:23" ht="20.100000000000001" customHeight="1" x14ac:dyDescent="0.25">
      <c r="B4" s="622"/>
      <c r="C4" s="623"/>
      <c r="D4" s="623"/>
      <c r="E4" s="623"/>
      <c r="F4" s="623"/>
      <c r="G4" s="623"/>
      <c r="H4" s="623"/>
      <c r="I4" s="623"/>
      <c r="J4" s="623"/>
      <c r="K4" s="624"/>
      <c r="L4" s="89" t="s">
        <v>64</v>
      </c>
      <c r="M4" s="90"/>
      <c r="N4" s="90" t="s">
        <v>166</v>
      </c>
      <c r="O4" s="90"/>
      <c r="P4" s="90"/>
      <c r="Q4" s="91"/>
      <c r="R4" s="489"/>
      <c r="S4" s="490"/>
      <c r="T4" s="490"/>
      <c r="U4" s="490"/>
      <c r="V4" s="490"/>
      <c r="W4" s="491"/>
    </row>
    <row r="5" spans="2:23" ht="20.100000000000001" customHeight="1" x14ac:dyDescent="0.25">
      <c r="B5" s="622"/>
      <c r="C5" s="623"/>
      <c r="D5" s="623"/>
      <c r="E5" s="623"/>
      <c r="F5" s="623"/>
      <c r="G5" s="623"/>
      <c r="H5" s="623"/>
      <c r="I5" s="623"/>
      <c r="J5" s="623"/>
      <c r="K5" s="624"/>
      <c r="L5" s="89" t="s">
        <v>162</v>
      </c>
      <c r="M5" s="90"/>
      <c r="N5" s="90" t="s">
        <v>165</v>
      </c>
      <c r="O5" s="90"/>
      <c r="P5" s="90"/>
      <c r="Q5" s="91"/>
      <c r="R5" s="492"/>
      <c r="S5" s="493"/>
      <c r="T5" s="493"/>
      <c r="U5" s="493"/>
      <c r="V5" s="493"/>
      <c r="W5" s="494"/>
    </row>
    <row r="6" spans="2:23" ht="20.100000000000001" customHeight="1" x14ac:dyDescent="0.25">
      <c r="B6" s="625"/>
      <c r="C6" s="626"/>
      <c r="D6" s="626"/>
      <c r="E6" s="626"/>
      <c r="F6" s="626"/>
      <c r="G6" s="626"/>
      <c r="H6" s="626"/>
      <c r="I6" s="626"/>
      <c r="J6" s="626"/>
      <c r="K6" s="627"/>
      <c r="L6" s="92" t="s">
        <v>66</v>
      </c>
      <c r="M6" s="93"/>
      <c r="N6" s="93" t="s">
        <v>190</v>
      </c>
      <c r="O6" s="93"/>
      <c r="P6" s="93"/>
      <c r="Q6" s="94"/>
      <c r="R6" s="4" t="s">
        <v>69</v>
      </c>
      <c r="S6" s="4" t="s">
        <v>58</v>
      </c>
      <c r="T6" s="478" t="s">
        <v>57</v>
      </c>
      <c r="U6" s="479"/>
      <c r="V6" s="478" t="s">
        <v>56</v>
      </c>
      <c r="W6" s="479"/>
    </row>
    <row r="7" spans="2:23" s="220" customFormat="1" ht="15" customHeight="1" x14ac:dyDescent="0.3">
      <c r="B7" s="217"/>
      <c r="C7" s="218"/>
      <c r="D7" s="218"/>
      <c r="E7" s="218"/>
      <c r="F7" s="219"/>
      <c r="G7" s="219"/>
      <c r="H7" s="219"/>
      <c r="I7" s="219"/>
      <c r="W7" s="221"/>
    </row>
    <row r="8" spans="2:23" s="220" customFormat="1" ht="15" customHeight="1" x14ac:dyDescent="0.3">
      <c r="B8" s="217"/>
      <c r="C8" s="218"/>
      <c r="D8" s="218"/>
      <c r="E8" s="218"/>
      <c r="F8" s="218"/>
      <c r="G8" s="218"/>
      <c r="H8" s="218"/>
      <c r="I8" s="218"/>
      <c r="W8" s="221"/>
    </row>
    <row r="9" spans="2:23" s="227" customFormat="1" ht="39.950000000000003" customHeight="1" x14ac:dyDescent="0.35">
      <c r="B9" s="222" t="s">
        <v>8</v>
      </c>
      <c r="C9" s="223"/>
      <c r="D9" s="223"/>
      <c r="E9" s="223"/>
      <c r="F9" s="223"/>
      <c r="G9" s="223"/>
      <c r="H9" s="223"/>
      <c r="I9" s="224" t="str">
        <f>+'TAHAP 1'!G8</f>
        <v>: SAI</v>
      </c>
      <c r="J9" s="223"/>
      <c r="K9" s="223"/>
      <c r="L9" s="223"/>
      <c r="M9" s="223"/>
      <c r="N9" s="223"/>
      <c r="O9" s="223"/>
      <c r="P9" s="225"/>
      <c r="Q9" s="225"/>
      <c r="R9" s="225"/>
      <c r="S9" s="225"/>
      <c r="T9" s="225"/>
      <c r="U9" s="225"/>
      <c r="V9" s="225"/>
      <c r="W9" s="226"/>
    </row>
    <row r="10" spans="2:23" s="227" customFormat="1" ht="39.950000000000003" customHeight="1" x14ac:dyDescent="0.35">
      <c r="B10" s="269" t="s">
        <v>9</v>
      </c>
      <c r="C10" s="228"/>
      <c r="D10" s="228"/>
      <c r="E10" s="228"/>
      <c r="F10" s="228"/>
      <c r="G10" s="228"/>
      <c r="H10" s="228"/>
      <c r="I10" s="224" t="str">
        <f>+'TAHAP 1'!G9</f>
        <v>: YIG QUALITY MEETING</v>
      </c>
      <c r="J10" s="228"/>
      <c r="K10" s="228"/>
      <c r="L10" s="228"/>
      <c r="M10" s="228"/>
      <c r="N10" s="228"/>
      <c r="O10" s="228"/>
      <c r="P10" s="225"/>
      <c r="Q10" s="225"/>
      <c r="R10" s="225"/>
      <c r="S10" s="225"/>
      <c r="T10" s="225"/>
      <c r="U10" s="225"/>
      <c r="V10" s="225"/>
      <c r="W10" s="226"/>
    </row>
    <row r="11" spans="2:23" s="231" customFormat="1" ht="20.100000000000001" customHeight="1" x14ac:dyDescent="0.25">
      <c r="B11" s="229"/>
      <c r="C11" s="230"/>
      <c r="D11" s="230"/>
      <c r="E11" s="230"/>
      <c r="F11" s="230"/>
      <c r="N11" s="232"/>
      <c r="O11" s="232"/>
      <c r="P11" s="232"/>
      <c r="Q11" s="232"/>
      <c r="R11" s="232"/>
      <c r="S11" s="232"/>
      <c r="T11" s="232"/>
      <c r="U11" s="232"/>
      <c r="V11" s="232"/>
      <c r="W11" s="233"/>
    </row>
    <row r="12" spans="2:23" s="231" customFormat="1" ht="20.100000000000001" customHeight="1" x14ac:dyDescent="0.25">
      <c r="B12" s="229"/>
      <c r="C12" s="230"/>
      <c r="D12" s="230"/>
      <c r="E12" s="230"/>
      <c r="F12" s="230"/>
      <c r="N12" s="232"/>
      <c r="O12" s="232"/>
      <c r="P12" s="232"/>
      <c r="Q12" s="232"/>
      <c r="R12" s="232"/>
      <c r="S12" s="232"/>
      <c r="T12" s="232"/>
      <c r="U12" s="232"/>
      <c r="V12" s="232"/>
      <c r="W12" s="233"/>
    </row>
    <row r="13" spans="2:23" s="231" customFormat="1" ht="20.100000000000001" customHeight="1" x14ac:dyDescent="0.25">
      <c r="B13" s="229"/>
      <c r="C13" s="230"/>
      <c r="D13" s="230"/>
      <c r="E13" s="230"/>
      <c r="F13" s="230"/>
      <c r="N13" s="232"/>
      <c r="O13" s="232"/>
      <c r="P13" s="232"/>
      <c r="Q13" s="232"/>
      <c r="R13" s="232"/>
      <c r="S13" s="232"/>
      <c r="T13" s="232"/>
      <c r="U13" s="232"/>
      <c r="V13" s="232"/>
      <c r="W13" s="233"/>
    </row>
    <row r="14" spans="2:23" s="232" customFormat="1" ht="24.95" customHeight="1" x14ac:dyDescent="0.25">
      <c r="B14" s="234" t="s">
        <v>180</v>
      </c>
      <c r="C14" s="235"/>
      <c r="D14" s="235"/>
      <c r="E14" s="235"/>
      <c r="F14" s="235"/>
      <c r="W14" s="236"/>
    </row>
    <row r="15" spans="2:23" s="239" customFormat="1" ht="24.95" customHeight="1" x14ac:dyDescent="0.25">
      <c r="B15" s="645" t="s">
        <v>1</v>
      </c>
      <c r="C15" s="648" t="s">
        <v>5</v>
      </c>
      <c r="D15" s="649"/>
      <c r="E15" s="649"/>
      <c r="F15" s="650"/>
      <c r="G15" s="648" t="s">
        <v>4</v>
      </c>
      <c r="H15" s="650"/>
      <c r="I15" s="657" t="s">
        <v>61</v>
      </c>
      <c r="J15" s="658"/>
      <c r="K15" s="636" t="s">
        <v>2</v>
      </c>
      <c r="L15" s="638"/>
      <c r="M15" s="636" t="s">
        <v>3</v>
      </c>
      <c r="N15" s="637"/>
      <c r="O15" s="638"/>
      <c r="P15" s="237">
        <v>1</v>
      </c>
      <c r="Q15" s="237">
        <v>2</v>
      </c>
      <c r="R15" s="237">
        <v>3</v>
      </c>
      <c r="S15" s="237">
        <v>4</v>
      </c>
      <c r="T15" s="664">
        <v>5</v>
      </c>
      <c r="U15" s="665"/>
      <c r="V15" s="238"/>
      <c r="W15" s="663"/>
    </row>
    <row r="16" spans="2:23" s="239" customFormat="1" ht="16.5" customHeight="1" x14ac:dyDescent="0.25">
      <c r="B16" s="646"/>
      <c r="C16" s="651"/>
      <c r="D16" s="652"/>
      <c r="E16" s="652"/>
      <c r="F16" s="653"/>
      <c r="G16" s="651"/>
      <c r="H16" s="653"/>
      <c r="I16" s="659"/>
      <c r="J16" s="660"/>
      <c r="K16" s="639"/>
      <c r="L16" s="641"/>
      <c r="M16" s="639"/>
      <c r="N16" s="640"/>
      <c r="O16" s="641"/>
      <c r="P16" s="707" t="s">
        <v>191</v>
      </c>
      <c r="Q16" s="716" t="s">
        <v>194</v>
      </c>
      <c r="R16" s="716" t="s">
        <v>212</v>
      </c>
      <c r="S16" s="716" t="s">
        <v>181</v>
      </c>
      <c r="T16" s="710" t="s">
        <v>182</v>
      </c>
      <c r="U16" s="711"/>
      <c r="V16" s="238"/>
      <c r="W16" s="663"/>
    </row>
    <row r="17" spans="2:28" s="239" customFormat="1" ht="16.5" customHeight="1" x14ac:dyDescent="0.25">
      <c r="B17" s="646"/>
      <c r="C17" s="651"/>
      <c r="D17" s="652"/>
      <c r="E17" s="652"/>
      <c r="F17" s="653"/>
      <c r="G17" s="651"/>
      <c r="H17" s="653"/>
      <c r="I17" s="659"/>
      <c r="J17" s="660"/>
      <c r="K17" s="639"/>
      <c r="L17" s="641"/>
      <c r="M17" s="639"/>
      <c r="N17" s="640"/>
      <c r="O17" s="641"/>
      <c r="P17" s="708"/>
      <c r="Q17" s="717"/>
      <c r="R17" s="717"/>
      <c r="S17" s="717"/>
      <c r="T17" s="712"/>
      <c r="U17" s="713"/>
      <c r="V17" s="238"/>
      <c r="W17" s="663"/>
    </row>
    <row r="18" spans="2:28" s="239" customFormat="1" ht="17.100000000000001" customHeight="1" x14ac:dyDescent="0.25">
      <c r="B18" s="647"/>
      <c r="C18" s="654"/>
      <c r="D18" s="655"/>
      <c r="E18" s="655"/>
      <c r="F18" s="656"/>
      <c r="G18" s="654"/>
      <c r="H18" s="656"/>
      <c r="I18" s="661"/>
      <c r="J18" s="662"/>
      <c r="K18" s="642"/>
      <c r="L18" s="644"/>
      <c r="M18" s="642"/>
      <c r="N18" s="643"/>
      <c r="O18" s="644"/>
      <c r="P18" s="709"/>
      <c r="Q18" s="718"/>
      <c r="R18" s="718"/>
      <c r="S18" s="718"/>
      <c r="T18" s="714"/>
      <c r="U18" s="715"/>
      <c r="V18" s="238"/>
      <c r="W18" s="663"/>
    </row>
    <row r="19" spans="2:28" s="240" customFormat="1" ht="99.95" customHeight="1" x14ac:dyDescent="0.25">
      <c r="B19" s="316">
        <v>1</v>
      </c>
      <c r="C19" s="241">
        <f>+'TAHAP 1'!C13</f>
        <v>45498</v>
      </c>
      <c r="D19" s="628" t="s">
        <v>6</v>
      </c>
      <c r="E19" s="628"/>
      <c r="F19" s="297">
        <f>+'TAHAP 1'!F13</f>
        <v>45499</v>
      </c>
      <c r="G19" s="629" t="str">
        <f>+'TAHAP 1'!G13:H13</f>
        <v>QA</v>
      </c>
      <c r="H19" s="630"/>
      <c r="I19" s="631" t="str">
        <f>+'TAHAP 1'!I13:J13</f>
        <v>CSPV</v>
      </c>
      <c r="J19" s="632"/>
      <c r="K19" s="629">
        <f>'TAHAP 1'!K13:L13</f>
        <v>703</v>
      </c>
      <c r="L19" s="630"/>
      <c r="M19" s="633" t="str">
        <f>+'TAHAP 1'!M13</f>
        <v>ARY SUSANTO</v>
      </c>
      <c r="N19" s="634"/>
      <c r="O19" s="635"/>
      <c r="P19" s="298" t="s">
        <v>244</v>
      </c>
      <c r="Q19" s="299" t="s">
        <v>7</v>
      </c>
      <c r="R19" s="613" t="s">
        <v>246</v>
      </c>
      <c r="S19" s="613"/>
      <c r="T19" s="615"/>
      <c r="U19" s="616"/>
      <c r="V19" s="220"/>
      <c r="W19" s="242"/>
      <c r="Y19" s="243" t="str">
        <f>+G19</f>
        <v>QA</v>
      </c>
      <c r="Z19" s="243" t="str">
        <f>+I19</f>
        <v>CSPV</v>
      </c>
      <c r="AA19" s="243">
        <f>+K19</f>
        <v>703</v>
      </c>
      <c r="AB19" s="243" t="str">
        <f>+M19</f>
        <v>ARY SUSANTO</v>
      </c>
    </row>
    <row r="20" spans="2:28" s="240" customFormat="1" ht="99.95" customHeight="1" x14ac:dyDescent="0.25">
      <c r="B20" s="316">
        <v>2</v>
      </c>
      <c r="C20" s="241">
        <f>+'TAHAP 1'!C14</f>
        <v>45498</v>
      </c>
      <c r="D20" s="694" t="s">
        <v>6</v>
      </c>
      <c r="E20" s="694"/>
      <c r="F20" s="297">
        <f>+'TAHAP 1'!F14</f>
        <v>45499</v>
      </c>
      <c r="G20" s="629" t="str">
        <f>+'TAHAP 1'!G14:H14</f>
        <v>QA</v>
      </c>
      <c r="H20" s="630"/>
      <c r="I20" s="631" t="str">
        <f>+'TAHAP 1'!I14:J14</f>
        <v>SPV</v>
      </c>
      <c r="J20" s="632"/>
      <c r="K20" s="629">
        <f>'TAHAP 1'!K14:L14</f>
        <v>13636</v>
      </c>
      <c r="L20" s="630"/>
      <c r="M20" s="633" t="str">
        <f>+'TAHAP 1'!M14</f>
        <v>IRAWAN RAHARDIANTO</v>
      </c>
      <c r="N20" s="634"/>
      <c r="O20" s="635"/>
      <c r="P20" s="298" t="s">
        <v>245</v>
      </c>
      <c r="Q20" s="300" t="s">
        <v>244</v>
      </c>
      <c r="R20" s="614"/>
      <c r="S20" s="614"/>
      <c r="T20" s="617"/>
      <c r="U20" s="618"/>
      <c r="V20" s="220"/>
      <c r="W20" s="242"/>
      <c r="Y20" s="243" t="str">
        <f t="shared" ref="Y20:Y21" si="0">+G20</f>
        <v>QA</v>
      </c>
      <c r="Z20" s="243" t="str">
        <f t="shared" ref="Z20:Z21" si="1">+I20</f>
        <v>SPV</v>
      </c>
      <c r="AA20" s="243">
        <f t="shared" ref="AA20:AA21" si="2">+K20</f>
        <v>13636</v>
      </c>
      <c r="AB20" s="243" t="str">
        <f t="shared" ref="AB20:AB21" si="3">+M20</f>
        <v>IRAWAN RAHARDIANTO</v>
      </c>
    </row>
    <row r="21" spans="2:28" s="240" customFormat="1" ht="99.95" customHeight="1" x14ac:dyDescent="0.25">
      <c r="B21" s="316">
        <v>3</v>
      </c>
      <c r="C21" s="327"/>
      <c r="D21" s="694"/>
      <c r="E21" s="694"/>
      <c r="F21" s="328"/>
      <c r="G21" s="695"/>
      <c r="H21" s="696"/>
      <c r="I21" s="695"/>
      <c r="J21" s="696"/>
      <c r="K21" s="695"/>
      <c r="L21" s="696"/>
      <c r="M21" s="697"/>
      <c r="N21" s="698"/>
      <c r="O21" s="699"/>
      <c r="P21" s="300"/>
      <c r="Q21" s="335"/>
      <c r="R21" s="335"/>
      <c r="S21" s="300"/>
      <c r="T21" s="342"/>
      <c r="U21" s="343"/>
      <c r="V21" s="220"/>
      <c r="W21" s="242"/>
      <c r="Y21" s="243">
        <f t="shared" si="0"/>
        <v>0</v>
      </c>
      <c r="Z21" s="243">
        <f t="shared" si="1"/>
        <v>0</v>
      </c>
      <c r="AA21" s="243">
        <f t="shared" si="2"/>
        <v>0</v>
      </c>
      <c r="AB21" s="243">
        <f t="shared" si="3"/>
        <v>0</v>
      </c>
    </row>
    <row r="22" spans="2:28" s="231" customFormat="1" x14ac:dyDescent="0.25">
      <c r="B22" s="229"/>
      <c r="C22" s="230"/>
      <c r="D22" s="230"/>
      <c r="E22" s="230"/>
      <c r="F22" s="230"/>
      <c r="W22" s="233"/>
    </row>
    <row r="23" spans="2:28" s="231" customFormat="1" x14ac:dyDescent="0.25">
      <c r="B23" s="229"/>
      <c r="C23" s="230"/>
      <c r="D23" s="230"/>
      <c r="E23" s="230"/>
      <c r="F23" s="230"/>
      <c r="W23" s="233"/>
    </row>
    <row r="24" spans="2:28" s="231" customFormat="1" x14ac:dyDescent="0.25">
      <c r="B24" s="229"/>
      <c r="C24" s="230"/>
      <c r="D24" s="230"/>
      <c r="E24" s="230"/>
      <c r="F24" s="230"/>
      <c r="W24" s="233"/>
    </row>
    <row r="25" spans="2:28" s="231" customFormat="1" x14ac:dyDescent="0.25">
      <c r="B25" s="229"/>
      <c r="C25" s="230"/>
      <c r="D25" s="230"/>
      <c r="E25" s="230"/>
      <c r="F25" s="230"/>
      <c r="W25" s="233"/>
    </row>
    <row r="26" spans="2:28" s="231" customFormat="1" x14ac:dyDescent="0.25">
      <c r="B26" s="229"/>
      <c r="C26" s="230"/>
      <c r="D26" s="230"/>
      <c r="E26" s="230"/>
      <c r="F26" s="230"/>
      <c r="W26" s="233"/>
    </row>
    <row r="27" spans="2:28" s="235" customFormat="1" ht="27.95" customHeight="1" x14ac:dyDescent="0.25">
      <c r="B27" s="752" t="s">
        <v>184</v>
      </c>
      <c r="C27" s="753"/>
      <c r="D27" s="753"/>
      <c r="E27" s="753"/>
      <c r="F27" s="753"/>
      <c r="G27" s="753"/>
      <c r="H27" s="753"/>
      <c r="I27" s="753"/>
      <c r="J27" s="753"/>
      <c r="K27" s="754"/>
      <c r="L27" s="648" t="s">
        <v>185</v>
      </c>
      <c r="M27" s="649"/>
      <c r="N27" s="650"/>
      <c r="O27" s="759" t="s">
        <v>204</v>
      </c>
      <c r="P27" s="760"/>
      <c r="Q27" s="760"/>
      <c r="R27" s="761"/>
      <c r="S27" s="700" t="s">
        <v>37</v>
      </c>
      <c r="T27" s="700"/>
      <c r="U27" s="700"/>
      <c r="V27" s="700"/>
      <c r="W27" s="244"/>
    </row>
    <row r="28" spans="2:28" s="235" customFormat="1" ht="27.95" customHeight="1" x14ac:dyDescent="0.25">
      <c r="B28" s="752"/>
      <c r="C28" s="753"/>
      <c r="D28" s="753"/>
      <c r="E28" s="753"/>
      <c r="F28" s="753"/>
      <c r="G28" s="753"/>
      <c r="H28" s="753"/>
      <c r="I28" s="753"/>
      <c r="J28" s="753"/>
      <c r="K28" s="754"/>
      <c r="L28" s="651"/>
      <c r="M28" s="652"/>
      <c r="N28" s="653"/>
      <c r="O28" s="657" t="s">
        <v>227</v>
      </c>
      <c r="P28" s="658"/>
      <c r="Q28" s="657" t="s">
        <v>221</v>
      </c>
      <c r="R28" s="658"/>
      <c r="S28" s="770" t="s">
        <v>232</v>
      </c>
      <c r="T28" s="771"/>
      <c r="U28" s="771"/>
      <c r="V28" s="772"/>
      <c r="W28" s="244"/>
    </row>
    <row r="29" spans="2:28" s="235" customFormat="1" ht="27.95" customHeight="1" x14ac:dyDescent="0.25">
      <c r="B29" s="752"/>
      <c r="C29" s="753"/>
      <c r="D29" s="753"/>
      <c r="E29" s="753"/>
      <c r="F29" s="753"/>
      <c r="G29" s="753"/>
      <c r="H29" s="753"/>
      <c r="I29" s="753"/>
      <c r="J29" s="753"/>
      <c r="K29" s="754"/>
      <c r="L29" s="282"/>
      <c r="M29" s="317"/>
      <c r="N29" s="283"/>
      <c r="O29" s="659"/>
      <c r="P29" s="660"/>
      <c r="Q29" s="659"/>
      <c r="R29" s="660"/>
      <c r="S29" s="773"/>
      <c r="T29" s="774"/>
      <c r="U29" s="774"/>
      <c r="V29" s="775"/>
      <c r="W29" s="244"/>
    </row>
    <row r="30" spans="2:28" s="235" customFormat="1" ht="60" hidden="1" customHeight="1" x14ac:dyDescent="0.25">
      <c r="B30" s="752"/>
      <c r="C30" s="753"/>
      <c r="D30" s="753"/>
      <c r="E30" s="753"/>
      <c r="F30" s="753"/>
      <c r="G30" s="753"/>
      <c r="H30" s="753"/>
      <c r="I30" s="753"/>
      <c r="J30" s="753"/>
      <c r="K30" s="754"/>
      <c r="L30" s="282"/>
      <c r="M30" s="317"/>
      <c r="N30" s="283"/>
      <c r="O30" s="744"/>
      <c r="P30" s="745"/>
      <c r="Q30" s="659"/>
      <c r="R30" s="660"/>
      <c r="S30" s="319"/>
      <c r="T30" s="320"/>
      <c r="U30" s="320"/>
      <c r="V30" s="321"/>
      <c r="W30" s="244"/>
    </row>
    <row r="31" spans="2:28" s="235" customFormat="1" ht="27.95" hidden="1" customHeight="1" x14ac:dyDescent="0.25">
      <c r="B31" s="752"/>
      <c r="C31" s="753"/>
      <c r="D31" s="753"/>
      <c r="E31" s="753"/>
      <c r="F31" s="753"/>
      <c r="G31" s="753"/>
      <c r="H31" s="753"/>
      <c r="I31" s="753"/>
      <c r="J31" s="753"/>
      <c r="K31" s="754"/>
      <c r="L31" s="282"/>
      <c r="M31" s="317"/>
      <c r="N31" s="283"/>
      <c r="O31" s="290"/>
      <c r="P31" s="291"/>
      <c r="Q31" s="659"/>
      <c r="R31" s="660"/>
      <c r="S31" s="319"/>
      <c r="T31" s="320"/>
      <c r="U31" s="320"/>
      <c r="V31" s="321"/>
      <c r="W31" s="244"/>
    </row>
    <row r="32" spans="2:28" s="235" customFormat="1" ht="60" hidden="1" customHeight="1" x14ac:dyDescent="0.25">
      <c r="B32" s="755"/>
      <c r="C32" s="756"/>
      <c r="D32" s="756"/>
      <c r="E32" s="756"/>
      <c r="F32" s="756"/>
      <c r="G32" s="756"/>
      <c r="H32" s="756"/>
      <c r="I32" s="756"/>
      <c r="J32" s="756"/>
      <c r="K32" s="757"/>
      <c r="L32" s="284"/>
      <c r="M32" s="285"/>
      <c r="N32" s="286"/>
      <c r="O32" s="746"/>
      <c r="P32" s="747"/>
      <c r="Q32" s="661"/>
      <c r="R32" s="662"/>
      <c r="S32" s="322"/>
      <c r="T32" s="323"/>
      <c r="U32" s="323"/>
      <c r="V32" s="324"/>
      <c r="W32" s="244"/>
    </row>
    <row r="33" spans="2:23" s="235" customFormat="1" ht="50.1" customHeight="1" x14ac:dyDescent="0.25">
      <c r="B33" s="329" t="s">
        <v>1</v>
      </c>
      <c r="C33" s="664" t="s">
        <v>3</v>
      </c>
      <c r="D33" s="758"/>
      <c r="E33" s="758"/>
      <c r="F33" s="665"/>
      <c r="G33" s="329" t="s">
        <v>2</v>
      </c>
      <c r="H33" s="759" t="s">
        <v>160</v>
      </c>
      <c r="I33" s="760"/>
      <c r="J33" s="760"/>
      <c r="K33" s="761"/>
      <c r="L33" s="762" t="s">
        <v>186</v>
      </c>
      <c r="M33" s="763"/>
      <c r="N33" s="318" t="s">
        <v>195</v>
      </c>
      <c r="O33" s="331" t="s">
        <v>187</v>
      </c>
      <c r="P33" s="331" t="s">
        <v>195</v>
      </c>
      <c r="Q33" s="331" t="s">
        <v>187</v>
      </c>
      <c r="R33" s="331" t="s">
        <v>195</v>
      </c>
      <c r="S33" s="331" t="s">
        <v>187</v>
      </c>
      <c r="T33" s="766" t="s">
        <v>195</v>
      </c>
      <c r="U33" s="766"/>
      <c r="V33" s="766"/>
      <c r="W33" s="244" t="s">
        <v>206</v>
      </c>
    </row>
    <row r="34" spans="2:23" s="245" customFormat="1" ht="50.1" customHeight="1" x14ac:dyDescent="0.25">
      <c r="B34" s="246">
        <f>+'TAPAH 2.2 (Rincian)'!B29</f>
        <v>1</v>
      </c>
      <c r="C34" s="247" t="str">
        <f>+'TAPAH 2.2 (Rincian)'!C29:F29</f>
        <v>ARY SUSANTO</v>
      </c>
      <c r="D34" s="248"/>
      <c r="E34" s="248"/>
      <c r="F34" s="249"/>
      <c r="G34" s="246">
        <f>+'TAHAP 1'!K13</f>
        <v>703</v>
      </c>
      <c r="H34" s="704"/>
      <c r="I34" s="705"/>
      <c r="J34" s="705"/>
      <c r="K34" s="706"/>
      <c r="L34" s="750">
        <f>+'TAPAH 2.2 (Rincian)'!H29</f>
        <v>162500</v>
      </c>
      <c r="M34" s="751"/>
      <c r="N34" s="336"/>
      <c r="O34" s="314">
        <f>+'TAPAH 2.2 (Rincian)'!I63</f>
        <v>2850000</v>
      </c>
      <c r="P34" s="336"/>
      <c r="Q34" s="250">
        <v>0</v>
      </c>
      <c r="R34" s="336"/>
      <c r="S34" s="250"/>
      <c r="T34" s="765"/>
      <c r="U34" s="765"/>
      <c r="V34" s="765"/>
      <c r="W34" s="251"/>
    </row>
    <row r="35" spans="2:23" s="245" customFormat="1" ht="50.1" customHeight="1" x14ac:dyDescent="0.25">
      <c r="B35" s="301">
        <f>+'TAPAH 2.2 (Rincian)'!B30</f>
        <v>2</v>
      </c>
      <c r="C35" s="302" t="str">
        <f>+'TAPAH 2.2 (Rincian)'!C30:F30</f>
        <v>IRAWAN RAHARDIANTO</v>
      </c>
      <c r="D35" s="303"/>
      <c r="E35" s="303"/>
      <c r="F35" s="304"/>
      <c r="G35" s="301">
        <f>+'TAHAP 1'!K14</f>
        <v>13636</v>
      </c>
      <c r="H35" s="305"/>
      <c r="I35" s="306"/>
      <c r="J35" s="306"/>
      <c r="K35" s="307"/>
      <c r="L35" s="742">
        <f>+'TAPAH 2.2 (Rincian)'!H30</f>
        <v>162500</v>
      </c>
      <c r="M35" s="743"/>
      <c r="N35" s="308"/>
      <c r="O35" s="315">
        <v>0</v>
      </c>
      <c r="P35" s="308"/>
      <c r="Q35" s="309">
        <v>0</v>
      </c>
      <c r="R35" s="310"/>
      <c r="S35" s="311"/>
      <c r="T35" s="767"/>
      <c r="U35" s="768"/>
      <c r="V35" s="769"/>
      <c r="W35" s="251"/>
    </row>
    <row r="36" spans="2:23" s="245" customFormat="1" ht="50.1" customHeight="1" thickBot="1" x14ac:dyDescent="0.3">
      <c r="B36" s="252">
        <f>+'TAPAH 2.2 (Rincian)'!B31</f>
        <v>3</v>
      </c>
      <c r="C36" s="253">
        <f>+'TAPAH 2.2 (Rincian)'!C31:F31</f>
        <v>0</v>
      </c>
      <c r="D36" s="312"/>
      <c r="E36" s="312"/>
      <c r="F36" s="313"/>
      <c r="G36" s="252">
        <f>+'TAHAP 1'!K15</f>
        <v>0</v>
      </c>
      <c r="H36" s="254"/>
      <c r="I36" s="255"/>
      <c r="J36" s="255"/>
      <c r="K36" s="256"/>
      <c r="L36" s="748">
        <f>+'TAPAH 2.2 (Rincian)'!H31</f>
        <v>0</v>
      </c>
      <c r="M36" s="749"/>
      <c r="N36" s="330"/>
      <c r="O36" s="332">
        <v>0</v>
      </c>
      <c r="P36" s="330"/>
      <c r="Q36" s="275">
        <v>0</v>
      </c>
      <c r="R36" s="287"/>
      <c r="S36" s="275"/>
      <c r="T36" s="764"/>
      <c r="U36" s="764"/>
      <c r="V36" s="764"/>
      <c r="W36" s="251"/>
    </row>
    <row r="37" spans="2:23" s="235" customFormat="1" ht="35.1" customHeight="1" thickTop="1" x14ac:dyDescent="0.25">
      <c r="B37" s="702" t="s">
        <v>179</v>
      </c>
      <c r="C37" s="702"/>
      <c r="D37" s="702"/>
      <c r="E37" s="702"/>
      <c r="F37" s="702"/>
      <c r="G37" s="702"/>
      <c r="H37" s="702"/>
      <c r="I37" s="702"/>
      <c r="J37" s="702"/>
      <c r="K37" s="702"/>
      <c r="L37" s="703">
        <f>SUM(L34:M36)</f>
        <v>325000</v>
      </c>
      <c r="M37" s="703"/>
      <c r="N37" s="703"/>
      <c r="O37" s="703">
        <f>SUM(O34:O36)</f>
        <v>2850000</v>
      </c>
      <c r="P37" s="703"/>
      <c r="Q37" s="703">
        <f>SUM(Q34:Q36)</f>
        <v>0</v>
      </c>
      <c r="R37" s="703"/>
      <c r="S37" s="703">
        <f>SUM(S34:S36)</f>
        <v>0</v>
      </c>
      <c r="T37" s="703"/>
      <c r="U37" s="703"/>
      <c r="V37" s="703"/>
      <c r="W37" s="244"/>
    </row>
    <row r="38" spans="2:23" s="245" customFormat="1" ht="45" customHeight="1" x14ac:dyDescent="0.25">
      <c r="B38" s="701" t="s">
        <v>12</v>
      </c>
      <c r="C38" s="701"/>
      <c r="D38" s="701"/>
      <c r="E38" s="701"/>
      <c r="F38" s="701"/>
      <c r="G38" s="701"/>
      <c r="H38" s="701"/>
      <c r="I38" s="701"/>
      <c r="J38" s="701"/>
      <c r="K38" s="701"/>
      <c r="L38" s="675">
        <f>SUM(L37:V37)</f>
        <v>3175000</v>
      </c>
      <c r="M38" s="675"/>
      <c r="N38" s="675"/>
      <c r="O38" s="675"/>
      <c r="P38" s="675"/>
      <c r="Q38" s="675"/>
      <c r="R38" s="675"/>
      <c r="S38" s="675"/>
      <c r="T38" s="675"/>
      <c r="U38" s="675"/>
      <c r="V38" s="675"/>
      <c r="W38" s="251"/>
    </row>
    <row r="39" spans="2:23" s="231" customFormat="1" ht="20.100000000000001" customHeight="1" x14ac:dyDescent="0.25">
      <c r="B39" s="229"/>
      <c r="C39" s="230"/>
      <c r="D39" s="230"/>
      <c r="E39" s="230"/>
      <c r="F39" s="230"/>
      <c r="W39" s="233"/>
    </row>
    <row r="40" spans="2:23" s="231" customFormat="1" ht="20.100000000000001" customHeight="1" x14ac:dyDescent="0.25">
      <c r="B40" s="229"/>
      <c r="C40" s="230"/>
      <c r="D40" s="230"/>
      <c r="E40" s="230"/>
      <c r="F40" s="230"/>
      <c r="W40" s="233"/>
    </row>
    <row r="41" spans="2:23" s="231" customFormat="1" ht="20.100000000000001" customHeight="1" x14ac:dyDescent="0.25">
      <c r="B41" s="666" t="s">
        <v>214</v>
      </c>
      <c r="C41" s="667"/>
      <c r="D41" s="667"/>
      <c r="E41" s="667"/>
      <c r="F41" s="667"/>
      <c r="G41" s="667"/>
      <c r="H41" s="667"/>
      <c r="I41" s="667"/>
      <c r="J41" s="667"/>
      <c r="K41" s="667"/>
      <c r="L41" s="667"/>
      <c r="M41" s="667"/>
      <c r="N41" s="667"/>
      <c r="O41" s="667"/>
      <c r="P41" s="667"/>
      <c r="Q41" s="667"/>
      <c r="R41" s="668"/>
      <c r="S41" s="257"/>
      <c r="T41" s="676" t="s">
        <v>213</v>
      </c>
      <c r="U41" s="677"/>
      <c r="V41" s="678"/>
      <c r="W41" s="233"/>
    </row>
    <row r="42" spans="2:23" s="231" customFormat="1" ht="20.100000000000001" customHeight="1" x14ac:dyDescent="0.25">
      <c r="B42" s="669"/>
      <c r="C42" s="670"/>
      <c r="D42" s="670"/>
      <c r="E42" s="670"/>
      <c r="F42" s="670"/>
      <c r="G42" s="670"/>
      <c r="H42" s="670"/>
      <c r="I42" s="670"/>
      <c r="J42" s="670"/>
      <c r="K42" s="670"/>
      <c r="L42" s="670"/>
      <c r="M42" s="670"/>
      <c r="N42" s="670"/>
      <c r="O42" s="670"/>
      <c r="P42" s="670"/>
      <c r="Q42" s="670"/>
      <c r="R42" s="671"/>
      <c r="S42" s="257"/>
      <c r="T42" s="679"/>
      <c r="U42" s="680"/>
      <c r="V42" s="681"/>
      <c r="W42" s="233"/>
    </row>
    <row r="43" spans="2:23" s="231" customFormat="1" ht="20.100000000000001" customHeight="1" x14ac:dyDescent="0.25">
      <c r="B43" s="669"/>
      <c r="C43" s="670"/>
      <c r="D43" s="670"/>
      <c r="E43" s="670"/>
      <c r="F43" s="670"/>
      <c r="G43" s="670"/>
      <c r="H43" s="670"/>
      <c r="I43" s="670"/>
      <c r="J43" s="670"/>
      <c r="K43" s="670"/>
      <c r="L43" s="670"/>
      <c r="M43" s="670"/>
      <c r="N43" s="670"/>
      <c r="O43" s="670"/>
      <c r="P43" s="670"/>
      <c r="Q43" s="670"/>
      <c r="R43" s="671"/>
      <c r="S43" s="257"/>
      <c r="T43" s="682"/>
      <c r="U43" s="683"/>
      <c r="V43" s="684"/>
      <c r="W43" s="233"/>
    </row>
    <row r="44" spans="2:23" s="231" customFormat="1" ht="20.100000000000001" customHeight="1" x14ac:dyDescent="0.25">
      <c r="B44" s="669"/>
      <c r="C44" s="670"/>
      <c r="D44" s="670"/>
      <c r="E44" s="670"/>
      <c r="F44" s="670"/>
      <c r="G44" s="670"/>
      <c r="H44" s="670"/>
      <c r="I44" s="670"/>
      <c r="J44" s="670"/>
      <c r="K44" s="670"/>
      <c r="L44" s="670"/>
      <c r="M44" s="670"/>
      <c r="N44" s="670"/>
      <c r="O44" s="670"/>
      <c r="P44" s="670"/>
      <c r="Q44" s="670"/>
      <c r="R44" s="671"/>
      <c r="S44" s="257"/>
      <c r="T44" s="685" t="s">
        <v>183</v>
      </c>
      <c r="U44" s="686"/>
      <c r="V44" s="687"/>
      <c r="W44" s="233"/>
    </row>
    <row r="45" spans="2:23" s="232" customFormat="1" ht="20.100000000000001" customHeight="1" x14ac:dyDescent="0.25">
      <c r="B45" s="669"/>
      <c r="C45" s="670"/>
      <c r="D45" s="670"/>
      <c r="E45" s="670"/>
      <c r="F45" s="670"/>
      <c r="G45" s="670"/>
      <c r="H45" s="670"/>
      <c r="I45" s="670"/>
      <c r="J45" s="670"/>
      <c r="K45" s="670"/>
      <c r="L45" s="670"/>
      <c r="M45" s="670"/>
      <c r="N45" s="670"/>
      <c r="O45" s="670"/>
      <c r="P45" s="670"/>
      <c r="Q45" s="670"/>
      <c r="R45" s="671"/>
      <c r="S45" s="257"/>
      <c r="T45" s="688"/>
      <c r="U45" s="689"/>
      <c r="V45" s="690"/>
      <c r="W45" s="236"/>
    </row>
    <row r="46" spans="2:23" s="232" customFormat="1" ht="20.100000000000001" customHeight="1" x14ac:dyDescent="0.25">
      <c r="B46" s="669"/>
      <c r="C46" s="670"/>
      <c r="D46" s="670"/>
      <c r="E46" s="670"/>
      <c r="F46" s="670"/>
      <c r="G46" s="670"/>
      <c r="H46" s="670"/>
      <c r="I46" s="670"/>
      <c r="J46" s="670"/>
      <c r="K46" s="670"/>
      <c r="L46" s="670"/>
      <c r="M46" s="670"/>
      <c r="N46" s="670"/>
      <c r="O46" s="670"/>
      <c r="P46" s="670"/>
      <c r="Q46" s="670"/>
      <c r="R46" s="671"/>
      <c r="S46" s="257"/>
      <c r="T46" s="688"/>
      <c r="U46" s="689"/>
      <c r="V46" s="690"/>
      <c r="W46" s="258"/>
    </row>
    <row r="47" spans="2:23" s="232" customFormat="1" ht="20.100000000000001" customHeight="1" x14ac:dyDescent="0.25">
      <c r="B47" s="672"/>
      <c r="C47" s="673"/>
      <c r="D47" s="673"/>
      <c r="E47" s="673"/>
      <c r="F47" s="673"/>
      <c r="G47" s="673"/>
      <c r="H47" s="673"/>
      <c r="I47" s="673"/>
      <c r="J47" s="673"/>
      <c r="K47" s="673"/>
      <c r="L47" s="673"/>
      <c r="M47" s="673"/>
      <c r="N47" s="673"/>
      <c r="O47" s="673"/>
      <c r="P47" s="673"/>
      <c r="Q47" s="673"/>
      <c r="R47" s="674"/>
      <c r="S47" s="257"/>
      <c r="T47" s="691"/>
      <c r="U47" s="692"/>
      <c r="V47" s="693"/>
      <c r="W47" s="258"/>
    </row>
    <row r="48" spans="2:23" s="232" customFormat="1" ht="15.75" x14ac:dyDescent="0.25">
      <c r="B48" s="259"/>
      <c r="C48" s="260"/>
      <c r="D48" s="260"/>
      <c r="E48" s="260"/>
      <c r="F48" s="260"/>
      <c r="G48" s="260"/>
      <c r="H48" s="260"/>
      <c r="I48" s="260"/>
      <c r="J48" s="260"/>
      <c r="K48" s="260"/>
      <c r="L48" s="260"/>
      <c r="M48" s="260"/>
      <c r="N48" s="260"/>
      <c r="O48" s="260"/>
      <c r="P48" s="260"/>
      <c r="Q48" s="260"/>
      <c r="R48" s="235"/>
      <c r="T48" s="261"/>
      <c r="U48" s="261"/>
      <c r="V48" s="261"/>
      <c r="W48" s="262"/>
    </row>
    <row r="49" spans="1:24" s="232" customFormat="1" ht="15.75" x14ac:dyDescent="0.25">
      <c r="B49" s="259"/>
      <c r="C49" s="260"/>
      <c r="D49" s="260"/>
      <c r="E49" s="260"/>
      <c r="F49" s="260"/>
      <c r="G49" s="260"/>
      <c r="H49" s="260"/>
      <c r="I49" s="260"/>
      <c r="J49" s="260"/>
      <c r="K49" s="260"/>
      <c r="L49" s="260"/>
      <c r="M49" s="260"/>
      <c r="N49" s="260"/>
      <c r="O49" s="260"/>
      <c r="P49" s="260"/>
      <c r="Q49" s="260"/>
      <c r="R49" s="235"/>
      <c r="T49" s="261"/>
      <c r="U49" s="261"/>
      <c r="V49" s="261"/>
      <c r="W49" s="262"/>
    </row>
    <row r="50" spans="1:24" s="232" customFormat="1" ht="15.75" x14ac:dyDescent="0.25">
      <c r="B50" s="259"/>
      <c r="C50" s="260"/>
      <c r="D50" s="260"/>
      <c r="E50" s="260"/>
      <c r="F50" s="260"/>
      <c r="G50" s="260"/>
      <c r="H50" s="260"/>
      <c r="I50" s="260"/>
      <c r="J50" s="260"/>
      <c r="K50" s="260"/>
      <c r="L50" s="260"/>
      <c r="M50" s="260"/>
      <c r="N50" s="260"/>
      <c r="O50" s="260"/>
      <c r="P50" s="260"/>
      <c r="Q50" s="260"/>
      <c r="R50" s="235"/>
      <c r="T50" s="261"/>
      <c r="U50" s="261"/>
      <c r="V50" s="261"/>
      <c r="W50" s="262"/>
    </row>
    <row r="51" spans="1:24" s="232" customFormat="1" ht="15.75" x14ac:dyDescent="0.25">
      <c r="B51" s="259"/>
      <c r="C51" s="260"/>
      <c r="D51" s="260"/>
      <c r="E51" s="260"/>
      <c r="F51" s="260"/>
      <c r="G51" s="260"/>
      <c r="H51" s="260"/>
      <c r="I51" s="260"/>
      <c r="J51" s="260"/>
      <c r="K51" s="260"/>
      <c r="L51" s="260"/>
      <c r="M51" s="260"/>
      <c r="N51" s="260"/>
      <c r="O51" s="260"/>
      <c r="P51" s="260"/>
      <c r="Q51" s="260"/>
      <c r="R51" s="235"/>
      <c r="T51" s="261"/>
      <c r="U51" s="261"/>
      <c r="V51" s="261"/>
      <c r="W51" s="262"/>
    </row>
    <row r="52" spans="1:24" s="232" customFormat="1" ht="16.5" thickBot="1" x14ac:dyDescent="0.3">
      <c r="B52" s="263"/>
      <c r="C52" s="264"/>
      <c r="D52" s="265"/>
      <c r="E52" s="264"/>
      <c r="F52" s="264"/>
      <c r="G52" s="266"/>
      <c r="H52" s="266"/>
      <c r="I52" s="266"/>
      <c r="J52" s="266"/>
      <c r="K52" s="266"/>
      <c r="L52" s="266"/>
      <c r="M52" s="266"/>
      <c r="N52" s="266"/>
      <c r="O52" s="266"/>
      <c r="P52" s="266"/>
      <c r="Q52" s="266"/>
      <c r="R52" s="266"/>
      <c r="S52" s="266"/>
      <c r="T52" s="267"/>
      <c r="U52" s="267"/>
      <c r="V52" s="267"/>
      <c r="W52" s="268"/>
    </row>
    <row r="53" spans="1:24" ht="20.100000000000001" customHeight="1" thickTop="1" x14ac:dyDescent="0.25">
      <c r="B53" s="559" t="s">
        <v>114</v>
      </c>
      <c r="C53" s="560"/>
      <c r="D53" s="560"/>
      <c r="E53" s="560"/>
      <c r="F53" s="561"/>
      <c r="G53" s="566"/>
      <c r="H53" s="722"/>
      <c r="I53" s="570" t="s">
        <v>163</v>
      </c>
      <c r="J53" s="724"/>
      <c r="K53" s="724"/>
      <c r="L53" s="725"/>
      <c r="M53" s="97">
        <v>4</v>
      </c>
      <c r="N53" s="730" t="s">
        <v>174</v>
      </c>
      <c r="O53" s="731"/>
      <c r="P53" s="732"/>
      <c r="Q53" s="122">
        <v>45118</v>
      </c>
      <c r="R53" s="97" t="s">
        <v>56</v>
      </c>
      <c r="S53" s="97"/>
      <c r="T53" s="736"/>
      <c r="U53" s="737"/>
      <c r="V53" s="738"/>
      <c r="W53" s="97"/>
    </row>
    <row r="54" spans="1:24" ht="20.100000000000001" customHeight="1" x14ac:dyDescent="0.25">
      <c r="B54" s="562"/>
      <c r="C54" s="560"/>
      <c r="D54" s="560"/>
      <c r="E54" s="560"/>
      <c r="F54" s="561"/>
      <c r="G54" s="566"/>
      <c r="H54" s="722"/>
      <c r="I54" s="726"/>
      <c r="J54" s="724"/>
      <c r="K54" s="724"/>
      <c r="L54" s="725"/>
      <c r="M54" s="4">
        <v>3</v>
      </c>
      <c r="N54" s="733" t="s">
        <v>171</v>
      </c>
      <c r="O54" s="734"/>
      <c r="P54" s="735"/>
      <c r="Q54" s="123">
        <v>44702</v>
      </c>
      <c r="R54" s="4" t="s">
        <v>56</v>
      </c>
      <c r="S54" s="4"/>
      <c r="T54" s="739"/>
      <c r="U54" s="740"/>
      <c r="V54" s="741"/>
      <c r="W54" s="4"/>
    </row>
    <row r="55" spans="1:24" ht="20.100000000000001" customHeight="1" x14ac:dyDescent="0.25">
      <c r="B55" s="562"/>
      <c r="C55" s="560"/>
      <c r="D55" s="560"/>
      <c r="E55" s="560"/>
      <c r="F55" s="561"/>
      <c r="G55" s="566"/>
      <c r="H55" s="722"/>
      <c r="I55" s="726"/>
      <c r="J55" s="724"/>
      <c r="K55" s="724"/>
      <c r="L55" s="725"/>
      <c r="M55" s="4">
        <v>2</v>
      </c>
      <c r="N55" s="733" t="s">
        <v>170</v>
      </c>
      <c r="O55" s="734"/>
      <c r="P55" s="735"/>
      <c r="Q55" s="123">
        <v>44314</v>
      </c>
      <c r="R55" s="4" t="s">
        <v>56</v>
      </c>
      <c r="S55" s="4">
        <v>3</v>
      </c>
      <c r="T55" s="739">
        <f>+Q53</f>
        <v>45118</v>
      </c>
      <c r="U55" s="740"/>
      <c r="V55" s="741"/>
      <c r="W55" s="4" t="s">
        <v>58</v>
      </c>
    </row>
    <row r="56" spans="1:24" ht="20.100000000000001" customHeight="1" x14ac:dyDescent="0.25">
      <c r="B56" s="562"/>
      <c r="C56" s="560"/>
      <c r="D56" s="560"/>
      <c r="E56" s="560"/>
      <c r="F56" s="561"/>
      <c r="G56" s="566"/>
      <c r="H56" s="722"/>
      <c r="I56" s="726"/>
      <c r="J56" s="724"/>
      <c r="K56" s="724"/>
      <c r="L56" s="725"/>
      <c r="M56" s="4">
        <v>1</v>
      </c>
      <c r="N56" s="733" t="s">
        <v>169</v>
      </c>
      <c r="O56" s="734"/>
      <c r="P56" s="735"/>
      <c r="Q56" s="123">
        <v>44147</v>
      </c>
      <c r="R56" s="4" t="s">
        <v>56</v>
      </c>
      <c r="S56" s="4">
        <v>2</v>
      </c>
      <c r="T56" s="739">
        <v>44702</v>
      </c>
      <c r="U56" s="740"/>
      <c r="V56" s="741"/>
      <c r="W56" s="4" t="s">
        <v>173</v>
      </c>
    </row>
    <row r="57" spans="1:24" ht="20.100000000000001" customHeight="1" x14ac:dyDescent="0.25">
      <c r="B57" s="562"/>
      <c r="C57" s="560"/>
      <c r="D57" s="560"/>
      <c r="E57" s="560"/>
      <c r="F57" s="561"/>
      <c r="G57" s="566"/>
      <c r="H57" s="722"/>
      <c r="I57" s="726"/>
      <c r="J57" s="724"/>
      <c r="K57" s="724"/>
      <c r="L57" s="725"/>
      <c r="M57" s="4">
        <v>0</v>
      </c>
      <c r="N57" s="733" t="s">
        <v>113</v>
      </c>
      <c r="O57" s="734"/>
      <c r="P57" s="735"/>
      <c r="Q57" s="123">
        <v>45113</v>
      </c>
      <c r="R57" s="4" t="s">
        <v>172</v>
      </c>
      <c r="S57" s="4">
        <v>1</v>
      </c>
      <c r="T57" s="739">
        <v>44314</v>
      </c>
      <c r="U57" s="740"/>
      <c r="V57" s="741"/>
      <c r="W57" s="4" t="s">
        <v>58</v>
      </c>
    </row>
    <row r="58" spans="1:24" s="3" customFormat="1" ht="20.100000000000001" customHeight="1" x14ac:dyDescent="0.25">
      <c r="B58" s="563"/>
      <c r="C58" s="564"/>
      <c r="D58" s="564"/>
      <c r="E58" s="564"/>
      <c r="F58" s="565"/>
      <c r="G58" s="567"/>
      <c r="H58" s="723"/>
      <c r="I58" s="727"/>
      <c r="J58" s="728"/>
      <c r="K58" s="728"/>
      <c r="L58" s="729"/>
      <c r="M58" s="17" t="s">
        <v>112</v>
      </c>
      <c r="N58" s="719" t="s">
        <v>111</v>
      </c>
      <c r="O58" s="720"/>
      <c r="P58" s="721"/>
      <c r="Q58" s="124" t="s">
        <v>5</v>
      </c>
      <c r="R58" s="17" t="s">
        <v>108</v>
      </c>
      <c r="S58" s="17" t="s">
        <v>109</v>
      </c>
      <c r="T58" s="429" t="s">
        <v>110</v>
      </c>
      <c r="U58" s="430"/>
      <c r="V58" s="431"/>
      <c r="W58" s="17" t="s">
        <v>108</v>
      </c>
    </row>
    <row r="59" spans="1:24" s="12" customFormat="1" ht="16.5" thickBot="1" x14ac:dyDescent="0.3">
      <c r="A59" s="80"/>
      <c r="B59" s="80"/>
      <c r="C59" s="81"/>
      <c r="D59" s="81"/>
      <c r="E59" s="81"/>
      <c r="F59" s="81"/>
      <c r="G59" s="80"/>
      <c r="H59" s="80"/>
      <c r="I59" s="80"/>
      <c r="J59" s="80"/>
      <c r="K59" s="80"/>
      <c r="L59" s="80"/>
      <c r="M59" s="80"/>
      <c r="N59" s="80"/>
      <c r="O59" s="80"/>
      <c r="P59" s="80"/>
      <c r="Q59" s="80"/>
      <c r="R59" s="80"/>
      <c r="S59" s="80"/>
      <c r="T59" s="80"/>
      <c r="U59" s="80"/>
      <c r="V59" s="80"/>
      <c r="W59" s="80"/>
      <c r="X59" s="80"/>
    </row>
    <row r="60" spans="1:24" ht="15.75" thickTop="1" x14ac:dyDescent="0.25">
      <c r="W60" s="95"/>
    </row>
  </sheetData>
  <mergeCells count="82">
    <mergeCell ref="O28:P29"/>
    <mergeCell ref="O27:R27"/>
    <mergeCell ref="Q28:R32"/>
    <mergeCell ref="S37:V37"/>
    <mergeCell ref="T36:V36"/>
    <mergeCell ref="T34:V34"/>
    <mergeCell ref="T33:V33"/>
    <mergeCell ref="T35:V35"/>
    <mergeCell ref="S28:V29"/>
    <mergeCell ref="B27:K32"/>
    <mergeCell ref="C33:F33"/>
    <mergeCell ref="H33:K33"/>
    <mergeCell ref="L33:M33"/>
    <mergeCell ref="L27:N28"/>
    <mergeCell ref="L35:M35"/>
    <mergeCell ref="O30:P30"/>
    <mergeCell ref="O32:P32"/>
    <mergeCell ref="L36:M36"/>
    <mergeCell ref="L34:M34"/>
    <mergeCell ref="T58:V58"/>
    <mergeCell ref="N58:P58"/>
    <mergeCell ref="B53:F58"/>
    <mergeCell ref="G53:H58"/>
    <mergeCell ref="I53:L58"/>
    <mergeCell ref="N53:P53"/>
    <mergeCell ref="N54:P54"/>
    <mergeCell ref="N55:P55"/>
    <mergeCell ref="N56:P56"/>
    <mergeCell ref="N57:P57"/>
    <mergeCell ref="T53:V53"/>
    <mergeCell ref="T54:V54"/>
    <mergeCell ref="T56:V56"/>
    <mergeCell ref="T57:V57"/>
    <mergeCell ref="T55:V55"/>
    <mergeCell ref="P16:P18"/>
    <mergeCell ref="T16:U18"/>
    <mergeCell ref="S16:S18"/>
    <mergeCell ref="R16:R18"/>
    <mergeCell ref="Q16:Q18"/>
    <mergeCell ref="D20:E20"/>
    <mergeCell ref="G20:H20"/>
    <mergeCell ref="I20:J20"/>
    <mergeCell ref="K20:L20"/>
    <mergeCell ref="M20:O20"/>
    <mergeCell ref="B41:R47"/>
    <mergeCell ref="L38:V38"/>
    <mergeCell ref="T41:V43"/>
    <mergeCell ref="T44:V47"/>
    <mergeCell ref="D21:E21"/>
    <mergeCell ref="G21:H21"/>
    <mergeCell ref="I21:J21"/>
    <mergeCell ref="K21:L21"/>
    <mergeCell ref="M21:O21"/>
    <mergeCell ref="S27:V27"/>
    <mergeCell ref="B38:K38"/>
    <mergeCell ref="B37:K37"/>
    <mergeCell ref="L37:N37"/>
    <mergeCell ref="O37:P37"/>
    <mergeCell ref="Q37:R37"/>
    <mergeCell ref="H34:K34"/>
    <mergeCell ref="V2:W2"/>
    <mergeCell ref="V6:W6"/>
    <mergeCell ref="T6:U6"/>
    <mergeCell ref="T2:U2"/>
    <mergeCell ref="W15:W18"/>
    <mergeCell ref="T15:U15"/>
    <mergeCell ref="R19:R20"/>
    <mergeCell ref="S19:S20"/>
    <mergeCell ref="T19:U20"/>
    <mergeCell ref="B3:K6"/>
    <mergeCell ref="R3:W5"/>
    <mergeCell ref="D19:E19"/>
    <mergeCell ref="G19:H19"/>
    <mergeCell ref="I19:J19"/>
    <mergeCell ref="K19:L19"/>
    <mergeCell ref="M19:O19"/>
    <mergeCell ref="M15:O18"/>
    <mergeCell ref="B15:B18"/>
    <mergeCell ref="C15:F18"/>
    <mergeCell ref="G15:H18"/>
    <mergeCell ref="I15:J18"/>
    <mergeCell ref="K15:L18"/>
  </mergeCells>
  <printOptions horizontalCentered="1"/>
  <pageMargins left="0" right="0" top="1" bottom="0" header="1" footer="0"/>
  <pageSetup paperSize="9" scale="4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TAHAP 1</vt:lpstr>
      <vt:lpstr>TAPAH 2.2 (Rincian)</vt:lpstr>
      <vt:lpstr>TAHAP 2.1 (SPD)</vt:lpstr>
      <vt:lpstr>'TAHAP 1'!Print_Area</vt:lpstr>
      <vt:lpstr>'TAHAP 2.1 (SPD)'!Print_Area</vt:lpstr>
      <vt:lpstr>'TAPAH 2.2 (Rincian)'!Print_Area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QA-03@SAMI.CO.ID</cp:lastModifiedBy>
  <cp:lastPrinted>2024-07-04T03:38:57Z</cp:lastPrinted>
  <dcterms:created xsi:type="dcterms:W3CDTF">2023-06-18T02:33:15Z</dcterms:created>
  <dcterms:modified xsi:type="dcterms:W3CDTF">2024-07-04T03:59:21Z</dcterms:modified>
</cp:coreProperties>
</file>