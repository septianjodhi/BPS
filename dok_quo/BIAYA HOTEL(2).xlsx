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CA0E4085-B6EC-422B-9DF4-086CFE832CED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1 (2)" sheetId="4" r:id="rId4"/>
  </sheets>
  <definedNames>
    <definedName name="_xlnm.Print_Area" localSheetId="0">Sheet1!$A$1:$G$29</definedName>
    <definedName name="_xlnm.Print_Area" localSheetId="3">'Sheet1 (2)'!$A$1:$G$24</definedName>
  </definedNames>
  <calcPr calcId="181029"/>
</workbook>
</file>

<file path=xl/calcChain.xml><?xml version="1.0" encoding="utf-8"?>
<calcChain xmlns="http://schemas.openxmlformats.org/spreadsheetml/2006/main">
  <c r="E15" i="4" l="1"/>
  <c r="E14" i="4"/>
  <c r="E13" i="4" l="1"/>
  <c r="E16" i="4" s="1"/>
  <c r="E13" i="1" l="1"/>
  <c r="G18" i="1"/>
  <c r="E18" i="1"/>
  <c r="G15" i="1" l="1"/>
  <c r="G14" i="1"/>
  <c r="G19" i="1" s="1"/>
  <c r="E14" i="1" l="1"/>
  <c r="E19" i="1" s="1"/>
</calcChain>
</file>

<file path=xl/sharedStrings.xml><?xml version="1.0" encoding="utf-8"?>
<sst xmlns="http://schemas.openxmlformats.org/spreadsheetml/2006/main" count="61" uniqueCount="42">
  <si>
    <t>LAMA (Hari)</t>
  </si>
  <si>
    <t>SEWA MOBIL</t>
  </si>
  <si>
    <t>TRAVEL</t>
  </si>
  <si>
    <t>KETERANGAN</t>
  </si>
  <si>
    <t>Biaya</t>
  </si>
  <si>
    <t>Total</t>
  </si>
  <si>
    <t xml:space="preserve">: 18-20 AGUSTUS 2016 </t>
  </si>
  <si>
    <t xml:space="preserve">Sewa mobil rental  ANTAR &amp; JEMPUT </t>
  </si>
  <si>
    <t>1 liter Rp.7000,- sehari 2 Liter (3 hari )</t>
  </si>
  <si>
    <t xml:space="preserve">Uang Saku 3 hari </t>
  </si>
  <si>
    <t>TANGGAL</t>
  </si>
  <si>
    <t>TEMPAT</t>
  </si>
  <si>
    <t xml:space="preserve">: Dinas Sosial, Tenaga Kerja &amp; Transmigrasi </t>
  </si>
  <si>
    <t xml:space="preserve">  Kab.Banyumas </t>
  </si>
  <si>
    <t xml:space="preserve">  Jl. Pemuda no.24 Purwokerto</t>
  </si>
  <si>
    <t>Date:</t>
  </si>
  <si>
    <t>Checked</t>
  </si>
  <si>
    <t>Approved</t>
  </si>
  <si>
    <t>Prepared</t>
  </si>
  <si>
    <t xml:space="preserve">Approved </t>
  </si>
  <si>
    <t>DKS</t>
  </si>
  <si>
    <t>FYH</t>
  </si>
  <si>
    <t>FAD</t>
  </si>
  <si>
    <t>AWI</t>
  </si>
  <si>
    <t>Selisih biaya /hemat biaya</t>
  </si>
  <si>
    <t>Tiker travel berangkat &amp; pulang</t>
  </si>
  <si>
    <t xml:space="preserve">Transportasi job fair sendiri dengan kendaraan </t>
  </si>
  <si>
    <t>PERBANDINGAN RINCIAN ANGGARAN BIAYA JOB FAIR</t>
  </si>
  <si>
    <t>Note</t>
  </si>
  <si>
    <t>: 3 hari 2 malam</t>
  </si>
  <si>
    <t>Penginapan (2 malam)</t>
  </si>
  <si>
    <t>: BKK SATYA PRAJA PEMALANG</t>
  </si>
  <si>
    <t>JUMLAH</t>
  </si>
  <si>
    <r>
      <t xml:space="preserve">: </t>
    </r>
    <r>
      <rPr>
        <sz val="12"/>
        <color theme="1"/>
        <rFont val="Calibri"/>
        <family val="2"/>
      </rPr>
      <t>± 150 Orang</t>
    </r>
  </si>
  <si>
    <t>PENGAJUAN REKRUT KE LUAR KOTA</t>
  </si>
  <si>
    <t>HARI/TANGGAL</t>
  </si>
  <si>
    <t>: RABU, 20 DESEMBER 2017</t>
  </si>
  <si>
    <t>BIAYA</t>
  </si>
  <si>
    <t xml:space="preserve">Sewa mobil rental  </t>
  </si>
  <si>
    <t>Uang Saku 1 hari  (LL)</t>
  </si>
  <si>
    <t xml:space="preserve">Uang Saku 2 hari  (Support dari Produksi &amp; Buffer 1 )  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</si>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</sst>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41" fontId="2" fillId="0" borderId="1" xfId="1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41" fontId="2" fillId="0" borderId="0" xfId="1" applyFont="1" applyAlignment="1">
      <alignment horizontal="center"/>
    </xf>
    <xf numFmtId="0" fontId="3" fillId="0" borderId="1" xfId="0" applyFont="1" applyBorder="1" applyAlignment="1">
      <alignment horizontal="center"/>
    </xf>
    <xf numFmtId="41" fontId="3" fillId="0" borderId="1" xfId="1" applyFont="1" applyBorder="1" applyAlignment="1">
      <alignment horizontal="center"/>
    </xf>
    <xf numFmtId="0" fontId="2" fillId="0" borderId="6" xfId="0" applyFont="1" applyBorder="1"/>
    <xf numFmtId="41" fontId="2" fillId="2" borderId="3" xfId="1" applyFont="1" applyFill="1" applyBorder="1" applyAlignment="1">
      <alignment horizontal="center"/>
    </xf>
    <xf numFmtId="41" fontId="3" fillId="2" borderId="2" xfId="1" applyFont="1" applyFill="1" applyBorder="1" applyAlignment="1">
      <alignment horizontal="center"/>
    </xf>
    <xf numFmtId="41" fontId="2" fillId="3" borderId="3" xfId="1" applyFont="1" applyFill="1" applyBorder="1" applyAlignment="1">
      <alignment horizontal="center"/>
    </xf>
    <xf numFmtId="41" fontId="3" fillId="3" borderId="2" xfId="1" applyFont="1" applyFill="1" applyBorder="1" applyAlignment="1">
      <alignment horizontal="center"/>
    </xf>
    <xf numFmtId="0" fontId="2" fillId="0" borderId="4" xfId="0" applyFont="1" applyBorder="1"/>
    <xf numFmtId="41" fontId="2" fillId="0" borderId="4" xfId="1" applyFont="1" applyBorder="1" applyAlignment="1">
      <alignment horizontal="center"/>
    </xf>
    <xf numFmtId="0" fontId="2" fillId="0" borderId="5" xfId="0" applyFont="1" applyBorder="1"/>
    <xf numFmtId="41" fontId="2" fillId="0" borderId="5" xfId="1" applyFont="1" applyBorder="1" applyAlignment="1">
      <alignment horizontal="center"/>
    </xf>
    <xf numFmtId="41" fontId="2" fillId="0" borderId="10" xfId="1" applyFont="1" applyBorder="1" applyAlignment="1">
      <alignment horizontal="center"/>
    </xf>
    <xf numFmtId="0" fontId="2" fillId="0" borderId="7" xfId="0" applyFont="1" applyBorder="1"/>
    <xf numFmtId="0" fontId="2" fillId="0" borderId="12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0" xfId="0" applyFont="1"/>
    <xf numFmtId="0" fontId="2" fillId="0" borderId="2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1" fontId="2" fillId="0" borderId="6" xfId="1" applyFont="1" applyFill="1" applyBorder="1" applyAlignment="1">
      <alignment horizontal="center"/>
    </xf>
    <xf numFmtId="41" fontId="5" fillId="0" borderId="2" xfId="0" applyNumberFormat="1" applyFont="1" applyBorder="1"/>
    <xf numFmtId="0" fontId="5" fillId="0" borderId="1" xfId="0" applyFont="1" applyBorder="1"/>
    <xf numFmtId="0" fontId="6" fillId="0" borderId="0" xfId="0" applyFont="1"/>
    <xf numFmtId="41" fontId="3" fillId="0" borderId="8" xfId="1" applyFont="1" applyBorder="1" applyAlignment="1">
      <alignment horizontal="center"/>
    </xf>
    <xf numFmtId="41" fontId="2" fillId="0" borderId="8" xfId="1" applyFont="1" applyBorder="1" applyAlignment="1">
      <alignment horizontal="center"/>
    </xf>
    <xf numFmtId="41" fontId="2" fillId="0" borderId="8" xfId="1" applyFont="1" applyFill="1" applyBorder="1" applyAlignment="1">
      <alignment horizontal="center"/>
    </xf>
    <xf numFmtId="41" fontId="3" fillId="2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view="pageBreakPreview" zoomScale="90" zoomScaleNormal="100" zoomScaleSheetLayoutView="90" workbookViewId="0">
      <selection activeCell="E22" sqref="E22"/>
    </sheetView>
  </sheetViews>
  <sheetFormatPr defaultRowHeight="14.25" x14ac:dyDescent="0.2"/>
  <cols>
    <col min="1" max="1" width="16.42578125" style="1" customWidth="1"/>
    <col min="2" max="2" width="39.85546875" style="1" customWidth="1"/>
    <col min="3" max="3" width="15.5703125" style="1" customWidth="1"/>
    <col min="4" max="4" width="18" style="1" customWidth="1"/>
    <col min="5" max="7" width="18.85546875" style="1" customWidth="1"/>
    <col min="8" max="16384" width="9.140625" style="1"/>
  </cols>
  <sheetData>
    <row r="1" spans="1:7" ht="20.25" x14ac:dyDescent="0.3">
      <c r="A1" s="24" t="s">
        <v>27</v>
      </c>
    </row>
    <row r="2" spans="1:7" ht="14.25" customHeight="1" x14ac:dyDescent="0.3">
      <c r="A2" s="24"/>
    </row>
    <row r="3" spans="1:7" ht="15" x14ac:dyDescent="0.25">
      <c r="D3" s="6" t="s">
        <v>17</v>
      </c>
      <c r="E3" s="6" t="s">
        <v>19</v>
      </c>
      <c r="F3" s="6" t="s">
        <v>16</v>
      </c>
      <c r="G3" s="6" t="s">
        <v>18</v>
      </c>
    </row>
    <row r="4" spans="1:7" x14ac:dyDescent="0.2">
      <c r="A4" s="1" t="s">
        <v>10</v>
      </c>
      <c r="B4" s="1" t="s">
        <v>6</v>
      </c>
      <c r="D4" s="20"/>
      <c r="E4" s="20"/>
      <c r="F4" s="13"/>
      <c r="G4" s="21"/>
    </row>
    <row r="5" spans="1:7" x14ac:dyDescent="0.2">
      <c r="A5" s="1" t="s">
        <v>11</v>
      </c>
      <c r="B5" s="1" t="s">
        <v>12</v>
      </c>
      <c r="D5" s="20"/>
      <c r="E5" s="20"/>
      <c r="F5" s="26"/>
      <c r="G5" s="21"/>
    </row>
    <row r="6" spans="1:7" x14ac:dyDescent="0.2">
      <c r="B6" s="1" t="s">
        <v>13</v>
      </c>
      <c r="D6" s="20"/>
      <c r="E6" s="20"/>
      <c r="F6" s="26"/>
      <c r="G6" s="21"/>
    </row>
    <row r="7" spans="1:7" x14ac:dyDescent="0.2">
      <c r="B7" s="1" t="s">
        <v>14</v>
      </c>
      <c r="D7" s="20"/>
      <c r="E7" s="20"/>
      <c r="F7" s="15"/>
      <c r="G7" s="21"/>
    </row>
    <row r="8" spans="1:7" x14ac:dyDescent="0.2">
      <c r="D8" s="28" t="s">
        <v>23</v>
      </c>
      <c r="E8" s="28" t="s">
        <v>22</v>
      </c>
      <c r="F8" s="28" t="s">
        <v>21</v>
      </c>
      <c r="G8" s="28" t="s">
        <v>20</v>
      </c>
    </row>
    <row r="9" spans="1:7" x14ac:dyDescent="0.2">
      <c r="D9" s="3" t="s">
        <v>15</v>
      </c>
      <c r="E9" s="3" t="s">
        <v>15</v>
      </c>
      <c r="F9" s="3" t="s">
        <v>15</v>
      </c>
      <c r="G9" s="3" t="s">
        <v>15</v>
      </c>
    </row>
    <row r="11" spans="1:7" ht="27" customHeight="1" x14ac:dyDescent="0.2"/>
    <row r="12" spans="1:7" ht="15" x14ac:dyDescent="0.25">
      <c r="A12" s="6" t="s">
        <v>0</v>
      </c>
      <c r="B12" s="27" t="s">
        <v>3</v>
      </c>
      <c r="C12" s="25"/>
      <c r="D12" s="7" t="s">
        <v>1</v>
      </c>
      <c r="E12" s="7" t="s">
        <v>4</v>
      </c>
      <c r="F12" s="7" t="s">
        <v>2</v>
      </c>
      <c r="G12" s="7" t="s">
        <v>4</v>
      </c>
    </row>
    <row r="13" spans="1:7" x14ac:dyDescent="0.2">
      <c r="A13" s="37">
        <v>3</v>
      </c>
      <c r="B13" s="4" t="s">
        <v>7</v>
      </c>
      <c r="C13" s="25"/>
      <c r="D13" s="2">
        <v>850000</v>
      </c>
      <c r="E13" s="2">
        <f>D13*2</f>
        <v>1700000</v>
      </c>
      <c r="F13" s="2"/>
      <c r="G13" s="2"/>
    </row>
    <row r="14" spans="1:7" x14ac:dyDescent="0.2">
      <c r="A14" s="38"/>
      <c r="B14" s="4" t="s">
        <v>9</v>
      </c>
      <c r="C14" s="25"/>
      <c r="D14" s="2">
        <v>82500</v>
      </c>
      <c r="E14" s="2">
        <f>D14*A13</f>
        <v>247500</v>
      </c>
      <c r="F14" s="2">
        <v>82500</v>
      </c>
      <c r="G14" s="2">
        <f>A13*F14</f>
        <v>247500</v>
      </c>
    </row>
    <row r="15" spans="1:7" x14ac:dyDescent="0.2">
      <c r="A15" s="38"/>
      <c r="B15" s="4" t="s">
        <v>25</v>
      </c>
      <c r="C15" s="25"/>
      <c r="D15" s="2"/>
      <c r="E15" s="2"/>
      <c r="F15" s="2">
        <v>100000</v>
      </c>
      <c r="G15" s="2">
        <f>F15*2</f>
        <v>200000</v>
      </c>
    </row>
    <row r="16" spans="1:7" x14ac:dyDescent="0.2">
      <c r="A16" s="38"/>
      <c r="B16" s="18" t="s">
        <v>26</v>
      </c>
      <c r="C16" s="19"/>
      <c r="D16" s="14"/>
      <c r="E16" s="14">
        <v>30000</v>
      </c>
      <c r="F16" s="14"/>
      <c r="G16" s="14">
        <v>30000</v>
      </c>
    </row>
    <row r="17" spans="1:7" x14ac:dyDescent="0.2">
      <c r="A17" s="38"/>
      <c r="B17" s="22" t="s">
        <v>8</v>
      </c>
      <c r="C17" s="23"/>
      <c r="D17" s="16"/>
      <c r="E17" s="16"/>
      <c r="F17" s="16"/>
      <c r="G17" s="16"/>
    </row>
    <row r="18" spans="1:7" x14ac:dyDescent="0.2">
      <c r="A18" s="39"/>
      <c r="B18" s="4" t="s">
        <v>30</v>
      </c>
      <c r="C18" s="25"/>
      <c r="D18" s="2">
        <v>200000</v>
      </c>
      <c r="E18" s="17">
        <f>D18*2</f>
        <v>400000</v>
      </c>
      <c r="F18" s="2">
        <v>200000</v>
      </c>
      <c r="G18" s="17">
        <f>F18*2</f>
        <v>400000</v>
      </c>
    </row>
    <row r="19" spans="1:7" ht="15" x14ac:dyDescent="0.25">
      <c r="A19" s="4" t="s">
        <v>5</v>
      </c>
      <c r="B19" s="8"/>
      <c r="C19" s="29"/>
      <c r="D19" s="11"/>
      <c r="E19" s="12">
        <f>SUM(E13:E18)</f>
        <v>2377500</v>
      </c>
      <c r="F19" s="9"/>
      <c r="G19" s="10">
        <f>SUM(G14:G18)</f>
        <v>877500</v>
      </c>
    </row>
    <row r="20" spans="1:7" x14ac:dyDescent="0.2">
      <c r="C20" s="5"/>
      <c r="D20" s="5"/>
      <c r="E20" s="5"/>
      <c r="F20" s="5"/>
      <c r="G20" s="5"/>
    </row>
    <row r="21" spans="1:7" ht="18" x14ac:dyDescent="0.25">
      <c r="C21" s="31" t="s">
        <v>24</v>
      </c>
      <c r="D21" s="25"/>
      <c r="E21" s="30">
        <v>1500000</v>
      </c>
    </row>
    <row r="23" spans="1:7" x14ac:dyDescent="0.2">
      <c r="A23" s="1" t="s">
        <v>28</v>
      </c>
      <c r="B23" s="1" t="s">
        <v>29</v>
      </c>
    </row>
  </sheetData>
  <mergeCells count="1">
    <mergeCell ref="A13:A18"/>
  </mergeCells>
  <pageMargins left="0" right="0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41</v>
      </c>
    </row>
    <row r="3" spans="1:2" x14ac:dyDescent="0.25">
      <c r="A3" t="s">
        <v>37</v>
      </c>
      <c r="B3">
        <v>789000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view="pageBreakPreview" zoomScale="90" zoomScaleNormal="100" zoomScaleSheetLayoutView="90" workbookViewId="0">
      <selection activeCell="B19" sqref="B19"/>
    </sheetView>
  </sheetViews>
  <sheetFormatPr defaultRowHeight="14.25" x14ac:dyDescent="0.2"/>
  <cols>
    <col min="1" max="1" width="16.42578125" style="1" customWidth="1"/>
    <col min="2" max="2" width="39.85546875" style="1" customWidth="1"/>
    <col min="3" max="3" width="15.5703125" style="1" customWidth="1"/>
    <col min="4" max="4" width="18" style="1" customWidth="1"/>
    <col min="5" max="7" width="18.85546875" style="1" customWidth="1"/>
    <col min="8" max="16384" width="9.140625" style="1"/>
  </cols>
  <sheetData>
    <row r="1" spans="1:7" ht="20.25" x14ac:dyDescent="0.3">
      <c r="A1" s="24" t="s">
        <v>34</v>
      </c>
    </row>
    <row r="2" spans="1:7" ht="14.25" customHeight="1" x14ac:dyDescent="0.3">
      <c r="A2" s="24"/>
    </row>
    <row r="3" spans="1:7" ht="15" x14ac:dyDescent="0.25">
      <c r="E3" s="6" t="s">
        <v>17</v>
      </c>
      <c r="F3" s="6" t="s">
        <v>16</v>
      </c>
      <c r="G3" s="6" t="s">
        <v>18</v>
      </c>
    </row>
    <row r="4" spans="1:7" x14ac:dyDescent="0.2">
      <c r="A4" s="1" t="s">
        <v>35</v>
      </c>
      <c r="B4" s="1" t="s">
        <v>36</v>
      </c>
      <c r="E4" s="20"/>
      <c r="F4" s="13"/>
      <c r="G4" s="21"/>
    </row>
    <row r="5" spans="1:7" x14ac:dyDescent="0.2">
      <c r="A5" s="1" t="s">
        <v>11</v>
      </c>
      <c r="B5" s="1" t="s">
        <v>31</v>
      </c>
      <c r="E5" s="20"/>
      <c r="F5" s="26"/>
      <c r="G5" s="21"/>
    </row>
    <row r="6" spans="1:7" ht="15.75" x14ac:dyDescent="0.25">
      <c r="A6" s="1" t="s">
        <v>32</v>
      </c>
      <c r="B6" s="32" t="s">
        <v>33</v>
      </c>
      <c r="E6" s="20"/>
      <c r="F6" s="26"/>
      <c r="G6" s="21"/>
    </row>
    <row r="7" spans="1:7" x14ac:dyDescent="0.2">
      <c r="E7" s="20"/>
      <c r="F7" s="15"/>
      <c r="G7" s="21"/>
    </row>
    <row r="8" spans="1:7" x14ac:dyDescent="0.2">
      <c r="E8" s="28" t="s">
        <v>23</v>
      </c>
      <c r="F8" s="28" t="s">
        <v>21</v>
      </c>
      <c r="G8" s="28" t="s">
        <v>20</v>
      </c>
    </row>
    <row r="9" spans="1:7" x14ac:dyDescent="0.2">
      <c r="E9" s="3" t="s">
        <v>15</v>
      </c>
      <c r="F9" s="3" t="s">
        <v>15</v>
      </c>
      <c r="G9" s="3" t="s">
        <v>15</v>
      </c>
    </row>
    <row r="11" spans="1:7" ht="12.75" customHeight="1" x14ac:dyDescent="0.2"/>
    <row r="12" spans="1:7" ht="15" x14ac:dyDescent="0.25">
      <c r="A12" s="6" t="s">
        <v>0</v>
      </c>
      <c r="B12" s="40" t="s">
        <v>3</v>
      </c>
      <c r="C12" s="41"/>
      <c r="D12" s="7" t="s">
        <v>37</v>
      </c>
      <c r="E12" s="7" t="s">
        <v>32</v>
      </c>
      <c r="F12" s="33"/>
    </row>
    <row r="13" spans="1:7" x14ac:dyDescent="0.2">
      <c r="A13" s="37">
        <v>1</v>
      </c>
      <c r="B13" s="4" t="s">
        <v>38</v>
      </c>
      <c r="C13" s="25"/>
      <c r="D13" s="2">
        <v>850000</v>
      </c>
      <c r="E13" s="2">
        <f>D13</f>
        <v>850000</v>
      </c>
      <c r="F13" s="34"/>
    </row>
    <row r="14" spans="1:7" x14ac:dyDescent="0.2">
      <c r="A14" s="38"/>
      <c r="B14" s="4" t="s">
        <v>39</v>
      </c>
      <c r="C14" s="25"/>
      <c r="D14" s="2">
        <v>87500</v>
      </c>
      <c r="E14" s="2">
        <f>1*D14</f>
        <v>87500</v>
      </c>
      <c r="F14" s="34"/>
    </row>
    <row r="15" spans="1:7" x14ac:dyDescent="0.2">
      <c r="A15" s="38"/>
      <c r="B15" s="4" t="s">
        <v>40</v>
      </c>
      <c r="C15" s="25"/>
      <c r="D15" s="2">
        <v>82500</v>
      </c>
      <c r="E15" s="2">
        <f>2*D15</f>
        <v>165000</v>
      </c>
      <c r="F15" s="34"/>
    </row>
    <row r="16" spans="1:7" ht="15" x14ac:dyDescent="0.25">
      <c r="A16" s="4" t="s">
        <v>5</v>
      </c>
      <c r="B16" s="8"/>
      <c r="C16" s="29"/>
      <c r="D16" s="29"/>
      <c r="E16" s="36">
        <f>SUM(E13:E15)</f>
        <v>1102500</v>
      </c>
      <c r="F16" s="35"/>
    </row>
    <row r="17" spans="3:7" x14ac:dyDescent="0.2">
      <c r="C17" s="5"/>
      <c r="D17" s="5"/>
      <c r="E17" s="5"/>
      <c r="F17" s="5"/>
      <c r="G17" s="5"/>
    </row>
  </sheetData>
  <mergeCells count="2">
    <mergeCell ref="A13:A15"/>
    <mergeCell ref="B12:C12"/>
  </mergeCells>
  <pageMargins left="0" right="0" top="0.74803149606299213" bottom="0.74803149606299213" header="0.31496062992125984" footer="0.31496062992125984"/>
  <pageSetup paperSize="9" scale="9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Sheet1 (2)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cp:lastPrinted>2017-12-18T02:57:17Z</cp:lastPrinted>
  <dcterms:created xsi:type="dcterms:W3CDTF">2016-07-26T09:16:25Z</dcterms:created>
  <dcterms:modified xsi:type="dcterms:W3CDTF">2023-12-12T03:12:08Z</dcterms:modified>
</cp:coreProperties>
</file>