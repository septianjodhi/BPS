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defaultThemeVersion="124226"/>
  <mc:AlternateContent xmlns:mc="http://schemas.openxmlformats.org/markup-compatibility/2006">
    <mc:Choice Requires="x15">
      <x15ac:absPath xmlns:x15ac="http://schemas.microsoft.com/office/spreadsheetml/2010/11/ac" url="D:\SHARING SAMI-130\QA SAMI-30\2. QA-ADMIN\6. BUDGET\Term 83\KONTROL BUDGET TERM 83\1.1. Komparasi harga\"/>
    </mc:Choice>
  </mc:AlternateContent>
  <xr:revisionPtr revIDLastSave="0" documentId="8_{159508A1-3DD6-443F-8572-CDE147DBA544}" xr6:coauthVersionLast="47" xr6:coauthVersionMax="47" xr10:uidLastSave="{00000000-0000-0000-0000-000000000000}"/>
  <bookViews>
    <workbookView xWindow="-120" yWindow="-120" windowWidth="24240" windowHeight="13140" tabRatio="761" activeTab="1" xr2:uid="{00000000-000D-0000-FFFF-FFFF00000000}"/>
  </bookViews>
  <sheets>
    <sheet name="TAHAP 1" sheetId="5" r:id="rId1"/>
    <sheet name="TAPAH 2.2 (Rincian)" sheetId="15" r:id="rId2"/>
    <sheet name="TAHAP 2.1 (SPD)" sheetId="16" r:id="rId3"/>
  </sheets>
  <definedNames>
    <definedName name="_xlnm.Print_Area" localSheetId="0">'TAHAP 1'!$A$1:$V$82</definedName>
    <definedName name="_xlnm.Print_Area" localSheetId="2">'TAHAP 2.1 (SPD)'!$A$1:$W$55</definedName>
    <definedName name="_xlnm.Print_Area" localSheetId="1">'TAPAH 2.2 (Rincian)'!$A$1:$Q$84</definedName>
  </definedNames>
  <calcPr calcId="181029"/>
</workbook>
</file>

<file path=xl/calcChain.xml><?xml version="1.0" encoding="utf-8"?>
<calcChain xmlns="http://schemas.openxmlformats.org/spreadsheetml/2006/main">
  <c r="J26" i="15" l="1"/>
  <c r="I62" i="15"/>
  <c r="F23" i="15" l="1"/>
  <c r="G23" i="15" l="1"/>
  <c r="R69" i="5"/>
  <c r="R66" i="5"/>
  <c r="O30" i="16" l="1"/>
  <c r="O28" i="16"/>
  <c r="H74" i="15"/>
  <c r="I74" i="15" s="1"/>
  <c r="E74" i="15"/>
  <c r="F24" i="15"/>
  <c r="J24" i="15" s="1"/>
  <c r="F26" i="15" l="1"/>
  <c r="O33" i="16"/>
  <c r="G70" i="15"/>
  <c r="I23" i="15" l="1"/>
  <c r="C23" i="15"/>
  <c r="C24" i="15" s="1"/>
  <c r="J23" i="15" l="1"/>
  <c r="G26" i="15"/>
  <c r="Q33" i="16"/>
  <c r="Q32" i="16"/>
  <c r="M39" i="15"/>
  <c r="N39" i="15" s="1"/>
  <c r="C69" i="15"/>
  <c r="E69" i="15"/>
  <c r="Q34" i="16" l="1"/>
  <c r="H60" i="15"/>
  <c r="C32" i="15" l="1"/>
  <c r="C75" i="15" s="1"/>
  <c r="H75" i="15" l="1"/>
  <c r="I75" i="15" s="1"/>
  <c r="S33" i="16" s="1"/>
  <c r="G33" i="16" l="1"/>
  <c r="I10" i="16"/>
  <c r="C33" i="16" l="1"/>
  <c r="S34" i="16" l="1"/>
  <c r="Z20" i="16" l="1"/>
  <c r="G32" i="16" l="1"/>
  <c r="AB20" i="16"/>
  <c r="AA20" i="16"/>
  <c r="Y20" i="16"/>
  <c r="I9" i="16" l="1"/>
  <c r="I54" i="15" l="1"/>
  <c r="I55" i="15"/>
  <c r="I56" i="15"/>
  <c r="I58" i="15"/>
  <c r="I59" i="15"/>
  <c r="I61" i="15"/>
  <c r="I49" i="15"/>
  <c r="I50" i="15" s="1"/>
  <c r="I57" i="15"/>
  <c r="I22" i="15"/>
  <c r="H22" i="15"/>
  <c r="G22" i="15"/>
  <c r="F22" i="15"/>
  <c r="M19" i="16"/>
  <c r="AB19" i="16" s="1"/>
  <c r="AA19" i="16"/>
  <c r="I19" i="16"/>
  <c r="Z19" i="16" s="1"/>
  <c r="G19" i="16"/>
  <c r="Y19" i="16" s="1"/>
  <c r="F19" i="16"/>
  <c r="P29" i="16" s="1"/>
  <c r="C19" i="16"/>
  <c r="P27" i="16" s="1"/>
  <c r="B32" i="16"/>
  <c r="J25" i="15" l="1"/>
  <c r="I64" i="15"/>
  <c r="O34" i="16" s="1"/>
  <c r="C31" i="15"/>
  <c r="R74" i="5"/>
  <c r="R73" i="5"/>
  <c r="R72" i="5"/>
  <c r="R71" i="5"/>
  <c r="R68" i="5"/>
  <c r="R67" i="5"/>
  <c r="C32" i="16" l="1"/>
  <c r="C74" i="15"/>
  <c r="L33" i="16" l="1"/>
  <c r="H31" i="15"/>
  <c r="H33" i="15" s="1"/>
  <c r="T51" i="16"/>
  <c r="F8" i="15"/>
  <c r="O80" i="15"/>
  <c r="L32" i="16" l="1"/>
  <c r="L34" i="16" s="1"/>
  <c r="L35" i="16" s="1"/>
</calcChain>
</file>

<file path=xl/sharedStrings.xml><?xml version="1.0" encoding="utf-8"?>
<sst xmlns="http://schemas.openxmlformats.org/spreadsheetml/2006/main" count="460" uniqueCount="247">
  <si>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</si>
  <si>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</si>
  <si>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</si>
  <si>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</si>
  <si>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</si>
  <si>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</si>
  <si>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</si>
  <si>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</si>
  <si>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</si>
  <si>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</si>
  <si>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</si>
  <si>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</si>
  <si>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</si>
  <si>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</si>
  <si>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</si>
  <si>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</si>
  <si>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</si>
  <si>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</si>
  <si>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</si>
  <si>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</si>
  <si>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</si>
  <si>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</si>
  <si>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</si>
  <si>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</si>
  <si>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</si>
  <si>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</si>
  <si>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</si>
  <si>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</si>
  <si>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</si>
  <si>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</si>
  <si>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</si>
  <si>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</si>
  <si>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</si>
  <si>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</si>
  <si>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</si>
  <si>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</si>
  <si>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</si>
  <si>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</si>
  <si>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</si>
  <si>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</si>
  <si>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</si>
  <si>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</si>
  <si>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</si>
  <si>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</si>
  <si>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</si>
  <si>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</si>
  <si>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</si>
  <si>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</si>
  <si>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</si>
  <si>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</si>
  <si>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</si>
  <si>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</si>
  <si>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</si>
  <si>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</si>
  <si>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</si>
  <si>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</si>
  <si>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</si>
  <si>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</si>
  <si>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</si>
  <si>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</si>
  <si>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</si>
  <si>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</si>
  <si>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</si>
  <si>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</si>
  <si>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</si>
  <si>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</si>
  <si>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</si>
  <si>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</si>
  <si>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</si>
  <si>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</si>
  <si>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</si>
  <si>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</si>
  <si>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</si>
  <si>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</si>
  <si>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</si>
  <si>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</si>
  <si>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</si>
  <si>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</si>
  <si>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</si>
  <si>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</si>
  <si>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</si>
  <si>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</si>
  <si>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</si>
  <si>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</si>
  <si>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</si>
  <si>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</si>
  <si>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</si>
  <si>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</si>
  <si>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</si>
  <si>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</si>
  <si>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</si>
  <si>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</si>
  <si>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</si>
  <si>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</si>
  <si>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</si>
  <si>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</si>
  <si>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</si>
  <si>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</si>
  <si>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</si>
  <si>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</si>
  <si>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</si>
  <si>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</si>
  <si>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</si>
  <si>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</si>
  <si>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</si>
  <si>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</si>
  <si>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</si>
  <si>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</si>
  <si>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</si>
  <si>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</si>
  <si>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</si>
  <si>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</si>
  <si>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</si>
  <si>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</si>
  <si>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</si>
  <si>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</si>
  <si>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</si>
  <si>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</si>
  <si>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</si>
  <si>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</si>
  <si>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</si>
  <si>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</si>
  <si>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</si>
  <si>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</si>
  <si>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</si>
  <si>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</si>
  <si>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</si>
  <si>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</si>
  <si>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</si>
  <si>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</si>
  <si>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</si>
  <si>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</si>
  <si>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</si>
  <si>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</si>
  <si>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</si>
  <si>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</si>
  <si>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</si>
  <si>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</si>
  <si>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</si>
  <si>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</si>
  <si>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</si>
  <si>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</si>
  <si>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</si>
  <si>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</si>
  <si>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</si>
  <si>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</si>
  <si>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</si>
  <si>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</si>
  <si>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</si>
  <si>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</si>
  <si>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</si>
  <si>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</si>
  <si>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</si>
  <si>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</si>
  <si>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</si>
  <si>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</si>
  <si>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</si>
  <si>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</si>
  <si>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</si>
  <si>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</si>
  <si>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</si>
  <si>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</si>
  <si>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</si>
  <si>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</si>
  <si>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</si>
  <si>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</si>
  <si>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</si>
  <si>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</si>
  <si>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</si>
  <si>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</si>
  <si>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</si>
  <si>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</si>
  <si>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</si>
  <si>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</si>
  <si>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</si>
  <si>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</si>
  <si>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</si>
  <si>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</si>
  <si>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</si>
  <si>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</si>
  <si>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</si>
  <si>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</si>
  <si>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</si>
  <si>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</si>
  <si>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</si>
  <si>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NKA</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</si>
  <si>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</si>
  <si>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</si>
  <si>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</si>
  <si>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</si>
  <si>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</si>
  <si>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</si>
  <si>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</si>
  <si>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</si>
  <si>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</si>
  <si>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</si>
  <si>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</si>
  <si>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</si>
  <si>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</si>
  <si>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</si>
  <si>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</si>
  <si>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</si>
  <si>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</si>
  <si>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</si>
  <si>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</si>
  <si>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</si>
  <si>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</si>
  <si>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</si>
  <si>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</si>
  <si>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</si>
  <si>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</si>
  <si>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</si>
  <si>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</si>
  <si>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</si>
  <si>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Pulang :</t>
  </si>
  <si>
    <t>Berangkat :</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</si>
  <si>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</si>
  <si>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</si>
  <si>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</si>
  <si>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</si>
  <si>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</si>
  <si>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</si>
  <si>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</si>
  <si>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</si>
  <si>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</si>
  <si>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</si>
  <si>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YES</t>
  </si>
  <si>
    <t>di Hotel</t>
  </si>
  <si>
    <t>Yes</t>
  </si>
  <si>
    <t>2.2 MOBIL / LOCAL TRANSPORT</t>
  </si>
  <si>
    <t>PGA</t>
  </si>
  <si>
    <t>Non smoking</t>
  </si>
  <si>
    <t>BY : PESAWAT</t>
  </si>
  <si>
    <t>TMI</t>
  </si>
  <si>
    <t>: PENGECEKAN RULE DUMMY CHECK</t>
  </si>
  <si>
    <t>SM</t>
  </si>
  <si>
    <t>GONDA KATSUHITO</t>
  </si>
  <si>
    <t>Gonda Katsuhito</t>
  </si>
  <si>
    <t>Delonix Hotel Karawang</t>
  </si>
  <si>
    <t>Exit Toll Karawang Barat, Komplek Sedana Golf KM 47 Sukaluyu - Teluk Jambe 41361 Karawang</t>
  </si>
  <si>
    <t>di SUAI</t>
  </si>
  <si>
    <t>: SUAI</t>
  </si>
  <si>
    <t>Delonix Hotel Karawang
Exit Toll Karawang Barat, Komplek Sedana Golf KM 47 Sukaluyu - Teluk Jambe 41361 Karawang</t>
  </si>
  <si>
    <t>KGO</t>
  </si>
  <si>
    <t>Golf View</t>
  </si>
  <si>
    <t>MOBIL EXPAT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</si>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</sst>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b/>
      <sz val="11"/>
      <color theme="1"/>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name val="Times New Roman"/>
      <family val="1"/>
    </font>
    <font>
      <b/>
      <sz val="12"/>
      <color rgb="FF0000CC"/>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44">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69" fontId="5" fillId="0" borderId="0" xfId="0" applyNumberFormat="1" applyFont="1" applyAlignment="1">
      <alignment horizontal="center" vertical="center"/>
    </xf>
    <xf numFmtId="0" fontId="5" fillId="0" borderId="27" xfId="0" applyFont="1" applyBorder="1" applyAlignment="1">
      <alignment horizontal="center" vertical="center"/>
    </xf>
    <xf numFmtId="165"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1" fontId="4" fillId="0" borderId="0" xfId="0" applyNumberFormat="1" applyFont="1" applyAlignment="1">
      <alignment horizontal="center" vertical="center"/>
    </xf>
    <xf numFmtId="0" fontId="0" fillId="0" borderId="0" xfId="0" applyAlignment="1">
      <alignment horizontal="center" vertical="center" wrapText="1"/>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30" fillId="2" borderId="1" xfId="1" applyNumberFormat="1" applyFont="1" applyFill="1" applyBorder="1" applyAlignment="1">
      <alignment horizontal="center" vertical="center"/>
    </xf>
    <xf numFmtId="165" fontId="30" fillId="2" borderId="3" xfId="1" applyNumberFormat="1" applyFont="1" applyFill="1" applyBorder="1" applyAlignment="1">
      <alignment horizontal="center" vertical="center"/>
    </xf>
    <xf numFmtId="169" fontId="35"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71" fontId="23" fillId="0" borderId="0" xfId="0" applyNumberFormat="1" applyFont="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165" fontId="36" fillId="0" borderId="10" xfId="1" applyNumberFormat="1" applyFont="1" applyBorder="1" applyAlignment="1">
      <alignment horizontal="center" vertical="center"/>
    </xf>
    <xf numFmtId="0" fontId="36" fillId="0" borderId="52" xfId="0" applyFont="1" applyBorder="1" applyAlignment="1">
      <alignment horizontal="center" vertical="center"/>
    </xf>
    <xf numFmtId="165" fontId="36" fillId="0" borderId="12" xfId="1" applyNumberFormat="1" applyFont="1" applyBorder="1" applyAlignment="1">
      <alignment horizontal="center" vertical="center"/>
    </xf>
    <xf numFmtId="165" fontId="36" fillId="0" borderId="1" xfId="1" applyNumberFormat="1" applyFont="1" applyBorder="1" applyAlignment="1">
      <alignment vertical="center"/>
    </xf>
    <xf numFmtId="165" fontId="36" fillId="0" borderId="3" xfId="1" applyNumberFormat="1" applyFont="1" applyBorder="1" applyAlignment="1">
      <alignment vertical="center"/>
    </xf>
    <xf numFmtId="165" fontId="36" fillId="0" borderId="3" xfId="1" applyNumberFormat="1" applyFont="1" applyBorder="1" applyAlignment="1">
      <alignment horizontal="center" vertical="center"/>
    </xf>
    <xf numFmtId="165" fontId="36" fillId="0" borderId="4" xfId="1" applyNumberFormat="1" applyFont="1" applyBorder="1" applyAlignment="1">
      <alignment horizontal="center" vertical="center"/>
    </xf>
    <xf numFmtId="165" fontId="37" fillId="0" borderId="4" xfId="0" applyNumberFormat="1" applyFont="1" applyBorder="1" applyAlignment="1">
      <alignment vertical="center"/>
    </xf>
    <xf numFmtId="0" fontId="36" fillId="0" borderId="1" xfId="0" applyFont="1" applyBorder="1" applyAlignment="1">
      <alignment horizontal="center" vertical="center"/>
    </xf>
    <xf numFmtId="165" fontId="37" fillId="0" borderId="42" xfId="0" applyNumberFormat="1" applyFont="1" applyBorder="1" applyAlignment="1">
      <alignment vertical="center"/>
    </xf>
    <xf numFmtId="165" fontId="36" fillId="0" borderId="6" xfId="0" applyNumberFormat="1" applyFont="1" applyBorder="1" applyAlignment="1">
      <alignment vertical="center"/>
    </xf>
    <xf numFmtId="165" fontId="37" fillId="0" borderId="6" xfId="1" applyNumberFormat="1" applyFont="1" applyBorder="1" applyAlignment="1">
      <alignment vertical="center"/>
    </xf>
    <xf numFmtId="165" fontId="37" fillId="0" borderId="4" xfId="0" applyNumberFormat="1" applyFont="1" applyBorder="1" applyAlignment="1">
      <alignment horizontal="left" vertical="center"/>
    </xf>
    <xf numFmtId="0" fontId="24" fillId="0" borderId="3" xfId="0" applyFont="1" applyBorder="1" applyAlignment="1">
      <alignment horizontal="left" vertical="center"/>
    </xf>
    <xf numFmtId="0" fontId="24" fillId="0" borderId="2" xfId="0" applyFont="1" applyBorder="1" applyAlignment="1">
      <alignment horizontal="left" vertical="center"/>
    </xf>
    <xf numFmtId="165" fontId="36"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36" fillId="0" borderId="1" xfId="0" applyFont="1" applyBorder="1" applyAlignment="1">
      <alignment horizontal="center" vertical="center" wrapText="1"/>
    </xf>
    <xf numFmtId="165"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6" fillId="0" borderId="11" xfId="1" applyNumberFormat="1" applyFont="1" applyBorder="1" applyAlignment="1">
      <alignment vertical="center"/>
    </xf>
    <xf numFmtId="165"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6" fillId="0" borderId="8" xfId="1" applyNumberFormat="1" applyFont="1" applyBorder="1" applyAlignment="1">
      <alignment vertical="center"/>
    </xf>
    <xf numFmtId="165" fontId="36" fillId="0" borderId="8" xfId="1" applyNumberFormat="1" applyFont="1" applyBorder="1" applyAlignment="1">
      <alignment horizontal="center" vertical="center"/>
    </xf>
    <xf numFmtId="165"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7" fontId="49" fillId="0" borderId="3" xfId="0" applyNumberFormat="1" applyFont="1" applyBorder="1" applyAlignment="1">
      <alignment horizontal="center" vertical="center"/>
    </xf>
    <xf numFmtId="167" fontId="49" fillId="0" borderId="8"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167" fontId="49" fillId="0" borderId="2" xfId="0" applyNumberFormat="1" applyFont="1" applyBorder="1" applyAlignment="1">
      <alignment horizontal="center" vertical="center"/>
    </xf>
    <xf numFmtId="0" fontId="45" fillId="0" borderId="16" xfId="0" applyFont="1" applyBorder="1" applyAlignment="1">
      <alignment vertical="center"/>
    </xf>
    <xf numFmtId="0" fontId="38" fillId="7" borderId="24" xfId="0" applyFont="1" applyFill="1" applyBorder="1" applyAlignment="1">
      <alignment horizontal="center" vertical="top" wrapText="1"/>
    </xf>
    <xf numFmtId="0" fontId="54" fillId="7" borderId="5" xfId="0" applyFont="1" applyFill="1" applyBorder="1" applyAlignment="1">
      <alignment horizontal="center" vertical="top" wrapText="1"/>
    </xf>
    <xf numFmtId="0" fontId="54" fillId="7" borderId="24" xfId="0" applyFont="1" applyFill="1" applyBorder="1" applyAlignment="1">
      <alignment horizontal="center" vertical="top" wrapText="1"/>
    </xf>
    <xf numFmtId="0" fontId="55" fillId="0" borderId="0" xfId="0" applyFont="1" applyAlignment="1">
      <alignment horizontal="center" vertical="center"/>
    </xf>
    <xf numFmtId="0" fontId="53" fillId="0" borderId="1" xfId="0" applyFont="1" applyBorder="1" applyAlignment="1">
      <alignment horizontal="center" vertical="center" wrapText="1"/>
    </xf>
    <xf numFmtId="0" fontId="53" fillId="0" borderId="3" xfId="0" applyFont="1" applyBorder="1" applyAlignment="1">
      <alignment vertical="center"/>
    </xf>
    <xf numFmtId="0" fontId="53" fillId="0" borderId="2" xfId="0" applyFont="1" applyBorder="1" applyAlignment="1">
      <alignment vertical="center"/>
    </xf>
    <xf numFmtId="0" fontId="53" fillId="0" borderId="4" xfId="0" applyFont="1" applyBorder="1" applyAlignment="1">
      <alignment vertical="center"/>
    </xf>
    <xf numFmtId="0" fontId="53" fillId="8" borderId="1" xfId="0" applyFont="1" applyFill="1" applyBorder="1" applyAlignment="1">
      <alignment horizontal="center" vertical="center" wrapText="1"/>
    </xf>
    <xf numFmtId="169" fontId="56" fillId="0" borderId="1" xfId="0" applyNumberFormat="1" applyFont="1" applyBorder="1" applyAlignment="1">
      <alignment vertical="center" wrapText="1"/>
    </xf>
    <xf numFmtId="0" fontId="38" fillId="0" borderId="16" xfId="0" applyFont="1" applyBorder="1" applyAlignment="1">
      <alignment vertical="center"/>
    </xf>
    <xf numFmtId="0" fontId="53" fillId="0" borderId="17" xfId="0" applyFont="1" applyBorder="1" applyAlignment="1">
      <alignment horizontal="center" vertical="center" wrapText="1"/>
    </xf>
    <xf numFmtId="0" fontId="53" fillId="0" borderId="21" xfId="0" applyFont="1" applyBorder="1" applyAlignment="1">
      <alignment vertical="center"/>
    </xf>
    <xf numFmtId="0" fontId="48" fillId="8" borderId="21" xfId="0" quotePrefix="1" applyFont="1" applyFill="1" applyBorder="1" applyAlignment="1">
      <alignment horizontal="center" vertical="center" wrapText="1"/>
    </xf>
    <xf numFmtId="0" fontId="48" fillId="8" borderId="47" xfId="0" applyFont="1" applyFill="1" applyBorder="1" applyAlignment="1">
      <alignment horizontal="center" vertical="center" wrapText="1"/>
    </xf>
    <xf numFmtId="0" fontId="48" fillId="8" borderId="22" xfId="0" applyFont="1" applyFill="1" applyBorder="1" applyAlignment="1">
      <alignment horizontal="center" vertical="center" wrapText="1"/>
    </xf>
    <xf numFmtId="0" fontId="53" fillId="8" borderId="17" xfId="0" applyFont="1" applyFill="1" applyBorder="1" applyAlignment="1">
      <alignment horizontal="center" vertical="center" wrapText="1"/>
    </xf>
    <xf numFmtId="0" fontId="39" fillId="0" borderId="0" xfId="0" quotePrefix="1" applyFont="1" applyAlignment="1">
      <alignment vertical="center" wrapText="1"/>
    </xf>
    <xf numFmtId="0" fontId="57"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7" fillId="0" borderId="0" xfId="0" applyFont="1" applyAlignment="1">
      <alignment horizontal="left" vertical="center"/>
    </xf>
    <xf numFmtId="0" fontId="57"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7" fillId="0" borderId="28" xfId="0" applyNumberFormat="1" applyFont="1" applyBorder="1" applyAlignment="1">
      <alignment horizontal="left" vertical="center"/>
    </xf>
    <xf numFmtId="16" fontId="57" fillId="0" borderId="20" xfId="0" applyNumberFormat="1" applyFont="1" applyBorder="1" applyAlignment="1">
      <alignment horizontal="left" vertical="center"/>
    </xf>
    <xf numFmtId="0" fontId="40" fillId="0" borderId="32" xfId="0" applyFont="1" applyBorder="1"/>
    <xf numFmtId="0" fontId="49" fillId="0" borderId="1" xfId="0" applyFont="1" applyBorder="1" applyAlignment="1">
      <alignment horizontal="center" vertical="center"/>
    </xf>
    <xf numFmtId="0" fontId="5" fillId="0" borderId="11" xfId="0" applyFont="1" applyBorder="1" applyAlignment="1">
      <alignment horizontal="left" vertical="center"/>
    </xf>
    <xf numFmtId="0" fontId="60" fillId="0" borderId="0" xfId="0" applyFont="1" applyAlignment="1">
      <alignment horizontal="center" vertical="center" wrapText="1"/>
    </xf>
    <xf numFmtId="0" fontId="53" fillId="0" borderId="47" xfId="0" applyFont="1" applyBorder="1" applyAlignment="1">
      <alignment horizontal="left" vertical="center"/>
    </xf>
    <xf numFmtId="0" fontId="53" fillId="0" borderId="22"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69" fontId="56" fillId="0" borderId="17" xfId="0" applyNumberFormat="1" applyFont="1" applyBorder="1" applyAlignment="1">
      <alignment vertical="center" wrapText="1"/>
    </xf>
    <xf numFmtId="0" fontId="23" fillId="0" borderId="6" xfId="0" applyFont="1" applyBorder="1" applyAlignment="1">
      <alignment horizontal="center" vertical="center"/>
    </xf>
    <xf numFmtId="165" fontId="36" fillId="0" borderId="18" xfId="1" applyNumberFormat="1" applyFont="1" applyBorder="1" applyAlignment="1">
      <alignment vertical="center"/>
    </xf>
    <xf numFmtId="165" fontId="36" fillId="0" borderId="19" xfId="1" applyNumberFormat="1" applyFont="1" applyBorder="1" applyAlignment="1">
      <alignment horizontal="center" vertical="center"/>
    </xf>
    <xf numFmtId="165" fontId="36" fillId="0" borderId="20" xfId="1" applyNumberFormat="1" applyFont="1" applyBorder="1" applyAlignment="1">
      <alignment horizontal="center" vertical="center"/>
    </xf>
    <xf numFmtId="0" fontId="61" fillId="8" borderId="5" xfId="0" applyFont="1" applyFill="1" applyBorder="1" applyAlignment="1">
      <alignment horizontal="center"/>
    </xf>
    <xf numFmtId="0" fontId="61" fillId="8" borderId="5" xfId="0" applyFont="1" applyFill="1" applyBorder="1" applyAlignment="1">
      <alignment horizontal="center" vertical="center"/>
    </xf>
    <xf numFmtId="0" fontId="61" fillId="8" borderId="1" xfId="0" applyFont="1" applyFill="1" applyBorder="1" applyAlignment="1">
      <alignment horizont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169" fontId="56" fillId="0" borderId="18" xfId="0" applyNumberFormat="1" applyFont="1" applyBorder="1" applyAlignment="1">
      <alignment vertical="center" wrapText="1"/>
    </xf>
    <xf numFmtId="0" fontId="54" fillId="7" borderId="1" xfId="0" applyFont="1" applyFill="1" applyBorder="1" applyAlignment="1">
      <alignment horizontal="center" vertical="top" wrapText="1"/>
    </xf>
    <xf numFmtId="0" fontId="38" fillId="7" borderId="13" xfId="0" applyFont="1" applyFill="1" applyBorder="1" applyAlignment="1">
      <alignment vertical="top" wrapText="1"/>
    </xf>
    <xf numFmtId="0" fontId="38" fillId="7" borderId="0" xfId="0" applyFont="1" applyFill="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167" fontId="53" fillId="7" borderId="16" xfId="0" applyNumberFormat="1" applyFont="1" applyFill="1" applyBorder="1" applyAlignment="1">
      <alignment horizontal="left" vertical="top" wrapText="1"/>
    </xf>
    <xf numFmtId="0" fontId="53" fillId="7" borderId="13" xfId="0" applyFont="1" applyFill="1" applyBorder="1" applyAlignment="1">
      <alignment horizontal="right" vertical="top" wrapText="1"/>
    </xf>
    <xf numFmtId="0" fontId="53" fillId="8" borderId="1" xfId="0" applyFont="1" applyFill="1" applyBorder="1" applyAlignment="1">
      <alignment vertical="center" wrapText="1"/>
    </xf>
    <xf numFmtId="0" fontId="53" fillId="8" borderId="17" xfId="0" applyFont="1" applyFill="1" applyBorder="1" applyAlignment="1">
      <alignment vertical="center" wrapText="1"/>
    </xf>
    <xf numFmtId="0" fontId="23" fillId="0" borderId="18" xfId="0" applyFont="1" applyBorder="1" applyAlignment="1">
      <alignment horizontal="center" vertical="center"/>
    </xf>
    <xf numFmtId="165" fontId="36" fillId="0" borderId="18" xfId="1" applyNumberFormat="1" applyFont="1" applyBorder="1" applyAlignment="1">
      <alignment horizontal="center" vertical="center"/>
    </xf>
    <xf numFmtId="165" fontId="36" fillId="0" borderId="1" xfId="1" applyNumberFormat="1" applyFont="1" applyBorder="1" applyAlignment="1">
      <alignment horizontal="center" vertical="center"/>
    </xf>
    <xf numFmtId="0" fontId="61" fillId="8" borderId="6" xfId="0" applyFont="1" applyFill="1" applyBorder="1"/>
    <xf numFmtId="0" fontId="61" fillId="8" borderId="1" xfId="0" applyFont="1" applyFill="1" applyBorder="1" applyAlignment="1">
      <alignment horizontal="center" vertical="center"/>
    </xf>
    <xf numFmtId="0" fontId="61" fillId="8" borderId="10" xfId="0" applyFont="1" applyFill="1" applyBorder="1" applyAlignment="1">
      <alignment vertical="center"/>
    </xf>
    <xf numFmtId="0" fontId="61" fillId="8" borderId="12" xfId="0" applyFont="1" applyFill="1" applyBorder="1" applyAlignment="1">
      <alignment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0"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4" fillId="0" borderId="2"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5" borderId="8" xfId="0" applyFont="1" applyFill="1" applyBorder="1" applyAlignment="1">
      <alignment horizontal="center" vertical="center"/>
    </xf>
    <xf numFmtId="0" fontId="6" fillId="5" borderId="28" xfId="0" applyFont="1" applyFill="1" applyBorder="1" applyAlignment="1">
      <alignment horizontal="center" vertical="center"/>
    </xf>
    <xf numFmtId="0" fontId="6" fillId="0" borderId="0" xfId="0" applyFont="1" applyAlignment="1">
      <alignment horizontal="center" vertical="top"/>
    </xf>
    <xf numFmtId="164" fontId="4" fillId="0" borderId="19" xfId="0" applyNumberFormat="1" applyFont="1" applyBorder="1" applyAlignment="1">
      <alignment horizontal="center" vertical="center"/>
    </xf>
    <xf numFmtId="164" fontId="4" fillId="0" borderId="20" xfId="0" applyNumberFormat="1" applyFont="1" applyBorder="1" applyAlignment="1">
      <alignment horizontal="center" vertical="center"/>
    </xf>
    <xf numFmtId="20" fontId="24" fillId="0" borderId="10" xfId="0" applyNumberFormat="1" applyFont="1" applyBorder="1" applyAlignment="1">
      <alignment horizontal="center" vertical="center"/>
    </xf>
    <xf numFmtId="0" fontId="24" fillId="0" borderId="6" xfId="0" applyFont="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0" fontId="4" fillId="0" borderId="41" xfId="0" applyNumberFormat="1" applyFont="1" applyBorder="1" applyAlignment="1">
      <alignment horizontal="center" vertical="center"/>
    </xf>
    <xf numFmtId="170" fontId="4" fillId="0" borderId="42" xfId="0" applyNumberFormat="1" applyFont="1" applyBorder="1" applyAlignment="1">
      <alignment horizontal="center" vertical="center"/>
    </xf>
    <xf numFmtId="0" fontId="6" fillId="5" borderId="17"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 xfId="0" applyFont="1" applyFill="1" applyBorder="1" applyAlignment="1">
      <alignment horizontal="center" vertical="center" wrapText="1"/>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6" fillId="5" borderId="5" xfId="0" applyFont="1" applyFill="1" applyBorder="1" applyAlignment="1">
      <alignment horizontal="center" vertical="center" wrapText="1"/>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10" fillId="2" borderId="1" xfId="0" applyFont="1" applyFill="1" applyBorder="1" applyAlignment="1">
      <alignment horizontal="left" vertical="top"/>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0" fillId="3" borderId="1" xfId="0" applyFont="1" applyFill="1" applyBorder="1" applyAlignment="1">
      <alignment horizontal="center" vertical="center"/>
    </xf>
    <xf numFmtId="0" fontId="4" fillId="0" borderId="48" xfId="0" applyFont="1" applyBorder="1" applyAlignment="1">
      <alignment horizontal="center" vertical="center"/>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170" fontId="4" fillId="0" borderId="25" xfId="0" applyNumberFormat="1" applyFont="1" applyBorder="1" applyAlignment="1">
      <alignment horizontal="center" vertical="center"/>
    </xf>
    <xf numFmtId="170" fontId="4" fillId="0" borderId="26" xfId="0" applyNumberFormat="1" applyFont="1" applyBorder="1" applyAlignment="1">
      <alignment horizontal="center" vertical="center"/>
    </xf>
    <xf numFmtId="0" fontId="24" fillId="0" borderId="2" xfId="0" applyFont="1" applyBorder="1" applyAlignment="1">
      <alignment horizontal="center" vertical="center"/>
    </xf>
    <xf numFmtId="20" fontId="24" fillId="0" borderId="12" xfId="0" applyNumberFormat="1" applyFont="1" applyBorder="1" applyAlignment="1">
      <alignment horizontal="center" vertical="center"/>
    </xf>
    <xf numFmtId="0" fontId="6" fillId="5" borderId="18"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3" xfId="0" applyFont="1" applyBorder="1" applyAlignment="1">
      <alignment horizontal="center" vertical="center"/>
    </xf>
    <xf numFmtId="0" fontId="19" fillId="0" borderId="4" xfId="0" applyFont="1" applyBorder="1" applyAlignment="1">
      <alignment horizontal="center" vertical="center"/>
    </xf>
    <xf numFmtId="164"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4" fillId="0" borderId="3" xfId="0" applyFont="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4" fillId="0" borderId="1" xfId="0" applyFont="1" applyBorder="1" applyAlignment="1">
      <alignment vertical="center"/>
    </xf>
    <xf numFmtId="0" fontId="17" fillId="2" borderId="1" xfId="0" applyFont="1" applyFill="1" applyBorder="1" applyAlignment="1">
      <alignment horizontal="left" vertical="top"/>
    </xf>
    <xf numFmtId="0" fontId="10" fillId="2" borderId="1" xfId="0" applyFont="1" applyFill="1" applyBorder="1" applyAlignment="1">
      <alignment horizontal="center" vertical="top"/>
    </xf>
    <xf numFmtId="0" fontId="17" fillId="5" borderId="1"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4" fillId="0" borderId="1" xfId="0" applyFont="1" applyBorder="1" applyAlignment="1">
      <alignment horizontal="center" vertical="center"/>
    </xf>
    <xf numFmtId="0" fontId="24" fillId="0" borderId="6" xfId="0" applyFont="1" applyBorder="1" applyAlignment="1">
      <alignment vertical="center" wrapText="1"/>
    </xf>
    <xf numFmtId="0" fontId="24" fillId="0" borderId="6" xfId="0" applyFont="1" applyBorder="1" applyAlignment="1">
      <alignment horizontal="left"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164" fontId="24" fillId="4" borderId="1" xfId="0" applyNumberFormat="1" applyFont="1" applyFill="1" applyBorder="1" applyAlignment="1">
      <alignment horizontal="center"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41" xfId="0" applyFont="1" applyBorder="1" applyAlignment="1">
      <alignment horizontal="left" vertical="center"/>
    </xf>
    <xf numFmtId="0" fontId="5" fillId="0" borderId="48" xfId="0" applyFont="1" applyBorder="1" applyAlignment="1">
      <alignment horizontal="left" vertical="center"/>
    </xf>
    <xf numFmtId="0" fontId="5" fillId="0" borderId="42" xfId="0" applyFont="1" applyBorder="1" applyAlignment="1">
      <alignment horizontal="left" vertical="center"/>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5" fontId="36" fillId="0" borderId="3" xfId="1" applyNumberFormat="1" applyFont="1" applyBorder="1" applyAlignment="1">
      <alignment horizontal="center" vertical="center"/>
    </xf>
    <xf numFmtId="165" fontId="36" fillId="0" borderId="4" xfId="1" applyNumberFormat="1" applyFont="1" applyBorder="1" applyAlignment="1">
      <alignment horizontal="center" vertical="center"/>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6" fillId="0" borderId="48"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63" fillId="0" borderId="52" xfId="0" applyFont="1" applyBorder="1" applyAlignment="1">
      <alignment horizontal="center" vertical="center" wrapText="1"/>
    </xf>
    <xf numFmtId="0" fontId="24" fillId="0" borderId="52"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6" fillId="0" borderId="41" xfId="0" applyNumberFormat="1" applyFont="1" applyBorder="1" applyAlignment="1">
      <alignment horizontal="center" vertical="center"/>
    </xf>
    <xf numFmtId="171" fontId="36" fillId="0" borderId="42" xfId="0" applyNumberFormat="1" applyFont="1" applyBorder="1" applyAlignment="1">
      <alignment horizontal="center" vertical="center"/>
    </xf>
    <xf numFmtId="1" fontId="36"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9" xfId="0" applyFont="1" applyFill="1" applyBorder="1" applyAlignment="1">
      <alignment horizontal="left" vertical="center"/>
    </xf>
    <xf numFmtId="0" fontId="27" fillId="4" borderId="50"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7" borderId="1" xfId="0" applyFont="1" applyFill="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0" fontId="36" fillId="0" borderId="1" xfId="0" applyFont="1" applyBorder="1" applyAlignment="1">
      <alignment horizontal="left" vertical="center"/>
    </xf>
    <xf numFmtId="165" fontId="37" fillId="0" borderId="4" xfId="0" applyNumberFormat="1" applyFont="1" applyBorder="1" applyAlignment="1">
      <alignment horizontal="left" vertical="center"/>
    </xf>
    <xf numFmtId="0" fontId="5" fillId="0" borderId="41" xfId="0" applyFont="1" applyBorder="1" applyAlignment="1">
      <alignment horizontal="center" vertical="center"/>
    </xf>
    <xf numFmtId="0" fontId="5" fillId="0" borderId="48" xfId="0" applyFont="1" applyBorder="1" applyAlignment="1">
      <alignment horizontal="center" vertical="center"/>
    </xf>
    <xf numFmtId="0" fontId="5" fillId="0" borderId="42" xfId="0" applyFont="1" applyBorder="1" applyAlignment="1">
      <alignment horizontal="center" vertical="center"/>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51"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166" fontId="23" fillId="0" borderId="1" xfId="0" applyNumberFormat="1" applyFont="1" applyBorder="1" applyAlignment="1">
      <alignment horizontal="left" vertical="center"/>
    </xf>
    <xf numFmtId="0" fontId="5" fillId="0" borderId="6" xfId="0" applyFont="1" applyBorder="1" applyAlignment="1">
      <alignment horizontal="center" vertical="center"/>
    </xf>
    <xf numFmtId="165"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66" fontId="23" fillId="0" borderId="18" xfId="0" applyNumberFormat="1" applyFont="1" applyBorder="1" applyAlignment="1">
      <alignment horizontal="left"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39" fillId="7" borderId="3" xfId="0" applyFont="1" applyFill="1" applyBorder="1" applyAlignment="1">
      <alignment horizontal="center" vertical="top" wrapText="1"/>
    </xf>
    <xf numFmtId="0" fontId="39" fillId="7" borderId="4" xfId="0" applyFont="1" applyFill="1" applyBorder="1" applyAlignment="1">
      <alignment horizontal="center" vertical="top" wrapText="1"/>
    </xf>
    <xf numFmtId="169" fontId="51" fillId="0" borderId="6" xfId="0" applyNumberFormat="1" applyFont="1" applyBorder="1" applyAlignment="1">
      <alignment horizontal="center" vertical="center" wrapText="1"/>
    </xf>
    <xf numFmtId="0" fontId="53" fillId="8" borderId="17" xfId="0" applyFont="1" applyFill="1" applyBorder="1" applyAlignment="1">
      <alignment horizontal="center" vertical="center" wrapText="1"/>
    </xf>
    <xf numFmtId="0" fontId="53" fillId="8" borderId="1" xfId="0" applyFont="1" applyFill="1" applyBorder="1" applyAlignment="1">
      <alignment horizontal="center" vertical="center" wrapText="1"/>
    </xf>
    <xf numFmtId="0" fontId="54" fillId="7" borderId="1" xfId="0" applyFont="1" applyFill="1" applyBorder="1" applyAlignment="1">
      <alignment horizontal="center" vertical="top" wrapText="1"/>
    </xf>
    <xf numFmtId="0" fontId="53" fillId="7" borderId="13" xfId="0" applyFont="1" applyFill="1" applyBorder="1" applyAlignment="1">
      <alignment horizontal="center" vertical="top" wrapText="1"/>
    </xf>
    <xf numFmtId="0" fontId="53" fillId="7" borderId="16" xfId="0" applyFont="1" applyFill="1" applyBorder="1" applyAlignment="1">
      <alignment horizontal="center" vertical="top" wrapText="1"/>
    </xf>
    <xf numFmtId="0" fontId="53" fillId="7" borderId="10" xfId="0" applyFont="1" applyFill="1" applyBorder="1" applyAlignment="1">
      <alignment horizontal="center" vertical="top" wrapText="1"/>
    </xf>
    <xf numFmtId="0" fontId="53" fillId="7" borderId="12" xfId="0" applyFont="1" applyFill="1" applyBorder="1" applyAlignment="1">
      <alignment horizontal="center" vertical="top" wrapText="1"/>
    </xf>
    <xf numFmtId="0" fontId="53" fillId="7" borderId="7" xfId="0" applyFont="1" applyFill="1" applyBorder="1" applyAlignment="1">
      <alignment horizontal="center" vertical="top" wrapText="1"/>
    </xf>
    <xf numFmtId="0" fontId="53" fillId="7" borderId="8" xfId="0" applyFont="1" applyFill="1" applyBorder="1" applyAlignment="1">
      <alignment horizontal="center" vertical="top" wrapText="1"/>
    </xf>
    <xf numFmtId="0" fontId="53" fillId="7" borderId="9" xfId="0" applyFont="1" applyFill="1" applyBorder="1" applyAlignment="1">
      <alignment horizontal="center" vertical="top" wrapText="1"/>
    </xf>
    <xf numFmtId="0" fontId="53" fillId="7" borderId="0" xfId="0" applyFont="1" applyFill="1" applyAlignment="1">
      <alignment horizontal="center" vertical="top" wrapText="1"/>
    </xf>
    <xf numFmtId="0" fontId="53" fillId="7" borderId="11" xfId="0" applyFont="1" applyFill="1" applyBorder="1" applyAlignment="1">
      <alignment horizontal="center" vertical="top" wrapText="1"/>
    </xf>
    <xf numFmtId="0" fontId="62" fillId="7" borderId="13" xfId="0" applyFont="1" applyFill="1" applyBorder="1" applyAlignment="1">
      <alignment horizontal="center" vertical="top" wrapText="1"/>
    </xf>
    <xf numFmtId="0" fontId="62" fillId="7" borderId="16" xfId="0" applyFont="1" applyFill="1" applyBorder="1" applyAlignment="1">
      <alignment horizontal="center" vertical="top" wrapText="1"/>
    </xf>
    <xf numFmtId="0" fontId="62" fillId="7" borderId="10" xfId="0" applyFont="1" applyFill="1" applyBorder="1" applyAlignment="1">
      <alignment horizontal="center" vertical="top" wrapText="1"/>
    </xf>
    <xf numFmtId="0" fontId="62" fillId="7" borderId="12" xfId="0" applyFont="1" applyFill="1" applyBorder="1" applyAlignment="1">
      <alignment horizontal="center" vertical="top" wrapText="1"/>
    </xf>
    <xf numFmtId="169" fontId="49" fillId="0" borderId="21" xfId="0" applyNumberFormat="1" applyFont="1" applyBorder="1" applyAlignment="1">
      <alignment horizontal="center" vertical="center" wrapText="1"/>
    </xf>
    <xf numFmtId="169" fontId="49" fillId="0" borderId="22" xfId="0" applyNumberFormat="1" applyFont="1" applyBorder="1" applyAlignment="1">
      <alignment horizontal="center" vertical="center" wrapText="1"/>
    </xf>
    <xf numFmtId="169" fontId="49" fillId="0" borderId="3" xfId="0" applyNumberFormat="1" applyFont="1" applyBorder="1" applyAlignment="1">
      <alignment horizontal="center" vertical="center" wrapText="1"/>
    </xf>
    <xf numFmtId="169" fontId="49" fillId="0" borderId="4" xfId="0" applyNumberFormat="1" applyFont="1" applyBorder="1" applyAlignment="1">
      <alignment horizontal="center" vertical="center" wrapText="1"/>
    </xf>
    <xf numFmtId="0" fontId="52" fillId="0" borderId="13" xfId="0" applyFont="1" applyBorder="1" applyAlignment="1">
      <alignment horizontal="left" vertical="top"/>
    </xf>
    <xf numFmtId="0" fontId="52" fillId="0" borderId="0" xfId="0" applyFont="1" applyAlignment="1">
      <alignment horizontal="left" vertical="top"/>
    </xf>
    <xf numFmtId="0" fontId="52" fillId="0" borderId="16" xfId="0" applyFont="1" applyBorder="1" applyAlignment="1">
      <alignment horizontal="left" vertical="top"/>
    </xf>
    <xf numFmtId="0" fontId="52" fillId="0" borderId="10" xfId="0" applyFont="1" applyBorder="1" applyAlignment="1">
      <alignment horizontal="left" vertical="top"/>
    </xf>
    <xf numFmtId="0" fontId="52" fillId="0" borderId="11" xfId="0" applyFont="1" applyBorder="1" applyAlignment="1">
      <alignment horizontal="left" vertical="top"/>
    </xf>
    <xf numFmtId="0" fontId="52" fillId="0" borderId="12" xfId="0" applyFont="1" applyBorder="1" applyAlignment="1">
      <alignment horizontal="left"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54" fillId="7" borderId="7" xfId="0" applyFont="1" applyFill="1" applyBorder="1" applyAlignment="1">
      <alignment horizontal="center" vertical="top" wrapText="1"/>
    </xf>
    <xf numFmtId="0" fontId="54" fillId="7" borderId="9" xfId="0" applyFont="1" applyFill="1" applyBorder="1" applyAlignment="1">
      <alignment horizontal="center" vertical="top" wrapText="1"/>
    </xf>
    <xf numFmtId="0" fontId="51" fillId="0" borderId="6" xfId="0" applyFont="1" applyBorder="1" applyAlignment="1">
      <alignment horizontal="left" vertical="center" wrapText="1"/>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0" fontId="41" fillId="0" borderId="1" xfId="0" applyFont="1" applyBorder="1" applyAlignment="1">
      <alignment horizontal="left"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41" xfId="0" applyNumberFormat="1" applyBorder="1" applyAlignment="1">
      <alignment horizontal="center" vertical="center"/>
    </xf>
    <xf numFmtId="170" fontId="0" fillId="0" borderId="48" xfId="0" applyNumberFormat="1" applyBorder="1" applyAlignment="1">
      <alignment horizontal="center" vertical="center"/>
    </xf>
    <xf numFmtId="170" fontId="0" fillId="0" borderId="42"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38" fillId="7" borderId="1" xfId="0" applyFont="1" applyFill="1" applyBorder="1" applyAlignment="1">
      <alignment horizontal="center" vertical="top" wrapText="1"/>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58"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69" fontId="41"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61" fillId="8" borderId="7" xfId="0" applyFont="1" applyFill="1" applyBorder="1" applyAlignment="1">
      <alignment horizontal="center"/>
    </xf>
    <xf numFmtId="0" fontId="61" fillId="8" borderId="8" xfId="0" applyFont="1" applyFill="1" applyBorder="1" applyAlignment="1">
      <alignment horizontal="center"/>
    </xf>
    <xf numFmtId="0" fontId="61" fillId="8" borderId="9" xfId="0" applyFont="1" applyFill="1" applyBorder="1" applyAlignment="1">
      <alignment horizontal="center"/>
    </xf>
    <xf numFmtId="0" fontId="61" fillId="8" borderId="13" xfId="0" applyFont="1" applyFill="1" applyBorder="1" applyAlignment="1">
      <alignment horizontal="center"/>
    </xf>
    <xf numFmtId="0" fontId="61" fillId="8" borderId="0" xfId="0" applyFont="1" applyFill="1" applyAlignment="1">
      <alignment horizontal="center"/>
    </xf>
    <xf numFmtId="0" fontId="61" fillId="8" borderId="16" xfId="0" applyFont="1" applyFill="1" applyBorder="1" applyAlignment="1">
      <alignment horizontal="center"/>
    </xf>
    <xf numFmtId="0" fontId="61" fillId="8" borderId="10" xfId="0" applyFont="1" applyFill="1" applyBorder="1" applyAlignment="1">
      <alignment horizontal="center"/>
    </xf>
    <xf numFmtId="0" fontId="61" fillId="8" borderId="11" xfId="0" applyFont="1" applyFill="1" applyBorder="1" applyAlignment="1">
      <alignment horizontal="center"/>
    </xf>
    <xf numFmtId="0" fontId="61" fillId="8" borderId="12" xfId="0" applyFont="1" applyFill="1" applyBorder="1" applyAlignment="1">
      <alignment horizontal="center"/>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50" fillId="0" borderId="2" xfId="0" applyFont="1" applyBorder="1" applyAlignment="1">
      <alignment horizontal="center" vertical="center"/>
    </xf>
    <xf numFmtId="0" fontId="49" fillId="0" borderId="3" xfId="0" applyFont="1" applyBorder="1" applyAlignment="1">
      <alignment horizontal="center" vertical="center"/>
    </xf>
    <xf numFmtId="0" fontId="49" fillId="0" borderId="4" xfId="0" applyFont="1" applyBorder="1" applyAlignment="1">
      <alignment horizontal="center" vertical="center"/>
    </xf>
    <xf numFmtId="0" fontId="49" fillId="0" borderId="3" xfId="0" applyFont="1" applyBorder="1" applyAlignment="1">
      <alignment horizontal="left" vertical="center"/>
    </xf>
    <xf numFmtId="0" fontId="49" fillId="0" borderId="2" xfId="0" applyFont="1" applyBorder="1" applyAlignment="1">
      <alignment horizontal="left" vertical="center"/>
    </xf>
    <xf numFmtId="0" fontId="49" fillId="0" borderId="4" xfId="0" applyFont="1" applyBorder="1" applyAlignment="1">
      <alignment horizontal="left"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0" fillId="0" borderId="8" xfId="0" applyFont="1" applyBorder="1" applyAlignment="1">
      <alignment horizontal="center" vertical="center"/>
    </xf>
    <xf numFmtId="0" fontId="49" fillId="0" borderId="7" xfId="0" applyFont="1" applyBorder="1" applyAlignment="1">
      <alignment horizontal="center" vertical="center"/>
    </xf>
    <xf numFmtId="0" fontId="49" fillId="0" borderId="9" xfId="0" applyFont="1" applyBorder="1" applyAlignment="1">
      <alignment horizontal="center" vertical="center"/>
    </xf>
    <xf numFmtId="0" fontId="49" fillId="0" borderId="7" xfId="0" applyFont="1" applyBorder="1" applyAlignment="1">
      <alignment horizontal="left" vertical="center" wrapText="1"/>
    </xf>
    <xf numFmtId="0" fontId="49" fillId="0" borderId="8" xfId="0" applyFont="1" applyBorder="1" applyAlignment="1">
      <alignment horizontal="left" vertical="center" wrapText="1"/>
    </xf>
    <xf numFmtId="0" fontId="49" fillId="0" borderId="9" xfId="0" applyFont="1" applyBorder="1" applyAlignment="1">
      <alignment horizontal="left" vertical="center" wrapText="1"/>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61" fillId="8" borderId="3" xfId="0" applyFont="1" applyFill="1" applyBorder="1" applyAlignment="1">
      <alignment horizontal="center" wrapText="1"/>
    </xf>
    <xf numFmtId="0" fontId="61" fillId="8" borderId="4" xfId="0" applyFont="1" applyFill="1" applyBorder="1" applyAlignment="1">
      <alignment horizontal="center" wrapText="1"/>
    </xf>
    <xf numFmtId="165" fontId="23" fillId="0" borderId="0" xfId="0" applyNumberFormat="1" applyFont="1" applyAlignment="1">
      <alignment vertical="center"/>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75</xdr:row>
      <xdr:rowOff>126999</xdr:rowOff>
    </xdr:from>
    <xdr:to>
      <xdr:col>6</xdr:col>
      <xdr:colOff>952500</xdr:colOff>
      <xdr:row>80</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49</xdr:row>
      <xdr:rowOff>14552</xdr:rowOff>
    </xdr:from>
    <xdr:to>
      <xdr:col>7</xdr:col>
      <xdr:colOff>424658</xdr:colOff>
      <xdr:row>52</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1:Z87"/>
  <sheetViews>
    <sheetView showGridLines="0" topLeftCell="A31" zoomScale="90" zoomScaleNormal="90" workbookViewId="0">
      <selection activeCell="T69" sqref="T69:U69"/>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120</v>
      </c>
    </row>
    <row r="2" spans="2:26" ht="15" customHeight="1" x14ac:dyDescent="0.25">
      <c r="B2" s="79" t="s">
        <v>0</v>
      </c>
      <c r="C2" s="19"/>
      <c r="D2" s="19"/>
      <c r="E2" s="19"/>
      <c r="F2" s="19"/>
      <c r="G2" s="80"/>
      <c r="H2" s="81" t="s">
        <v>62</v>
      </c>
      <c r="I2" s="70" t="s">
        <v>63</v>
      </c>
      <c r="J2" s="71" t="s">
        <v>158</v>
      </c>
      <c r="K2" s="71"/>
      <c r="L2" s="71"/>
      <c r="M2" s="72"/>
      <c r="N2" s="333" t="s">
        <v>68</v>
      </c>
      <c r="O2" s="334"/>
      <c r="P2" s="333" t="s">
        <v>67</v>
      </c>
      <c r="Q2" s="334"/>
      <c r="R2" s="333" t="s">
        <v>55</v>
      </c>
      <c r="S2" s="334"/>
      <c r="T2" s="333" t="s">
        <v>54</v>
      </c>
      <c r="U2" s="334"/>
    </row>
    <row r="3" spans="2:26" ht="15" customHeight="1" x14ac:dyDescent="0.25">
      <c r="B3" s="356" t="s">
        <v>59</v>
      </c>
      <c r="C3" s="357"/>
      <c r="D3" s="357"/>
      <c r="E3" s="357"/>
      <c r="F3" s="357"/>
      <c r="G3" s="357"/>
      <c r="H3" s="358"/>
      <c r="I3" s="73" t="s">
        <v>64</v>
      </c>
      <c r="J3" s="74" t="s">
        <v>70</v>
      </c>
      <c r="K3" s="74"/>
      <c r="L3" s="74"/>
      <c r="M3" s="75"/>
      <c r="N3" s="346" t="s">
        <v>162</v>
      </c>
      <c r="O3" s="347"/>
      <c r="P3" s="347"/>
      <c r="Q3" s="347"/>
      <c r="R3" s="347"/>
      <c r="S3" s="347"/>
      <c r="T3" s="347"/>
      <c r="U3" s="348"/>
    </row>
    <row r="4" spans="2:26" ht="15" customHeight="1" x14ac:dyDescent="0.25">
      <c r="B4" s="359"/>
      <c r="C4" s="360"/>
      <c r="D4" s="360"/>
      <c r="E4" s="360"/>
      <c r="F4" s="360"/>
      <c r="G4" s="360"/>
      <c r="H4" s="361"/>
      <c r="I4" s="73" t="s">
        <v>5</v>
      </c>
      <c r="J4" s="74" t="s">
        <v>71</v>
      </c>
      <c r="K4" s="74"/>
      <c r="L4" s="74"/>
      <c r="M4" s="75"/>
      <c r="N4" s="349"/>
      <c r="O4" s="350"/>
      <c r="P4" s="350"/>
      <c r="Q4" s="350"/>
      <c r="R4" s="350"/>
      <c r="S4" s="350"/>
      <c r="T4" s="350"/>
      <c r="U4" s="351"/>
    </row>
    <row r="5" spans="2:26" ht="15" customHeight="1" x14ac:dyDescent="0.25">
      <c r="B5" s="359"/>
      <c r="C5" s="360"/>
      <c r="D5" s="360"/>
      <c r="E5" s="360"/>
      <c r="F5" s="360"/>
      <c r="G5" s="360"/>
      <c r="H5" s="361"/>
      <c r="I5" s="73" t="s">
        <v>65</v>
      </c>
      <c r="J5" s="74" t="s">
        <v>72</v>
      </c>
      <c r="K5" s="74"/>
      <c r="L5" s="74"/>
      <c r="M5" s="75"/>
      <c r="N5" s="352"/>
      <c r="O5" s="353"/>
      <c r="P5" s="353"/>
      <c r="Q5" s="353"/>
      <c r="R5" s="353"/>
      <c r="S5" s="353"/>
      <c r="T5" s="353"/>
      <c r="U5" s="354"/>
    </row>
    <row r="6" spans="2:26" ht="15" customHeight="1" x14ac:dyDescent="0.25">
      <c r="B6" s="362"/>
      <c r="C6" s="363"/>
      <c r="D6" s="363"/>
      <c r="E6" s="363"/>
      <c r="F6" s="363"/>
      <c r="G6" s="363"/>
      <c r="H6" s="364"/>
      <c r="I6" s="76" t="s">
        <v>66</v>
      </c>
      <c r="J6" s="77" t="s">
        <v>176</v>
      </c>
      <c r="K6" s="77"/>
      <c r="L6" s="77"/>
      <c r="M6" s="78"/>
      <c r="N6" s="333" t="s">
        <v>69</v>
      </c>
      <c r="O6" s="334"/>
      <c r="P6" s="333" t="s">
        <v>58</v>
      </c>
      <c r="Q6" s="334"/>
      <c r="R6" s="333" t="s">
        <v>57</v>
      </c>
      <c r="S6" s="334"/>
      <c r="T6" s="333" t="s">
        <v>56</v>
      </c>
      <c r="U6" s="334"/>
    </row>
    <row r="7" spans="2:26" ht="15" customHeight="1" x14ac:dyDescent="0.25">
      <c r="B7" s="53"/>
      <c r="U7" s="20"/>
    </row>
    <row r="8" spans="2:26" s="5" customFormat="1" ht="21.95" customHeight="1" x14ac:dyDescent="0.25">
      <c r="B8" s="54" t="s">
        <v>8</v>
      </c>
      <c r="C8" s="45"/>
      <c r="D8" s="45"/>
      <c r="E8" s="45"/>
      <c r="F8" s="45"/>
      <c r="G8" s="47" t="s">
        <v>241</v>
      </c>
      <c r="H8" s="6"/>
      <c r="I8" s="6"/>
      <c r="J8" s="6"/>
      <c r="U8" s="22"/>
    </row>
    <row r="9" spans="2:26" s="5" customFormat="1" ht="21.95" customHeight="1" x14ac:dyDescent="0.25">
      <c r="B9" s="55" t="s">
        <v>9</v>
      </c>
      <c r="C9" s="46"/>
      <c r="D9" s="46"/>
      <c r="E9" s="46"/>
      <c r="F9" s="46"/>
      <c r="G9" s="48" t="s">
        <v>234</v>
      </c>
      <c r="H9" s="7"/>
      <c r="I9" s="7"/>
      <c r="J9" s="7"/>
      <c r="U9" s="22"/>
    </row>
    <row r="10" spans="2:26" s="5" customFormat="1" ht="15" customHeight="1" x14ac:dyDescent="0.25">
      <c r="B10" s="21"/>
      <c r="C10" s="27"/>
      <c r="D10" s="27"/>
      <c r="E10" s="27"/>
      <c r="F10" s="27"/>
      <c r="G10" s="13"/>
      <c r="U10" s="22"/>
    </row>
    <row r="11" spans="2:26" ht="24.95" customHeight="1" x14ac:dyDescent="0.25">
      <c r="B11" s="56" t="s">
        <v>73</v>
      </c>
      <c r="U11" s="20"/>
    </row>
    <row r="12" spans="2:26" s="8" customFormat="1" ht="24.95" customHeight="1" x14ac:dyDescent="0.25">
      <c r="B12" s="41" t="s">
        <v>1</v>
      </c>
      <c r="C12" s="370" t="s">
        <v>5</v>
      </c>
      <c r="D12" s="371"/>
      <c r="E12" s="371"/>
      <c r="F12" s="372"/>
      <c r="G12" s="365" t="s">
        <v>4</v>
      </c>
      <c r="H12" s="366"/>
      <c r="I12" s="365" t="s">
        <v>61</v>
      </c>
      <c r="J12" s="390"/>
      <c r="K12" s="365" t="s">
        <v>2</v>
      </c>
      <c r="L12" s="366"/>
      <c r="M12" s="395" t="s">
        <v>3</v>
      </c>
      <c r="N12" s="395"/>
      <c r="O12" s="395"/>
      <c r="P12" s="395"/>
      <c r="Q12" s="395"/>
      <c r="R12" s="17"/>
      <c r="S12" s="17"/>
      <c r="T12" s="17"/>
      <c r="U12" s="23"/>
      <c r="V12" s="17"/>
      <c r="W12" s="17"/>
      <c r="X12" s="17"/>
      <c r="Y12" s="377"/>
      <c r="Z12" s="377"/>
    </row>
    <row r="13" spans="2:26" ht="24.95" customHeight="1" x14ac:dyDescent="0.25">
      <c r="B13" s="16">
        <v>1</v>
      </c>
      <c r="C13" s="167">
        <v>45355</v>
      </c>
      <c r="D13" s="369" t="s">
        <v>6</v>
      </c>
      <c r="E13" s="369"/>
      <c r="F13" s="168">
        <v>45356</v>
      </c>
      <c r="G13" s="391" t="s">
        <v>230</v>
      </c>
      <c r="H13" s="392"/>
      <c r="I13" s="391" t="s">
        <v>235</v>
      </c>
      <c r="J13" s="392"/>
      <c r="K13" s="391">
        <v>25252</v>
      </c>
      <c r="L13" s="392"/>
      <c r="M13" s="169" t="s">
        <v>236</v>
      </c>
      <c r="N13" s="170"/>
      <c r="O13" s="170"/>
      <c r="P13" s="170"/>
      <c r="Q13" s="171"/>
      <c r="U13" s="20"/>
    </row>
    <row r="14" spans="2:26" ht="24.95" customHeight="1" x14ac:dyDescent="0.25">
      <c r="B14" s="16">
        <v>2</v>
      </c>
      <c r="C14" s="167"/>
      <c r="D14" s="369" t="s">
        <v>6</v>
      </c>
      <c r="E14" s="369"/>
      <c r="F14" s="168"/>
      <c r="G14" s="391"/>
      <c r="H14" s="392"/>
      <c r="I14" s="391"/>
      <c r="J14" s="418"/>
      <c r="K14" s="212"/>
      <c r="L14" s="213"/>
      <c r="M14" s="169"/>
      <c r="N14" s="170"/>
      <c r="O14" s="170"/>
      <c r="P14" s="170"/>
      <c r="Q14" s="171"/>
      <c r="U14" s="20"/>
    </row>
    <row r="15" spans="2:26" ht="15" customHeight="1" x14ac:dyDescent="0.25">
      <c r="B15" s="11"/>
      <c r="U15" s="20"/>
    </row>
    <row r="16" spans="2:26" ht="20.100000000000001" customHeight="1" x14ac:dyDescent="0.25">
      <c r="B16" s="56" t="s">
        <v>107</v>
      </c>
      <c r="U16" s="20"/>
    </row>
    <row r="17" spans="2:23" ht="20.100000000000001" customHeight="1" x14ac:dyDescent="0.25">
      <c r="B17" s="57" t="s">
        <v>77</v>
      </c>
      <c r="K17" s="24" t="s">
        <v>78</v>
      </c>
      <c r="L17" s="24"/>
      <c r="U17" s="20"/>
    </row>
    <row r="18" spans="2:23" s="3" customFormat="1" ht="20.100000000000001" customHeight="1" thickBot="1" x14ac:dyDescent="0.3">
      <c r="B18" s="388" t="s">
        <v>1</v>
      </c>
      <c r="C18" s="329" t="s">
        <v>5</v>
      </c>
      <c r="D18" s="330"/>
      <c r="E18" s="365" t="s">
        <v>154</v>
      </c>
      <c r="F18" s="390"/>
      <c r="G18" s="366"/>
      <c r="H18" s="365" t="s">
        <v>60</v>
      </c>
      <c r="I18" s="366"/>
      <c r="J18" s="5"/>
      <c r="K18" s="344" t="s">
        <v>1</v>
      </c>
      <c r="L18" s="340" t="s">
        <v>5</v>
      </c>
      <c r="M18" s="341"/>
      <c r="N18" s="337" t="s">
        <v>13</v>
      </c>
      <c r="O18" s="338"/>
      <c r="P18" s="338"/>
      <c r="Q18" s="339"/>
      <c r="R18" s="337" t="s">
        <v>60</v>
      </c>
      <c r="S18" s="338"/>
      <c r="T18" s="338"/>
      <c r="U18" s="339"/>
      <c r="V18" s="9"/>
      <c r="W18" s="9"/>
    </row>
    <row r="19" spans="2:23" s="3" customFormat="1" ht="20.100000000000001" customHeight="1" thickTop="1" thickBot="1" x14ac:dyDescent="0.3">
      <c r="B19" s="389"/>
      <c r="C19" s="367"/>
      <c r="D19" s="368"/>
      <c r="E19" s="382" t="s">
        <v>35</v>
      </c>
      <c r="F19" s="383"/>
      <c r="G19" s="43" t="s">
        <v>36</v>
      </c>
      <c r="H19" s="42" t="s">
        <v>35</v>
      </c>
      <c r="I19" s="38" t="s">
        <v>36</v>
      </c>
      <c r="J19" s="5"/>
      <c r="K19" s="345"/>
      <c r="L19" s="342"/>
      <c r="M19" s="343"/>
      <c r="N19" s="329" t="s">
        <v>35</v>
      </c>
      <c r="O19" s="330"/>
      <c r="P19" s="329" t="s">
        <v>36</v>
      </c>
      <c r="Q19" s="330"/>
      <c r="R19" s="329" t="s">
        <v>35</v>
      </c>
      <c r="S19" s="330"/>
      <c r="T19" s="329" t="s">
        <v>36</v>
      </c>
      <c r="U19" s="330"/>
      <c r="V19" s="9"/>
      <c r="W19" s="9"/>
    </row>
    <row r="20" spans="2:23" ht="24.95" customHeight="1" thickTop="1" thickBot="1" x14ac:dyDescent="0.3">
      <c r="B20" s="44">
        <v>1</v>
      </c>
      <c r="C20" s="378"/>
      <c r="D20" s="379"/>
      <c r="E20" s="335"/>
      <c r="F20" s="336"/>
      <c r="G20" s="140"/>
      <c r="H20" s="133"/>
      <c r="I20" s="44"/>
      <c r="J20" s="13"/>
      <c r="K20" s="44">
        <v>1</v>
      </c>
      <c r="L20" s="416"/>
      <c r="M20" s="417"/>
      <c r="N20" s="331"/>
      <c r="O20" s="355"/>
      <c r="P20" s="331"/>
      <c r="Q20" s="332"/>
      <c r="R20" s="331"/>
      <c r="S20" s="332"/>
      <c r="T20" s="331"/>
      <c r="U20" s="332"/>
      <c r="V20" s="9"/>
      <c r="W20" s="9"/>
    </row>
    <row r="21" spans="2:23" ht="24.95" customHeight="1" thickTop="1" thickBot="1" x14ac:dyDescent="0.3">
      <c r="B21" s="44">
        <v>2</v>
      </c>
      <c r="C21" s="378"/>
      <c r="D21" s="379"/>
      <c r="E21" s="335"/>
      <c r="F21" s="336"/>
      <c r="G21" s="140"/>
      <c r="H21" s="133"/>
      <c r="I21" s="140"/>
      <c r="J21" s="13"/>
      <c r="K21" s="39">
        <v>2</v>
      </c>
      <c r="L21" s="386"/>
      <c r="M21" s="387"/>
      <c r="N21" s="331"/>
      <c r="O21" s="332"/>
      <c r="P21" s="393"/>
      <c r="Q21" s="394"/>
      <c r="R21" s="393"/>
      <c r="S21" s="394"/>
      <c r="T21" s="393" t="s">
        <v>120</v>
      </c>
      <c r="U21" s="394"/>
    </row>
    <row r="22" spans="2:23" ht="15" customHeight="1" thickTop="1" x14ac:dyDescent="0.25">
      <c r="B22" s="11"/>
      <c r="U22" s="20"/>
    </row>
    <row r="23" spans="2:23" ht="20.100000000000001" customHeight="1" x14ac:dyDescent="0.25">
      <c r="B23" s="21" t="s">
        <v>79</v>
      </c>
      <c r="C23" s="14"/>
      <c r="D23" s="14"/>
      <c r="E23" s="14"/>
      <c r="F23" s="14"/>
      <c r="G23" s="13"/>
      <c r="H23" s="13"/>
      <c r="I23" s="13"/>
      <c r="J23" s="13"/>
      <c r="K23" s="13"/>
      <c r="L23" s="13"/>
      <c r="M23" s="13"/>
      <c r="N23" s="13"/>
      <c r="O23" s="13"/>
      <c r="P23" s="13"/>
      <c r="Q23" s="13"/>
      <c r="R23" s="13"/>
      <c r="S23" s="13"/>
      <c r="T23" s="13"/>
      <c r="U23" s="58"/>
    </row>
    <row r="24" spans="2:23" s="3" customFormat="1" ht="20.100000000000001" customHeight="1" x14ac:dyDescent="0.25">
      <c r="B24" s="344" t="s">
        <v>1</v>
      </c>
      <c r="C24" s="340" t="s">
        <v>5</v>
      </c>
      <c r="D24" s="375"/>
      <c r="E24" s="375"/>
      <c r="F24" s="341"/>
      <c r="G24" s="370" t="s">
        <v>14</v>
      </c>
      <c r="H24" s="372"/>
      <c r="I24" s="395" t="s">
        <v>75</v>
      </c>
      <c r="J24" s="365" t="s">
        <v>15</v>
      </c>
      <c r="K24" s="390"/>
      <c r="L24" s="390"/>
      <c r="M24" s="366"/>
      <c r="N24" s="384" t="s">
        <v>74</v>
      </c>
      <c r="O24" s="384"/>
      <c r="P24" s="384"/>
      <c r="Q24" s="384"/>
      <c r="R24" s="384"/>
      <c r="S24" s="384"/>
      <c r="T24" s="384"/>
      <c r="U24" s="384"/>
      <c r="V24" s="9"/>
      <c r="W24" s="9"/>
    </row>
    <row r="25" spans="2:23" s="3" customFormat="1" ht="20.100000000000001" customHeight="1" thickBot="1" x14ac:dyDescent="0.3">
      <c r="B25" s="345"/>
      <c r="C25" s="342"/>
      <c r="D25" s="376"/>
      <c r="E25" s="376"/>
      <c r="F25" s="343"/>
      <c r="G25" s="411"/>
      <c r="H25" s="412"/>
      <c r="I25" s="420"/>
      <c r="J25" s="382" t="s">
        <v>17</v>
      </c>
      <c r="K25" s="383"/>
      <c r="L25" s="382" t="s">
        <v>16</v>
      </c>
      <c r="M25" s="383"/>
      <c r="N25" s="385"/>
      <c r="O25" s="385"/>
      <c r="P25" s="385"/>
      <c r="Q25" s="385"/>
      <c r="R25" s="385"/>
      <c r="S25" s="385"/>
      <c r="T25" s="385"/>
      <c r="U25" s="385"/>
      <c r="V25" s="9"/>
      <c r="W25" s="9"/>
    </row>
    <row r="26" spans="2:23" ht="50.1" customHeight="1" thickTop="1" x14ac:dyDescent="0.25">
      <c r="B26" s="39">
        <v>1</v>
      </c>
      <c r="C26" s="164">
        <v>45355</v>
      </c>
      <c r="D26" s="403" t="s">
        <v>6</v>
      </c>
      <c r="E26" s="403"/>
      <c r="F26" s="165">
        <v>45356</v>
      </c>
      <c r="G26" s="373" t="s">
        <v>245</v>
      </c>
      <c r="H26" s="374"/>
      <c r="I26" s="166"/>
      <c r="J26" s="380"/>
      <c r="K26" s="419"/>
      <c r="L26" s="380"/>
      <c r="M26" s="374"/>
      <c r="N26" s="381" t="s">
        <v>7</v>
      </c>
      <c r="O26" s="381"/>
      <c r="P26" s="381"/>
      <c r="Q26" s="381"/>
      <c r="R26" s="381"/>
      <c r="S26" s="381"/>
      <c r="T26" s="381"/>
      <c r="U26" s="381"/>
      <c r="V26" s="9"/>
      <c r="W26" s="9"/>
    </row>
    <row r="27" spans="2:23" ht="24.95" customHeight="1" x14ac:dyDescent="0.25">
      <c r="B27" s="59" t="s">
        <v>106</v>
      </c>
      <c r="C27" s="14"/>
      <c r="D27" s="14"/>
      <c r="E27" s="14"/>
      <c r="F27" s="14"/>
      <c r="G27" s="13"/>
      <c r="H27" s="13"/>
      <c r="I27" s="13"/>
      <c r="J27" s="13"/>
      <c r="K27" s="13"/>
      <c r="L27" s="13"/>
      <c r="M27" s="13"/>
      <c r="N27" s="13"/>
      <c r="O27" s="13"/>
      <c r="U27" s="20"/>
    </row>
    <row r="28" spans="2:23" s="10" customFormat="1" ht="20.100000000000001" customHeight="1" x14ac:dyDescent="0.25">
      <c r="B28" s="29" t="s">
        <v>83</v>
      </c>
      <c r="C28" s="402" t="s">
        <v>128</v>
      </c>
      <c r="D28" s="402"/>
      <c r="E28" s="402"/>
      <c r="F28" s="402"/>
      <c r="G28" s="402"/>
      <c r="H28" s="402"/>
      <c r="I28" s="402"/>
      <c r="J28" s="413" t="s">
        <v>84</v>
      </c>
      <c r="K28" s="414"/>
      <c r="L28" s="415"/>
      <c r="M28" s="413" t="s">
        <v>85</v>
      </c>
      <c r="N28" s="414"/>
      <c r="O28" s="415"/>
      <c r="P28" s="402" t="s">
        <v>33</v>
      </c>
      <c r="Q28" s="402"/>
      <c r="R28" s="402"/>
      <c r="U28" s="25"/>
    </row>
    <row r="29" spans="2:23" s="28" customFormat="1" ht="17.100000000000001" customHeight="1" x14ac:dyDescent="0.25">
      <c r="B29" s="40">
        <v>1</v>
      </c>
      <c r="C29" s="398" t="s">
        <v>18</v>
      </c>
      <c r="D29" s="398"/>
      <c r="E29" s="398"/>
      <c r="F29" s="398"/>
      <c r="G29" s="398"/>
      <c r="H29" s="398"/>
      <c r="I29" s="398"/>
      <c r="J29" s="399" t="s">
        <v>30</v>
      </c>
      <c r="K29" s="400"/>
      <c r="L29" s="401"/>
      <c r="M29" s="399" t="s">
        <v>30</v>
      </c>
      <c r="N29" s="400"/>
      <c r="O29" s="401"/>
      <c r="P29" s="396" t="s">
        <v>30</v>
      </c>
      <c r="Q29" s="396"/>
      <c r="R29" s="396"/>
      <c r="U29" s="60"/>
    </row>
    <row r="30" spans="2:23" s="28" customFormat="1" ht="17.100000000000001" customHeight="1" x14ac:dyDescent="0.25">
      <c r="B30" s="40">
        <v>2</v>
      </c>
      <c r="C30" s="398" t="s">
        <v>19</v>
      </c>
      <c r="D30" s="398"/>
      <c r="E30" s="398"/>
      <c r="F30" s="398"/>
      <c r="G30" s="398"/>
      <c r="H30" s="398"/>
      <c r="I30" s="398"/>
      <c r="J30" s="399" t="s">
        <v>30</v>
      </c>
      <c r="K30" s="400"/>
      <c r="L30" s="401"/>
      <c r="M30" s="399" t="s">
        <v>30</v>
      </c>
      <c r="N30" s="400"/>
      <c r="O30" s="401"/>
      <c r="P30" s="396" t="s">
        <v>30</v>
      </c>
      <c r="Q30" s="396"/>
      <c r="R30" s="396"/>
      <c r="U30" s="60"/>
    </row>
    <row r="31" spans="2:23" s="28" customFormat="1" ht="17.100000000000001" customHeight="1" x14ac:dyDescent="0.25">
      <c r="B31" s="40">
        <v>3</v>
      </c>
      <c r="C31" s="404" t="s">
        <v>123</v>
      </c>
      <c r="D31" s="404"/>
      <c r="E31" s="404"/>
      <c r="F31" s="404"/>
      <c r="G31" s="404"/>
      <c r="H31" s="404"/>
      <c r="I31" s="404"/>
      <c r="J31" s="399" t="s">
        <v>30</v>
      </c>
      <c r="K31" s="400"/>
      <c r="L31" s="401"/>
      <c r="M31" s="399" t="s">
        <v>30</v>
      </c>
      <c r="N31" s="400"/>
      <c r="O31" s="401"/>
      <c r="P31" s="396" t="s">
        <v>30</v>
      </c>
      <c r="Q31" s="396"/>
      <c r="R31" s="396"/>
      <c r="U31" s="60"/>
    </row>
    <row r="32" spans="2:23" s="28" customFormat="1" ht="17.100000000000001" customHeight="1" x14ac:dyDescent="0.25">
      <c r="B32" s="40">
        <v>4</v>
      </c>
      <c r="C32" s="398" t="s">
        <v>20</v>
      </c>
      <c r="D32" s="398"/>
      <c r="E32" s="398"/>
      <c r="F32" s="398"/>
      <c r="G32" s="398"/>
      <c r="H32" s="398"/>
      <c r="I32" s="398"/>
      <c r="J32" s="399" t="s">
        <v>30</v>
      </c>
      <c r="K32" s="400"/>
      <c r="L32" s="401"/>
      <c r="M32" s="399" t="s">
        <v>30</v>
      </c>
      <c r="N32" s="400"/>
      <c r="O32" s="401"/>
      <c r="P32" s="396" t="s">
        <v>30</v>
      </c>
      <c r="Q32" s="396"/>
      <c r="R32" s="396"/>
      <c r="U32" s="60"/>
    </row>
    <row r="33" spans="2:21" s="28" customFormat="1" ht="17.100000000000001" customHeight="1" x14ac:dyDescent="0.25">
      <c r="B33" s="40">
        <v>5</v>
      </c>
      <c r="C33" s="398" t="s">
        <v>21</v>
      </c>
      <c r="D33" s="398"/>
      <c r="E33" s="398"/>
      <c r="F33" s="398"/>
      <c r="G33" s="398"/>
      <c r="H33" s="398"/>
      <c r="I33" s="398"/>
      <c r="J33" s="399" t="s">
        <v>30</v>
      </c>
      <c r="K33" s="400"/>
      <c r="L33" s="401"/>
      <c r="M33" s="399" t="s">
        <v>30</v>
      </c>
      <c r="N33" s="400"/>
      <c r="O33" s="401"/>
      <c r="P33" s="396" t="s">
        <v>30</v>
      </c>
      <c r="Q33" s="396"/>
      <c r="R33" s="396"/>
      <c r="U33" s="60"/>
    </row>
    <row r="34" spans="2:21" s="28" customFormat="1" ht="17.100000000000001" customHeight="1" x14ac:dyDescent="0.25">
      <c r="B34" s="40">
        <v>6</v>
      </c>
      <c r="C34" s="404" t="s">
        <v>124</v>
      </c>
      <c r="D34" s="404"/>
      <c r="E34" s="404"/>
      <c r="F34" s="404"/>
      <c r="G34" s="404"/>
      <c r="H34" s="404"/>
      <c r="I34" s="404"/>
      <c r="J34" s="399" t="s">
        <v>30</v>
      </c>
      <c r="K34" s="400"/>
      <c r="L34" s="401"/>
      <c r="M34" s="399" t="s">
        <v>30</v>
      </c>
      <c r="N34" s="400"/>
      <c r="O34" s="401"/>
      <c r="P34" s="396" t="s">
        <v>30</v>
      </c>
      <c r="Q34" s="396"/>
      <c r="R34" s="396"/>
      <c r="U34" s="60"/>
    </row>
    <row r="35" spans="2:21" s="28" customFormat="1" ht="35.1" customHeight="1" x14ac:dyDescent="0.25">
      <c r="B35" s="40">
        <v>7</v>
      </c>
      <c r="C35" s="398" t="s">
        <v>22</v>
      </c>
      <c r="D35" s="398"/>
      <c r="E35" s="398"/>
      <c r="F35" s="398"/>
      <c r="G35" s="398"/>
      <c r="H35" s="398"/>
      <c r="I35" s="398"/>
      <c r="J35" s="405" t="s">
        <v>125</v>
      </c>
      <c r="K35" s="406"/>
      <c r="L35" s="407"/>
      <c r="M35" s="405" t="s">
        <v>126</v>
      </c>
      <c r="N35" s="406"/>
      <c r="O35" s="407"/>
      <c r="P35" s="397" t="s">
        <v>126</v>
      </c>
      <c r="Q35" s="397"/>
      <c r="R35" s="397"/>
      <c r="U35" s="60"/>
    </row>
    <row r="36" spans="2:21" s="28" customFormat="1" ht="35.1" customHeight="1" x14ac:dyDescent="0.25">
      <c r="B36" s="40">
        <v>8</v>
      </c>
      <c r="C36" s="398" t="s">
        <v>23</v>
      </c>
      <c r="D36" s="398"/>
      <c r="E36" s="398"/>
      <c r="F36" s="398"/>
      <c r="G36" s="398"/>
      <c r="H36" s="398"/>
      <c r="I36" s="398"/>
      <c r="J36" s="408" t="s">
        <v>31</v>
      </c>
      <c r="K36" s="409"/>
      <c r="L36" s="410"/>
      <c r="M36" s="405" t="s">
        <v>127</v>
      </c>
      <c r="N36" s="406"/>
      <c r="O36" s="407"/>
      <c r="P36" s="397" t="s">
        <v>127</v>
      </c>
      <c r="Q36" s="397"/>
      <c r="R36" s="397"/>
      <c r="U36" s="60"/>
    </row>
    <row r="37" spans="2:21" s="28" customFormat="1" ht="17.100000000000001" customHeight="1" x14ac:dyDescent="0.25">
      <c r="B37" s="40">
        <v>9</v>
      </c>
      <c r="C37" s="398" t="s">
        <v>24</v>
      </c>
      <c r="D37" s="398"/>
      <c r="E37" s="398"/>
      <c r="F37" s="398"/>
      <c r="G37" s="398"/>
      <c r="H37" s="398"/>
      <c r="I37" s="398"/>
      <c r="J37" s="408" t="s">
        <v>31</v>
      </c>
      <c r="K37" s="409"/>
      <c r="L37" s="410"/>
      <c r="M37" s="408" t="s">
        <v>31</v>
      </c>
      <c r="N37" s="409"/>
      <c r="O37" s="410"/>
      <c r="P37" s="481" t="s">
        <v>31</v>
      </c>
      <c r="Q37" s="481"/>
      <c r="R37" s="481"/>
      <c r="U37" s="60"/>
    </row>
    <row r="38" spans="2:21" s="28" customFormat="1" ht="17.100000000000001" customHeight="1" x14ac:dyDescent="0.25">
      <c r="B38" s="40">
        <v>10</v>
      </c>
      <c r="C38" s="398" t="s">
        <v>25</v>
      </c>
      <c r="D38" s="398"/>
      <c r="E38" s="398"/>
      <c r="F38" s="398"/>
      <c r="G38" s="398"/>
      <c r="H38" s="398"/>
      <c r="I38" s="398"/>
      <c r="J38" s="408" t="s">
        <v>31</v>
      </c>
      <c r="K38" s="409"/>
      <c r="L38" s="410"/>
      <c r="M38" s="408" t="s">
        <v>31</v>
      </c>
      <c r="N38" s="409"/>
      <c r="O38" s="410"/>
      <c r="P38" s="481" t="s">
        <v>31</v>
      </c>
      <c r="Q38" s="481"/>
      <c r="R38" s="481"/>
      <c r="U38" s="60"/>
    </row>
    <row r="39" spans="2:21" s="28" customFormat="1" ht="17.100000000000001" customHeight="1" x14ac:dyDescent="0.25">
      <c r="B39" s="40">
        <v>11</v>
      </c>
      <c r="C39" s="398" t="s">
        <v>26</v>
      </c>
      <c r="D39" s="398"/>
      <c r="E39" s="398"/>
      <c r="F39" s="398"/>
      <c r="G39" s="398"/>
      <c r="H39" s="398"/>
      <c r="I39" s="398"/>
      <c r="J39" s="408" t="s">
        <v>31</v>
      </c>
      <c r="K39" s="409"/>
      <c r="L39" s="410"/>
      <c r="M39" s="408" t="s">
        <v>31</v>
      </c>
      <c r="N39" s="409"/>
      <c r="O39" s="410"/>
      <c r="P39" s="481" t="s">
        <v>31</v>
      </c>
      <c r="Q39" s="481"/>
      <c r="R39" s="481"/>
      <c r="U39" s="60"/>
    </row>
    <row r="40" spans="2:21" s="28" customFormat="1" ht="17.100000000000001" customHeight="1" x14ac:dyDescent="0.25">
      <c r="B40" s="40">
        <v>12</v>
      </c>
      <c r="C40" s="398" t="s">
        <v>27</v>
      </c>
      <c r="D40" s="398"/>
      <c r="E40" s="398"/>
      <c r="F40" s="398"/>
      <c r="G40" s="398"/>
      <c r="H40" s="398"/>
      <c r="I40" s="398"/>
      <c r="J40" s="408" t="s">
        <v>31</v>
      </c>
      <c r="K40" s="409"/>
      <c r="L40" s="410"/>
      <c r="M40" s="408" t="s">
        <v>31</v>
      </c>
      <c r="N40" s="409"/>
      <c r="O40" s="410"/>
      <c r="P40" s="481" t="s">
        <v>31</v>
      </c>
      <c r="Q40" s="481"/>
      <c r="R40" s="481"/>
      <c r="U40" s="60"/>
    </row>
    <row r="41" spans="2:21" s="28" customFormat="1" ht="17.100000000000001" customHeight="1" x14ac:dyDescent="0.25">
      <c r="B41" s="40">
        <v>13</v>
      </c>
      <c r="C41" s="398" t="s">
        <v>28</v>
      </c>
      <c r="D41" s="398"/>
      <c r="E41" s="398"/>
      <c r="F41" s="398"/>
      <c r="G41" s="398"/>
      <c r="H41" s="398"/>
      <c r="I41" s="398"/>
      <c r="J41" s="408" t="s">
        <v>32</v>
      </c>
      <c r="K41" s="409"/>
      <c r="L41" s="410"/>
      <c r="M41" s="408" t="s">
        <v>32</v>
      </c>
      <c r="N41" s="409"/>
      <c r="O41" s="410"/>
      <c r="P41" s="481" t="s">
        <v>32</v>
      </c>
      <c r="Q41" s="481"/>
      <c r="R41" s="481"/>
      <c r="U41" s="60"/>
    </row>
    <row r="42" spans="2:21" s="28" customFormat="1" ht="17.100000000000001" customHeight="1" x14ac:dyDescent="0.25">
      <c r="B42" s="40">
        <v>14</v>
      </c>
      <c r="C42" s="398" t="s">
        <v>29</v>
      </c>
      <c r="D42" s="398"/>
      <c r="E42" s="398"/>
      <c r="F42" s="398"/>
      <c r="G42" s="398"/>
      <c r="H42" s="398"/>
      <c r="I42" s="398"/>
      <c r="J42" s="408" t="s">
        <v>31</v>
      </c>
      <c r="K42" s="409"/>
      <c r="L42" s="410"/>
      <c r="M42" s="408" t="s">
        <v>31</v>
      </c>
      <c r="N42" s="409"/>
      <c r="O42" s="410"/>
      <c r="P42" s="481" t="s">
        <v>31</v>
      </c>
      <c r="Q42" s="481"/>
      <c r="R42" s="481"/>
      <c r="U42" s="60"/>
    </row>
    <row r="43" spans="2:21" ht="24.95" customHeight="1" x14ac:dyDescent="0.25">
      <c r="B43" s="59" t="s">
        <v>155</v>
      </c>
      <c r="C43" s="14"/>
      <c r="D43" s="14"/>
      <c r="E43" s="14"/>
      <c r="F43" s="14"/>
      <c r="G43" s="13"/>
      <c r="H43" s="13"/>
      <c r="I43" s="13"/>
      <c r="J43" s="13"/>
      <c r="K43" s="13"/>
      <c r="L43" s="13"/>
      <c r="M43" s="13"/>
      <c r="N43" s="13"/>
      <c r="O43" s="13"/>
      <c r="U43" s="20"/>
    </row>
    <row r="44" spans="2:21" s="32" customFormat="1" ht="17.100000000000001" customHeight="1" x14ac:dyDescent="0.25">
      <c r="B44" s="402" t="s">
        <v>51</v>
      </c>
      <c r="C44" s="402"/>
      <c r="D44" s="402" t="s">
        <v>98</v>
      </c>
      <c r="E44" s="402"/>
      <c r="F44" s="402"/>
      <c r="G44" s="402"/>
      <c r="H44" s="477" t="s">
        <v>103</v>
      </c>
      <c r="I44" s="477"/>
      <c r="J44" s="477"/>
      <c r="K44" s="477" t="s">
        <v>104</v>
      </c>
      <c r="L44" s="477"/>
      <c r="M44" s="477"/>
      <c r="N44" s="477"/>
      <c r="O44" s="477"/>
      <c r="U44" s="61"/>
    </row>
    <row r="45" spans="2:21" s="12" customFormat="1" ht="17.100000000000001" customHeight="1" x14ac:dyDescent="0.25">
      <c r="B45" s="478" t="s">
        <v>99</v>
      </c>
      <c r="C45" s="478"/>
      <c r="D45" s="478" t="s">
        <v>101</v>
      </c>
      <c r="E45" s="478"/>
      <c r="F45" s="478"/>
      <c r="G45" s="478"/>
      <c r="H45" s="480" t="s">
        <v>101</v>
      </c>
      <c r="I45" s="480"/>
      <c r="J45" s="480"/>
      <c r="K45" s="480" t="s">
        <v>105</v>
      </c>
      <c r="L45" s="480"/>
      <c r="M45" s="480"/>
      <c r="N45" s="480"/>
      <c r="O45" s="480"/>
      <c r="U45" s="62"/>
    </row>
    <row r="46" spans="2:21" s="12" customFormat="1" ht="17.100000000000001" customHeight="1" x14ac:dyDescent="0.25">
      <c r="B46" s="478" t="s">
        <v>100</v>
      </c>
      <c r="C46" s="478"/>
      <c r="D46" s="478" t="s">
        <v>102</v>
      </c>
      <c r="E46" s="478"/>
      <c r="F46" s="478"/>
      <c r="G46" s="478"/>
      <c r="H46" s="480" t="s">
        <v>101</v>
      </c>
      <c r="I46" s="480"/>
      <c r="J46" s="480"/>
      <c r="K46" s="480" t="s">
        <v>101</v>
      </c>
      <c r="L46" s="480"/>
      <c r="M46" s="480"/>
      <c r="N46" s="480"/>
      <c r="O46" s="480"/>
      <c r="U46" s="62"/>
    </row>
    <row r="47" spans="2:21" s="28" customFormat="1" ht="15" customHeight="1" x14ac:dyDescent="0.25">
      <c r="B47" s="37"/>
      <c r="C47" s="31"/>
      <c r="D47" s="31"/>
      <c r="E47" s="31"/>
      <c r="F47" s="31"/>
      <c r="G47" s="31"/>
      <c r="H47" s="31"/>
      <c r="I47" s="31"/>
      <c r="J47" s="30"/>
      <c r="K47" s="30"/>
      <c r="L47" s="30"/>
      <c r="M47" s="30"/>
      <c r="N47" s="30"/>
      <c r="O47" s="30"/>
      <c r="U47" s="60"/>
    </row>
    <row r="48" spans="2:21" ht="20.100000000000001" customHeight="1" x14ac:dyDescent="0.25">
      <c r="B48" s="56" t="s">
        <v>76</v>
      </c>
      <c r="U48" s="20"/>
    </row>
    <row r="49" spans="2:21" s="27" customFormat="1" ht="20.100000000000001" customHeight="1" x14ac:dyDescent="0.25">
      <c r="B49" s="344" t="s">
        <v>1</v>
      </c>
      <c r="C49" s="340" t="s">
        <v>52</v>
      </c>
      <c r="D49" s="375"/>
      <c r="E49" s="375"/>
      <c r="F49" s="341"/>
      <c r="G49" s="340" t="s">
        <v>53</v>
      </c>
      <c r="H49" s="375"/>
      <c r="I49" s="375"/>
      <c r="J49" s="375"/>
      <c r="K49" s="341"/>
      <c r="L49" s="482" t="s">
        <v>122</v>
      </c>
      <c r="M49" s="482"/>
      <c r="N49" s="482"/>
      <c r="O49" s="482"/>
      <c r="P49" s="482"/>
      <c r="Q49" s="482"/>
      <c r="R49" s="482"/>
      <c r="S49" s="482"/>
      <c r="U49" s="63"/>
    </row>
    <row r="50" spans="2:21" s="27" customFormat="1" ht="20.100000000000001" customHeight="1" thickBot="1" x14ac:dyDescent="0.3">
      <c r="B50" s="345"/>
      <c r="C50" s="342"/>
      <c r="D50" s="376"/>
      <c r="E50" s="376"/>
      <c r="F50" s="343"/>
      <c r="G50" s="342"/>
      <c r="H50" s="376"/>
      <c r="I50" s="376"/>
      <c r="J50" s="376"/>
      <c r="K50" s="343"/>
      <c r="L50" s="388" t="s">
        <v>80</v>
      </c>
      <c r="M50" s="388"/>
      <c r="N50" s="388" t="s">
        <v>81</v>
      </c>
      <c r="O50" s="388"/>
      <c r="P50" s="388" t="s">
        <v>82</v>
      </c>
      <c r="Q50" s="388"/>
      <c r="R50" s="388" t="s">
        <v>117</v>
      </c>
      <c r="S50" s="388"/>
      <c r="U50" s="63"/>
    </row>
    <row r="51" spans="2:21" ht="42" customHeight="1" thickTop="1" x14ac:dyDescent="0.25">
      <c r="B51" s="39">
        <v>1</v>
      </c>
      <c r="C51" s="487" t="s">
        <v>238</v>
      </c>
      <c r="D51" s="487"/>
      <c r="E51" s="487"/>
      <c r="F51" s="487"/>
      <c r="G51" s="486" t="s">
        <v>239</v>
      </c>
      <c r="H51" s="486"/>
      <c r="I51" s="486"/>
      <c r="J51" s="486"/>
      <c r="K51" s="486"/>
      <c r="L51" s="483" t="s">
        <v>231</v>
      </c>
      <c r="M51" s="483"/>
      <c r="N51" s="483" t="s">
        <v>226</v>
      </c>
      <c r="O51" s="483"/>
      <c r="P51" s="483" t="s">
        <v>246</v>
      </c>
      <c r="Q51" s="483"/>
      <c r="R51" s="483" t="s">
        <v>246</v>
      </c>
      <c r="S51" s="483"/>
      <c r="U51" s="20"/>
    </row>
    <row r="52" spans="2:21" ht="24.95" customHeight="1" x14ac:dyDescent="0.25">
      <c r="B52" s="16">
        <v>2</v>
      </c>
      <c r="C52" s="485"/>
      <c r="D52" s="485"/>
      <c r="E52" s="485"/>
      <c r="F52" s="485"/>
      <c r="G52" s="479"/>
      <c r="H52" s="479"/>
      <c r="I52" s="479"/>
      <c r="J52" s="479"/>
      <c r="K52" s="479"/>
      <c r="L52" s="484"/>
      <c r="M52" s="484"/>
      <c r="N52" s="484"/>
      <c r="O52" s="484"/>
      <c r="P52" s="484"/>
      <c r="Q52" s="484"/>
      <c r="R52" s="484"/>
      <c r="S52" s="484"/>
      <c r="U52" s="20"/>
    </row>
    <row r="53" spans="2:21" ht="24.95" customHeight="1" x14ac:dyDescent="0.25">
      <c r="B53" s="59" t="s">
        <v>156</v>
      </c>
      <c r="U53" s="20"/>
    </row>
    <row r="54" spans="2:21" s="28" customFormat="1" ht="20.100000000000001" customHeight="1" x14ac:dyDescent="0.25">
      <c r="B54" s="413" t="s">
        <v>87</v>
      </c>
      <c r="C54" s="415"/>
      <c r="D54" s="413" t="s">
        <v>86</v>
      </c>
      <c r="E54" s="414"/>
      <c r="F54" s="414"/>
      <c r="G54" s="415"/>
      <c r="H54" s="402" t="s">
        <v>116</v>
      </c>
      <c r="I54" s="402"/>
      <c r="J54" s="402"/>
      <c r="K54" s="402"/>
      <c r="L54" s="30"/>
      <c r="M54" s="30"/>
      <c r="N54" s="30"/>
      <c r="O54" s="30"/>
      <c r="P54" s="30"/>
      <c r="Q54" s="30"/>
      <c r="U54" s="60"/>
    </row>
    <row r="55" spans="2:21" s="28" customFormat="1" ht="17.100000000000001" customHeight="1" x14ac:dyDescent="0.25">
      <c r="B55" s="452" t="s">
        <v>88</v>
      </c>
      <c r="C55" s="453"/>
      <c r="D55" s="445" t="s">
        <v>95</v>
      </c>
      <c r="E55" s="446"/>
      <c r="F55" s="446"/>
      <c r="G55" s="447"/>
      <c r="H55" s="470" t="s">
        <v>121</v>
      </c>
      <c r="I55" s="470"/>
      <c r="J55" s="470"/>
      <c r="K55" s="470"/>
      <c r="L55" s="30"/>
      <c r="M55" s="30"/>
      <c r="N55" s="30"/>
      <c r="O55" s="471" t="s">
        <v>119</v>
      </c>
      <c r="P55" s="472"/>
      <c r="Q55" s="473"/>
      <c r="U55" s="60"/>
    </row>
    <row r="56" spans="2:21" s="28" customFormat="1" ht="17.100000000000001" customHeight="1" x14ac:dyDescent="0.2">
      <c r="B56" s="452" t="s">
        <v>89</v>
      </c>
      <c r="C56" s="453"/>
      <c r="D56" s="445" t="s">
        <v>95</v>
      </c>
      <c r="E56" s="446"/>
      <c r="F56" s="446"/>
      <c r="G56" s="447"/>
      <c r="H56" s="470"/>
      <c r="I56" s="470"/>
      <c r="J56" s="470"/>
      <c r="K56" s="470"/>
      <c r="L56" s="30"/>
      <c r="M56" s="30"/>
      <c r="N56" s="30"/>
      <c r="O56" s="474"/>
      <c r="P56" s="475"/>
      <c r="Q56" s="476"/>
      <c r="U56" s="60"/>
    </row>
    <row r="57" spans="2:21" s="28" customFormat="1" ht="17.100000000000001" customHeight="1" x14ac:dyDescent="0.25">
      <c r="B57" s="452" t="s">
        <v>90</v>
      </c>
      <c r="C57" s="453"/>
      <c r="D57" s="445" t="s">
        <v>95</v>
      </c>
      <c r="E57" s="446"/>
      <c r="F57" s="446"/>
      <c r="G57" s="447"/>
      <c r="H57" s="470"/>
      <c r="I57" s="470"/>
      <c r="J57" s="470"/>
      <c r="K57" s="470"/>
      <c r="L57" s="30"/>
      <c r="M57" s="30"/>
      <c r="N57" s="30"/>
      <c r="O57" s="464"/>
      <c r="P57" s="465"/>
      <c r="Q57" s="466"/>
      <c r="U57" s="60"/>
    </row>
    <row r="58" spans="2:21" s="28" customFormat="1" ht="17.100000000000001" customHeight="1" x14ac:dyDescent="0.2">
      <c r="B58" s="452" t="s">
        <v>91</v>
      </c>
      <c r="C58" s="453"/>
      <c r="D58" s="445" t="s">
        <v>96</v>
      </c>
      <c r="E58" s="446"/>
      <c r="F58" s="446"/>
      <c r="G58" s="447"/>
      <c r="H58" s="470"/>
      <c r="I58" s="470"/>
      <c r="J58" s="470"/>
      <c r="K58" s="470"/>
      <c r="L58" s="30"/>
      <c r="M58" s="30"/>
      <c r="N58" s="30"/>
      <c r="O58" s="467"/>
      <c r="P58" s="468"/>
      <c r="Q58" s="469"/>
      <c r="U58" s="60"/>
    </row>
    <row r="59" spans="2:21" s="28" customFormat="1" ht="17.100000000000001" customHeight="1" x14ac:dyDescent="0.25">
      <c r="B59" s="452" t="s">
        <v>92</v>
      </c>
      <c r="C59" s="453"/>
      <c r="D59" s="445" t="s">
        <v>96</v>
      </c>
      <c r="E59" s="446"/>
      <c r="F59" s="446"/>
      <c r="G59" s="447"/>
      <c r="H59" s="470"/>
      <c r="I59" s="470"/>
      <c r="J59" s="470"/>
      <c r="K59" s="470"/>
      <c r="L59" s="30"/>
      <c r="M59" s="30"/>
      <c r="N59" s="30"/>
      <c r="O59" s="83" t="s">
        <v>118</v>
      </c>
      <c r="P59" s="110" t="s">
        <v>237</v>
      </c>
      <c r="Q59" s="84"/>
      <c r="U59" s="60"/>
    </row>
    <row r="60" spans="2:21" s="28" customFormat="1" ht="17.100000000000001" customHeight="1" x14ac:dyDescent="0.25">
      <c r="B60" s="452" t="s">
        <v>93</v>
      </c>
      <c r="C60" s="453"/>
      <c r="D60" s="445" t="s">
        <v>97</v>
      </c>
      <c r="E60" s="446"/>
      <c r="F60" s="446"/>
      <c r="G60" s="447"/>
      <c r="H60" s="470"/>
      <c r="I60" s="470"/>
      <c r="J60" s="470"/>
      <c r="K60" s="470"/>
      <c r="L60" s="30"/>
      <c r="M60" s="30"/>
      <c r="N60" s="30"/>
      <c r="O60" s="83" t="s">
        <v>159</v>
      </c>
      <c r="P60" s="172">
        <v>45350</v>
      </c>
      <c r="Q60" s="109"/>
      <c r="U60" s="60"/>
    </row>
    <row r="61" spans="2:21" s="28" customFormat="1" ht="17.100000000000001" customHeight="1" x14ac:dyDescent="0.25">
      <c r="B61" s="452" t="s">
        <v>94</v>
      </c>
      <c r="C61" s="453"/>
      <c r="D61" s="445" t="s">
        <v>97</v>
      </c>
      <c r="E61" s="446"/>
      <c r="F61" s="446"/>
      <c r="G61" s="447"/>
      <c r="H61" s="470"/>
      <c r="I61" s="470"/>
      <c r="J61" s="470"/>
      <c r="K61" s="470"/>
      <c r="L61" s="30"/>
      <c r="M61" s="30"/>
      <c r="N61" s="30"/>
      <c r="O61" s="30"/>
      <c r="P61" s="30"/>
      <c r="U61" s="60"/>
    </row>
    <row r="62" spans="2:21" s="28" customFormat="1" ht="9.9499999999999993" customHeight="1" thickBot="1" x14ac:dyDescent="0.3">
      <c r="B62" s="64"/>
      <c r="C62" s="49"/>
      <c r="D62" s="49"/>
      <c r="E62" s="49"/>
      <c r="F62" s="49"/>
      <c r="G62" s="50"/>
      <c r="H62" s="50"/>
      <c r="I62" s="50"/>
      <c r="J62" s="50"/>
      <c r="K62" s="50"/>
      <c r="L62" s="51"/>
      <c r="M62" s="51"/>
      <c r="N62" s="51"/>
      <c r="O62" s="51"/>
      <c r="P62" s="51"/>
      <c r="Q62" s="51"/>
      <c r="R62" s="52"/>
      <c r="S62" s="52"/>
      <c r="T62" s="52"/>
      <c r="U62" s="65"/>
    </row>
    <row r="63" spans="2:21" s="13" customFormat="1" ht="17.100000000000001" customHeight="1" thickTop="1" x14ac:dyDescent="0.25">
      <c r="B63" s="448" t="s">
        <v>141</v>
      </c>
      <c r="C63" s="449"/>
      <c r="D63" s="449"/>
      <c r="E63" s="449"/>
      <c r="F63" s="449"/>
      <c r="G63" s="449"/>
      <c r="H63" s="449"/>
      <c r="I63" s="449"/>
      <c r="J63" s="66"/>
      <c r="K63" s="66"/>
      <c r="L63" s="67"/>
      <c r="M63" s="67"/>
      <c r="N63" s="67"/>
      <c r="O63" s="67"/>
      <c r="P63" s="67"/>
      <c r="Q63" s="67"/>
      <c r="R63" s="489" t="s">
        <v>150</v>
      </c>
      <c r="S63" s="490"/>
      <c r="T63" s="490"/>
      <c r="U63" s="491"/>
    </row>
    <row r="64" spans="2:21" s="13" customFormat="1" ht="17.100000000000001" customHeight="1" x14ac:dyDescent="0.25">
      <c r="B64" s="450"/>
      <c r="C64" s="451"/>
      <c r="D64" s="451"/>
      <c r="E64" s="451"/>
      <c r="F64" s="451"/>
      <c r="G64" s="451"/>
      <c r="H64" s="451"/>
      <c r="I64" s="451"/>
      <c r="J64" s="66"/>
      <c r="K64" s="66"/>
      <c r="L64" s="67"/>
      <c r="M64" s="67"/>
      <c r="N64" s="67"/>
      <c r="O64" s="67"/>
      <c r="P64" s="67"/>
      <c r="Q64" s="67"/>
      <c r="R64" s="488" t="s">
        <v>142</v>
      </c>
      <c r="S64" s="488"/>
      <c r="T64" s="488"/>
      <c r="U64" s="488"/>
    </row>
    <row r="65" spans="2:21" s="27" customFormat="1" ht="17.100000000000001" customHeight="1" x14ac:dyDescent="0.25">
      <c r="B65" s="69" t="s">
        <v>129</v>
      </c>
      <c r="C65" s="442" t="s">
        <v>130</v>
      </c>
      <c r="D65" s="443"/>
      <c r="E65" s="443"/>
      <c r="F65" s="443"/>
      <c r="G65" s="443"/>
      <c r="H65" s="443"/>
      <c r="I65" s="443"/>
      <c r="J65" s="443"/>
      <c r="K65" s="444"/>
      <c r="L65" s="69" t="s">
        <v>137</v>
      </c>
      <c r="M65" s="442" t="s">
        <v>143</v>
      </c>
      <c r="N65" s="443"/>
      <c r="O65" s="443"/>
      <c r="P65" s="443"/>
      <c r="Q65" s="444"/>
      <c r="R65" s="488" t="s">
        <v>152</v>
      </c>
      <c r="S65" s="488"/>
      <c r="T65" s="488" t="s">
        <v>153</v>
      </c>
      <c r="U65" s="488"/>
    </row>
    <row r="66" spans="2:21" s="13" customFormat="1" ht="17.100000000000001" customHeight="1" x14ac:dyDescent="0.25">
      <c r="B66" s="16">
        <v>1</v>
      </c>
      <c r="C66" s="426" t="s">
        <v>131</v>
      </c>
      <c r="D66" s="427"/>
      <c r="E66" s="427"/>
      <c r="F66" s="427"/>
      <c r="G66" s="427"/>
      <c r="H66" s="427"/>
      <c r="I66" s="427"/>
      <c r="J66" s="427"/>
      <c r="K66" s="428"/>
      <c r="L66" s="16" t="s">
        <v>138</v>
      </c>
      <c r="M66" s="439" t="s">
        <v>146</v>
      </c>
      <c r="N66" s="369"/>
      <c r="O66" s="369"/>
      <c r="P66" s="369"/>
      <c r="Q66" s="369"/>
      <c r="R66" s="437">
        <f>+C13-15</f>
        <v>45340</v>
      </c>
      <c r="S66" s="438"/>
      <c r="T66" s="437">
        <v>45350</v>
      </c>
      <c r="U66" s="437"/>
    </row>
    <row r="67" spans="2:21" s="13" customFormat="1" ht="17.100000000000001" customHeight="1" x14ac:dyDescent="0.25">
      <c r="B67" s="16">
        <v>2</v>
      </c>
      <c r="C67" s="426" t="s">
        <v>132</v>
      </c>
      <c r="D67" s="427"/>
      <c r="E67" s="427"/>
      <c r="F67" s="427"/>
      <c r="G67" s="427"/>
      <c r="H67" s="427"/>
      <c r="I67" s="427"/>
      <c r="J67" s="427"/>
      <c r="K67" s="428"/>
      <c r="L67" s="16" t="s">
        <v>139</v>
      </c>
      <c r="M67" s="439" t="s">
        <v>145</v>
      </c>
      <c r="N67" s="369"/>
      <c r="O67" s="369"/>
      <c r="P67" s="369"/>
      <c r="Q67" s="369"/>
      <c r="R67" s="437">
        <f>+C13-13</f>
        <v>45342</v>
      </c>
      <c r="S67" s="438"/>
      <c r="T67" s="437">
        <v>45350</v>
      </c>
      <c r="U67" s="437"/>
    </row>
    <row r="68" spans="2:21" s="13" customFormat="1" ht="17.100000000000001" customHeight="1" x14ac:dyDescent="0.25">
      <c r="B68" s="16">
        <v>3</v>
      </c>
      <c r="C68" s="426" t="s">
        <v>157</v>
      </c>
      <c r="D68" s="427"/>
      <c r="E68" s="427"/>
      <c r="F68" s="427"/>
      <c r="G68" s="427"/>
      <c r="H68" s="427"/>
      <c r="I68" s="427"/>
      <c r="J68" s="427"/>
      <c r="K68" s="428"/>
      <c r="L68" s="16" t="s">
        <v>138</v>
      </c>
      <c r="M68" s="439" t="s">
        <v>144</v>
      </c>
      <c r="N68" s="369"/>
      <c r="O68" s="369"/>
      <c r="P68" s="369"/>
      <c r="Q68" s="369"/>
      <c r="R68" s="437">
        <f>+C13-10</f>
        <v>45345</v>
      </c>
      <c r="S68" s="438"/>
      <c r="T68" s="437">
        <v>45350</v>
      </c>
      <c r="U68" s="437"/>
    </row>
    <row r="69" spans="2:21" s="13" customFormat="1" ht="17.100000000000001" customHeight="1" x14ac:dyDescent="0.25">
      <c r="B69" s="16">
        <v>4</v>
      </c>
      <c r="C69" s="426" t="s">
        <v>133</v>
      </c>
      <c r="D69" s="427"/>
      <c r="E69" s="427"/>
      <c r="F69" s="427"/>
      <c r="G69" s="427"/>
      <c r="H69" s="427"/>
      <c r="I69" s="427"/>
      <c r="J69" s="427"/>
      <c r="K69" s="428"/>
      <c r="L69" s="16" t="s">
        <v>139</v>
      </c>
      <c r="M69" s="439" t="s">
        <v>149</v>
      </c>
      <c r="N69" s="369"/>
      <c r="O69" s="369"/>
      <c r="P69" s="369"/>
      <c r="Q69" s="369"/>
      <c r="R69" s="437">
        <f>+C13-8</f>
        <v>45347</v>
      </c>
      <c r="S69" s="438"/>
      <c r="T69" s="437"/>
      <c r="U69" s="437"/>
    </row>
    <row r="70" spans="2:21" s="13" customFormat="1" ht="17.100000000000001" customHeight="1" x14ac:dyDescent="0.25">
      <c r="B70" s="16">
        <v>5</v>
      </c>
      <c r="C70" s="426" t="s">
        <v>134</v>
      </c>
      <c r="D70" s="427"/>
      <c r="E70" s="427"/>
      <c r="F70" s="427"/>
      <c r="G70" s="427"/>
      <c r="H70" s="427"/>
      <c r="I70" s="427"/>
      <c r="J70" s="427"/>
      <c r="K70" s="428"/>
      <c r="L70" s="16" t="s">
        <v>138</v>
      </c>
      <c r="M70" s="439" t="s">
        <v>190</v>
      </c>
      <c r="N70" s="369"/>
      <c r="O70" s="369"/>
      <c r="P70" s="369"/>
      <c r="Q70" s="369"/>
      <c r="R70" s="492">
        <v>45328</v>
      </c>
      <c r="S70" s="492"/>
      <c r="T70" s="437"/>
      <c r="U70" s="437"/>
    </row>
    <row r="71" spans="2:21" s="13" customFormat="1" ht="17.100000000000001" customHeight="1" x14ac:dyDescent="0.25">
      <c r="B71" s="16">
        <v>6</v>
      </c>
      <c r="C71" s="426" t="s">
        <v>135</v>
      </c>
      <c r="D71" s="427"/>
      <c r="E71" s="427"/>
      <c r="F71" s="427"/>
      <c r="G71" s="427"/>
      <c r="H71" s="427"/>
      <c r="I71" s="427"/>
      <c r="J71" s="427"/>
      <c r="K71" s="428"/>
      <c r="L71" s="16" t="s">
        <v>138</v>
      </c>
      <c r="M71" s="439" t="s">
        <v>160</v>
      </c>
      <c r="N71" s="369"/>
      <c r="O71" s="369"/>
      <c r="P71" s="369"/>
      <c r="Q71" s="369"/>
      <c r="R71" s="437">
        <f>+R69+7</f>
        <v>45354</v>
      </c>
      <c r="S71" s="438"/>
      <c r="T71" s="437"/>
      <c r="U71" s="437"/>
    </row>
    <row r="72" spans="2:21" s="13" customFormat="1" ht="17.100000000000001" customHeight="1" x14ac:dyDescent="0.25">
      <c r="B72" s="16">
        <v>7</v>
      </c>
      <c r="C72" s="426" t="s">
        <v>140</v>
      </c>
      <c r="D72" s="427"/>
      <c r="E72" s="427"/>
      <c r="F72" s="427"/>
      <c r="G72" s="427"/>
      <c r="H72" s="427"/>
      <c r="I72" s="427"/>
      <c r="J72" s="427"/>
      <c r="K72" s="428"/>
      <c r="L72" s="16" t="s">
        <v>139</v>
      </c>
      <c r="M72" s="439" t="s">
        <v>148</v>
      </c>
      <c r="N72" s="369"/>
      <c r="O72" s="369"/>
      <c r="P72" s="369"/>
      <c r="Q72" s="369"/>
      <c r="R72" s="437">
        <f>+C13-7</f>
        <v>45348</v>
      </c>
      <c r="S72" s="438"/>
      <c r="T72" s="437"/>
      <c r="U72" s="437"/>
    </row>
    <row r="73" spans="2:21" s="13" customFormat="1" ht="17.100000000000001" customHeight="1" x14ac:dyDescent="0.25">
      <c r="B73" s="16">
        <v>8</v>
      </c>
      <c r="C73" s="426" t="s">
        <v>136</v>
      </c>
      <c r="D73" s="427"/>
      <c r="E73" s="427"/>
      <c r="F73" s="427"/>
      <c r="G73" s="427"/>
      <c r="H73" s="427"/>
      <c r="I73" s="427"/>
      <c r="J73" s="427"/>
      <c r="K73" s="428"/>
      <c r="L73" s="16" t="s">
        <v>139</v>
      </c>
      <c r="M73" s="439" t="s">
        <v>147</v>
      </c>
      <c r="N73" s="369"/>
      <c r="O73" s="369"/>
      <c r="P73" s="369"/>
      <c r="Q73" s="369"/>
      <c r="R73" s="437">
        <f>+C13-1</f>
        <v>45354</v>
      </c>
      <c r="S73" s="438"/>
      <c r="T73" s="437"/>
      <c r="U73" s="437"/>
    </row>
    <row r="74" spans="2:21" s="13" customFormat="1" ht="17.100000000000001" customHeight="1" x14ac:dyDescent="0.25">
      <c r="B74" s="16">
        <v>9</v>
      </c>
      <c r="C74" s="426" t="s">
        <v>151</v>
      </c>
      <c r="D74" s="427"/>
      <c r="E74" s="427"/>
      <c r="F74" s="427"/>
      <c r="G74" s="427"/>
      <c r="H74" s="427"/>
      <c r="I74" s="427"/>
      <c r="J74" s="427"/>
      <c r="K74" s="428"/>
      <c r="L74" s="16" t="s">
        <v>139</v>
      </c>
      <c r="M74" s="439" t="s">
        <v>147</v>
      </c>
      <c r="N74" s="369"/>
      <c r="O74" s="369"/>
      <c r="P74" s="369"/>
      <c r="Q74" s="369"/>
      <c r="R74" s="437">
        <f>+C13-1</f>
        <v>45354</v>
      </c>
      <c r="S74" s="438"/>
      <c r="T74" s="437"/>
      <c r="U74" s="437"/>
    </row>
    <row r="75" spans="2:21" s="13" customFormat="1" ht="17.100000000000001" customHeight="1" x14ac:dyDescent="0.25">
      <c r="B75" s="68"/>
      <c r="C75" s="66"/>
      <c r="D75" s="66"/>
      <c r="E75" s="66"/>
      <c r="F75" s="66"/>
      <c r="G75" s="66"/>
      <c r="H75" s="66"/>
      <c r="I75" s="66"/>
      <c r="J75" s="66"/>
      <c r="K75" s="66"/>
      <c r="L75" s="67"/>
      <c r="M75" s="67"/>
      <c r="N75" s="67"/>
      <c r="O75" s="67"/>
      <c r="P75" s="67"/>
      <c r="Q75" s="67"/>
      <c r="U75" s="58"/>
    </row>
    <row r="76" spans="2:21" s="12" customFormat="1" ht="15" customHeight="1" x14ac:dyDescent="0.25">
      <c r="B76" s="454" t="s">
        <v>114</v>
      </c>
      <c r="C76" s="455"/>
      <c r="D76" s="455"/>
      <c r="E76" s="455"/>
      <c r="F76" s="456"/>
      <c r="G76" s="423"/>
      <c r="H76" s="429" t="s">
        <v>115</v>
      </c>
      <c r="I76" s="430"/>
      <c r="J76" s="26"/>
      <c r="K76" s="421"/>
      <c r="L76" s="441"/>
      <c r="M76" s="441"/>
      <c r="N76" s="422"/>
      <c r="O76" s="421"/>
      <c r="P76" s="422"/>
      <c r="Q76" s="26"/>
      <c r="R76" s="26"/>
      <c r="S76" s="421"/>
      <c r="T76" s="422"/>
      <c r="U76" s="26"/>
    </row>
    <row r="77" spans="2:21" s="12" customFormat="1" ht="15" customHeight="1" x14ac:dyDescent="0.25">
      <c r="B77" s="457"/>
      <c r="C77" s="458"/>
      <c r="D77" s="458"/>
      <c r="E77" s="458"/>
      <c r="F77" s="459"/>
      <c r="G77" s="424"/>
      <c r="H77" s="431"/>
      <c r="I77" s="432"/>
      <c r="J77" s="26"/>
      <c r="K77" s="421"/>
      <c r="L77" s="441"/>
      <c r="M77" s="441"/>
      <c r="N77" s="422"/>
      <c r="O77" s="421"/>
      <c r="P77" s="422"/>
      <c r="Q77" s="26"/>
      <c r="R77" s="26"/>
      <c r="S77" s="421"/>
      <c r="T77" s="422"/>
      <c r="U77" s="26"/>
    </row>
    <row r="78" spans="2:21" s="12" customFormat="1" ht="15" customHeight="1" x14ac:dyDescent="0.25">
      <c r="B78" s="457"/>
      <c r="C78" s="458"/>
      <c r="D78" s="458"/>
      <c r="E78" s="458"/>
      <c r="F78" s="459"/>
      <c r="G78" s="424"/>
      <c r="H78" s="431"/>
      <c r="I78" s="432"/>
      <c r="J78" s="26"/>
      <c r="K78" s="34"/>
      <c r="L78" s="35"/>
      <c r="M78" s="35"/>
      <c r="N78" s="36"/>
      <c r="O78" s="34"/>
      <c r="P78" s="36"/>
      <c r="Q78" s="26"/>
      <c r="R78" s="26"/>
      <c r="S78" s="34"/>
      <c r="T78" s="36"/>
      <c r="U78" s="26"/>
    </row>
    <row r="79" spans="2:21" s="12" customFormat="1" ht="15" customHeight="1" x14ac:dyDescent="0.25">
      <c r="B79" s="457"/>
      <c r="C79" s="458"/>
      <c r="D79" s="458"/>
      <c r="E79" s="458"/>
      <c r="F79" s="459"/>
      <c r="G79" s="424"/>
      <c r="H79" s="431"/>
      <c r="I79" s="432"/>
      <c r="J79" s="26"/>
      <c r="K79" s="421"/>
      <c r="L79" s="441"/>
      <c r="M79" s="441"/>
      <c r="N79" s="422"/>
      <c r="O79" s="421"/>
      <c r="P79" s="422"/>
      <c r="Q79" s="26"/>
      <c r="R79" s="26"/>
      <c r="S79" s="421"/>
      <c r="T79" s="422"/>
      <c r="U79" s="26"/>
    </row>
    <row r="80" spans="2:21" s="12" customFormat="1" ht="15" customHeight="1" x14ac:dyDescent="0.25">
      <c r="B80" s="457"/>
      <c r="C80" s="458"/>
      <c r="D80" s="458"/>
      <c r="E80" s="458"/>
      <c r="F80" s="459"/>
      <c r="G80" s="424"/>
      <c r="H80" s="431"/>
      <c r="I80" s="432"/>
      <c r="J80" s="26">
        <v>0</v>
      </c>
      <c r="K80" s="421" t="s">
        <v>113</v>
      </c>
      <c r="L80" s="441"/>
      <c r="M80" s="441"/>
      <c r="N80" s="422"/>
      <c r="O80" s="463">
        <v>45112</v>
      </c>
      <c r="P80" s="422"/>
      <c r="Q80" s="26" t="s">
        <v>56</v>
      </c>
      <c r="R80" s="26" t="s">
        <v>7</v>
      </c>
      <c r="S80" s="421" t="s">
        <v>7</v>
      </c>
      <c r="T80" s="422"/>
      <c r="U80" s="26" t="s">
        <v>7</v>
      </c>
    </row>
    <row r="81" spans="2:21" s="3" customFormat="1" ht="15" customHeight="1" x14ac:dyDescent="0.25">
      <c r="B81" s="460"/>
      <c r="C81" s="461"/>
      <c r="D81" s="461"/>
      <c r="E81" s="461"/>
      <c r="F81" s="462"/>
      <c r="G81" s="425"/>
      <c r="H81" s="433"/>
      <c r="I81" s="434"/>
      <c r="J81" s="33" t="s">
        <v>112</v>
      </c>
      <c r="K81" s="435" t="s">
        <v>111</v>
      </c>
      <c r="L81" s="440"/>
      <c r="M81" s="440"/>
      <c r="N81" s="436"/>
      <c r="O81" s="435" t="s">
        <v>5</v>
      </c>
      <c r="P81" s="436"/>
      <c r="Q81" s="33" t="s">
        <v>108</v>
      </c>
      <c r="R81" s="33" t="s">
        <v>109</v>
      </c>
      <c r="S81" s="435" t="s">
        <v>110</v>
      </c>
      <c r="T81" s="436"/>
      <c r="U81" s="33" t="s">
        <v>108</v>
      </c>
    </row>
    <row r="82" spans="2:21" ht="20.100000000000001" customHeight="1" x14ac:dyDescent="0.25"/>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sheetData>
  <mergeCells count="238">
    <mergeCell ref="T72:U72"/>
    <mergeCell ref="T73:U73"/>
    <mergeCell ref="M71:Q71"/>
    <mergeCell ref="M72:Q72"/>
    <mergeCell ref="M73:Q73"/>
    <mergeCell ref="R66:S66"/>
    <mergeCell ref="R67:S67"/>
    <mergeCell ref="R68:S68"/>
    <mergeCell ref="R69:S69"/>
    <mergeCell ref="M66:Q66"/>
    <mergeCell ref="M67:Q67"/>
    <mergeCell ref="R70:S70"/>
    <mergeCell ref="R71:S71"/>
    <mergeCell ref="R72:S72"/>
    <mergeCell ref="R73:S73"/>
    <mergeCell ref="M70:Q70"/>
    <mergeCell ref="T66:U66"/>
    <mergeCell ref="T67:U67"/>
    <mergeCell ref="T68:U68"/>
    <mergeCell ref="T69:U69"/>
    <mergeCell ref="T70:U70"/>
    <mergeCell ref="T71:U71"/>
    <mergeCell ref="R64:U64"/>
    <mergeCell ref="R63:U63"/>
    <mergeCell ref="C66:K66"/>
    <mergeCell ref="R65:S65"/>
    <mergeCell ref="T65:U65"/>
    <mergeCell ref="P50:Q50"/>
    <mergeCell ref="D55:G55"/>
    <mergeCell ref="D56:G56"/>
    <mergeCell ref="B60:C60"/>
    <mergeCell ref="P51:Q51"/>
    <mergeCell ref="P52:Q52"/>
    <mergeCell ref="R50:S50"/>
    <mergeCell ref="R51:S51"/>
    <mergeCell ref="R52:S52"/>
    <mergeCell ref="B49:B50"/>
    <mergeCell ref="C49:F50"/>
    <mergeCell ref="G49:K50"/>
    <mergeCell ref="L50:M50"/>
    <mergeCell ref="N50:O50"/>
    <mergeCell ref="M40:O40"/>
    <mergeCell ref="C39:I39"/>
    <mergeCell ref="J39:L39"/>
    <mergeCell ref="M41:O41"/>
    <mergeCell ref="C42:I42"/>
    <mergeCell ref="C51:F51"/>
    <mergeCell ref="H44:J44"/>
    <mergeCell ref="H45:J45"/>
    <mergeCell ref="H46:J46"/>
    <mergeCell ref="J41:L41"/>
    <mergeCell ref="J42:L42"/>
    <mergeCell ref="P38:R38"/>
    <mergeCell ref="P39:R39"/>
    <mergeCell ref="P40:R40"/>
    <mergeCell ref="P41:R41"/>
    <mergeCell ref="P42:R42"/>
    <mergeCell ref="P37:R37"/>
    <mergeCell ref="B59:C59"/>
    <mergeCell ref="B44:C44"/>
    <mergeCell ref="M36:O36"/>
    <mergeCell ref="J37:L37"/>
    <mergeCell ref="J38:L38"/>
    <mergeCell ref="H54:K54"/>
    <mergeCell ref="C37:I37"/>
    <mergeCell ref="C38:I38"/>
    <mergeCell ref="M42:O42"/>
    <mergeCell ref="C40:I40"/>
    <mergeCell ref="L49:S49"/>
    <mergeCell ref="L51:M51"/>
    <mergeCell ref="L52:M52"/>
    <mergeCell ref="N51:O51"/>
    <mergeCell ref="N52:O52"/>
    <mergeCell ref="C52:F52"/>
    <mergeCell ref="K46:O46"/>
    <mergeCell ref="G51:K51"/>
    <mergeCell ref="M37:O37"/>
    <mergeCell ref="M38:O38"/>
    <mergeCell ref="M39:O39"/>
    <mergeCell ref="K44:O44"/>
    <mergeCell ref="J40:L40"/>
    <mergeCell ref="C71:K71"/>
    <mergeCell ref="C72:K72"/>
    <mergeCell ref="C68:K68"/>
    <mergeCell ref="C69:K69"/>
    <mergeCell ref="M65:Q65"/>
    <mergeCell ref="M68:Q68"/>
    <mergeCell ref="M69:Q69"/>
    <mergeCell ref="D59:G59"/>
    <mergeCell ref="D60:G60"/>
    <mergeCell ref="D61:G61"/>
    <mergeCell ref="D57:G57"/>
    <mergeCell ref="B45:C45"/>
    <mergeCell ref="B46:C46"/>
    <mergeCell ref="D44:G44"/>
    <mergeCell ref="D45:G45"/>
    <mergeCell ref="D46:G46"/>
    <mergeCell ref="G52:K52"/>
    <mergeCell ref="C41:I41"/>
    <mergeCell ref="K45:O45"/>
    <mergeCell ref="C73:K73"/>
    <mergeCell ref="C65:K65"/>
    <mergeCell ref="O77:P77"/>
    <mergeCell ref="C70:K70"/>
    <mergeCell ref="D58:G58"/>
    <mergeCell ref="B63:I64"/>
    <mergeCell ref="C67:K67"/>
    <mergeCell ref="B54:C54"/>
    <mergeCell ref="B55:C55"/>
    <mergeCell ref="B56:C56"/>
    <mergeCell ref="B57:C57"/>
    <mergeCell ref="B58:C58"/>
    <mergeCell ref="B76:F81"/>
    <mergeCell ref="O79:P79"/>
    <mergeCell ref="O80:P80"/>
    <mergeCell ref="O81:P81"/>
    <mergeCell ref="O76:P76"/>
    <mergeCell ref="O57:Q57"/>
    <mergeCell ref="O58:Q58"/>
    <mergeCell ref="H55:K61"/>
    <mergeCell ref="B61:C61"/>
    <mergeCell ref="O55:Q55"/>
    <mergeCell ref="O56:Q56"/>
    <mergeCell ref="D54:G54"/>
    <mergeCell ref="S76:T76"/>
    <mergeCell ref="S77:T77"/>
    <mergeCell ref="S79:T79"/>
    <mergeCell ref="S80:T80"/>
    <mergeCell ref="G76:G81"/>
    <mergeCell ref="C74:K74"/>
    <mergeCell ref="H76:I81"/>
    <mergeCell ref="S81:T81"/>
    <mergeCell ref="T74:U74"/>
    <mergeCell ref="R74:S74"/>
    <mergeCell ref="M74:Q74"/>
    <mergeCell ref="K81:N81"/>
    <mergeCell ref="K76:N76"/>
    <mergeCell ref="K77:N77"/>
    <mergeCell ref="K79:N79"/>
    <mergeCell ref="K80:N80"/>
    <mergeCell ref="I12:J12"/>
    <mergeCell ref="P29:R29"/>
    <mergeCell ref="P30:R30"/>
    <mergeCell ref="P31:R31"/>
    <mergeCell ref="P32:R32"/>
    <mergeCell ref="L20:M20"/>
    <mergeCell ref="I14:J14"/>
    <mergeCell ref="J24:M24"/>
    <mergeCell ref="J26:K26"/>
    <mergeCell ref="N21:O21"/>
    <mergeCell ref="M28:O28"/>
    <mergeCell ref="M29:O29"/>
    <mergeCell ref="M30:O30"/>
    <mergeCell ref="M31:O31"/>
    <mergeCell ref="I24:I25"/>
    <mergeCell ref="J25:K25"/>
    <mergeCell ref="K13:L13"/>
    <mergeCell ref="M35:O35"/>
    <mergeCell ref="G24:H25"/>
    <mergeCell ref="C34:I34"/>
    <mergeCell ref="C35:I35"/>
    <mergeCell ref="T20:U20"/>
    <mergeCell ref="R20:S20"/>
    <mergeCell ref="M32:O32"/>
    <mergeCell ref="M33:O33"/>
    <mergeCell ref="J28:L28"/>
    <mergeCell ref="G14:H14"/>
    <mergeCell ref="P34:R34"/>
    <mergeCell ref="P35:R35"/>
    <mergeCell ref="P21:Q21"/>
    <mergeCell ref="P36:R36"/>
    <mergeCell ref="C32:I32"/>
    <mergeCell ref="C33:I33"/>
    <mergeCell ref="J29:L29"/>
    <mergeCell ref="J30:L30"/>
    <mergeCell ref="P28:R28"/>
    <mergeCell ref="J33:L33"/>
    <mergeCell ref="P33:R33"/>
    <mergeCell ref="D26:E26"/>
    <mergeCell ref="C36:I36"/>
    <mergeCell ref="J31:L31"/>
    <mergeCell ref="J32:L32"/>
    <mergeCell ref="C28:I28"/>
    <mergeCell ref="C29:I29"/>
    <mergeCell ref="C30:I30"/>
    <mergeCell ref="C31:I31"/>
    <mergeCell ref="J34:L34"/>
    <mergeCell ref="J35:L35"/>
    <mergeCell ref="J36:L36"/>
    <mergeCell ref="M34:O34"/>
    <mergeCell ref="C12:F12"/>
    <mergeCell ref="G26:H26"/>
    <mergeCell ref="B24:B25"/>
    <mergeCell ref="C24:F25"/>
    <mergeCell ref="Y12:Z12"/>
    <mergeCell ref="C21:D21"/>
    <mergeCell ref="E21:F21"/>
    <mergeCell ref="C20:D20"/>
    <mergeCell ref="L26:M26"/>
    <mergeCell ref="N26:U26"/>
    <mergeCell ref="L25:M25"/>
    <mergeCell ref="N24:U25"/>
    <mergeCell ref="L21:M21"/>
    <mergeCell ref="B18:B19"/>
    <mergeCell ref="E19:F19"/>
    <mergeCell ref="E18:G18"/>
    <mergeCell ref="H18:I18"/>
    <mergeCell ref="G13:H13"/>
    <mergeCell ref="T21:U21"/>
    <mergeCell ref="R21:S21"/>
    <mergeCell ref="K12:L12"/>
    <mergeCell ref="M12:Q12"/>
    <mergeCell ref="I13:J13"/>
    <mergeCell ref="D14:E14"/>
    <mergeCell ref="T19:U19"/>
    <mergeCell ref="P20:Q20"/>
    <mergeCell ref="T2:U2"/>
    <mergeCell ref="R6:S6"/>
    <mergeCell ref="R2:S2"/>
    <mergeCell ref="P6:Q6"/>
    <mergeCell ref="P2:Q2"/>
    <mergeCell ref="E20:F20"/>
    <mergeCell ref="N6:O6"/>
    <mergeCell ref="R19:S19"/>
    <mergeCell ref="R18:U18"/>
    <mergeCell ref="P19:Q19"/>
    <mergeCell ref="L18:M19"/>
    <mergeCell ref="K18:K19"/>
    <mergeCell ref="T6:U6"/>
    <mergeCell ref="N3:U5"/>
    <mergeCell ref="N2:O2"/>
    <mergeCell ref="N19:O19"/>
    <mergeCell ref="N18:Q18"/>
    <mergeCell ref="N20:O20"/>
    <mergeCell ref="B3:H6"/>
    <mergeCell ref="G12:H12"/>
    <mergeCell ref="C18:D19"/>
    <mergeCell ref="D13:E13"/>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T83"/>
  <sheetViews>
    <sheetView showGridLines="0" tabSelected="1" view="pageBreakPreview" topLeftCell="A22" zoomScale="60" zoomScaleNormal="85" workbookViewId="0">
      <selection activeCell="L60" sqref="L60"/>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120</v>
      </c>
    </row>
    <row r="2" spans="2:16" ht="15" customHeight="1" x14ac:dyDescent="0.25">
      <c r="B2" s="89" t="s">
        <v>38</v>
      </c>
      <c r="C2" s="82"/>
      <c r="D2" s="82"/>
      <c r="E2" s="82"/>
      <c r="F2" s="82"/>
      <c r="G2" s="90"/>
      <c r="H2" s="90"/>
      <c r="I2" s="91" t="s">
        <v>62</v>
      </c>
      <c r="J2" s="93" t="s">
        <v>63</v>
      </c>
      <c r="K2" s="93" t="s">
        <v>168</v>
      </c>
      <c r="L2" s="94"/>
      <c r="M2" s="4" t="s">
        <v>68</v>
      </c>
      <c r="N2" s="4" t="s">
        <v>67</v>
      </c>
      <c r="O2" s="4" t="s">
        <v>55</v>
      </c>
      <c r="P2" s="4" t="s">
        <v>54</v>
      </c>
    </row>
    <row r="3" spans="2:16" ht="15" customHeight="1" x14ac:dyDescent="0.25">
      <c r="B3" s="551" t="s">
        <v>169</v>
      </c>
      <c r="C3" s="552"/>
      <c r="D3" s="552"/>
      <c r="E3" s="552"/>
      <c r="F3" s="552"/>
      <c r="G3" s="552"/>
      <c r="H3" s="552"/>
      <c r="I3" s="553"/>
      <c r="J3" s="96" t="s">
        <v>5</v>
      </c>
      <c r="K3" s="96" t="s">
        <v>191</v>
      </c>
      <c r="L3" s="97"/>
      <c r="M3" s="346" t="s">
        <v>162</v>
      </c>
      <c r="N3" s="347"/>
      <c r="O3" s="347"/>
      <c r="P3" s="348"/>
    </row>
    <row r="4" spans="2:16" ht="15" customHeight="1" x14ac:dyDescent="0.25">
      <c r="B4" s="554"/>
      <c r="C4" s="555"/>
      <c r="D4" s="555"/>
      <c r="E4" s="555"/>
      <c r="F4" s="555"/>
      <c r="G4" s="555"/>
      <c r="H4" s="555"/>
      <c r="I4" s="556"/>
      <c r="J4" s="96" t="s">
        <v>64</v>
      </c>
      <c r="K4" s="96" t="s">
        <v>167</v>
      </c>
      <c r="L4" s="97"/>
      <c r="M4" s="349"/>
      <c r="N4" s="350"/>
      <c r="O4" s="350"/>
      <c r="P4" s="351"/>
    </row>
    <row r="5" spans="2:16" ht="15" customHeight="1" x14ac:dyDescent="0.25">
      <c r="B5" s="554"/>
      <c r="C5" s="555"/>
      <c r="D5" s="555"/>
      <c r="E5" s="555"/>
      <c r="F5" s="555"/>
      <c r="G5" s="555"/>
      <c r="H5" s="555"/>
      <c r="I5" s="556"/>
      <c r="J5" s="96" t="s">
        <v>163</v>
      </c>
      <c r="K5" s="96" t="s">
        <v>207</v>
      </c>
      <c r="L5" s="97"/>
      <c r="M5" s="352"/>
      <c r="N5" s="353"/>
      <c r="O5" s="353"/>
      <c r="P5" s="354"/>
    </row>
    <row r="6" spans="2:16" ht="15" customHeight="1" x14ac:dyDescent="0.25">
      <c r="B6" s="554"/>
      <c r="C6" s="555"/>
      <c r="D6" s="555"/>
      <c r="E6" s="555"/>
      <c r="F6" s="555"/>
      <c r="G6" s="555"/>
      <c r="H6" s="555"/>
      <c r="I6" s="556"/>
      <c r="J6" s="111" t="s">
        <v>66</v>
      </c>
      <c r="K6" s="111" t="s">
        <v>192</v>
      </c>
      <c r="L6" s="112"/>
      <c r="M6" s="113" t="s">
        <v>69</v>
      </c>
      <c r="N6" s="113" t="s">
        <v>58</v>
      </c>
      <c r="O6" s="113" t="s">
        <v>57</v>
      </c>
      <c r="P6" s="113" t="s">
        <v>177</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178</v>
      </c>
      <c r="F8" s="2" t="str">
        <f>+'TAHAP 1'!G9</f>
        <v>: PENGECEKAN RULE DUMMY CHECK</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557" t="s">
        <v>194</v>
      </c>
      <c r="C10" s="558"/>
      <c r="D10" s="558"/>
      <c r="M10" s="559"/>
      <c r="N10" s="559"/>
      <c r="O10" s="559"/>
      <c r="P10" s="560"/>
    </row>
    <row r="11" spans="2:16" s="119" customFormat="1" ht="20.100000000000001" customHeight="1" x14ac:dyDescent="0.3">
      <c r="B11" s="175" t="s">
        <v>165</v>
      </c>
      <c r="C11" s="134"/>
      <c r="D11" s="134"/>
      <c r="E11" s="134"/>
      <c r="F11" s="134"/>
      <c r="M11" s="152"/>
      <c r="N11" s="152"/>
      <c r="P11" s="120"/>
    </row>
    <row r="12" spans="2:16" s="119" customFormat="1" ht="15" customHeight="1" x14ac:dyDescent="0.25">
      <c r="B12" s="176" t="s">
        <v>87</v>
      </c>
      <c r="C12" s="177"/>
      <c r="D12" s="177"/>
      <c r="E12" s="178"/>
      <c r="F12" s="179" t="s">
        <v>11</v>
      </c>
      <c r="G12" s="180" t="s">
        <v>81</v>
      </c>
      <c r="H12" s="180" t="s">
        <v>199</v>
      </c>
      <c r="I12" s="179" t="s">
        <v>200</v>
      </c>
      <c r="M12" s="152"/>
      <c r="N12" s="152"/>
      <c r="P12" s="120"/>
    </row>
    <row r="13" spans="2:16" s="119" customFormat="1" ht="15" customHeight="1" x14ac:dyDescent="0.25">
      <c r="B13" s="181" t="s">
        <v>88</v>
      </c>
      <c r="C13" s="182"/>
      <c r="D13" s="182"/>
      <c r="E13" s="183"/>
      <c r="F13" s="184">
        <v>30000</v>
      </c>
      <c r="G13" s="185">
        <v>12500</v>
      </c>
      <c r="H13" s="185">
        <v>20000</v>
      </c>
      <c r="I13" s="184">
        <v>20000</v>
      </c>
      <c r="M13" s="152"/>
      <c r="N13" s="152"/>
      <c r="P13" s="120"/>
    </row>
    <row r="14" spans="2:16" s="119" customFormat="1" ht="15" customHeight="1" x14ac:dyDescent="0.25">
      <c r="B14" s="181" t="s">
        <v>89</v>
      </c>
      <c r="C14" s="182"/>
      <c r="D14" s="182"/>
      <c r="E14" s="183"/>
      <c r="F14" s="184">
        <v>30000</v>
      </c>
      <c r="G14" s="185">
        <v>12500</v>
      </c>
      <c r="H14" s="185">
        <v>20000</v>
      </c>
      <c r="I14" s="184">
        <v>20000</v>
      </c>
      <c r="P14" s="120"/>
    </row>
    <row r="15" spans="2:16" s="119" customFormat="1" ht="15" customHeight="1" x14ac:dyDescent="0.25">
      <c r="B15" s="181" t="s">
        <v>90</v>
      </c>
      <c r="C15" s="182"/>
      <c r="D15" s="182"/>
      <c r="E15" s="183"/>
      <c r="F15" s="184">
        <v>35000</v>
      </c>
      <c r="G15" s="185">
        <v>12500</v>
      </c>
      <c r="H15" s="185">
        <v>20000</v>
      </c>
      <c r="I15" s="184">
        <v>20000</v>
      </c>
      <c r="P15" s="120"/>
    </row>
    <row r="16" spans="2:16" s="119" customFormat="1" ht="15" customHeight="1" x14ac:dyDescent="0.25">
      <c r="B16" s="181" t="s">
        <v>91</v>
      </c>
      <c r="C16" s="182"/>
      <c r="D16" s="182"/>
      <c r="E16" s="183"/>
      <c r="F16" s="184">
        <v>40000</v>
      </c>
      <c r="G16" s="185">
        <v>12500</v>
      </c>
      <c r="H16" s="185">
        <v>27500</v>
      </c>
      <c r="I16" s="184">
        <v>27500</v>
      </c>
      <c r="P16" s="120"/>
    </row>
    <row r="17" spans="2:16" s="119" customFormat="1" ht="15" customHeight="1" x14ac:dyDescent="0.25">
      <c r="B17" s="181" t="s">
        <v>92</v>
      </c>
      <c r="C17" s="182"/>
      <c r="D17" s="182"/>
      <c r="E17" s="183"/>
      <c r="F17" s="184">
        <v>50000</v>
      </c>
      <c r="G17" s="185">
        <v>22500</v>
      </c>
      <c r="H17" s="185">
        <v>30000</v>
      </c>
      <c r="I17" s="184">
        <v>30000</v>
      </c>
      <c r="P17" s="120"/>
    </row>
    <row r="18" spans="2:16" s="119" customFormat="1" ht="15" customHeight="1" x14ac:dyDescent="0.25">
      <c r="B18" s="181" t="s">
        <v>93</v>
      </c>
      <c r="C18" s="182"/>
      <c r="D18" s="182"/>
      <c r="E18" s="183"/>
      <c r="F18" s="184">
        <v>60000</v>
      </c>
      <c r="G18" s="185">
        <v>22500</v>
      </c>
      <c r="H18" s="185">
        <v>50000</v>
      </c>
      <c r="I18" s="184">
        <v>50000</v>
      </c>
      <c r="P18" s="120"/>
    </row>
    <row r="19" spans="2:16" s="119" customFormat="1" ht="15" customHeight="1" x14ac:dyDescent="0.25">
      <c r="B19" s="181" t="s">
        <v>94</v>
      </c>
      <c r="C19" s="182"/>
      <c r="D19" s="182"/>
      <c r="E19" s="183"/>
      <c r="F19" s="184">
        <v>70000</v>
      </c>
      <c r="G19" s="185">
        <v>22500</v>
      </c>
      <c r="H19" s="185">
        <v>60000</v>
      </c>
      <c r="I19" s="184">
        <v>60000</v>
      </c>
      <c r="P19" s="120"/>
    </row>
    <row r="20" spans="2:16" s="119" customFormat="1" ht="20.100000000000001" customHeight="1" x14ac:dyDescent="0.25">
      <c r="B20" s="296"/>
      <c r="C20" s="297"/>
      <c r="D20" s="297"/>
      <c r="E20" s="298"/>
      <c r="F20" s="134"/>
      <c r="P20" s="120"/>
    </row>
    <row r="21" spans="2:16" s="119" customFormat="1" ht="20.100000000000001" customHeight="1" x14ac:dyDescent="0.25">
      <c r="B21" s="143"/>
      <c r="C21" s="145" t="s">
        <v>198</v>
      </c>
      <c r="D21" s="144" t="s">
        <v>10</v>
      </c>
      <c r="E21" s="144" t="s">
        <v>92</v>
      </c>
      <c r="F21" s="144"/>
      <c r="G21" s="144"/>
      <c r="H21" s="144"/>
      <c r="I21" s="144"/>
      <c r="J21" s="144"/>
      <c r="P21" s="120"/>
    </row>
    <row r="22" spans="2:16" s="127" customFormat="1" ht="17.100000000000001" customHeight="1" x14ac:dyDescent="0.25">
      <c r="B22" s="131" t="s">
        <v>34</v>
      </c>
      <c r="C22" s="561" t="s">
        <v>5</v>
      </c>
      <c r="D22" s="561"/>
      <c r="E22" s="561"/>
      <c r="F22" s="131" t="str">
        <f>+$F$12</f>
        <v>UANG SAKU</v>
      </c>
      <c r="G22" s="131" t="str">
        <f>+$G$12</f>
        <v>BREAKFAST</v>
      </c>
      <c r="H22" s="131" t="str">
        <f>+$H$12</f>
        <v>LUNCH</v>
      </c>
      <c r="I22" s="131" t="str">
        <f>+$I$12</f>
        <v>DINNER</v>
      </c>
      <c r="J22" s="131" t="s">
        <v>41</v>
      </c>
      <c r="P22" s="132"/>
    </row>
    <row r="23" spans="2:16" s="119" customFormat="1" ht="17.100000000000001" customHeight="1" x14ac:dyDescent="0.25">
      <c r="B23" s="126">
        <v>1</v>
      </c>
      <c r="C23" s="576">
        <f>+'TAHAP 1'!$C$13</f>
        <v>45355</v>
      </c>
      <c r="D23" s="576"/>
      <c r="E23" s="576"/>
      <c r="F23" s="324">
        <f>VLOOKUP($E$21,B12:$I$19,5,0)</f>
        <v>50000</v>
      </c>
      <c r="G23" s="324">
        <f>G17</f>
        <v>22500</v>
      </c>
      <c r="H23" s="324" t="s">
        <v>240</v>
      </c>
      <c r="I23" s="324">
        <f>VLOOKUP($E$21,B12:$I$19,8,0)</f>
        <v>30000</v>
      </c>
      <c r="J23" s="202">
        <f>SUM(F23:I23)</f>
        <v>102500</v>
      </c>
      <c r="P23" s="120"/>
    </row>
    <row r="24" spans="2:16" s="119" customFormat="1" ht="17.100000000000001" customHeight="1" x14ac:dyDescent="0.25">
      <c r="B24" s="126">
        <v>2</v>
      </c>
      <c r="C24" s="576">
        <f>+C23+1</f>
        <v>45356</v>
      </c>
      <c r="D24" s="576"/>
      <c r="E24" s="576"/>
      <c r="F24" s="324">
        <f>VLOOKUP($E$21,B13:$I$19,5,0)</f>
        <v>50000</v>
      </c>
      <c r="G24" s="324" t="s">
        <v>227</v>
      </c>
      <c r="H24" s="324" t="s">
        <v>240</v>
      </c>
      <c r="I24" s="324">
        <v>30000</v>
      </c>
      <c r="J24" s="202">
        <f>SUM(F24:I24)</f>
        <v>80000</v>
      </c>
      <c r="P24" s="120"/>
    </row>
    <row r="25" spans="2:16" s="119" customFormat="1" ht="17.100000000000001" customHeight="1" thickBot="1" x14ac:dyDescent="0.3">
      <c r="B25" s="322">
        <v>3</v>
      </c>
      <c r="C25" s="580"/>
      <c r="D25" s="580"/>
      <c r="E25" s="580"/>
      <c r="F25" s="323"/>
      <c r="G25" s="323"/>
      <c r="H25" s="323"/>
      <c r="I25" s="323"/>
      <c r="J25" s="302">
        <f>SUM(F25:I25)</f>
        <v>0</v>
      </c>
      <c r="P25" s="120"/>
    </row>
    <row r="26" spans="2:16" s="119" customFormat="1" ht="16.5" customHeight="1" thickTop="1" x14ac:dyDescent="0.25">
      <c r="B26" s="577" t="s">
        <v>12</v>
      </c>
      <c r="C26" s="577"/>
      <c r="D26" s="577"/>
      <c r="E26" s="577"/>
      <c r="F26" s="209">
        <f>SUM(F23:F25)</f>
        <v>100000</v>
      </c>
      <c r="G26" s="578">
        <f>SUM(G23:I25)</f>
        <v>82500</v>
      </c>
      <c r="H26" s="579"/>
      <c r="I26" s="579"/>
      <c r="J26" s="210">
        <f>SUM(J23:J25)</f>
        <v>182500</v>
      </c>
      <c r="P26" s="120"/>
    </row>
    <row r="27" spans="2:16" s="13" customFormat="1" ht="20.100000000000001" customHeight="1" x14ac:dyDescent="0.25">
      <c r="B27" s="106"/>
      <c r="C27" s="107"/>
      <c r="D27" s="107"/>
      <c r="E27" s="107"/>
      <c r="F27" s="107"/>
      <c r="G27" s="107"/>
      <c r="H27" s="107"/>
      <c r="I27" s="107"/>
      <c r="J27" s="107"/>
      <c r="K27" s="121"/>
      <c r="L27" s="122"/>
      <c r="M27" s="122"/>
      <c r="N27" s="122"/>
      <c r="O27" s="122"/>
      <c r="P27" s="123"/>
    </row>
    <row r="28" spans="2:16" s="119" customFormat="1" ht="24.95" customHeight="1" x14ac:dyDescent="0.25">
      <c r="B28" s="173"/>
      <c r="C28" s="127"/>
      <c r="D28" s="127"/>
      <c r="E28" s="127"/>
      <c r="F28" s="127"/>
      <c r="G28" s="127"/>
      <c r="H28" s="149"/>
      <c r="I28" s="107"/>
      <c r="J28" s="107"/>
      <c r="K28" s="135"/>
      <c r="L28" s="127"/>
      <c r="M28" s="127"/>
      <c r="P28" s="132"/>
    </row>
    <row r="29" spans="2:16" s="13" customFormat="1" ht="20.100000000000001" customHeight="1" x14ac:dyDescent="0.25">
      <c r="B29" s="299" t="s">
        <v>187</v>
      </c>
      <c r="C29" s="292"/>
      <c r="D29" s="292"/>
      <c r="E29" s="292"/>
      <c r="F29" s="107"/>
      <c r="G29" s="107"/>
      <c r="H29" s="107"/>
      <c r="I29" s="107"/>
      <c r="J29" s="107"/>
      <c r="K29" s="121"/>
      <c r="L29" s="122"/>
      <c r="M29" s="122"/>
      <c r="N29" s="122"/>
      <c r="O29" s="122"/>
      <c r="P29" s="123"/>
    </row>
    <row r="30" spans="2:16" s="119" customFormat="1" ht="24.95" customHeight="1" x14ac:dyDescent="0.25">
      <c r="B30" s="187" t="s">
        <v>34</v>
      </c>
      <c r="C30" s="562" t="s">
        <v>3</v>
      </c>
      <c r="D30" s="563"/>
      <c r="E30" s="563"/>
      <c r="F30" s="564"/>
      <c r="G30" s="187" t="s">
        <v>179</v>
      </c>
      <c r="H30" s="564" t="s">
        <v>187</v>
      </c>
      <c r="I30" s="107"/>
      <c r="J30" s="107"/>
      <c r="K30" s="135"/>
      <c r="L30" s="127"/>
      <c r="M30" s="127"/>
      <c r="P30" s="132"/>
    </row>
    <row r="31" spans="2:16" s="119" customFormat="1" ht="20.100000000000001" customHeight="1" x14ac:dyDescent="0.25">
      <c r="B31" s="126">
        <v>1</v>
      </c>
      <c r="C31" s="565" t="str">
        <f>+'TAHAP 1'!M13</f>
        <v>GONDA KATSUHITO</v>
      </c>
      <c r="D31" s="565"/>
      <c r="E31" s="565"/>
      <c r="F31" s="565"/>
      <c r="G31" s="207" t="s">
        <v>92</v>
      </c>
      <c r="H31" s="566">
        <f>+J26</f>
        <v>182500</v>
      </c>
      <c r="I31" s="107"/>
      <c r="J31" s="107"/>
      <c r="K31" s="186"/>
      <c r="L31" s="127"/>
      <c r="M31" s="127"/>
      <c r="P31" s="132"/>
    </row>
    <row r="32" spans="2:16" s="119" customFormat="1" ht="20.100000000000001" customHeight="1" thickBot="1" x14ac:dyDescent="0.3">
      <c r="B32" s="126">
        <v>2</v>
      </c>
      <c r="C32" s="565">
        <f>+'TAHAP 1'!M14</f>
        <v>0</v>
      </c>
      <c r="D32" s="565"/>
      <c r="E32" s="565"/>
      <c r="F32" s="565"/>
      <c r="G32" s="207"/>
      <c r="H32" s="211">
        <v>0</v>
      </c>
      <c r="I32" s="107"/>
      <c r="J32" s="107"/>
      <c r="K32" s="186"/>
      <c r="L32" s="127"/>
      <c r="M32" s="127"/>
      <c r="P32" s="132"/>
    </row>
    <row r="33" spans="2:16" s="119" customFormat="1" ht="24.95" customHeight="1" thickTop="1" x14ac:dyDescent="0.25">
      <c r="B33" s="567" t="s">
        <v>12</v>
      </c>
      <c r="C33" s="568"/>
      <c r="D33" s="568"/>
      <c r="E33" s="568"/>
      <c r="F33" s="568"/>
      <c r="G33" s="569"/>
      <c r="H33" s="208">
        <f>SUM(H31:H32)</f>
        <v>182500</v>
      </c>
      <c r="I33" s="107"/>
      <c r="J33" s="107"/>
      <c r="K33" s="135"/>
      <c r="L33" s="127"/>
      <c r="M33" s="127"/>
      <c r="P33" s="132"/>
    </row>
    <row r="34" spans="2:16" s="119" customFormat="1" ht="24.95" customHeight="1" thickBot="1" x14ac:dyDescent="0.3">
      <c r="B34" s="173"/>
      <c r="C34" s="127"/>
      <c r="D34" s="127"/>
      <c r="E34" s="127"/>
      <c r="F34" s="127"/>
      <c r="G34" s="127"/>
      <c r="H34" s="149"/>
      <c r="I34" s="107"/>
      <c r="J34" s="107"/>
      <c r="K34" s="135"/>
      <c r="L34" s="127"/>
      <c r="M34" s="127"/>
      <c r="P34" s="132"/>
    </row>
    <row r="35" spans="2:16" s="119" customFormat="1" ht="20.100000000000001" customHeight="1" thickTop="1" x14ac:dyDescent="0.25">
      <c r="B35" s="570" t="s">
        <v>195</v>
      </c>
      <c r="C35" s="571"/>
      <c r="D35" s="571"/>
      <c r="E35" s="571"/>
      <c r="F35" s="571"/>
      <c r="G35" s="571"/>
      <c r="H35" s="571"/>
      <c r="I35" s="571"/>
      <c r="J35" s="571"/>
      <c r="K35" s="571"/>
      <c r="L35" s="571"/>
      <c r="M35" s="571"/>
      <c r="N35" s="571"/>
      <c r="O35" s="571"/>
      <c r="P35" s="572"/>
    </row>
    <row r="36" spans="2:16" s="119" customFormat="1" ht="20.100000000000001" customHeight="1" x14ac:dyDescent="0.25">
      <c r="B36" s="573"/>
      <c r="C36" s="574"/>
      <c r="D36" s="574"/>
      <c r="E36" s="574"/>
      <c r="F36" s="574"/>
      <c r="G36" s="574"/>
      <c r="H36" s="574"/>
      <c r="I36" s="574"/>
      <c r="J36" s="574"/>
      <c r="K36" s="574"/>
      <c r="L36" s="574"/>
      <c r="M36" s="574"/>
      <c r="N36" s="574"/>
      <c r="O36" s="574"/>
      <c r="P36" s="575"/>
    </row>
    <row r="37" spans="2:16" s="119" customFormat="1" ht="24.95" customHeight="1" x14ac:dyDescent="0.25">
      <c r="B37" s="139" t="s">
        <v>220</v>
      </c>
      <c r="C37" s="118"/>
      <c r="D37" s="118"/>
      <c r="E37" s="134"/>
      <c r="F37" s="134"/>
      <c r="P37" s="120"/>
    </row>
    <row r="38" spans="2:16" s="119" customFormat="1" ht="20.100000000000001" customHeight="1" x14ac:dyDescent="0.25">
      <c r="B38" s="308" t="s">
        <v>34</v>
      </c>
      <c r="C38" s="561" t="s">
        <v>51</v>
      </c>
      <c r="D38" s="561"/>
      <c r="E38" s="561" t="s">
        <v>224</v>
      </c>
      <c r="F38" s="561"/>
      <c r="G38" s="561"/>
      <c r="H38" s="561"/>
      <c r="I38" s="561"/>
      <c r="J38" s="561"/>
      <c r="K38" s="141" t="s">
        <v>188</v>
      </c>
      <c r="L38" s="131" t="s">
        <v>223</v>
      </c>
      <c r="M38" s="131" t="s">
        <v>41</v>
      </c>
      <c r="N38" s="131" t="s">
        <v>12</v>
      </c>
      <c r="P38" s="120"/>
    </row>
    <row r="39" spans="2:16" s="119" customFormat="1" ht="20.100000000000001" customHeight="1" x14ac:dyDescent="0.25">
      <c r="B39" s="309">
        <v>1</v>
      </c>
      <c r="C39" s="589" t="s">
        <v>221</v>
      </c>
      <c r="D39" s="590"/>
      <c r="E39" s="485"/>
      <c r="F39" s="485"/>
      <c r="G39" s="485"/>
      <c r="H39" s="485"/>
      <c r="I39" s="485"/>
      <c r="J39" s="485"/>
      <c r="K39" s="591"/>
      <c r="L39" s="591"/>
      <c r="M39" s="591">
        <f>+K39*L39</f>
        <v>0</v>
      </c>
      <c r="N39" s="587">
        <f>SUM(M39:M40)</f>
        <v>0</v>
      </c>
      <c r="P39" s="120"/>
    </row>
    <row r="40" spans="2:16" s="119" customFormat="1" ht="20.100000000000001" customHeight="1" x14ac:dyDescent="0.25">
      <c r="B40" s="309">
        <v>2</v>
      </c>
      <c r="C40" s="589" t="s">
        <v>222</v>
      </c>
      <c r="D40" s="590"/>
      <c r="E40" s="485"/>
      <c r="F40" s="485"/>
      <c r="G40" s="485"/>
      <c r="H40" s="485"/>
      <c r="I40" s="485"/>
      <c r="J40" s="485"/>
      <c r="K40" s="592"/>
      <c r="L40" s="592"/>
      <c r="M40" s="592"/>
      <c r="N40" s="588"/>
      <c r="P40" s="120"/>
    </row>
    <row r="41" spans="2:16" s="119" customFormat="1" ht="20.100000000000001" customHeight="1" x14ac:dyDescent="0.25">
      <c r="B41" s="106"/>
      <c r="C41" s="107"/>
      <c r="D41" s="107"/>
      <c r="E41" s="107"/>
      <c r="F41" s="107"/>
      <c r="G41" s="107"/>
      <c r="H41" s="24"/>
      <c r="I41" s="149"/>
      <c r="J41" s="107"/>
      <c r="K41" s="135"/>
      <c r="L41" s="127"/>
      <c r="M41" s="127"/>
      <c r="P41" s="120"/>
    </row>
    <row r="42" spans="2:16" s="119" customFormat="1" ht="20.100000000000001" customHeight="1" x14ac:dyDescent="0.25">
      <c r="B42" s="106"/>
      <c r="C42" s="107"/>
      <c r="D42" s="107"/>
      <c r="E42" s="107"/>
      <c r="F42" s="107"/>
      <c r="G42" s="107"/>
      <c r="H42" s="24"/>
      <c r="I42" s="149"/>
      <c r="J42" s="107"/>
      <c r="K42" s="135"/>
      <c r="L42" s="127"/>
      <c r="M42" s="127"/>
      <c r="P42" s="120"/>
    </row>
    <row r="43" spans="2:16" s="119" customFormat="1" ht="24.95" customHeight="1" x14ac:dyDescent="0.25">
      <c r="B43" s="139" t="s">
        <v>229</v>
      </c>
      <c r="C43" s="118"/>
      <c r="D43" s="118"/>
      <c r="E43" s="134"/>
      <c r="F43" s="134"/>
      <c r="P43" s="120"/>
    </row>
    <row r="44" spans="2:16" s="119" customFormat="1" ht="24.95" hidden="1" customHeight="1" x14ac:dyDescent="0.25">
      <c r="B44" s="150"/>
      <c r="C44" s="107"/>
      <c r="D44" s="107"/>
      <c r="E44" s="134"/>
      <c r="F44" s="134"/>
      <c r="P44" s="120"/>
    </row>
    <row r="45" spans="2:16" s="119" customFormat="1" ht="20.100000000000001" hidden="1" customHeight="1" x14ac:dyDescent="0.25">
      <c r="B45" s="163"/>
      <c r="C45" s="107"/>
      <c r="D45" s="107"/>
      <c r="E45" s="134"/>
      <c r="F45" s="134"/>
      <c r="P45" s="120"/>
    </row>
    <row r="46" spans="2:16" s="119" customFormat="1" ht="20.100000000000001" hidden="1" customHeight="1" x14ac:dyDescent="0.25">
      <c r="B46" s="163"/>
      <c r="C46" s="107"/>
      <c r="D46" s="107"/>
      <c r="E46" s="134"/>
      <c r="F46" s="134"/>
      <c r="P46" s="120"/>
    </row>
    <row r="47" spans="2:16" s="119" customFormat="1" ht="9.9499999999999993" customHeight="1" x14ac:dyDescent="0.25">
      <c r="B47" s="106"/>
      <c r="C47" s="134"/>
      <c r="D47" s="134"/>
      <c r="E47" s="134"/>
      <c r="F47" s="134"/>
      <c r="P47" s="120"/>
    </row>
    <row r="48" spans="2:16" s="24" customFormat="1" ht="24.95" customHeight="1" x14ac:dyDescent="0.25">
      <c r="B48" s="131" t="s">
        <v>34</v>
      </c>
      <c r="C48" s="501" t="s">
        <v>49</v>
      </c>
      <c r="D48" s="502"/>
      <c r="E48" s="503"/>
      <c r="F48" s="141" t="s">
        <v>39</v>
      </c>
      <c r="G48" s="131" t="s">
        <v>40</v>
      </c>
      <c r="H48" s="493" t="s">
        <v>201</v>
      </c>
      <c r="I48" s="494"/>
      <c r="P48" s="88"/>
    </row>
    <row r="49" spans="2:16" s="119" customFormat="1" ht="17.100000000000001" customHeight="1" thickBot="1" x14ac:dyDescent="0.3">
      <c r="B49" s="126">
        <v>1</v>
      </c>
      <c r="C49" s="504" t="s">
        <v>42</v>
      </c>
      <c r="D49" s="505"/>
      <c r="E49" s="506"/>
      <c r="F49" s="202">
        <v>0</v>
      </c>
      <c r="G49" s="203">
        <v>0</v>
      </c>
      <c r="H49" s="204"/>
      <c r="I49" s="220">
        <f>+F49*G49</f>
        <v>0</v>
      </c>
      <c r="P49" s="120"/>
    </row>
    <row r="50" spans="2:16" s="119" customFormat="1" ht="24.95" customHeight="1" thickTop="1" x14ac:dyDescent="0.25">
      <c r="B50" s="495" t="s">
        <v>212</v>
      </c>
      <c r="C50" s="496"/>
      <c r="D50" s="496"/>
      <c r="E50" s="496"/>
      <c r="F50" s="496"/>
      <c r="G50" s="497"/>
      <c r="H50" s="221"/>
      <c r="I50" s="208">
        <f>SUM(I43:I49)</f>
        <v>0</v>
      </c>
      <c r="O50" s="24"/>
      <c r="P50" s="88"/>
    </row>
    <row r="51" spans="2:16" s="119" customFormat="1" ht="17.100000000000001" customHeight="1" x14ac:dyDescent="0.25">
      <c r="B51" s="226"/>
      <c r="C51" s="227"/>
      <c r="D51" s="227"/>
      <c r="E51" s="227"/>
      <c r="F51" s="228"/>
      <c r="G51" s="228"/>
      <c r="H51" s="229"/>
      <c r="I51" s="229"/>
      <c r="P51" s="120"/>
    </row>
    <row r="52" spans="2:16" s="119" customFormat="1" ht="17.100000000000001" customHeight="1" x14ac:dyDescent="0.25">
      <c r="B52" s="222"/>
      <c r="C52" s="223"/>
      <c r="D52" s="223"/>
      <c r="E52" s="223"/>
      <c r="F52" s="224"/>
      <c r="G52" s="224"/>
      <c r="H52" s="225"/>
      <c r="I52" s="225"/>
      <c r="P52" s="120"/>
    </row>
    <row r="53" spans="2:16" s="24" customFormat="1" ht="24.95" customHeight="1" x14ac:dyDescent="0.25">
      <c r="B53" s="131" t="s">
        <v>34</v>
      </c>
      <c r="C53" s="501" t="s">
        <v>49</v>
      </c>
      <c r="D53" s="502"/>
      <c r="E53" s="503"/>
      <c r="F53" s="141" t="s">
        <v>39</v>
      </c>
      <c r="G53" s="131" t="s">
        <v>40</v>
      </c>
      <c r="H53" s="493" t="s">
        <v>201</v>
      </c>
      <c r="I53" s="494"/>
      <c r="P53" s="88"/>
    </row>
    <row r="54" spans="2:16" s="119" customFormat="1" ht="17.100000000000001" customHeight="1" x14ac:dyDescent="0.25">
      <c r="B54" s="126">
        <v>1</v>
      </c>
      <c r="C54" s="504" t="s">
        <v>50</v>
      </c>
      <c r="D54" s="505"/>
      <c r="E54" s="506"/>
      <c r="F54" s="202">
        <v>0</v>
      </c>
      <c r="G54" s="203">
        <v>0</v>
      </c>
      <c r="H54" s="204"/>
      <c r="I54" s="205">
        <f t="shared" ref="I54:I61" si="0">+F54*G54</f>
        <v>0</v>
      </c>
      <c r="P54" s="120"/>
    </row>
    <row r="55" spans="2:16" s="119" customFormat="1" ht="17.100000000000001" customHeight="1" x14ac:dyDescent="0.25">
      <c r="B55" s="126">
        <v>2</v>
      </c>
      <c r="C55" s="146" t="s">
        <v>47</v>
      </c>
      <c r="D55" s="147"/>
      <c r="E55" s="148"/>
      <c r="F55" s="202">
        <v>100000</v>
      </c>
      <c r="G55" s="203">
        <v>2</v>
      </c>
      <c r="H55" s="204"/>
      <c r="I55" s="205">
        <f t="shared" si="0"/>
        <v>200000</v>
      </c>
      <c r="P55" s="120"/>
    </row>
    <row r="56" spans="2:16" s="119" customFormat="1" ht="17.100000000000001" customHeight="1" x14ac:dyDescent="0.25">
      <c r="B56" s="126">
        <v>3</v>
      </c>
      <c r="C56" s="146" t="s">
        <v>48</v>
      </c>
      <c r="D56" s="147"/>
      <c r="E56" s="148"/>
      <c r="F56" s="202">
        <v>150000</v>
      </c>
      <c r="G56" s="203">
        <v>1</v>
      </c>
      <c r="H56" s="204"/>
      <c r="I56" s="205">
        <f t="shared" si="0"/>
        <v>150000</v>
      </c>
      <c r="P56" s="120"/>
    </row>
    <row r="57" spans="2:16" s="119" customFormat="1" ht="17.100000000000001" customHeight="1" x14ac:dyDescent="0.25">
      <c r="B57" s="126">
        <v>4</v>
      </c>
      <c r="C57" s="146" t="s">
        <v>46</v>
      </c>
      <c r="D57" s="147"/>
      <c r="E57" s="148"/>
      <c r="F57" s="202">
        <v>250000</v>
      </c>
      <c r="G57" s="203">
        <v>2</v>
      </c>
      <c r="H57" s="204"/>
      <c r="I57" s="205">
        <f t="shared" si="0"/>
        <v>500000</v>
      </c>
      <c r="P57" s="120"/>
    </row>
    <row r="58" spans="2:16" s="119" customFormat="1" ht="17.100000000000001" customHeight="1" x14ac:dyDescent="0.25">
      <c r="B58" s="126">
        <v>5</v>
      </c>
      <c r="C58" s="504" t="s">
        <v>43</v>
      </c>
      <c r="D58" s="505"/>
      <c r="E58" s="506"/>
      <c r="F58" s="202">
        <v>1050000</v>
      </c>
      <c r="G58" s="203">
        <v>1</v>
      </c>
      <c r="H58" s="204"/>
      <c r="I58" s="205">
        <f t="shared" si="0"/>
        <v>1050000</v>
      </c>
      <c r="P58" s="120"/>
    </row>
    <row r="59" spans="2:16" s="119" customFormat="1" ht="17.100000000000001" customHeight="1" x14ac:dyDescent="0.25">
      <c r="B59" s="126">
        <v>6</v>
      </c>
      <c r="C59" s="504" t="s">
        <v>44</v>
      </c>
      <c r="D59" s="505"/>
      <c r="E59" s="506"/>
      <c r="F59" s="202">
        <v>1100000</v>
      </c>
      <c r="G59" s="203">
        <v>1</v>
      </c>
      <c r="H59" s="204"/>
      <c r="I59" s="205">
        <f t="shared" si="0"/>
        <v>1100000</v>
      </c>
      <c r="P59" s="120"/>
    </row>
    <row r="60" spans="2:16" s="119" customFormat="1" ht="17.100000000000001" customHeight="1" x14ac:dyDescent="0.25">
      <c r="B60" s="126">
        <v>7</v>
      </c>
      <c r="C60" s="507" t="s">
        <v>45</v>
      </c>
      <c r="D60" s="507"/>
      <c r="E60" s="507"/>
      <c r="F60" s="202">
        <v>50000</v>
      </c>
      <c r="G60" s="202">
        <v>1</v>
      </c>
      <c r="H60" s="508">
        <f>+F60*G60</f>
        <v>50000</v>
      </c>
      <c r="I60" s="509"/>
      <c r="P60" s="120"/>
    </row>
    <row r="61" spans="2:16" s="119" customFormat="1" ht="17.100000000000001" customHeight="1" thickBot="1" x14ac:dyDescent="0.3">
      <c r="B61" s="301">
        <v>8</v>
      </c>
      <c r="C61" s="498" t="s">
        <v>219</v>
      </c>
      <c r="D61" s="499"/>
      <c r="E61" s="500"/>
      <c r="F61" s="302">
        <v>0</v>
      </c>
      <c r="G61" s="202">
        <v>0</v>
      </c>
      <c r="H61" s="303"/>
      <c r="I61" s="304">
        <f t="shared" si="0"/>
        <v>0</v>
      </c>
      <c r="P61" s="120"/>
    </row>
    <row r="62" spans="2:16" s="119" customFormat="1" ht="24.95" customHeight="1" thickTop="1" x14ac:dyDescent="0.25">
      <c r="B62" s="495" t="s">
        <v>213</v>
      </c>
      <c r="C62" s="496"/>
      <c r="D62" s="496"/>
      <c r="E62" s="496"/>
      <c r="F62" s="496"/>
      <c r="G62" s="497"/>
      <c r="H62" s="221"/>
      <c r="I62" s="208">
        <f>SUM(H54:I61)</f>
        <v>3050000</v>
      </c>
      <c r="J62" s="743"/>
      <c r="O62" s="24"/>
      <c r="P62" s="88"/>
    </row>
    <row r="63" spans="2:16" s="119" customFormat="1" ht="20.100000000000001" customHeight="1" x14ac:dyDescent="0.25">
      <c r="B63" s="106"/>
      <c r="C63" s="107"/>
      <c r="D63" s="107"/>
      <c r="E63" s="107"/>
      <c r="F63" s="107"/>
      <c r="G63" s="107"/>
      <c r="H63" s="24"/>
      <c r="I63" s="149"/>
      <c r="J63" s="107"/>
      <c r="K63" s="135"/>
      <c r="L63" s="127"/>
      <c r="M63" s="127"/>
      <c r="P63" s="120"/>
    </row>
    <row r="64" spans="2:16" s="119" customFormat="1" ht="20.100000000000001" customHeight="1" x14ac:dyDescent="0.25">
      <c r="B64" s="106"/>
      <c r="C64" s="107"/>
      <c r="D64" s="107"/>
      <c r="E64" s="107"/>
      <c r="F64" s="107"/>
      <c r="G64" s="107"/>
      <c r="H64" s="230"/>
      <c r="I64" s="206">
        <f>+I62+I50</f>
        <v>3050000</v>
      </c>
      <c r="J64" s="107"/>
      <c r="K64" s="135"/>
      <c r="L64" s="127"/>
      <c r="M64" s="127"/>
      <c r="P64" s="120"/>
    </row>
    <row r="65" spans="2:20" s="119" customFormat="1" ht="20.100000000000001" customHeight="1" x14ac:dyDescent="0.25">
      <c r="B65" s="106"/>
      <c r="C65" s="107"/>
      <c r="D65" s="107"/>
      <c r="E65" s="107"/>
      <c r="F65" s="107"/>
      <c r="G65" s="107"/>
      <c r="J65" s="107"/>
      <c r="K65" s="135"/>
      <c r="L65" s="127"/>
      <c r="M65" s="127"/>
      <c r="O65" s="188"/>
      <c r="P65" s="158"/>
    </row>
    <row r="66" spans="2:20" s="119" customFormat="1" ht="24.95" customHeight="1" x14ac:dyDescent="0.25">
      <c r="B66" s="159" t="s">
        <v>76</v>
      </c>
      <c r="C66" s="160"/>
      <c r="D66" s="160"/>
      <c r="E66" s="161"/>
      <c r="F66" s="161"/>
      <c r="G66" s="161"/>
      <c r="H66" s="161"/>
      <c r="I66" s="161"/>
      <c r="J66" s="161"/>
      <c r="K66" s="162"/>
      <c r="L66" s="162"/>
      <c r="M66" s="195"/>
      <c r="N66" s="195"/>
      <c r="O66" s="195"/>
      <c r="P66" s="196"/>
      <c r="Q66" s="153"/>
    </row>
    <row r="67" spans="2:20" s="151" customFormat="1" ht="20.100000000000001" customHeight="1" x14ac:dyDescent="0.25">
      <c r="B67" s="517" t="s">
        <v>1</v>
      </c>
      <c r="C67" s="519" t="s">
        <v>202</v>
      </c>
      <c r="D67" s="520"/>
      <c r="E67" s="520"/>
      <c r="F67" s="521"/>
      <c r="G67" s="513" t="s">
        <v>52</v>
      </c>
      <c r="H67" s="523"/>
      <c r="I67" s="523"/>
      <c r="J67" s="514"/>
      <c r="K67" s="513" t="s">
        <v>203</v>
      </c>
      <c r="L67" s="514"/>
      <c r="M67" s="513" t="s">
        <v>39</v>
      </c>
      <c r="N67" s="514"/>
      <c r="O67" s="511"/>
      <c r="P67" s="512"/>
      <c r="Q67" s="511"/>
    </row>
    <row r="68" spans="2:20" s="151" customFormat="1" ht="20.100000000000001" customHeight="1" thickBot="1" x14ac:dyDescent="0.3">
      <c r="B68" s="518"/>
      <c r="C68" s="527" t="s">
        <v>204</v>
      </c>
      <c r="D68" s="528"/>
      <c r="E68" s="527" t="s">
        <v>205</v>
      </c>
      <c r="F68" s="528"/>
      <c r="G68" s="515"/>
      <c r="H68" s="524"/>
      <c r="I68" s="524"/>
      <c r="J68" s="516"/>
      <c r="K68" s="515"/>
      <c r="L68" s="516"/>
      <c r="M68" s="515"/>
      <c r="N68" s="516"/>
      <c r="O68" s="511"/>
      <c r="P68" s="512"/>
      <c r="Q68" s="511"/>
    </row>
    <row r="69" spans="2:20" s="134" customFormat="1" ht="99.95" customHeight="1" thickTop="1" x14ac:dyDescent="0.25">
      <c r="B69" s="200">
        <v>1</v>
      </c>
      <c r="C69" s="531">
        <f>+'TAHAP 1'!C13</f>
        <v>45355</v>
      </c>
      <c r="D69" s="532"/>
      <c r="E69" s="531">
        <f>+'TAHAP 1'!F13</f>
        <v>45356</v>
      </c>
      <c r="F69" s="532"/>
      <c r="G69" s="525" t="s">
        <v>242</v>
      </c>
      <c r="H69" s="526"/>
      <c r="I69" s="526"/>
      <c r="J69" s="526"/>
      <c r="K69" s="522" t="s">
        <v>244</v>
      </c>
      <c r="L69" s="522"/>
      <c r="M69" s="199"/>
      <c r="N69" s="201">
        <v>961950</v>
      </c>
      <c r="O69" s="197"/>
      <c r="P69" s="198"/>
      <c r="Q69" s="194"/>
    </row>
    <row r="70" spans="2:20" s="134" customFormat="1" ht="21.95" customHeight="1" x14ac:dyDescent="0.25">
      <c r="B70" s="190"/>
      <c r="C70" s="191"/>
      <c r="D70" s="191"/>
      <c r="E70" s="191"/>
      <c r="F70" s="191"/>
      <c r="G70" s="293" t="str">
        <f>+G69</f>
        <v>Delonix Hotel Karawang
Exit Toll Karawang Barat, Komplek Sedana Golf KM 47 Sukaluyu - Teluk Jambe 41361 Karawang</v>
      </c>
      <c r="H70" s="174"/>
      <c r="I70" s="174"/>
      <c r="J70" s="174"/>
      <c r="K70" s="174"/>
      <c r="L70" s="174"/>
      <c r="M70" s="174"/>
      <c r="N70" s="192"/>
      <c r="O70" s="192"/>
      <c r="P70" s="193"/>
      <c r="Q70" s="189"/>
    </row>
    <row r="71" spans="2:20" s="134" customFormat="1" ht="21.95" customHeight="1" x14ac:dyDescent="0.25">
      <c r="B71" s="190"/>
      <c r="C71" s="191"/>
      <c r="D71" s="191"/>
      <c r="E71" s="191"/>
      <c r="F71" s="191"/>
      <c r="G71" s="174"/>
      <c r="H71" s="174"/>
      <c r="I71" s="174"/>
      <c r="J71" s="174"/>
      <c r="K71" s="174"/>
      <c r="L71" s="174"/>
      <c r="M71" s="174"/>
      <c r="N71" s="192"/>
      <c r="O71" s="192"/>
      <c r="P71" s="193"/>
      <c r="Q71" s="189"/>
    </row>
    <row r="72" spans="2:20" s="134" customFormat="1" ht="21.95" customHeight="1" x14ac:dyDescent="0.25">
      <c r="B72" s="190"/>
      <c r="C72" s="581" t="s">
        <v>3</v>
      </c>
      <c r="D72" s="582"/>
      <c r="E72" s="585" t="s">
        <v>211</v>
      </c>
      <c r="F72" s="585" t="s">
        <v>209</v>
      </c>
      <c r="G72" s="585" t="s">
        <v>210</v>
      </c>
      <c r="H72" s="585" t="s">
        <v>188</v>
      </c>
      <c r="I72" s="585" t="s">
        <v>12</v>
      </c>
      <c r="J72" s="585" t="s">
        <v>81</v>
      </c>
      <c r="K72" s="529" t="s">
        <v>80</v>
      </c>
      <c r="L72" s="510" t="s">
        <v>82</v>
      </c>
      <c r="M72" s="174"/>
      <c r="N72" s="192"/>
      <c r="O72" s="350"/>
      <c r="P72" s="351"/>
      <c r="Q72" s="194"/>
    </row>
    <row r="73" spans="2:20" s="134" customFormat="1" ht="21.95" customHeight="1" x14ac:dyDescent="0.25">
      <c r="B73" s="190"/>
      <c r="C73" s="583"/>
      <c r="D73" s="584"/>
      <c r="E73" s="586"/>
      <c r="F73" s="586"/>
      <c r="G73" s="586"/>
      <c r="H73" s="586"/>
      <c r="I73" s="586"/>
      <c r="J73" s="586"/>
      <c r="K73" s="530"/>
      <c r="L73" s="510"/>
      <c r="M73" s="174"/>
      <c r="N73" s="192"/>
      <c r="O73" s="127"/>
      <c r="P73" s="132"/>
      <c r="Q73" s="194"/>
    </row>
    <row r="74" spans="2:20" s="134" customFormat="1" ht="21.95" customHeight="1" x14ac:dyDescent="0.25">
      <c r="B74" s="190"/>
      <c r="C74" s="533" t="str">
        <f>+C31</f>
        <v>GONDA KATSUHITO</v>
      </c>
      <c r="D74" s="533"/>
      <c r="E74" s="219" t="str">
        <f>+K69</f>
        <v>Golf View</v>
      </c>
      <c r="F74" s="207">
        <v>1</v>
      </c>
      <c r="G74" s="207">
        <v>1</v>
      </c>
      <c r="H74" s="214">
        <f>+N69</f>
        <v>961950</v>
      </c>
      <c r="I74" s="214">
        <f>+H74*G74*F74</f>
        <v>961950</v>
      </c>
      <c r="J74" s="214" t="s">
        <v>228</v>
      </c>
      <c r="K74" s="214" t="s">
        <v>83</v>
      </c>
      <c r="L74" s="214" t="s">
        <v>83</v>
      </c>
      <c r="M74" s="174"/>
      <c r="N74" s="192"/>
      <c r="O74" s="119"/>
      <c r="P74" s="120"/>
      <c r="Q74" s="194"/>
    </row>
    <row r="75" spans="2:20" s="134" customFormat="1" ht="21.95" customHeight="1" x14ac:dyDescent="0.25">
      <c r="B75" s="190"/>
      <c r="C75" s="533">
        <f>+C32</f>
        <v>0</v>
      </c>
      <c r="D75" s="533"/>
      <c r="E75" s="219"/>
      <c r="F75" s="207"/>
      <c r="G75" s="207"/>
      <c r="H75" s="214">
        <f>+N69</f>
        <v>961950</v>
      </c>
      <c r="I75" s="214">
        <f>+H75*G75*F75</f>
        <v>0</v>
      </c>
      <c r="J75" s="214"/>
      <c r="K75" s="214"/>
      <c r="L75" s="214"/>
      <c r="M75" s="174"/>
      <c r="N75" s="192"/>
      <c r="O75" s="119"/>
      <c r="P75" s="120"/>
      <c r="Q75" s="194"/>
    </row>
    <row r="76" spans="2:20" s="14" customFormat="1" ht="21.95" customHeight="1" x14ac:dyDescent="0.25">
      <c r="B76" s="154"/>
      <c r="C76" s="155"/>
      <c r="D76" s="155"/>
      <c r="E76" s="155"/>
      <c r="F76" s="155"/>
      <c r="G76" s="142"/>
      <c r="H76" s="142"/>
      <c r="I76" s="142"/>
      <c r="J76" s="142"/>
      <c r="K76" s="142"/>
      <c r="L76" s="142"/>
      <c r="M76" s="156"/>
      <c r="N76" s="157"/>
      <c r="O76" s="216"/>
      <c r="P76" s="158"/>
      <c r="Q76" s="215"/>
    </row>
    <row r="77" spans="2:20" s="119" customFormat="1" ht="21.95" customHeight="1" thickBot="1" x14ac:dyDescent="0.3">
      <c r="B77" s="124"/>
      <c r="C77" s="125"/>
      <c r="D77" s="125"/>
      <c r="E77" s="136"/>
      <c r="F77" s="136"/>
      <c r="G77" s="136"/>
      <c r="H77" s="136"/>
      <c r="I77" s="136"/>
      <c r="J77" s="136"/>
      <c r="K77" s="137"/>
      <c r="L77" s="137"/>
      <c r="M77" s="138"/>
      <c r="N77" s="138"/>
      <c r="O77" s="217"/>
      <c r="P77" s="218"/>
      <c r="S77" s="152"/>
      <c r="T77" s="152"/>
    </row>
    <row r="78" spans="2:20" ht="15" customHeight="1" thickTop="1" x14ac:dyDescent="0.25">
      <c r="B78" s="535" t="s">
        <v>114</v>
      </c>
      <c r="C78" s="536"/>
      <c r="D78" s="536"/>
      <c r="E78" s="536"/>
      <c r="F78" s="537"/>
      <c r="G78" s="542"/>
      <c r="H78" s="544" t="s">
        <v>164</v>
      </c>
      <c r="I78" s="545"/>
      <c r="J78" s="550" t="s">
        <v>175</v>
      </c>
      <c r="K78" s="550"/>
      <c r="L78" s="128">
        <v>45118</v>
      </c>
      <c r="M78" s="103" t="s">
        <v>56</v>
      </c>
      <c r="N78" s="103"/>
      <c r="O78" s="104"/>
      <c r="P78" s="103"/>
    </row>
    <row r="79" spans="2:20" ht="15" customHeight="1" x14ac:dyDescent="0.25">
      <c r="B79" s="538"/>
      <c r="C79" s="536"/>
      <c r="D79" s="536"/>
      <c r="E79" s="536"/>
      <c r="F79" s="537"/>
      <c r="G79" s="542"/>
      <c r="H79" s="546"/>
      <c r="I79" s="547"/>
      <c r="J79" s="550" t="s">
        <v>172</v>
      </c>
      <c r="K79" s="550"/>
      <c r="L79" s="129">
        <v>44702</v>
      </c>
      <c r="M79" s="4" t="s">
        <v>56</v>
      </c>
      <c r="N79" s="4"/>
      <c r="O79" s="102"/>
      <c r="P79" s="4"/>
    </row>
    <row r="80" spans="2:20" ht="15" customHeight="1" x14ac:dyDescent="0.25">
      <c r="B80" s="538"/>
      <c r="C80" s="536"/>
      <c r="D80" s="536"/>
      <c r="E80" s="536"/>
      <c r="F80" s="537"/>
      <c r="G80" s="542"/>
      <c r="H80" s="546"/>
      <c r="I80" s="547"/>
      <c r="J80" s="550" t="s">
        <v>171</v>
      </c>
      <c r="K80" s="550"/>
      <c r="L80" s="129">
        <v>44314</v>
      </c>
      <c r="M80" s="4" t="s">
        <v>56</v>
      </c>
      <c r="N80" s="4">
        <v>3</v>
      </c>
      <c r="O80" s="102">
        <f>+L78</f>
        <v>45118</v>
      </c>
      <c r="P80" s="4" t="s">
        <v>58</v>
      </c>
    </row>
    <row r="81" spans="2:16" ht="15" customHeight="1" x14ac:dyDescent="0.25">
      <c r="B81" s="538"/>
      <c r="C81" s="536"/>
      <c r="D81" s="536"/>
      <c r="E81" s="536"/>
      <c r="F81" s="537"/>
      <c r="G81" s="542"/>
      <c r="H81" s="546"/>
      <c r="I81" s="547"/>
      <c r="J81" s="550" t="s">
        <v>170</v>
      </c>
      <c r="K81" s="550"/>
      <c r="L81" s="129">
        <v>44147</v>
      </c>
      <c r="M81" s="4" t="s">
        <v>56</v>
      </c>
      <c r="N81" s="4">
        <v>2</v>
      </c>
      <c r="O81" s="102">
        <v>44702</v>
      </c>
      <c r="P81" s="4" t="s">
        <v>174</v>
      </c>
    </row>
    <row r="82" spans="2:16" ht="15" customHeight="1" x14ac:dyDescent="0.25">
      <c r="B82" s="538"/>
      <c r="C82" s="536"/>
      <c r="D82" s="536"/>
      <c r="E82" s="536"/>
      <c r="F82" s="537"/>
      <c r="G82" s="542"/>
      <c r="H82" s="546"/>
      <c r="I82" s="547"/>
      <c r="J82" s="550" t="s">
        <v>113</v>
      </c>
      <c r="K82" s="550"/>
      <c r="L82" s="129">
        <v>45113</v>
      </c>
      <c r="M82" s="4" t="s">
        <v>173</v>
      </c>
      <c r="N82" s="4">
        <v>1</v>
      </c>
      <c r="O82" s="102">
        <v>44314</v>
      </c>
      <c r="P82" s="4" t="s">
        <v>58</v>
      </c>
    </row>
    <row r="83" spans="2:16" s="3" customFormat="1" ht="15" customHeight="1" x14ac:dyDescent="0.25">
      <c r="B83" s="539"/>
      <c r="C83" s="540"/>
      <c r="D83" s="540"/>
      <c r="E83" s="540"/>
      <c r="F83" s="541"/>
      <c r="G83" s="543"/>
      <c r="H83" s="548"/>
      <c r="I83" s="549"/>
      <c r="J83" s="534" t="s">
        <v>111</v>
      </c>
      <c r="K83" s="534"/>
      <c r="L83" s="18" t="s">
        <v>5</v>
      </c>
      <c r="M83" s="18" t="s">
        <v>108</v>
      </c>
      <c r="N83" s="18" t="s">
        <v>109</v>
      </c>
      <c r="O83" s="18" t="s">
        <v>110</v>
      </c>
      <c r="P83" s="18" t="s">
        <v>108</v>
      </c>
    </row>
  </sheetData>
  <mergeCells count="75">
    <mergeCell ref="E39:J39"/>
    <mergeCell ref="E40:J40"/>
    <mergeCell ref="N39:N40"/>
    <mergeCell ref="C39:D39"/>
    <mergeCell ref="C40:D40"/>
    <mergeCell ref="K39:K40"/>
    <mergeCell ref="L39:L40"/>
    <mergeCell ref="M39:M40"/>
    <mergeCell ref="C72:D73"/>
    <mergeCell ref="J72:J73"/>
    <mergeCell ref="I72:I73"/>
    <mergeCell ref="H72:H73"/>
    <mergeCell ref="G72:G73"/>
    <mergeCell ref="F72:F73"/>
    <mergeCell ref="E72:E73"/>
    <mergeCell ref="C23:E23"/>
    <mergeCell ref="C22:E22"/>
    <mergeCell ref="B26:E26"/>
    <mergeCell ref="G26:I26"/>
    <mergeCell ref="C25:E25"/>
    <mergeCell ref="C24:E24"/>
    <mergeCell ref="C38:D38"/>
    <mergeCell ref="C30:F30"/>
    <mergeCell ref="H30"/>
    <mergeCell ref="C31:F31"/>
    <mergeCell ref="H31"/>
    <mergeCell ref="C32:F32"/>
    <mergeCell ref="B33:G33"/>
    <mergeCell ref="B35:P36"/>
    <mergeCell ref="E38:J38"/>
    <mergeCell ref="B3:I6"/>
    <mergeCell ref="M3:P5"/>
    <mergeCell ref="B10:D10"/>
    <mergeCell ref="M10:N10"/>
    <mergeCell ref="O10:P10"/>
    <mergeCell ref="C75:D75"/>
    <mergeCell ref="C74:D74"/>
    <mergeCell ref="J83:K83"/>
    <mergeCell ref="B78:F83"/>
    <mergeCell ref="G78:G83"/>
    <mergeCell ref="H78:I83"/>
    <mergeCell ref="J78:K78"/>
    <mergeCell ref="J79:K79"/>
    <mergeCell ref="J80:K80"/>
    <mergeCell ref="J81:K81"/>
    <mergeCell ref="J82:K82"/>
    <mergeCell ref="L72:L73"/>
    <mergeCell ref="Q67:Q68"/>
    <mergeCell ref="O67:P68"/>
    <mergeCell ref="K67:L68"/>
    <mergeCell ref="B67:B68"/>
    <mergeCell ref="C67:F67"/>
    <mergeCell ref="M67:N68"/>
    <mergeCell ref="O72:P72"/>
    <mergeCell ref="K69:L69"/>
    <mergeCell ref="G67:J68"/>
    <mergeCell ref="G69:J69"/>
    <mergeCell ref="E68:F68"/>
    <mergeCell ref="C68:D68"/>
    <mergeCell ref="K72:K73"/>
    <mergeCell ref="C69:D69"/>
    <mergeCell ref="E69:F69"/>
    <mergeCell ref="H48:I48"/>
    <mergeCell ref="B62:G62"/>
    <mergeCell ref="C61:E61"/>
    <mergeCell ref="C48:E48"/>
    <mergeCell ref="B50:G50"/>
    <mergeCell ref="C58:E58"/>
    <mergeCell ref="C49:E49"/>
    <mergeCell ref="H53:I53"/>
    <mergeCell ref="C60:E60"/>
    <mergeCell ref="H60:I60"/>
    <mergeCell ref="C54:E54"/>
    <mergeCell ref="C59:E59"/>
    <mergeCell ref="C53:E53"/>
  </mergeCells>
  <printOptions horizontalCentered="1" verticalCentered="1"/>
  <pageMargins left="0" right="0" top="0" bottom="0" header="0" footer="0"/>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AB56"/>
  <sheetViews>
    <sheetView showGridLines="0" view="pageBreakPreview" topLeftCell="A26" zoomScale="80" zoomScaleNormal="80" zoomScaleSheetLayoutView="80" workbookViewId="0">
      <selection activeCell="I20" sqref="I20:J20"/>
    </sheetView>
  </sheetViews>
  <sheetFormatPr defaultRowHeight="15" x14ac:dyDescent="0.25"/>
  <cols>
    <col min="1" max="1" width="1.7109375" style="1" customWidth="1"/>
    <col min="2" max="2" width="6.7109375" style="1" customWidth="1"/>
    <col min="3" max="3" width="15.7109375" style="2" customWidth="1"/>
    <col min="4" max="5" width="2.7109375" style="2" customWidth="1"/>
    <col min="6" max="6" width="15.7109375" style="2" customWidth="1"/>
    <col min="7" max="13" width="7.7109375" style="1" customWidth="1"/>
    <col min="14" max="19" width="14.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120</v>
      </c>
    </row>
    <row r="2" spans="2:23" ht="20.100000000000001" customHeight="1" x14ac:dyDescent="0.25">
      <c r="B2" s="89" t="s">
        <v>0</v>
      </c>
      <c r="C2" s="82"/>
      <c r="D2" s="82"/>
      <c r="E2" s="82"/>
      <c r="F2" s="82"/>
      <c r="G2" s="90"/>
      <c r="H2" s="90"/>
      <c r="I2" s="90"/>
      <c r="J2" s="90"/>
      <c r="K2" s="91" t="s">
        <v>62</v>
      </c>
      <c r="L2" s="92" t="s">
        <v>63</v>
      </c>
      <c r="M2" s="93"/>
      <c r="N2" s="93" t="s">
        <v>168</v>
      </c>
      <c r="O2" s="93"/>
      <c r="P2" s="93"/>
      <c r="Q2" s="94"/>
      <c r="R2" s="4" t="s">
        <v>68</v>
      </c>
      <c r="S2" s="4" t="s">
        <v>67</v>
      </c>
      <c r="T2" s="333" t="s">
        <v>55</v>
      </c>
      <c r="U2" s="334"/>
      <c r="V2" s="333" t="s">
        <v>54</v>
      </c>
      <c r="W2" s="334"/>
    </row>
    <row r="3" spans="2:23" ht="20.100000000000001" customHeight="1" x14ac:dyDescent="0.25">
      <c r="B3" s="711" t="s">
        <v>169</v>
      </c>
      <c r="C3" s="712"/>
      <c r="D3" s="712"/>
      <c r="E3" s="712"/>
      <c r="F3" s="712"/>
      <c r="G3" s="712"/>
      <c r="H3" s="712"/>
      <c r="I3" s="712"/>
      <c r="J3" s="712"/>
      <c r="K3" s="713"/>
      <c r="L3" s="95" t="s">
        <v>5</v>
      </c>
      <c r="M3" s="96"/>
      <c r="N3" s="96" t="s">
        <v>191</v>
      </c>
      <c r="O3" s="96"/>
      <c r="P3" s="96"/>
      <c r="Q3" s="97"/>
      <c r="R3" s="346" t="s">
        <v>162</v>
      </c>
      <c r="S3" s="347"/>
      <c r="T3" s="347"/>
      <c r="U3" s="347"/>
      <c r="V3" s="347"/>
      <c r="W3" s="348"/>
    </row>
    <row r="4" spans="2:23" ht="20.100000000000001" customHeight="1" x14ac:dyDescent="0.25">
      <c r="B4" s="714"/>
      <c r="C4" s="715"/>
      <c r="D4" s="715"/>
      <c r="E4" s="715"/>
      <c r="F4" s="715"/>
      <c r="G4" s="715"/>
      <c r="H4" s="715"/>
      <c r="I4" s="715"/>
      <c r="J4" s="715"/>
      <c r="K4" s="716"/>
      <c r="L4" s="95" t="s">
        <v>64</v>
      </c>
      <c r="M4" s="96"/>
      <c r="N4" s="96" t="s">
        <v>167</v>
      </c>
      <c r="O4" s="96"/>
      <c r="P4" s="96"/>
      <c r="Q4" s="97"/>
      <c r="R4" s="349"/>
      <c r="S4" s="350"/>
      <c r="T4" s="350"/>
      <c r="U4" s="350"/>
      <c r="V4" s="350"/>
      <c r="W4" s="351"/>
    </row>
    <row r="5" spans="2:23" ht="20.100000000000001" customHeight="1" x14ac:dyDescent="0.25">
      <c r="B5" s="714"/>
      <c r="C5" s="715"/>
      <c r="D5" s="715"/>
      <c r="E5" s="715"/>
      <c r="F5" s="715"/>
      <c r="G5" s="715"/>
      <c r="H5" s="715"/>
      <c r="I5" s="715"/>
      <c r="J5" s="715"/>
      <c r="K5" s="716"/>
      <c r="L5" s="95" t="s">
        <v>163</v>
      </c>
      <c r="M5" s="96"/>
      <c r="N5" s="96" t="s">
        <v>166</v>
      </c>
      <c r="O5" s="96"/>
      <c r="P5" s="96"/>
      <c r="Q5" s="97"/>
      <c r="R5" s="352"/>
      <c r="S5" s="353"/>
      <c r="T5" s="353"/>
      <c r="U5" s="353"/>
      <c r="V5" s="353"/>
      <c r="W5" s="354"/>
    </row>
    <row r="6" spans="2:23" ht="20.100000000000001" customHeight="1" x14ac:dyDescent="0.25">
      <c r="B6" s="717"/>
      <c r="C6" s="718"/>
      <c r="D6" s="718"/>
      <c r="E6" s="718"/>
      <c r="F6" s="718"/>
      <c r="G6" s="718"/>
      <c r="H6" s="718"/>
      <c r="I6" s="718"/>
      <c r="J6" s="718"/>
      <c r="K6" s="719"/>
      <c r="L6" s="98" t="s">
        <v>66</v>
      </c>
      <c r="M6" s="99"/>
      <c r="N6" s="99" t="s">
        <v>192</v>
      </c>
      <c r="O6" s="99"/>
      <c r="P6" s="99"/>
      <c r="Q6" s="100"/>
      <c r="R6" s="4" t="s">
        <v>69</v>
      </c>
      <c r="S6" s="4" t="s">
        <v>58</v>
      </c>
      <c r="T6" s="333" t="s">
        <v>57</v>
      </c>
      <c r="U6" s="334"/>
      <c r="V6" s="333" t="s">
        <v>56</v>
      </c>
      <c r="W6" s="334"/>
    </row>
    <row r="7" spans="2:23" s="234" customFormat="1" ht="15" customHeight="1" x14ac:dyDescent="0.3">
      <c r="B7" s="231"/>
      <c r="C7" s="232"/>
      <c r="D7" s="232"/>
      <c r="E7" s="232"/>
      <c r="F7" s="233"/>
      <c r="G7" s="233"/>
      <c r="H7" s="233"/>
      <c r="I7" s="233"/>
      <c r="W7" s="235"/>
    </row>
    <row r="8" spans="2:23" s="234" customFormat="1" ht="15" customHeight="1" x14ac:dyDescent="0.3">
      <c r="B8" s="231"/>
      <c r="C8" s="232"/>
      <c r="D8" s="232"/>
      <c r="E8" s="232"/>
      <c r="F8" s="232"/>
      <c r="G8" s="232"/>
      <c r="H8" s="232"/>
      <c r="I8" s="232"/>
      <c r="W8" s="235"/>
    </row>
    <row r="9" spans="2:23" s="241" customFormat="1" ht="39.950000000000003" customHeight="1" x14ac:dyDescent="0.35">
      <c r="B9" s="236" t="s">
        <v>8</v>
      </c>
      <c r="C9" s="237"/>
      <c r="D9" s="237"/>
      <c r="E9" s="237"/>
      <c r="F9" s="237"/>
      <c r="G9" s="237"/>
      <c r="H9" s="237"/>
      <c r="I9" s="238" t="str">
        <f>+'TAHAP 1'!G8</f>
        <v>: SUAI</v>
      </c>
      <c r="J9" s="237"/>
      <c r="K9" s="237"/>
      <c r="L9" s="237"/>
      <c r="M9" s="237"/>
      <c r="N9" s="237"/>
      <c r="O9" s="237"/>
      <c r="P9" s="239"/>
      <c r="Q9" s="239"/>
      <c r="R9" s="239"/>
      <c r="S9" s="239"/>
      <c r="T9" s="239"/>
      <c r="U9" s="239"/>
      <c r="V9" s="239"/>
      <c r="W9" s="240"/>
    </row>
    <row r="10" spans="2:23" s="241" customFormat="1" ht="39.950000000000003" customHeight="1" x14ac:dyDescent="0.35">
      <c r="B10" s="290" t="s">
        <v>9</v>
      </c>
      <c r="C10" s="242"/>
      <c r="D10" s="242"/>
      <c r="E10" s="242"/>
      <c r="F10" s="242"/>
      <c r="G10" s="242"/>
      <c r="H10" s="242"/>
      <c r="I10" s="238" t="str">
        <f>+'TAHAP 1'!G9</f>
        <v>: PENGECEKAN RULE DUMMY CHECK</v>
      </c>
      <c r="J10" s="242"/>
      <c r="K10" s="242"/>
      <c r="L10" s="242"/>
      <c r="M10" s="242"/>
      <c r="N10" s="242"/>
      <c r="O10" s="242"/>
      <c r="P10" s="239"/>
      <c r="Q10" s="239"/>
      <c r="R10" s="239"/>
      <c r="S10" s="239"/>
      <c r="T10" s="239"/>
      <c r="U10" s="239"/>
      <c r="V10" s="239"/>
      <c r="W10" s="240"/>
    </row>
    <row r="11" spans="2:23" s="245" customFormat="1" ht="20.100000000000001" customHeight="1" x14ac:dyDescent="0.25">
      <c r="B11" s="243"/>
      <c r="C11" s="244"/>
      <c r="D11" s="244"/>
      <c r="E11" s="244"/>
      <c r="F11" s="244"/>
      <c r="N11" s="246"/>
      <c r="O11" s="246"/>
      <c r="P11" s="246"/>
      <c r="Q11" s="246"/>
      <c r="R11" s="246"/>
      <c r="S11" s="246"/>
      <c r="T11" s="246"/>
      <c r="U11" s="246"/>
      <c r="V11" s="246"/>
      <c r="W11" s="247"/>
    </row>
    <row r="12" spans="2:23" s="245" customFormat="1" ht="20.100000000000001" customHeight="1" x14ac:dyDescent="0.25">
      <c r="B12" s="243"/>
      <c r="C12" s="244"/>
      <c r="D12" s="244"/>
      <c r="E12" s="244"/>
      <c r="F12" s="244"/>
      <c r="N12" s="246"/>
      <c r="O12" s="246"/>
      <c r="P12" s="246"/>
      <c r="Q12" s="246"/>
      <c r="R12" s="246"/>
      <c r="S12" s="246"/>
      <c r="T12" s="246"/>
      <c r="U12" s="246"/>
      <c r="V12" s="246"/>
      <c r="W12" s="247"/>
    </row>
    <row r="13" spans="2:23" s="245" customFormat="1" ht="20.100000000000001" customHeight="1" x14ac:dyDescent="0.25">
      <c r="B13" s="243"/>
      <c r="C13" s="244"/>
      <c r="D13" s="244"/>
      <c r="E13" s="244"/>
      <c r="F13" s="244"/>
      <c r="N13" s="246"/>
      <c r="O13" s="246"/>
      <c r="P13" s="246"/>
      <c r="Q13" s="246"/>
      <c r="R13" s="246"/>
      <c r="S13" s="246"/>
      <c r="T13" s="246"/>
      <c r="U13" s="246"/>
      <c r="V13" s="246"/>
      <c r="W13" s="247"/>
    </row>
    <row r="14" spans="2:23" s="246" customFormat="1" ht="24.95" customHeight="1" x14ac:dyDescent="0.25">
      <c r="B14" s="248" t="s">
        <v>181</v>
      </c>
      <c r="C14" s="249"/>
      <c r="D14" s="249"/>
      <c r="E14" s="249"/>
      <c r="F14" s="249"/>
      <c r="W14" s="250"/>
    </row>
    <row r="15" spans="2:23" s="253" customFormat="1" ht="24.95" customHeight="1" x14ac:dyDescent="0.25">
      <c r="B15" s="732" t="s">
        <v>1</v>
      </c>
      <c r="C15" s="735" t="s">
        <v>5</v>
      </c>
      <c r="D15" s="736"/>
      <c r="E15" s="736"/>
      <c r="F15" s="737"/>
      <c r="G15" s="735" t="s">
        <v>4</v>
      </c>
      <c r="H15" s="737"/>
      <c r="I15" s="735" t="s">
        <v>61</v>
      </c>
      <c r="J15" s="737"/>
      <c r="K15" s="726" t="s">
        <v>2</v>
      </c>
      <c r="L15" s="728"/>
      <c r="M15" s="726" t="s">
        <v>3</v>
      </c>
      <c r="N15" s="727"/>
      <c r="O15" s="728"/>
      <c r="P15" s="251">
        <v>1</v>
      </c>
      <c r="Q15" s="251">
        <v>2</v>
      </c>
      <c r="R15" s="251">
        <v>3</v>
      </c>
      <c r="S15" s="251">
        <v>4</v>
      </c>
      <c r="T15" s="703">
        <v>5</v>
      </c>
      <c r="U15" s="704"/>
      <c r="V15" s="252"/>
      <c r="W15" s="702"/>
    </row>
    <row r="16" spans="2:23" s="253" customFormat="1" ht="16.5" customHeight="1" x14ac:dyDescent="0.25">
      <c r="B16" s="733"/>
      <c r="C16" s="625"/>
      <c r="D16" s="626"/>
      <c r="E16" s="626"/>
      <c r="F16" s="627"/>
      <c r="G16" s="625"/>
      <c r="H16" s="627"/>
      <c r="I16" s="625"/>
      <c r="J16" s="627"/>
      <c r="K16" s="622"/>
      <c r="L16" s="624"/>
      <c r="M16" s="622"/>
      <c r="N16" s="623"/>
      <c r="O16" s="624"/>
      <c r="P16" s="662" t="s">
        <v>193</v>
      </c>
      <c r="Q16" s="671" t="s">
        <v>196</v>
      </c>
      <c r="R16" s="671" t="s">
        <v>216</v>
      </c>
      <c r="S16" s="671" t="s">
        <v>182</v>
      </c>
      <c r="T16" s="665" t="s">
        <v>183</v>
      </c>
      <c r="U16" s="666"/>
      <c r="V16" s="252"/>
      <c r="W16" s="702"/>
    </row>
    <row r="17" spans="2:28" s="253" customFormat="1" ht="16.5" customHeight="1" x14ac:dyDescent="0.25">
      <c r="B17" s="733"/>
      <c r="C17" s="625"/>
      <c r="D17" s="626"/>
      <c r="E17" s="626"/>
      <c r="F17" s="627"/>
      <c r="G17" s="625"/>
      <c r="H17" s="627"/>
      <c r="I17" s="625"/>
      <c r="J17" s="627"/>
      <c r="K17" s="622"/>
      <c r="L17" s="624"/>
      <c r="M17" s="622"/>
      <c r="N17" s="623"/>
      <c r="O17" s="624"/>
      <c r="P17" s="663"/>
      <c r="Q17" s="672"/>
      <c r="R17" s="672"/>
      <c r="S17" s="672"/>
      <c r="T17" s="667"/>
      <c r="U17" s="668"/>
      <c r="V17" s="252"/>
      <c r="W17" s="702"/>
    </row>
    <row r="18" spans="2:28" s="253" customFormat="1" ht="17.100000000000001" customHeight="1" x14ac:dyDescent="0.25">
      <c r="B18" s="734"/>
      <c r="C18" s="738"/>
      <c r="D18" s="739"/>
      <c r="E18" s="739"/>
      <c r="F18" s="740"/>
      <c r="G18" s="738"/>
      <c r="H18" s="740"/>
      <c r="I18" s="738"/>
      <c r="J18" s="740"/>
      <c r="K18" s="729"/>
      <c r="L18" s="731"/>
      <c r="M18" s="729"/>
      <c r="N18" s="730"/>
      <c r="O18" s="731"/>
      <c r="P18" s="664"/>
      <c r="Q18" s="673"/>
      <c r="R18" s="673"/>
      <c r="S18" s="673"/>
      <c r="T18" s="669"/>
      <c r="U18" s="670"/>
      <c r="V18" s="252"/>
      <c r="W18" s="702"/>
    </row>
    <row r="19" spans="2:28" s="254" customFormat="1" ht="99.95" customHeight="1" x14ac:dyDescent="0.2">
      <c r="B19" s="291">
        <v>1</v>
      </c>
      <c r="C19" s="255">
        <f>+'TAHAP 1'!C13</f>
        <v>45355</v>
      </c>
      <c r="D19" s="720" t="s">
        <v>6</v>
      </c>
      <c r="E19" s="720"/>
      <c r="F19" s="256">
        <f>+'TAHAP 1'!E13:F13</f>
        <v>45356</v>
      </c>
      <c r="G19" s="721" t="str">
        <f>+'TAHAP 1'!G13:H13</f>
        <v>PGA</v>
      </c>
      <c r="H19" s="722"/>
      <c r="I19" s="721" t="str">
        <f>+'TAHAP 1'!I13:J13</f>
        <v>SM</v>
      </c>
      <c r="J19" s="722"/>
      <c r="K19" s="721">
        <v>25252</v>
      </c>
      <c r="L19" s="722"/>
      <c r="M19" s="723" t="str">
        <f>+'TAHAP 1'!M13</f>
        <v>GONDA KATSUHITO</v>
      </c>
      <c r="N19" s="724"/>
      <c r="O19" s="725"/>
      <c r="P19" s="305" t="s">
        <v>243</v>
      </c>
      <c r="Q19" s="306" t="s">
        <v>7</v>
      </c>
      <c r="R19" s="326" t="s">
        <v>7</v>
      </c>
      <c r="S19" s="307" t="s">
        <v>233</v>
      </c>
      <c r="T19" s="741" t="s">
        <v>185</v>
      </c>
      <c r="U19" s="742"/>
      <c r="V19" s="234"/>
      <c r="W19" s="257"/>
      <c r="Y19" s="258" t="str">
        <f>+G19</f>
        <v>PGA</v>
      </c>
      <c r="Z19" s="258" t="str">
        <f>+I19</f>
        <v>SM</v>
      </c>
      <c r="AA19" s="258">
        <f>+K19</f>
        <v>25252</v>
      </c>
      <c r="AB19" s="258" t="str">
        <f>+M19</f>
        <v>GONDA KATSUHITO</v>
      </c>
    </row>
    <row r="20" spans="2:28" s="254" customFormat="1" ht="99.95" customHeight="1" x14ac:dyDescent="0.2">
      <c r="B20" s="291">
        <v>2</v>
      </c>
      <c r="C20" s="255"/>
      <c r="D20" s="705" t="s">
        <v>6</v>
      </c>
      <c r="E20" s="705"/>
      <c r="F20" s="259"/>
      <c r="G20" s="706"/>
      <c r="H20" s="707"/>
      <c r="I20" s="706"/>
      <c r="J20" s="707"/>
      <c r="K20" s="706"/>
      <c r="L20" s="707"/>
      <c r="M20" s="708"/>
      <c r="N20" s="709"/>
      <c r="O20" s="710"/>
      <c r="P20" s="307"/>
      <c r="Q20" s="307"/>
      <c r="R20" s="325"/>
      <c r="S20" s="325"/>
      <c r="T20" s="327"/>
      <c r="U20" s="328"/>
      <c r="V20" s="234"/>
      <c r="W20" s="257"/>
      <c r="Y20" s="258">
        <f>+G20</f>
        <v>0</v>
      </c>
      <c r="Z20" s="258">
        <f>+I20</f>
        <v>0</v>
      </c>
      <c r="AA20" s="258">
        <f t="shared" ref="AA20" si="0">+K20</f>
        <v>0</v>
      </c>
      <c r="AB20" s="258">
        <f t="shared" ref="AB20" si="1">+M20</f>
        <v>0</v>
      </c>
    </row>
    <row r="21" spans="2:28" s="245" customFormat="1" x14ac:dyDescent="0.25">
      <c r="B21" s="243"/>
      <c r="C21" s="244"/>
      <c r="D21" s="244"/>
      <c r="E21" s="244"/>
      <c r="F21" s="244"/>
      <c r="W21" s="247"/>
    </row>
    <row r="22" spans="2:28" s="245" customFormat="1" x14ac:dyDescent="0.25">
      <c r="B22" s="243"/>
      <c r="C22" s="244"/>
      <c r="D22" s="244"/>
      <c r="E22" s="244"/>
      <c r="F22" s="244"/>
      <c r="W22" s="247"/>
    </row>
    <row r="23" spans="2:28" s="245" customFormat="1" x14ac:dyDescent="0.25">
      <c r="B23" s="243"/>
      <c r="C23" s="244"/>
      <c r="D23" s="244"/>
      <c r="E23" s="244"/>
      <c r="F23" s="244"/>
      <c r="W23" s="247"/>
    </row>
    <row r="24" spans="2:28" s="245" customFormat="1" x14ac:dyDescent="0.25">
      <c r="B24" s="243"/>
      <c r="C24" s="244"/>
      <c r="D24" s="244"/>
      <c r="E24" s="244"/>
      <c r="F24" s="244"/>
      <c r="W24" s="247"/>
    </row>
    <row r="25" spans="2:28" s="249" customFormat="1" ht="27.95" customHeight="1" x14ac:dyDescent="0.25">
      <c r="B25" s="616" t="s">
        <v>186</v>
      </c>
      <c r="C25" s="617"/>
      <c r="D25" s="617"/>
      <c r="E25" s="617"/>
      <c r="F25" s="617"/>
      <c r="G25" s="617"/>
      <c r="H25" s="617"/>
      <c r="I25" s="617"/>
      <c r="J25" s="617"/>
      <c r="K25" s="618"/>
      <c r="L25" s="659" t="s">
        <v>187</v>
      </c>
      <c r="M25" s="660"/>
      <c r="N25" s="661"/>
      <c r="O25" s="659" t="s">
        <v>206</v>
      </c>
      <c r="P25" s="660"/>
      <c r="Q25" s="660"/>
      <c r="R25" s="661"/>
      <c r="S25" s="658" t="s">
        <v>37</v>
      </c>
      <c r="T25" s="658"/>
      <c r="U25" s="658"/>
      <c r="V25" s="658"/>
      <c r="W25" s="260"/>
    </row>
    <row r="26" spans="2:28" s="249" customFormat="1" ht="27.95" customHeight="1" x14ac:dyDescent="0.25">
      <c r="B26" s="616"/>
      <c r="C26" s="617"/>
      <c r="D26" s="617"/>
      <c r="E26" s="617"/>
      <c r="F26" s="617"/>
      <c r="G26" s="617"/>
      <c r="H26" s="617"/>
      <c r="I26" s="617"/>
      <c r="J26" s="617"/>
      <c r="K26" s="618"/>
      <c r="L26" s="312"/>
      <c r="M26" s="313"/>
      <c r="N26" s="314"/>
      <c r="O26" s="593" t="s">
        <v>232</v>
      </c>
      <c r="P26" s="594"/>
      <c r="Q26" s="593" t="s">
        <v>225</v>
      </c>
      <c r="R26" s="594"/>
      <c r="S26" s="603" t="s">
        <v>242</v>
      </c>
      <c r="T26" s="604"/>
      <c r="U26" s="604"/>
      <c r="V26" s="605"/>
      <c r="W26" s="260"/>
    </row>
    <row r="27" spans="2:28" s="249" customFormat="1" ht="27.95" customHeight="1" x14ac:dyDescent="0.25">
      <c r="B27" s="616"/>
      <c r="C27" s="617"/>
      <c r="D27" s="617"/>
      <c r="E27" s="617"/>
      <c r="F27" s="617"/>
      <c r="G27" s="617"/>
      <c r="H27" s="617"/>
      <c r="I27" s="617"/>
      <c r="J27" s="617"/>
      <c r="K27" s="618"/>
      <c r="L27" s="312"/>
      <c r="M27" s="313"/>
      <c r="N27" s="314"/>
      <c r="O27" s="319" t="s">
        <v>215</v>
      </c>
      <c r="P27" s="318">
        <f>+C19</f>
        <v>45355</v>
      </c>
      <c r="Q27" s="599"/>
      <c r="R27" s="600"/>
      <c r="S27" s="599"/>
      <c r="T27" s="606"/>
      <c r="U27" s="606"/>
      <c r="V27" s="600"/>
      <c r="W27" s="260"/>
    </row>
    <row r="28" spans="2:28" s="249" customFormat="1" ht="60" customHeight="1" x14ac:dyDescent="0.25">
      <c r="B28" s="616"/>
      <c r="C28" s="617"/>
      <c r="D28" s="617"/>
      <c r="E28" s="617"/>
      <c r="F28" s="617"/>
      <c r="G28" s="617"/>
      <c r="H28" s="617"/>
      <c r="I28" s="617"/>
      <c r="J28" s="617"/>
      <c r="K28" s="618"/>
      <c r="L28" s="312"/>
      <c r="M28" s="313"/>
      <c r="N28" s="314"/>
      <c r="O28" s="608">
        <f>+'TAPAH 2.2 (Rincian)'!O39</f>
        <v>0</v>
      </c>
      <c r="P28" s="609"/>
      <c r="Q28" s="599"/>
      <c r="R28" s="600"/>
      <c r="S28" s="599"/>
      <c r="T28" s="606"/>
      <c r="U28" s="606"/>
      <c r="V28" s="600"/>
      <c r="W28" s="260"/>
    </row>
    <row r="29" spans="2:28" s="249" customFormat="1" ht="27.95" customHeight="1" x14ac:dyDescent="0.25">
      <c r="B29" s="616"/>
      <c r="C29" s="617"/>
      <c r="D29" s="617"/>
      <c r="E29" s="617"/>
      <c r="F29" s="617"/>
      <c r="G29" s="617"/>
      <c r="H29" s="617"/>
      <c r="I29" s="617"/>
      <c r="J29" s="617"/>
      <c r="K29" s="618"/>
      <c r="L29" s="312"/>
      <c r="M29" s="313"/>
      <c r="N29" s="314"/>
      <c r="O29" s="319" t="s">
        <v>214</v>
      </c>
      <c r="P29" s="318">
        <f>+F19</f>
        <v>45356</v>
      </c>
      <c r="Q29" s="599"/>
      <c r="R29" s="600"/>
      <c r="S29" s="599"/>
      <c r="T29" s="606"/>
      <c r="U29" s="606"/>
      <c r="V29" s="600"/>
      <c r="W29" s="260"/>
    </row>
    <row r="30" spans="2:28" s="249" customFormat="1" ht="60" customHeight="1" x14ac:dyDescent="0.25">
      <c r="B30" s="619"/>
      <c r="C30" s="620"/>
      <c r="D30" s="620"/>
      <c r="E30" s="620"/>
      <c r="F30" s="620"/>
      <c r="G30" s="620"/>
      <c r="H30" s="620"/>
      <c r="I30" s="620"/>
      <c r="J30" s="620"/>
      <c r="K30" s="621"/>
      <c r="L30" s="315"/>
      <c r="M30" s="316"/>
      <c r="N30" s="317"/>
      <c r="O30" s="610">
        <f>+'TAPAH 2.2 (Rincian)'!O40</f>
        <v>0</v>
      </c>
      <c r="P30" s="611"/>
      <c r="Q30" s="601"/>
      <c r="R30" s="602"/>
      <c r="S30" s="601"/>
      <c r="T30" s="607"/>
      <c r="U30" s="607"/>
      <c r="V30" s="602"/>
      <c r="W30" s="260"/>
    </row>
    <row r="31" spans="2:28" s="249" customFormat="1" ht="50.1" customHeight="1" x14ac:dyDescent="0.25">
      <c r="B31" s="261" t="s">
        <v>1</v>
      </c>
      <c r="C31" s="622" t="s">
        <v>3</v>
      </c>
      <c r="D31" s="623"/>
      <c r="E31" s="623"/>
      <c r="F31" s="624"/>
      <c r="G31" s="261" t="s">
        <v>2</v>
      </c>
      <c r="H31" s="625" t="s">
        <v>161</v>
      </c>
      <c r="I31" s="626"/>
      <c r="J31" s="626"/>
      <c r="K31" s="627"/>
      <c r="L31" s="628" t="s">
        <v>188</v>
      </c>
      <c r="M31" s="629"/>
      <c r="N31" s="262" t="s">
        <v>197</v>
      </c>
      <c r="O31" s="263" t="s">
        <v>189</v>
      </c>
      <c r="P31" s="263" t="s">
        <v>197</v>
      </c>
      <c r="Q31" s="263" t="s">
        <v>189</v>
      </c>
      <c r="R31" s="263" t="s">
        <v>197</v>
      </c>
      <c r="S31" s="311" t="s">
        <v>189</v>
      </c>
      <c r="T31" s="598" t="s">
        <v>197</v>
      </c>
      <c r="U31" s="598"/>
      <c r="V31" s="598"/>
      <c r="W31" s="260" t="s">
        <v>208</v>
      </c>
    </row>
    <row r="32" spans="2:28" s="264" customFormat="1" ht="50.1" customHeight="1" x14ac:dyDescent="0.25">
      <c r="B32" s="265">
        <f>+'TAPAH 2.2 (Rincian)'!B31</f>
        <v>1</v>
      </c>
      <c r="C32" s="266" t="str">
        <f>+'TAPAH 2.2 (Rincian)'!C31:F31</f>
        <v>GONDA KATSUHITO</v>
      </c>
      <c r="D32" s="267"/>
      <c r="E32" s="267"/>
      <c r="F32" s="268"/>
      <c r="G32" s="265">
        <f>+'TAHAP 1'!K13</f>
        <v>25252</v>
      </c>
      <c r="H32" s="631"/>
      <c r="I32" s="632"/>
      <c r="J32" s="632"/>
      <c r="K32" s="633"/>
      <c r="L32" s="614">
        <f>+'TAPAH 2.2 (Rincian)'!H31</f>
        <v>182500</v>
      </c>
      <c r="M32" s="615"/>
      <c r="N32" s="269"/>
      <c r="O32" s="270">
        <v>0</v>
      </c>
      <c r="P32" s="320"/>
      <c r="Q32" s="270">
        <f>+'TAPAH 2.2 (Rincian)'!F61</f>
        <v>0</v>
      </c>
      <c r="R32" s="320"/>
      <c r="S32" s="270"/>
      <c r="T32" s="597" t="s">
        <v>7</v>
      </c>
      <c r="U32" s="597"/>
      <c r="V32" s="597"/>
      <c r="W32" s="271"/>
    </row>
    <row r="33" spans="2:23" s="264" customFormat="1" ht="50.1" customHeight="1" thickBot="1" x14ac:dyDescent="0.3">
      <c r="B33" s="272">
        <v>2</v>
      </c>
      <c r="C33" s="273">
        <f>+'TAPAH 2.2 (Rincian)'!C32:F32</f>
        <v>0</v>
      </c>
      <c r="D33" s="294"/>
      <c r="E33" s="294"/>
      <c r="F33" s="295"/>
      <c r="G33" s="272">
        <f>+'TAHAP 1'!K14</f>
        <v>0</v>
      </c>
      <c r="H33" s="274"/>
      <c r="I33" s="275"/>
      <c r="J33" s="275"/>
      <c r="K33" s="276"/>
      <c r="L33" s="612">
        <f>+'TAPAH 2.2 (Rincian)'!H32</f>
        <v>0</v>
      </c>
      <c r="M33" s="613"/>
      <c r="N33" s="277"/>
      <c r="O33" s="310">
        <f>+'TAPAH 2.2 (Rincian)'!K40+'TAPAH 2.2 (Rincian)'!K39</f>
        <v>0</v>
      </c>
      <c r="P33" s="321"/>
      <c r="Q33" s="310">
        <f>+'TAPAH 2.2 (Rincian)'!F61</f>
        <v>0</v>
      </c>
      <c r="R33" s="321"/>
      <c r="S33" s="300">
        <f>+'TAPAH 2.2 (Rincian)'!I75</f>
        <v>0</v>
      </c>
      <c r="T33" s="596" t="s">
        <v>7</v>
      </c>
      <c r="U33" s="596"/>
      <c r="V33" s="596"/>
      <c r="W33" s="271"/>
    </row>
    <row r="34" spans="2:23" s="249" customFormat="1" ht="35.1" customHeight="1" thickTop="1" x14ac:dyDescent="0.25">
      <c r="B34" s="630" t="s">
        <v>180</v>
      </c>
      <c r="C34" s="630"/>
      <c r="D34" s="630"/>
      <c r="E34" s="630"/>
      <c r="F34" s="630"/>
      <c r="G34" s="630"/>
      <c r="H34" s="630"/>
      <c r="I34" s="630"/>
      <c r="J34" s="630"/>
      <c r="K34" s="630"/>
      <c r="L34" s="595">
        <f>SUM(L32:M33)</f>
        <v>182500</v>
      </c>
      <c r="M34" s="595"/>
      <c r="N34" s="595"/>
      <c r="O34" s="595">
        <f>SUM(O32:O33)</f>
        <v>0</v>
      </c>
      <c r="P34" s="595"/>
      <c r="Q34" s="595">
        <f>SUM(Q32:Q33)</f>
        <v>0</v>
      </c>
      <c r="R34" s="595"/>
      <c r="S34" s="595">
        <f>SUM(S32:S33)</f>
        <v>0</v>
      </c>
      <c r="T34" s="595"/>
      <c r="U34" s="595"/>
      <c r="V34" s="595"/>
      <c r="W34" s="260"/>
    </row>
    <row r="35" spans="2:23" s="264" customFormat="1" ht="45" customHeight="1" x14ac:dyDescent="0.25">
      <c r="B35" s="634" t="s">
        <v>12</v>
      </c>
      <c r="C35" s="634"/>
      <c r="D35" s="634"/>
      <c r="E35" s="634"/>
      <c r="F35" s="634"/>
      <c r="G35" s="634"/>
      <c r="H35" s="634"/>
      <c r="I35" s="634"/>
      <c r="J35" s="634"/>
      <c r="K35" s="634"/>
      <c r="L35" s="683">
        <f>SUM(L34:V34)</f>
        <v>182500</v>
      </c>
      <c r="M35" s="683"/>
      <c r="N35" s="683"/>
      <c r="O35" s="683"/>
      <c r="P35" s="683"/>
      <c r="Q35" s="683"/>
      <c r="R35" s="683"/>
      <c r="S35" s="683"/>
      <c r="T35" s="683"/>
      <c r="U35" s="683"/>
      <c r="V35" s="683"/>
      <c r="W35" s="271"/>
    </row>
    <row r="36" spans="2:23" s="245" customFormat="1" ht="20.100000000000001" customHeight="1" x14ac:dyDescent="0.25">
      <c r="B36" s="243"/>
      <c r="C36" s="244"/>
      <c r="D36" s="244"/>
      <c r="E36" s="244"/>
      <c r="F36" s="244"/>
      <c r="W36" s="247"/>
    </row>
    <row r="37" spans="2:23" s="245" customFormat="1" ht="20.100000000000001" customHeight="1" x14ac:dyDescent="0.25">
      <c r="B37" s="674" t="s">
        <v>218</v>
      </c>
      <c r="C37" s="675"/>
      <c r="D37" s="675"/>
      <c r="E37" s="675"/>
      <c r="F37" s="675"/>
      <c r="G37" s="675"/>
      <c r="H37" s="675"/>
      <c r="I37" s="675"/>
      <c r="J37" s="675"/>
      <c r="K37" s="675"/>
      <c r="L37" s="675"/>
      <c r="M37" s="675"/>
      <c r="N37" s="675"/>
      <c r="O37" s="675"/>
      <c r="P37" s="675"/>
      <c r="Q37" s="675"/>
      <c r="R37" s="676"/>
      <c r="S37" s="278"/>
      <c r="T37" s="684" t="s">
        <v>217</v>
      </c>
      <c r="U37" s="685"/>
      <c r="V37" s="686"/>
      <c r="W37" s="247"/>
    </row>
    <row r="38" spans="2:23" s="245" customFormat="1" ht="20.100000000000001" customHeight="1" x14ac:dyDescent="0.25">
      <c r="B38" s="677"/>
      <c r="C38" s="678"/>
      <c r="D38" s="678"/>
      <c r="E38" s="678"/>
      <c r="F38" s="678"/>
      <c r="G38" s="678"/>
      <c r="H38" s="678"/>
      <c r="I38" s="678"/>
      <c r="J38" s="678"/>
      <c r="K38" s="678"/>
      <c r="L38" s="678"/>
      <c r="M38" s="678"/>
      <c r="N38" s="678"/>
      <c r="O38" s="678"/>
      <c r="P38" s="678"/>
      <c r="Q38" s="678"/>
      <c r="R38" s="679"/>
      <c r="S38" s="278"/>
      <c r="T38" s="687"/>
      <c r="U38" s="688"/>
      <c r="V38" s="689"/>
      <c r="W38" s="247"/>
    </row>
    <row r="39" spans="2:23" s="245" customFormat="1" ht="20.100000000000001" customHeight="1" x14ac:dyDescent="0.25">
      <c r="B39" s="677"/>
      <c r="C39" s="678"/>
      <c r="D39" s="678"/>
      <c r="E39" s="678"/>
      <c r="F39" s="678"/>
      <c r="G39" s="678"/>
      <c r="H39" s="678"/>
      <c r="I39" s="678"/>
      <c r="J39" s="678"/>
      <c r="K39" s="678"/>
      <c r="L39" s="678"/>
      <c r="M39" s="678"/>
      <c r="N39" s="678"/>
      <c r="O39" s="678"/>
      <c r="P39" s="678"/>
      <c r="Q39" s="678"/>
      <c r="R39" s="679"/>
      <c r="S39" s="278"/>
      <c r="T39" s="690"/>
      <c r="U39" s="691"/>
      <c r="V39" s="692"/>
      <c r="W39" s="247"/>
    </row>
    <row r="40" spans="2:23" s="245" customFormat="1" ht="20.100000000000001" customHeight="1" x14ac:dyDescent="0.25">
      <c r="B40" s="677"/>
      <c r="C40" s="678"/>
      <c r="D40" s="678"/>
      <c r="E40" s="678"/>
      <c r="F40" s="678"/>
      <c r="G40" s="678"/>
      <c r="H40" s="678"/>
      <c r="I40" s="678"/>
      <c r="J40" s="678"/>
      <c r="K40" s="678"/>
      <c r="L40" s="678"/>
      <c r="M40" s="678"/>
      <c r="N40" s="678"/>
      <c r="O40" s="678"/>
      <c r="P40" s="678"/>
      <c r="Q40" s="678"/>
      <c r="R40" s="679"/>
      <c r="S40" s="278"/>
      <c r="T40" s="693" t="s">
        <v>184</v>
      </c>
      <c r="U40" s="694"/>
      <c r="V40" s="695"/>
      <c r="W40" s="247"/>
    </row>
    <row r="41" spans="2:23" s="246" customFormat="1" ht="20.100000000000001" customHeight="1" x14ac:dyDescent="0.25">
      <c r="B41" s="677"/>
      <c r="C41" s="678"/>
      <c r="D41" s="678"/>
      <c r="E41" s="678"/>
      <c r="F41" s="678"/>
      <c r="G41" s="678"/>
      <c r="H41" s="678"/>
      <c r="I41" s="678"/>
      <c r="J41" s="678"/>
      <c r="K41" s="678"/>
      <c r="L41" s="678"/>
      <c r="M41" s="678"/>
      <c r="N41" s="678"/>
      <c r="O41" s="678"/>
      <c r="P41" s="678"/>
      <c r="Q41" s="678"/>
      <c r="R41" s="679"/>
      <c r="S41" s="278"/>
      <c r="T41" s="696"/>
      <c r="U41" s="697"/>
      <c r="V41" s="698"/>
      <c r="W41" s="250"/>
    </row>
    <row r="42" spans="2:23" s="246" customFormat="1" ht="20.100000000000001" customHeight="1" x14ac:dyDescent="0.25">
      <c r="B42" s="677"/>
      <c r="C42" s="678"/>
      <c r="D42" s="678"/>
      <c r="E42" s="678"/>
      <c r="F42" s="678"/>
      <c r="G42" s="678"/>
      <c r="H42" s="678"/>
      <c r="I42" s="678"/>
      <c r="J42" s="678"/>
      <c r="K42" s="678"/>
      <c r="L42" s="678"/>
      <c r="M42" s="678"/>
      <c r="N42" s="678"/>
      <c r="O42" s="678"/>
      <c r="P42" s="678"/>
      <c r="Q42" s="678"/>
      <c r="R42" s="679"/>
      <c r="S42" s="278"/>
      <c r="T42" s="696"/>
      <c r="U42" s="697"/>
      <c r="V42" s="698"/>
      <c r="W42" s="279"/>
    </row>
    <row r="43" spans="2:23" s="246" customFormat="1" ht="20.100000000000001" customHeight="1" x14ac:dyDescent="0.25">
      <c r="B43" s="680"/>
      <c r="C43" s="681"/>
      <c r="D43" s="681"/>
      <c r="E43" s="681"/>
      <c r="F43" s="681"/>
      <c r="G43" s="681"/>
      <c r="H43" s="681"/>
      <c r="I43" s="681"/>
      <c r="J43" s="681"/>
      <c r="K43" s="681"/>
      <c r="L43" s="681"/>
      <c r="M43" s="681"/>
      <c r="N43" s="681"/>
      <c r="O43" s="681"/>
      <c r="P43" s="681"/>
      <c r="Q43" s="681"/>
      <c r="R43" s="682"/>
      <c r="S43" s="278"/>
      <c r="T43" s="699"/>
      <c r="U43" s="700"/>
      <c r="V43" s="701"/>
      <c r="W43" s="279"/>
    </row>
    <row r="44" spans="2:23" s="246" customFormat="1" ht="15.75" x14ac:dyDescent="0.25">
      <c r="B44" s="280"/>
      <c r="C44" s="281"/>
      <c r="D44" s="281"/>
      <c r="E44" s="281"/>
      <c r="F44" s="281"/>
      <c r="G44" s="281"/>
      <c r="H44" s="281"/>
      <c r="I44" s="281"/>
      <c r="J44" s="281"/>
      <c r="K44" s="281"/>
      <c r="L44" s="281"/>
      <c r="M44" s="281"/>
      <c r="N44" s="281"/>
      <c r="O44" s="281"/>
      <c r="P44" s="281"/>
      <c r="Q44" s="281"/>
      <c r="R44" s="249"/>
      <c r="T44" s="282"/>
      <c r="U44" s="282"/>
      <c r="V44" s="282"/>
      <c r="W44" s="283"/>
    </row>
    <row r="45" spans="2:23" s="246" customFormat="1" ht="15.75" x14ac:dyDescent="0.25">
      <c r="B45" s="280"/>
      <c r="C45" s="281"/>
      <c r="D45" s="281"/>
      <c r="E45" s="281"/>
      <c r="F45" s="281"/>
      <c r="G45" s="281"/>
      <c r="H45" s="281"/>
      <c r="I45" s="281"/>
      <c r="J45" s="281"/>
      <c r="K45" s="281"/>
      <c r="L45" s="281"/>
      <c r="M45" s="281"/>
      <c r="N45" s="281"/>
      <c r="O45" s="281"/>
      <c r="P45" s="281"/>
      <c r="Q45" s="281"/>
      <c r="R45" s="249"/>
      <c r="T45" s="282"/>
      <c r="U45" s="282"/>
      <c r="V45" s="282"/>
      <c r="W45" s="283"/>
    </row>
    <row r="46" spans="2:23" s="246" customFormat="1" ht="15.75" x14ac:dyDescent="0.25">
      <c r="B46" s="280"/>
      <c r="C46" s="281"/>
      <c r="D46" s="281"/>
      <c r="E46" s="281"/>
      <c r="F46" s="281"/>
      <c r="G46" s="281"/>
      <c r="H46" s="281"/>
      <c r="I46" s="281"/>
      <c r="J46" s="281"/>
      <c r="K46" s="281"/>
      <c r="L46" s="281"/>
      <c r="M46" s="281"/>
      <c r="N46" s="281"/>
      <c r="O46" s="281"/>
      <c r="P46" s="281"/>
      <c r="Q46" s="281"/>
      <c r="R46" s="249"/>
      <c r="T46" s="282"/>
      <c r="U46" s="282"/>
      <c r="V46" s="282"/>
      <c r="W46" s="283"/>
    </row>
    <row r="47" spans="2:23" s="246" customFormat="1" ht="15.75" x14ac:dyDescent="0.25">
      <c r="B47" s="280"/>
      <c r="C47" s="281"/>
      <c r="D47" s="281"/>
      <c r="E47" s="281"/>
      <c r="F47" s="281"/>
      <c r="G47" s="281"/>
      <c r="H47" s="281"/>
      <c r="I47" s="281"/>
      <c r="J47" s="281"/>
      <c r="K47" s="281"/>
      <c r="L47" s="281"/>
      <c r="M47" s="281"/>
      <c r="N47" s="281"/>
      <c r="O47" s="281"/>
      <c r="P47" s="281"/>
      <c r="Q47" s="281"/>
      <c r="R47" s="249"/>
      <c r="T47" s="282"/>
      <c r="U47" s="282"/>
      <c r="V47" s="282"/>
      <c r="W47" s="283"/>
    </row>
    <row r="48" spans="2:23" s="246" customFormat="1" ht="16.5" thickBot="1" x14ac:dyDescent="0.3">
      <c r="B48" s="284"/>
      <c r="C48" s="285"/>
      <c r="D48" s="286"/>
      <c r="E48" s="285"/>
      <c r="F48" s="285"/>
      <c r="G48" s="287"/>
      <c r="H48" s="287"/>
      <c r="I48" s="287"/>
      <c r="J48" s="287"/>
      <c r="K48" s="287"/>
      <c r="L48" s="287"/>
      <c r="M48" s="287"/>
      <c r="N48" s="287"/>
      <c r="O48" s="287"/>
      <c r="P48" s="287"/>
      <c r="Q48" s="287"/>
      <c r="R48" s="287"/>
      <c r="S48" s="287"/>
      <c r="T48" s="288"/>
      <c r="U48" s="288"/>
      <c r="V48" s="288"/>
      <c r="W48" s="289"/>
    </row>
    <row r="49" spans="1:24" ht="20.100000000000001" customHeight="1" thickTop="1" x14ac:dyDescent="0.25">
      <c r="B49" s="535" t="s">
        <v>114</v>
      </c>
      <c r="C49" s="536"/>
      <c r="D49" s="536"/>
      <c r="E49" s="536"/>
      <c r="F49" s="537"/>
      <c r="G49" s="542"/>
      <c r="H49" s="638"/>
      <c r="I49" s="546" t="s">
        <v>164</v>
      </c>
      <c r="J49" s="640"/>
      <c r="K49" s="640"/>
      <c r="L49" s="641"/>
      <c r="M49" s="103">
        <v>4</v>
      </c>
      <c r="N49" s="646" t="s">
        <v>175</v>
      </c>
      <c r="O49" s="647"/>
      <c r="P49" s="648"/>
      <c r="Q49" s="128">
        <v>45118</v>
      </c>
      <c r="R49" s="103" t="s">
        <v>56</v>
      </c>
      <c r="S49" s="103"/>
      <c r="T49" s="652"/>
      <c r="U49" s="653"/>
      <c r="V49" s="654"/>
      <c r="W49" s="103"/>
    </row>
    <row r="50" spans="1:24" ht="20.100000000000001" customHeight="1" x14ac:dyDescent="0.25">
      <c r="B50" s="538"/>
      <c r="C50" s="536"/>
      <c r="D50" s="536"/>
      <c r="E50" s="536"/>
      <c r="F50" s="537"/>
      <c r="G50" s="542"/>
      <c r="H50" s="638"/>
      <c r="I50" s="642"/>
      <c r="J50" s="640"/>
      <c r="K50" s="640"/>
      <c r="L50" s="641"/>
      <c r="M50" s="4">
        <v>3</v>
      </c>
      <c r="N50" s="649" t="s">
        <v>172</v>
      </c>
      <c r="O50" s="650"/>
      <c r="P50" s="651"/>
      <c r="Q50" s="129">
        <v>44702</v>
      </c>
      <c r="R50" s="4" t="s">
        <v>56</v>
      </c>
      <c r="S50" s="4"/>
      <c r="T50" s="655"/>
      <c r="U50" s="656"/>
      <c r="V50" s="657"/>
      <c r="W50" s="4"/>
    </row>
    <row r="51" spans="1:24" ht="20.100000000000001" customHeight="1" x14ac:dyDescent="0.25">
      <c r="B51" s="538"/>
      <c r="C51" s="536"/>
      <c r="D51" s="536"/>
      <c r="E51" s="536"/>
      <c r="F51" s="537"/>
      <c r="G51" s="542"/>
      <c r="H51" s="638"/>
      <c r="I51" s="642"/>
      <c r="J51" s="640"/>
      <c r="K51" s="640"/>
      <c r="L51" s="641"/>
      <c r="M51" s="4">
        <v>2</v>
      </c>
      <c r="N51" s="649" t="s">
        <v>171</v>
      </c>
      <c r="O51" s="650"/>
      <c r="P51" s="651"/>
      <c r="Q51" s="129">
        <v>44314</v>
      </c>
      <c r="R51" s="4" t="s">
        <v>56</v>
      </c>
      <c r="S51" s="4">
        <v>3</v>
      </c>
      <c r="T51" s="655">
        <f>+Q49</f>
        <v>45118</v>
      </c>
      <c r="U51" s="656"/>
      <c r="V51" s="657"/>
      <c r="W51" s="4" t="s">
        <v>58</v>
      </c>
    </row>
    <row r="52" spans="1:24" ht="20.100000000000001" customHeight="1" x14ac:dyDescent="0.25">
      <c r="B52" s="538"/>
      <c r="C52" s="536"/>
      <c r="D52" s="536"/>
      <c r="E52" s="536"/>
      <c r="F52" s="537"/>
      <c r="G52" s="542"/>
      <c r="H52" s="638"/>
      <c r="I52" s="642"/>
      <c r="J52" s="640"/>
      <c r="K52" s="640"/>
      <c r="L52" s="641"/>
      <c r="M52" s="4">
        <v>1</v>
      </c>
      <c r="N52" s="649" t="s">
        <v>170</v>
      </c>
      <c r="O52" s="650"/>
      <c r="P52" s="651"/>
      <c r="Q52" s="129">
        <v>44147</v>
      </c>
      <c r="R52" s="4" t="s">
        <v>56</v>
      </c>
      <c r="S52" s="4">
        <v>2</v>
      </c>
      <c r="T52" s="655">
        <v>44702</v>
      </c>
      <c r="U52" s="656"/>
      <c r="V52" s="657"/>
      <c r="W52" s="4" t="s">
        <v>174</v>
      </c>
    </row>
    <row r="53" spans="1:24" ht="20.100000000000001" customHeight="1" x14ac:dyDescent="0.25">
      <c r="B53" s="538"/>
      <c r="C53" s="536"/>
      <c r="D53" s="536"/>
      <c r="E53" s="536"/>
      <c r="F53" s="537"/>
      <c r="G53" s="542"/>
      <c r="H53" s="638"/>
      <c r="I53" s="642"/>
      <c r="J53" s="640"/>
      <c r="K53" s="640"/>
      <c r="L53" s="641"/>
      <c r="M53" s="4">
        <v>0</v>
      </c>
      <c r="N53" s="649" t="s">
        <v>113</v>
      </c>
      <c r="O53" s="650"/>
      <c r="P53" s="651"/>
      <c r="Q53" s="129">
        <v>45113</v>
      </c>
      <c r="R53" s="4" t="s">
        <v>173</v>
      </c>
      <c r="S53" s="4">
        <v>1</v>
      </c>
      <c r="T53" s="655">
        <v>44314</v>
      </c>
      <c r="U53" s="656"/>
      <c r="V53" s="657"/>
      <c r="W53" s="4" t="s">
        <v>58</v>
      </c>
    </row>
    <row r="54" spans="1:24" s="3" customFormat="1" ht="20.100000000000001" customHeight="1" x14ac:dyDescent="0.25">
      <c r="B54" s="539"/>
      <c r="C54" s="540"/>
      <c r="D54" s="540"/>
      <c r="E54" s="540"/>
      <c r="F54" s="541"/>
      <c r="G54" s="543"/>
      <c r="H54" s="639"/>
      <c r="I54" s="643"/>
      <c r="J54" s="644"/>
      <c r="K54" s="644"/>
      <c r="L54" s="645"/>
      <c r="M54" s="18" t="s">
        <v>112</v>
      </c>
      <c r="N54" s="635" t="s">
        <v>111</v>
      </c>
      <c r="O54" s="636"/>
      <c r="P54" s="637"/>
      <c r="Q54" s="130" t="s">
        <v>5</v>
      </c>
      <c r="R54" s="18" t="s">
        <v>108</v>
      </c>
      <c r="S54" s="18" t="s">
        <v>109</v>
      </c>
      <c r="T54" s="471" t="s">
        <v>110</v>
      </c>
      <c r="U54" s="472"/>
      <c r="V54" s="473"/>
      <c r="W54" s="18" t="s">
        <v>108</v>
      </c>
    </row>
    <row r="55" spans="1:24" s="13" customFormat="1" ht="16.5" thickBot="1" x14ac:dyDescent="0.3">
      <c r="A55" s="86"/>
      <c r="B55" s="86"/>
      <c r="C55" s="87"/>
      <c r="D55" s="87"/>
      <c r="E55" s="87"/>
      <c r="F55" s="87"/>
      <c r="G55" s="86"/>
      <c r="H55" s="86"/>
      <c r="I55" s="86"/>
      <c r="J55" s="86"/>
      <c r="K55" s="86"/>
      <c r="L55" s="86"/>
      <c r="M55" s="86"/>
      <c r="N55" s="86"/>
      <c r="O55" s="86"/>
      <c r="P55" s="86"/>
      <c r="Q55" s="86"/>
      <c r="R55" s="86"/>
      <c r="S55" s="86"/>
      <c r="T55" s="86"/>
      <c r="U55" s="86"/>
      <c r="V55" s="86"/>
      <c r="W55" s="86"/>
      <c r="X55" s="86"/>
    </row>
    <row r="56" spans="1:24" ht="15.75" thickTop="1" x14ac:dyDescent="0.25">
      <c r="W56" s="101"/>
    </row>
  </sheetData>
  <mergeCells count="74">
    <mergeCell ref="B3:K6"/>
    <mergeCell ref="R3:W5"/>
    <mergeCell ref="D19:E19"/>
    <mergeCell ref="G19:H19"/>
    <mergeCell ref="I19:J19"/>
    <mergeCell ref="K19:L19"/>
    <mergeCell ref="M19:O19"/>
    <mergeCell ref="M15:O18"/>
    <mergeCell ref="B15:B18"/>
    <mergeCell ref="C15:F18"/>
    <mergeCell ref="G15:H18"/>
    <mergeCell ref="I15:J18"/>
    <mergeCell ref="K15:L18"/>
    <mergeCell ref="T19:U19"/>
    <mergeCell ref="B37:R43"/>
    <mergeCell ref="L35:V35"/>
    <mergeCell ref="T37:V39"/>
    <mergeCell ref="T40:V43"/>
    <mergeCell ref="V2:W2"/>
    <mergeCell ref="V6:W6"/>
    <mergeCell ref="T6:U6"/>
    <mergeCell ref="T2:U2"/>
    <mergeCell ref="W15:W18"/>
    <mergeCell ref="T15:U15"/>
    <mergeCell ref="D20:E20"/>
    <mergeCell ref="G20:H20"/>
    <mergeCell ref="I20:J20"/>
    <mergeCell ref="K20:L20"/>
    <mergeCell ref="M20:O20"/>
    <mergeCell ref="L25:N25"/>
    <mergeCell ref="S25:V25"/>
    <mergeCell ref="O25:R25"/>
    <mergeCell ref="P16:P18"/>
    <mergeCell ref="T16:U18"/>
    <mergeCell ref="S16:S18"/>
    <mergeCell ref="R16:R18"/>
    <mergeCell ref="Q16:Q18"/>
    <mergeCell ref="B35:K35"/>
    <mergeCell ref="T54:V54"/>
    <mergeCell ref="N54:P54"/>
    <mergeCell ref="B49:F54"/>
    <mergeCell ref="G49:H54"/>
    <mergeCell ref="I49:L54"/>
    <mergeCell ref="N49:P49"/>
    <mergeCell ref="N50:P50"/>
    <mergeCell ref="N51:P51"/>
    <mergeCell ref="N52:P52"/>
    <mergeCell ref="N53:P53"/>
    <mergeCell ref="T49:V49"/>
    <mergeCell ref="T50:V50"/>
    <mergeCell ref="T52:V52"/>
    <mergeCell ref="T53:V53"/>
    <mergeCell ref="T51:V51"/>
    <mergeCell ref="B34:K34"/>
    <mergeCell ref="L34:N34"/>
    <mergeCell ref="O34:P34"/>
    <mergeCell ref="Q34:R34"/>
    <mergeCell ref="H32:K32"/>
    <mergeCell ref="O28:P28"/>
    <mergeCell ref="O30:P30"/>
    <mergeCell ref="L33:M33"/>
    <mergeCell ref="L32:M32"/>
    <mergeCell ref="B25:K30"/>
    <mergeCell ref="O26:P26"/>
    <mergeCell ref="C31:F31"/>
    <mergeCell ref="H31:K31"/>
    <mergeCell ref="L31:M31"/>
    <mergeCell ref="Q26:R26"/>
    <mergeCell ref="S34:V34"/>
    <mergeCell ref="T33:V33"/>
    <mergeCell ref="T32:V32"/>
    <mergeCell ref="T31:V31"/>
    <mergeCell ref="Q27:R30"/>
    <mergeCell ref="S26:V30"/>
  </mergeCells>
  <printOptions horizontalCentered="1"/>
  <pageMargins left="0" right="0" top="1" bottom="0" header="1" footer="0"/>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TAPAH 2.2 (Rincian)</vt:lpstr>
      <vt:lpstr>TAHAP 2.1 (SPD)</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QA-03@SAMI.CO.ID</cp:lastModifiedBy>
  <cp:lastPrinted>2024-03-01T01:45:45Z</cp:lastPrinted>
  <dcterms:created xsi:type="dcterms:W3CDTF">2023-06-18T02:33:15Z</dcterms:created>
  <dcterms:modified xsi:type="dcterms:W3CDTF">2024-03-01T01:56:17Z</dcterms:modified>
</cp:coreProperties>
</file>