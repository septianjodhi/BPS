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ackup Data\Data D\CLIENTS\SAMI\Charge to SAMI\2020\2. Feb-20\"/>
    </mc:Choice>
  </mc:AlternateContent>
  <bookViews>
    <workbookView xWindow="240" yWindow="105" windowWidth="15120" windowHeight="7680"/>
  </bookViews>
  <sheets>
    <sheet name="Summary round to min." sheetId="3" r:id="rId1"/>
  </sheets>
  <definedNames>
    <definedName name="_xlnm.Print_Area" localSheetId="0">'Summary round to min.'!$A$1:$G$67</definedName>
  </definedNames>
  <calcPr calcId="162913"/>
</workbook>
</file>

<file path=xl/calcChain.xml><?xml version="1.0" encoding="utf-8"?>
<calcChain xmlns="http://schemas.openxmlformats.org/spreadsheetml/2006/main">
  <c r="G19" i="3" l="1"/>
  <c r="F66" i="3"/>
  <c r="F65" i="3"/>
  <c r="F64" i="3"/>
  <c r="D64" i="3"/>
  <c r="F63" i="3"/>
  <c r="D63" i="3"/>
  <c r="F62" i="3"/>
  <c r="D62" i="3"/>
  <c r="G61" i="3"/>
  <c r="G60" i="3"/>
  <c r="F57" i="3"/>
  <c r="D57" i="3"/>
  <c r="F56" i="3"/>
  <c r="D56" i="3"/>
  <c r="G56" i="3" s="1"/>
  <c r="F54" i="3"/>
  <c r="F52" i="3"/>
  <c r="D52" i="3"/>
  <c r="D51" i="3"/>
  <c r="F50" i="3"/>
  <c r="D50" i="3"/>
  <c r="G49" i="3"/>
  <c r="G48" i="3"/>
  <c r="F46" i="3"/>
  <c r="D46" i="3"/>
  <c r="F45" i="3"/>
  <c r="D45" i="3"/>
  <c r="G45" i="3" s="1"/>
  <c r="F44" i="3"/>
  <c r="D44" i="3"/>
  <c r="G44" i="3" s="1"/>
  <c r="F42" i="3"/>
  <c r="G37" i="3"/>
  <c r="G36" i="3"/>
  <c r="G35" i="3"/>
  <c r="D32" i="3"/>
  <c r="G32" i="3" s="1"/>
  <c r="D31" i="3"/>
  <c r="D58" i="3" s="1"/>
  <c r="G30" i="3"/>
  <c r="G29" i="3"/>
  <c r="D26" i="3"/>
  <c r="G25" i="3"/>
  <c r="G24" i="3"/>
  <c r="G23" i="3"/>
  <c r="D20" i="3"/>
  <c r="G20" i="3" s="1"/>
  <c r="G18" i="3"/>
  <c r="G17" i="3"/>
  <c r="D10" i="3"/>
  <c r="D12" i="3" l="1"/>
  <c r="F47" i="3" s="1"/>
  <c r="G57" i="3"/>
  <c r="D59" i="3"/>
  <c r="F59" i="3"/>
  <c r="G50" i="3"/>
  <c r="G51" i="3"/>
  <c r="G62" i="3"/>
  <c r="G52" i="3"/>
  <c r="G64" i="3"/>
  <c r="G63" i="3"/>
  <c r="G46" i="3"/>
  <c r="D53" i="3"/>
  <c r="D27" i="3"/>
  <c r="D38" i="3"/>
  <c r="D47" i="3"/>
  <c r="G59" i="3" l="1"/>
  <c r="G38" i="3"/>
  <c r="D65" i="3"/>
  <c r="G65" i="3" s="1"/>
  <c r="D39" i="3"/>
  <c r="D54" i="3"/>
  <c r="G54" i="3" s="1"/>
  <c r="G27" i="3"/>
  <c r="G47" i="3"/>
  <c r="D66" i="3" l="1"/>
  <c r="G66" i="3" s="1"/>
  <c r="G39" i="3"/>
  <c r="F53" i="3" l="1"/>
  <c r="G26" i="3"/>
  <c r="G28" i="3" s="1"/>
  <c r="G53" i="3" l="1"/>
  <c r="G55" i="3" s="1"/>
  <c r="F58" i="3"/>
  <c r="F69" i="3" s="1"/>
  <c r="G58" i="3"/>
  <c r="G67" i="3" s="1"/>
  <c r="G69" i="3" s="1"/>
  <c r="G31" i="3"/>
  <c r="G40" i="3" s="1"/>
  <c r="G41" i="3" s="1"/>
</calcChain>
</file>

<file path=xl/sharedStrings.xml><?xml version="1.0" encoding="utf-8"?>
<sst xmlns="http://schemas.openxmlformats.org/spreadsheetml/2006/main" count="124" uniqueCount="43">
  <si>
    <t>Activity</t>
  </si>
  <si>
    <t>Rate</t>
  </si>
  <si>
    <t xml:space="preserve">Storage </t>
  </si>
  <si>
    <t>Fix</t>
  </si>
  <si>
    <t>Management Fee</t>
  </si>
  <si>
    <t>Handling IN</t>
  </si>
  <si>
    <t>per CBM</t>
  </si>
  <si>
    <t>Biaya Lembur</t>
  </si>
  <si>
    <t>Uang Makan dan Transport Lembur</t>
  </si>
  <si>
    <t>Overtime Fee</t>
  </si>
  <si>
    <t>per Man Hour</t>
  </si>
  <si>
    <t xml:space="preserve">E-Seal </t>
  </si>
  <si>
    <t>per Truck</t>
  </si>
  <si>
    <t>Delivery by motorcycle</t>
  </si>
  <si>
    <t>per Trip</t>
  </si>
  <si>
    <t>Volume</t>
  </si>
  <si>
    <t>Revenue</t>
  </si>
  <si>
    <t>SUMMARY PERHITUNGAN TAGIHAN SAMI</t>
  </si>
  <si>
    <t>PEMASUKAN DISPOSAL SAMPAH</t>
  </si>
  <si>
    <t>PENGELUARAN:</t>
  </si>
  <si>
    <t>Convert Deduction to volume handling OUT</t>
  </si>
  <si>
    <t>cbm</t>
  </si>
  <si>
    <t>SISA (DEDUCTION TO WH CHARGE)</t>
  </si>
  <si>
    <t>CHARGE SETELAH DEDUCTION</t>
  </si>
  <si>
    <t>- Operasional Bea Cukai</t>
  </si>
  <si>
    <t>PERHITUNGAN :</t>
  </si>
  <si>
    <t>- Listrik Jan-2019</t>
  </si>
  <si>
    <t>FACTORY</t>
  </si>
  <si>
    <t>SAMI 
TUGU</t>
  </si>
  <si>
    <t>Handling OUT</t>
  </si>
  <si>
    <t xml:space="preserve"> SAMI TUGU</t>
  </si>
  <si>
    <t>SAMI 
JEPARA</t>
  </si>
  <si>
    <t xml:space="preserve"> SAMI JEPARA</t>
  </si>
  <si>
    <t>ORIGINAL CHARGE</t>
  </si>
  <si>
    <t>Delivery urgent</t>
  </si>
  <si>
    <t>Handling IN FG</t>
  </si>
  <si>
    <t>Handling OUT FG</t>
  </si>
  <si>
    <t>ALL</t>
  </si>
  <si>
    <t>RAW MATERIAL</t>
  </si>
  <si>
    <t>FINISHED GOODS</t>
  </si>
  <si>
    <t>CLAIM SAMI TF</t>
  </si>
  <si>
    <t>CLAIM SAMI JF</t>
  </si>
  <si>
    <t>FEBRUARY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</si>
</sst>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43" formatCode="_(* #,##0.00_);_(* \(#,##0.00\);_(* &quot;-&quot;??_);_(@_)"/>
    <numFmt numFmtId="164" formatCode="_([$IDR]\ * #,##0_);_([$IDR]\ * \(#,##0\);_([$IDR]\ * &quot;-&quot;_);_(@_)"/>
    <numFmt numFmtId="165" formatCode="_(* #,##0.0_);_(* \(#,##0.0\);_(* &quot;-&quot;_);_(@_)"/>
    <numFmt numFmtId="166" formatCode="0.000000"/>
    <numFmt numFmtId="167" formatCode="_(* #,##0.00_);_(* \(#,##0.00\);_(* &quot;-&quot;_);_(@_)"/>
    <numFmt numFmtId="168" formatCode="_(* #,##0.000000_);_(* \(#,##0.000000\);_(* &quot;-&quot;_);_(@_)"/>
    <numFmt numFmtId="169" formatCode="_(* #,##0.000000_);_(* \(#,##0.000000\);_(* &quot;-&quot;??????_);_(@_)"/>
    <numFmt numFmtId="170" formatCode="_([$IDR]\ * #,##0.00_);_([$IDR]\ * \(#,##0.00\);_([$IDR]\ * &quot;-&quot;_);_(@_)"/>
    <numFmt numFmtId="171" formatCode="_([$IDR]\ * #,##0.00_);_([$IDR]\ * \(#,##0.00\);_([$IDR]\ * &quot;-&quot;??_);_(@_)"/>
    <numFmt numFmtId="172" formatCode="_(* #,##0_);_(* \(#,##0\);_(* &quot;-&quot;??????_);_(@_)"/>
    <numFmt numFmtId="173" formatCode="_(* #,##0_);_(* \(#,##0\);_(* &quot;-&quot;??_);_(@_)"/>
  </numFmts>
  <fonts count="1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b/>
      <sz val="12"/>
      <color rgb="FF0033CC"/>
      <name val="Calibri"/>
      <family val="2"/>
      <scheme val="minor"/>
    </font>
    <font>
      <sz val="11"/>
      <color rgb="FF0033CC"/>
      <name val="Calibri"/>
      <family val="2"/>
      <scheme val="minor"/>
    </font>
    <font>
      <sz val="11"/>
      <color rgb="FF0033CC"/>
      <name val="Calibri"/>
      <family val="2"/>
      <charset val="1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0000"/>
      </left>
      <right style="thin">
        <color theme="0"/>
      </right>
      <top style="thin">
        <color rgb="FFC00000"/>
      </top>
      <bottom style="thin">
        <color rgb="FFC00000"/>
      </bottom>
      <diagonal/>
    </border>
    <border>
      <left style="thin">
        <color theme="0"/>
      </left>
      <right style="thin">
        <color theme="0"/>
      </right>
      <top style="thin">
        <color rgb="FFC00000"/>
      </top>
      <bottom style="thin">
        <color rgb="FFC00000"/>
      </bottom>
      <diagonal/>
    </border>
    <border>
      <left style="thin">
        <color theme="0"/>
      </left>
      <right/>
      <top style="thin">
        <color rgb="FFC00000"/>
      </top>
      <bottom style="thin">
        <color rgb="FFC0000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rgb="FFC00000"/>
      </left>
      <right style="thin">
        <color theme="0"/>
      </right>
      <top/>
      <bottom/>
      <diagonal/>
    </border>
    <border>
      <left style="thin">
        <color rgb="FFC00000"/>
      </left>
      <right style="thin">
        <color theme="0"/>
      </right>
      <top/>
      <bottom style="thin">
        <color rgb="FFC00000"/>
      </bottom>
      <diagonal/>
    </border>
    <border>
      <left style="thin">
        <color rgb="FFC00000"/>
      </left>
      <right style="thin">
        <color theme="0"/>
      </right>
      <top style="thin">
        <color rgb="FFC00000"/>
      </top>
      <bottom style="thin">
        <color theme="0"/>
      </bottom>
      <diagonal/>
    </border>
    <border>
      <left style="thin">
        <color theme="0"/>
      </left>
      <right style="thin">
        <color rgb="FFC00000"/>
      </right>
      <top style="thin">
        <color rgb="FFC00000"/>
      </top>
      <bottom style="thin">
        <color theme="0"/>
      </bottom>
      <diagonal/>
    </border>
    <border>
      <left style="thin">
        <color rgb="FFC00000"/>
      </left>
      <right style="thin">
        <color theme="0"/>
      </right>
      <top style="thin">
        <color theme="0"/>
      </top>
      <bottom style="thin">
        <color rgb="FFC00000"/>
      </bottom>
      <diagonal/>
    </border>
    <border>
      <left style="thin">
        <color theme="0"/>
      </left>
      <right style="thin">
        <color rgb="FFC00000"/>
      </right>
      <top style="thin">
        <color theme="0"/>
      </top>
      <bottom style="thin">
        <color rgb="FFC00000"/>
      </bottom>
      <diagonal/>
    </border>
    <border>
      <left style="thin">
        <color theme="0"/>
      </left>
      <right style="thin">
        <color rgb="FFC00000"/>
      </right>
      <top/>
      <bottom/>
      <diagonal/>
    </border>
    <border>
      <left style="thin">
        <color rgb="FFC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C00000"/>
      </right>
      <top/>
      <bottom style="thin">
        <color theme="0"/>
      </bottom>
      <diagonal/>
    </border>
    <border>
      <left style="thin">
        <color rgb="FFC00000"/>
      </left>
      <right/>
      <top/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/>
      <right style="thin">
        <color theme="0"/>
      </right>
      <top/>
      <bottom/>
      <diagonal/>
    </border>
    <border>
      <left style="thin">
        <color rgb="FFC00000"/>
      </left>
      <right style="thin">
        <color rgb="FFC0000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C00000"/>
      </left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/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 style="thin">
        <color theme="0"/>
      </right>
      <top style="thin">
        <color rgb="FFC00000"/>
      </top>
      <bottom style="thin">
        <color rgb="FFC00000"/>
      </bottom>
      <diagonal/>
    </border>
    <border>
      <left style="thin">
        <color theme="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 style="thin">
        <color theme="0"/>
      </right>
      <top style="thin">
        <color rgb="FFC00000"/>
      </top>
      <bottom style="thin">
        <color theme="0"/>
      </bottom>
      <diagonal/>
    </border>
    <border>
      <left style="thin">
        <color theme="0"/>
      </left>
      <right/>
      <top style="thin">
        <color rgb="FFC00000"/>
      </top>
      <bottom style="thin">
        <color theme="0"/>
      </bottom>
      <diagonal/>
    </border>
    <border>
      <left/>
      <right/>
      <top style="thin">
        <color rgb="FFC00000"/>
      </top>
      <bottom style="thin">
        <color theme="0"/>
      </bottom>
      <diagonal/>
    </border>
    <border>
      <left/>
      <right/>
      <top/>
      <bottom style="thin">
        <color rgb="FFC00000"/>
      </bottom>
      <diagonal/>
    </border>
    <border>
      <left style="thin">
        <color theme="0"/>
      </left>
      <right style="thin">
        <color rgb="FFC00000"/>
      </right>
      <top/>
      <bottom style="thin">
        <color rgb="FFC00000"/>
      </bottom>
      <diagonal/>
    </border>
    <border>
      <left/>
      <right style="thin">
        <color theme="0"/>
      </right>
      <top/>
      <bottom style="thin">
        <color rgb="FFC00000"/>
      </bottom>
      <diagonal/>
    </border>
    <border>
      <left/>
      <right style="thin">
        <color theme="0"/>
      </right>
      <top style="thin">
        <color rgb="FFC00000"/>
      </top>
      <bottom/>
      <diagonal/>
    </border>
    <border>
      <left style="thin">
        <color theme="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 style="thin">
        <color theme="0"/>
      </left>
      <right style="thin">
        <color rgb="FFC00000"/>
      </right>
      <top style="thin">
        <color rgb="FFC00000"/>
      </top>
      <bottom/>
      <diagonal/>
    </border>
    <border>
      <left style="thin">
        <color theme="0"/>
      </left>
      <right/>
      <top/>
      <bottom style="thin">
        <color rgb="FFC00000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3">
    <xf numFmtId="0" fontId="0" fillId="0" borderId="0" xfId="0"/>
    <xf numFmtId="0" fontId="4" fillId="3" borderId="4" xfId="0" applyFont="1" applyFill="1" applyBorder="1" applyAlignment="1">
      <alignment horizontal="center" vertical="center"/>
    </xf>
    <xf numFmtId="164" fontId="0" fillId="2" borderId="7" xfId="0" applyNumberFormat="1" applyFill="1" applyBorder="1"/>
    <xf numFmtId="0" fontId="0" fillId="2" borderId="0" xfId="0" applyFill="1" applyBorder="1"/>
    <xf numFmtId="164" fontId="0" fillId="4" borderId="8" xfId="0" applyNumberFormat="1" applyFill="1" applyBorder="1"/>
    <xf numFmtId="0" fontId="0" fillId="4" borderId="9" xfId="0" applyFill="1" applyBorder="1"/>
    <xf numFmtId="164" fontId="0" fillId="4" borderId="7" xfId="0" applyNumberFormat="1" applyFill="1" applyBorder="1"/>
    <xf numFmtId="0" fontId="0" fillId="4" borderId="0" xfId="0" applyFill="1" applyBorder="1"/>
    <xf numFmtId="0" fontId="0" fillId="4" borderId="10" xfId="0" applyFill="1" applyBorder="1" applyAlignment="1">
      <alignment horizontal="left"/>
    </xf>
    <xf numFmtId="164" fontId="0" fillId="4" borderId="0" xfId="0" applyNumberFormat="1" applyFill="1" applyBorder="1"/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0" fillId="2" borderId="10" xfId="0" applyFill="1" applyBorder="1"/>
    <xf numFmtId="164" fontId="0" fillId="2" borderId="16" xfId="0" applyNumberFormat="1" applyFill="1" applyBorder="1"/>
    <xf numFmtId="0" fontId="0" fillId="4" borderId="17" xfId="0" applyFill="1" applyBorder="1"/>
    <xf numFmtId="164" fontId="0" fillId="4" borderId="18" xfId="0" applyNumberFormat="1" applyFill="1" applyBorder="1"/>
    <xf numFmtId="165" fontId="0" fillId="2" borderId="10" xfId="1" applyNumberFormat="1" applyFont="1" applyFill="1" applyBorder="1"/>
    <xf numFmtId="164" fontId="0" fillId="4" borderId="16" xfId="0" applyNumberFormat="1" applyFill="1" applyBorder="1"/>
    <xf numFmtId="165" fontId="0" fillId="4" borderId="19" xfId="1" applyNumberFormat="1" applyFont="1" applyFill="1" applyBorder="1"/>
    <xf numFmtId="164" fontId="5" fillId="4" borderId="7" xfId="0" applyNumberFormat="1" applyFont="1" applyFill="1" applyBorder="1"/>
    <xf numFmtId="0" fontId="5" fillId="4" borderId="0" xfId="0" applyFont="1" applyFill="1" applyBorder="1"/>
    <xf numFmtId="164" fontId="5" fillId="4" borderId="16" xfId="0" applyNumberFormat="1" applyFont="1" applyFill="1" applyBorder="1"/>
    <xf numFmtId="0" fontId="5" fillId="4" borderId="0" xfId="0" applyFont="1" applyFill="1"/>
    <xf numFmtId="0" fontId="0" fillId="4" borderId="0" xfId="0" applyFill="1"/>
    <xf numFmtId="17" fontId="0" fillId="4" borderId="0" xfId="0" quotePrefix="1" applyNumberFormat="1" applyFill="1"/>
    <xf numFmtId="0" fontId="0" fillId="4" borderId="1" xfId="0" applyFill="1" applyBorder="1"/>
    <xf numFmtId="0" fontId="0" fillId="4" borderId="1" xfId="0" quotePrefix="1" applyFill="1" applyBorder="1" applyAlignment="1">
      <alignment horizontal="left" indent="1"/>
    </xf>
    <xf numFmtId="0" fontId="0" fillId="4" borderId="1" xfId="0" applyFill="1" applyBorder="1" applyAlignment="1">
      <alignment horizontal="right"/>
    </xf>
    <xf numFmtId="166" fontId="0" fillId="4" borderId="2" xfId="0" applyNumberFormat="1" applyFill="1" applyBorder="1"/>
    <xf numFmtId="0" fontId="0" fillId="4" borderId="3" xfId="0" applyFill="1" applyBorder="1"/>
    <xf numFmtId="0" fontId="2" fillId="4" borderId="0" xfId="0" applyFont="1" applyFill="1"/>
    <xf numFmtId="166" fontId="0" fillId="4" borderId="0" xfId="0" applyNumberFormat="1" applyFill="1"/>
    <xf numFmtId="0" fontId="2" fillId="0" borderId="0" xfId="0" applyFont="1" applyAlignment="1">
      <alignment horizontal="left" vertical="center"/>
    </xf>
    <xf numFmtId="0" fontId="0" fillId="2" borderId="23" xfId="0" applyFill="1" applyBorder="1" applyAlignment="1">
      <alignment horizontal="left"/>
    </xf>
    <xf numFmtId="0" fontId="0" fillId="4" borderId="25" xfId="0" applyFill="1" applyBorder="1" applyAlignment="1">
      <alignment horizontal="left"/>
    </xf>
    <xf numFmtId="167" fontId="0" fillId="2" borderId="10" xfId="1" applyNumberFormat="1" applyFont="1" applyFill="1" applyBorder="1"/>
    <xf numFmtId="0" fontId="0" fillId="4" borderId="23" xfId="0" applyFill="1" applyBorder="1" applyAlignment="1">
      <alignment horizontal="left"/>
    </xf>
    <xf numFmtId="167" fontId="0" fillId="4" borderId="10" xfId="1" applyNumberFormat="1" applyFont="1" applyFill="1" applyBorder="1"/>
    <xf numFmtId="0" fontId="3" fillId="5" borderId="20" xfId="0" applyFont="1" applyFill="1" applyBorder="1"/>
    <xf numFmtId="164" fontId="3" fillId="5" borderId="21" xfId="0" applyNumberFormat="1" applyFont="1" applyFill="1" applyBorder="1"/>
    <xf numFmtId="0" fontId="5" fillId="4" borderId="23" xfId="0" applyFont="1" applyFill="1" applyBorder="1" applyAlignment="1">
      <alignment horizontal="left"/>
    </xf>
    <xf numFmtId="168" fontId="0" fillId="4" borderId="0" xfId="0" applyNumberFormat="1" applyFill="1"/>
    <xf numFmtId="168" fontId="0" fillId="2" borderId="10" xfId="1" applyNumberFormat="1" applyFont="1" applyFill="1" applyBorder="1"/>
    <xf numFmtId="168" fontId="5" fillId="4" borderId="10" xfId="1" applyNumberFormat="1" applyFont="1" applyFill="1" applyBorder="1"/>
    <xf numFmtId="0" fontId="2" fillId="4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164" fontId="0" fillId="2" borderId="0" xfId="0" applyNumberFormat="1" applyFill="1" applyBorder="1"/>
    <xf numFmtId="164" fontId="0" fillId="4" borderId="0" xfId="0" applyNumberFormat="1" applyFill="1"/>
    <xf numFmtId="164" fontId="0" fillId="4" borderId="2" xfId="0" applyNumberFormat="1" applyFill="1" applyBorder="1"/>
    <xf numFmtId="164" fontId="6" fillId="4" borderId="2" xfId="0" applyNumberFormat="1" applyFont="1" applyFill="1" applyBorder="1"/>
    <xf numFmtId="0" fontId="0" fillId="2" borderId="10" xfId="0" applyFill="1" applyBorder="1" applyAlignment="1">
      <alignment horizontal="left"/>
    </xf>
    <xf numFmtId="165" fontId="0" fillId="2" borderId="19" xfId="1" applyNumberFormat="1" applyFont="1" applyFill="1" applyBorder="1"/>
    <xf numFmtId="164" fontId="0" fillId="2" borderId="29" xfId="0" applyNumberFormat="1" applyFill="1" applyBorder="1"/>
    <xf numFmtId="0" fontId="0" fillId="0" borderId="0" xfId="0" applyBorder="1"/>
    <xf numFmtId="0" fontId="0" fillId="2" borderId="31" xfId="0" applyFill="1" applyBorder="1" applyAlignment="1">
      <alignment horizontal="left"/>
    </xf>
    <xf numFmtId="164" fontId="0" fillId="2" borderId="6" xfId="0" applyNumberFormat="1" applyFill="1" applyBorder="1"/>
    <xf numFmtId="0" fontId="0" fillId="2" borderId="28" xfId="0" applyFill="1" applyBorder="1"/>
    <xf numFmtId="0" fontId="0" fillId="2" borderId="4" xfId="0" applyFill="1" applyBorder="1"/>
    <xf numFmtId="164" fontId="0" fillId="2" borderId="32" xfId="0" applyNumberFormat="1" applyFill="1" applyBorder="1"/>
    <xf numFmtId="0" fontId="0" fillId="4" borderId="34" xfId="0" applyFill="1" applyBorder="1" applyAlignment="1">
      <alignment horizontal="left"/>
    </xf>
    <xf numFmtId="164" fontId="0" fillId="4" borderId="35" xfId="0" applyNumberFormat="1" applyFill="1" applyBorder="1"/>
    <xf numFmtId="0" fontId="0" fillId="4" borderId="36" xfId="0" applyFill="1" applyBorder="1"/>
    <xf numFmtId="0" fontId="0" fillId="4" borderId="12" xfId="0" applyFill="1" applyBorder="1"/>
    <xf numFmtId="164" fontId="0" fillId="4" borderId="13" xfId="0" applyNumberFormat="1" applyFill="1" applyBorder="1"/>
    <xf numFmtId="0" fontId="0" fillId="2" borderId="11" xfId="0" applyFill="1" applyBorder="1" applyAlignment="1">
      <alignment horizontal="left"/>
    </xf>
    <xf numFmtId="164" fontId="0" fillId="2" borderId="37" xfId="0" applyNumberFormat="1" applyFill="1" applyBorder="1"/>
    <xf numFmtId="0" fontId="0" fillId="2" borderId="37" xfId="0" applyFill="1" applyBorder="1"/>
    <xf numFmtId="165" fontId="0" fillId="2" borderId="20" xfId="1" applyNumberFormat="1" applyFont="1" applyFill="1" applyBorder="1"/>
    <xf numFmtId="164" fontId="0" fillId="2" borderId="38" xfId="0" applyNumberFormat="1" applyFill="1" applyBorder="1"/>
    <xf numFmtId="0" fontId="0" fillId="2" borderId="39" xfId="0" applyFill="1" applyBorder="1" applyAlignment="1">
      <alignment horizontal="left"/>
    </xf>
    <xf numFmtId="0" fontId="5" fillId="4" borderId="30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left"/>
    </xf>
    <xf numFmtId="164" fontId="8" fillId="4" borderId="7" xfId="0" applyNumberFormat="1" applyFont="1" applyFill="1" applyBorder="1"/>
    <xf numFmtId="0" fontId="8" fillId="4" borderId="0" xfId="0" applyFont="1" applyFill="1" applyBorder="1"/>
    <xf numFmtId="168" fontId="8" fillId="4" borderId="10" xfId="1" applyNumberFormat="1" applyFont="1" applyFill="1" applyBorder="1"/>
    <xf numFmtId="164" fontId="8" fillId="4" borderId="16" xfId="0" applyNumberFormat="1" applyFont="1" applyFill="1" applyBorder="1"/>
    <xf numFmtId="0" fontId="8" fillId="2" borderId="23" xfId="0" applyFont="1" applyFill="1" applyBorder="1" applyAlignment="1">
      <alignment horizontal="left"/>
    </xf>
    <xf numFmtId="164" fontId="8" fillId="2" borderId="7" xfId="0" applyNumberFormat="1" applyFont="1" applyFill="1" applyBorder="1"/>
    <xf numFmtId="0" fontId="8" fillId="2" borderId="0" xfId="0" applyFont="1" applyFill="1" applyBorder="1"/>
    <xf numFmtId="164" fontId="8" fillId="2" borderId="21" xfId="0" applyNumberFormat="1" applyFont="1" applyFill="1" applyBorder="1"/>
    <xf numFmtId="0" fontId="8" fillId="4" borderId="40" xfId="0" applyFont="1" applyFill="1" applyBorder="1" applyAlignment="1">
      <alignment horizontal="left"/>
    </xf>
    <xf numFmtId="164" fontId="8" fillId="4" borderId="41" xfId="0" applyNumberFormat="1" applyFont="1" applyFill="1" applyBorder="1"/>
    <xf numFmtId="0" fontId="8" fillId="4" borderId="42" xfId="0" applyFont="1" applyFill="1" applyBorder="1"/>
    <xf numFmtId="164" fontId="8" fillId="4" borderId="43" xfId="0" applyNumberFormat="1" applyFont="1" applyFill="1" applyBorder="1"/>
    <xf numFmtId="0" fontId="8" fillId="2" borderId="39" xfId="0" applyFont="1" applyFill="1" applyBorder="1" applyAlignment="1">
      <alignment horizontal="left"/>
    </xf>
    <xf numFmtId="164" fontId="8" fillId="2" borderId="44" xfId="0" applyNumberFormat="1" applyFont="1" applyFill="1" applyBorder="1"/>
    <xf numFmtId="0" fontId="8" fillId="2" borderId="37" xfId="0" applyFont="1" applyFill="1" applyBorder="1"/>
    <xf numFmtId="168" fontId="8" fillId="2" borderId="11" xfId="1" applyNumberFormat="1" applyFont="1" applyFill="1" applyBorder="1"/>
    <xf numFmtId="164" fontId="8" fillId="2" borderId="38" xfId="0" applyNumberFormat="1" applyFont="1" applyFill="1" applyBorder="1"/>
    <xf numFmtId="169" fontId="0" fillId="4" borderId="0" xfId="0" applyNumberFormat="1" applyFill="1"/>
    <xf numFmtId="0" fontId="0" fillId="4" borderId="12" xfId="0" applyFill="1" applyBorder="1" applyAlignment="1">
      <alignment horizontal="left"/>
    </xf>
    <xf numFmtId="0" fontId="5" fillId="4" borderId="10" xfId="0" applyFont="1" applyFill="1" applyBorder="1" applyAlignment="1">
      <alignment horizontal="left"/>
    </xf>
    <xf numFmtId="0" fontId="9" fillId="4" borderId="10" xfId="0" applyFont="1" applyFill="1" applyBorder="1" applyAlignment="1">
      <alignment horizontal="left"/>
    </xf>
    <xf numFmtId="164" fontId="9" fillId="4" borderId="7" xfId="0" applyNumberFormat="1" applyFont="1" applyFill="1" applyBorder="1"/>
    <xf numFmtId="0" fontId="9" fillId="4" borderId="0" xfId="0" applyFont="1" applyFill="1" applyBorder="1"/>
    <xf numFmtId="168" fontId="9" fillId="4" borderId="10" xfId="1" applyNumberFormat="1" applyFont="1" applyFill="1" applyBorder="1"/>
    <xf numFmtId="164" fontId="9" fillId="4" borderId="16" xfId="0" applyNumberFormat="1" applyFont="1" applyFill="1" applyBorder="1"/>
    <xf numFmtId="0" fontId="9" fillId="2" borderId="10" xfId="0" applyFont="1" applyFill="1" applyBorder="1" applyAlignment="1">
      <alignment horizontal="left"/>
    </xf>
    <xf numFmtId="164" fontId="9" fillId="2" borderId="7" xfId="0" applyNumberFormat="1" applyFont="1" applyFill="1" applyBorder="1"/>
    <xf numFmtId="0" fontId="9" fillId="2" borderId="0" xfId="0" applyFont="1" applyFill="1" applyBorder="1"/>
    <xf numFmtId="164" fontId="0" fillId="2" borderId="21" xfId="0" applyNumberFormat="1" applyFill="1" applyBorder="1"/>
    <xf numFmtId="0" fontId="9" fillId="4" borderId="23" xfId="0" applyFont="1" applyFill="1" applyBorder="1" applyAlignment="1">
      <alignment horizontal="left"/>
    </xf>
    <xf numFmtId="168" fontId="9" fillId="4" borderId="19" xfId="1" applyNumberFormat="1" applyFont="1" applyFill="1" applyBorder="1"/>
    <xf numFmtId="0" fontId="9" fillId="2" borderId="23" xfId="0" applyFont="1" applyFill="1" applyBorder="1" applyAlignment="1">
      <alignment horizontal="left"/>
    </xf>
    <xf numFmtId="168" fontId="9" fillId="2" borderId="20" xfId="1" applyNumberFormat="1" applyFont="1" applyFill="1" applyBorder="1"/>
    <xf numFmtId="164" fontId="9" fillId="2" borderId="21" xfId="0" applyNumberFormat="1" applyFont="1" applyFill="1" applyBorder="1"/>
    <xf numFmtId="168" fontId="9" fillId="2" borderId="11" xfId="1" applyNumberFormat="1" applyFont="1" applyFill="1" applyBorder="1"/>
    <xf numFmtId="164" fontId="9" fillId="2" borderId="38" xfId="0" applyNumberFormat="1" applyFont="1" applyFill="1" applyBorder="1"/>
    <xf numFmtId="168" fontId="8" fillId="4" borderId="33" xfId="1" applyNumberFormat="1" applyFont="1" applyFill="1" applyBorder="1"/>
    <xf numFmtId="168" fontId="8" fillId="2" borderId="20" xfId="1" applyNumberFormat="1" applyFont="1" applyFill="1" applyBorder="1"/>
    <xf numFmtId="164" fontId="3" fillId="4" borderId="0" xfId="0" applyNumberFormat="1" applyFont="1" applyFill="1" applyAlignment="1">
      <alignment vertical="center"/>
    </xf>
    <xf numFmtId="0" fontId="3" fillId="0" borderId="0" xfId="0" applyFont="1" applyFill="1"/>
    <xf numFmtId="0" fontId="0" fillId="4" borderId="0" xfId="0" applyNumberFormat="1" applyFill="1"/>
    <xf numFmtId="0" fontId="0" fillId="4" borderId="0" xfId="0" applyFill="1" applyAlignment="1">
      <alignment horizontal="center"/>
    </xf>
    <xf numFmtId="170" fontId="3" fillId="0" borderId="0" xfId="1" applyNumberFormat="1" applyFont="1" applyFill="1"/>
    <xf numFmtId="170" fontId="10" fillId="6" borderId="0" xfId="1" applyNumberFormat="1" applyFont="1" applyFill="1"/>
    <xf numFmtId="171" fontId="0" fillId="4" borderId="0" xfId="0" applyNumberFormat="1" applyFill="1" applyBorder="1"/>
    <xf numFmtId="41" fontId="5" fillId="0" borderId="0" xfId="0" applyNumberFormat="1" applyFont="1" applyFill="1" applyBorder="1" applyAlignment="1">
      <alignment horizontal="right"/>
    </xf>
    <xf numFmtId="43" fontId="0" fillId="4" borderId="0" xfId="0" applyNumberFormat="1" applyFill="1"/>
    <xf numFmtId="172" fontId="0" fillId="4" borderId="0" xfId="0" applyNumberFormat="1" applyFill="1"/>
    <xf numFmtId="173" fontId="0" fillId="4" borderId="0" xfId="2" applyNumberFormat="1" applyFont="1" applyFill="1"/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17" fontId="4" fillId="3" borderId="12" xfId="0" applyNumberFormat="1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vertical="center" wrapText="1"/>
    </xf>
    <xf numFmtId="0" fontId="3" fillId="5" borderId="27" xfId="0" applyFont="1" applyFill="1" applyBorder="1" applyAlignment="1">
      <alignment horizontal="right"/>
    </xf>
    <xf numFmtId="0" fontId="3" fillId="5" borderId="28" xfId="0" applyFont="1" applyFill="1" applyBorder="1" applyAlignment="1">
      <alignment horizontal="right"/>
    </xf>
    <xf numFmtId="0" fontId="7" fillId="4" borderId="26" xfId="0" applyFont="1" applyFill="1" applyBorder="1" applyAlignment="1">
      <alignment horizontal="center" vertical="center" wrapText="1"/>
    </xf>
  </cellXfs>
  <cellStyles count="3">
    <cellStyle name="Comma" xfId="2" builtinId="3"/>
    <cellStyle name="Comma [0]" xfId="1" builtinId="6"/>
    <cellStyle name="Normal" xfId="0" builtinId="0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419100</xdr:colOff>
      <xdr:row>0</xdr:row>
      <xdr:rowOff>38100</xdr:rowOff>
    </xdr:from>
    <xdr:to>
      <xdr:col>6</xdr:col>
      <xdr:colOff>1000163</xdr:colOff>
      <xdr:row>3</xdr:row>
      <xdr:rowOff>164272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4225" y="38100"/>
          <a:ext cx="1908214" cy="7071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71"/>
  <sheetViews>
    <sheetView tabSelected="1" view="pageBreakPreview" zoomScale="90" zoomScaleNormal="100" zoomScaleSheetLayoutView="90" workbookViewId="0">
      <selection activeCell="F16" sqref="F16"/>
    </sheetView>
  </sheetViews>
  <sheetFormatPr defaultRowHeight="15" x14ac:dyDescent="0.25"/>
  <cols>
    <col min="1" max="1" width="10" customWidth="1"/>
    <col min="2" max="2" width="12.5703125" customWidth="1"/>
    <col min="3" max="3" width="41.28515625" customWidth="1"/>
    <col min="4" max="4" width="17.140625" customWidth="1"/>
    <col min="5" max="5" width="14.28515625" customWidth="1"/>
    <col min="6" max="6" width="19.85546875" customWidth="1"/>
    <col min="7" max="7" width="20.85546875" customWidth="1"/>
    <col min="8" max="8" width="13.42578125" style="23" customWidth="1"/>
    <col min="9" max="9" width="22.140625" style="23" customWidth="1"/>
    <col min="10" max="10" width="14.7109375" style="23" customWidth="1"/>
    <col min="11" max="11" width="21.5703125" style="23" customWidth="1"/>
    <col min="12" max="12" width="11.85546875" style="23" bestFit="1" customWidth="1"/>
    <col min="13" max="36" width="9.140625" style="23"/>
  </cols>
  <sheetData>
    <row r="1" spans="1:7" s="23" customFormat="1" ht="15.75" x14ac:dyDescent="0.25">
      <c r="A1" s="22" t="s">
        <v>17</v>
      </c>
      <c r="B1" s="22"/>
    </row>
    <row r="2" spans="1:7" s="23" customFormat="1" x14ac:dyDescent="0.25">
      <c r="A2" s="24" t="s">
        <v>42</v>
      </c>
      <c r="B2" s="24"/>
    </row>
    <row r="3" spans="1:7" s="23" customFormat="1" x14ac:dyDescent="0.25"/>
    <row r="4" spans="1:7" s="23" customFormat="1" ht="18.75" x14ac:dyDescent="0.3">
      <c r="C4" s="30" t="s">
        <v>25</v>
      </c>
    </row>
    <row r="5" spans="1:7" s="23" customFormat="1" x14ac:dyDescent="0.25">
      <c r="C5" s="25" t="s">
        <v>18</v>
      </c>
      <c r="D5" s="48">
        <v>21382964.166666668</v>
      </c>
      <c r="E5" s="29"/>
    </row>
    <row r="6" spans="1:7" s="23" customFormat="1" x14ac:dyDescent="0.25">
      <c r="C6" s="25" t="s">
        <v>19</v>
      </c>
      <c r="D6" s="48"/>
      <c r="E6" s="29"/>
    </row>
    <row r="7" spans="1:7" s="23" customFormat="1" x14ac:dyDescent="0.25">
      <c r="C7" s="26" t="s">
        <v>24</v>
      </c>
      <c r="D7" s="48">
        <v>2500000</v>
      </c>
      <c r="E7" s="29"/>
    </row>
    <row r="8" spans="1:7" s="23" customFormat="1" x14ac:dyDescent="0.25">
      <c r="C8" s="26" t="s">
        <v>26</v>
      </c>
      <c r="D8" s="48">
        <v>1500000</v>
      </c>
      <c r="E8" s="29"/>
    </row>
    <row r="9" spans="1:7" s="23" customFormat="1" x14ac:dyDescent="0.25">
      <c r="C9" s="26"/>
      <c r="D9" s="48"/>
      <c r="E9" s="29"/>
    </row>
    <row r="10" spans="1:7" s="23" customFormat="1" x14ac:dyDescent="0.25">
      <c r="C10" s="27" t="s">
        <v>22</v>
      </c>
      <c r="D10" s="49">
        <f>D5-D7-D8</f>
        <v>17382964.166666668</v>
      </c>
      <c r="E10" s="29"/>
    </row>
    <row r="11" spans="1:7" s="23" customFormat="1" x14ac:dyDescent="0.25"/>
    <row r="12" spans="1:7" s="23" customFormat="1" x14ac:dyDescent="0.25">
      <c r="C12" s="25" t="s">
        <v>20</v>
      </c>
      <c r="D12" s="28">
        <f>D10/D20</f>
        <v>244.8304812206573</v>
      </c>
      <c r="E12" s="29" t="s">
        <v>21</v>
      </c>
      <c r="G12" s="31"/>
    </row>
    <row r="13" spans="1:7" s="23" customFormat="1" x14ac:dyDescent="0.25"/>
    <row r="14" spans="1:7" s="23" customFormat="1" x14ac:dyDescent="0.25"/>
    <row r="15" spans="1:7" ht="18.75" x14ac:dyDescent="0.25">
      <c r="A15" s="32" t="s">
        <v>33</v>
      </c>
      <c r="B15" s="32"/>
      <c r="C15" s="44"/>
      <c r="D15" s="45"/>
      <c r="E15" s="45"/>
      <c r="F15" s="123">
        <v>43862</v>
      </c>
      <c r="G15" s="124"/>
    </row>
    <row r="16" spans="1:7" x14ac:dyDescent="0.25">
      <c r="A16" s="1" t="s">
        <v>27</v>
      </c>
      <c r="B16" s="1"/>
      <c r="C16" s="1" t="s">
        <v>0</v>
      </c>
      <c r="D16" s="121" t="s">
        <v>1</v>
      </c>
      <c r="E16" s="122"/>
      <c r="F16" s="10" t="s">
        <v>15</v>
      </c>
      <c r="G16" s="11" t="s">
        <v>16</v>
      </c>
    </row>
    <row r="17" spans="1:12" ht="15" customHeight="1" x14ac:dyDescent="0.25">
      <c r="A17" s="125" t="s">
        <v>28</v>
      </c>
      <c r="B17" s="70" t="s">
        <v>37</v>
      </c>
      <c r="C17" s="54" t="s">
        <v>2</v>
      </c>
      <c r="D17" s="55">
        <v>357500000</v>
      </c>
      <c r="E17" s="56" t="s">
        <v>3</v>
      </c>
      <c r="F17" s="57">
        <v>1</v>
      </c>
      <c r="G17" s="58">
        <f>$D17*F17</f>
        <v>357500000</v>
      </c>
      <c r="J17" s="113"/>
    </row>
    <row r="18" spans="1:12" ht="15" customHeight="1" x14ac:dyDescent="0.25">
      <c r="A18" s="126"/>
      <c r="B18" s="125" t="s">
        <v>38</v>
      </c>
      <c r="C18" s="59" t="s">
        <v>4</v>
      </c>
      <c r="D18" s="60">
        <v>8437500</v>
      </c>
      <c r="E18" s="61" t="s">
        <v>3</v>
      </c>
      <c r="F18" s="62">
        <v>1</v>
      </c>
      <c r="G18" s="63">
        <f>$D18*F18</f>
        <v>8437500</v>
      </c>
    </row>
    <row r="19" spans="1:12" ht="15" customHeight="1" x14ac:dyDescent="0.25">
      <c r="A19" s="126"/>
      <c r="B19" s="126"/>
      <c r="C19" s="33" t="s">
        <v>5</v>
      </c>
      <c r="D19" s="2">
        <v>71000</v>
      </c>
      <c r="E19" s="3" t="s">
        <v>6</v>
      </c>
      <c r="F19" s="42">
        <v>4715.3997643416551</v>
      </c>
      <c r="G19" s="13">
        <f>$D19*F19</f>
        <v>334793383.2682575</v>
      </c>
      <c r="H19" s="120"/>
      <c r="I19" s="41"/>
      <c r="J19" s="41"/>
    </row>
    <row r="20" spans="1:12" ht="15" customHeight="1" x14ac:dyDescent="0.25">
      <c r="A20" s="126"/>
      <c r="B20" s="126"/>
      <c r="C20" s="40" t="s">
        <v>29</v>
      </c>
      <c r="D20" s="19">
        <f>D19</f>
        <v>71000</v>
      </c>
      <c r="E20" s="20" t="s">
        <v>6</v>
      </c>
      <c r="F20" s="43">
        <v>4926.7409472848858</v>
      </c>
      <c r="G20" s="21">
        <f>$D20*F20</f>
        <v>349798607.25722688</v>
      </c>
      <c r="I20" s="41"/>
      <c r="J20" s="41"/>
      <c r="K20" s="89"/>
    </row>
    <row r="21" spans="1:12" ht="15" customHeight="1" x14ac:dyDescent="0.25">
      <c r="A21" s="126"/>
      <c r="B21" s="126"/>
      <c r="C21" s="33" t="s">
        <v>7</v>
      </c>
      <c r="D21" s="2"/>
      <c r="E21" s="3"/>
      <c r="F21" s="35"/>
      <c r="G21" s="13">
        <v>21892630.057803471</v>
      </c>
      <c r="I21" s="41"/>
      <c r="J21" s="41"/>
      <c r="K21" s="89"/>
    </row>
    <row r="22" spans="1:12" ht="15" customHeight="1" x14ac:dyDescent="0.25">
      <c r="A22" s="126"/>
      <c r="B22" s="126"/>
      <c r="C22" s="36" t="s">
        <v>8</v>
      </c>
      <c r="D22" s="6"/>
      <c r="E22" s="7"/>
      <c r="F22" s="37"/>
      <c r="G22" s="17">
        <v>2032500</v>
      </c>
    </row>
    <row r="23" spans="1:12" ht="15" customHeight="1" x14ac:dyDescent="0.25">
      <c r="A23" s="126"/>
      <c r="B23" s="126"/>
      <c r="C23" s="33" t="s">
        <v>9</v>
      </c>
      <c r="D23" s="2">
        <v>30000</v>
      </c>
      <c r="E23" s="3" t="s">
        <v>10</v>
      </c>
      <c r="F23" s="16">
        <v>719</v>
      </c>
      <c r="G23" s="13">
        <f>$D23*F23</f>
        <v>21570000</v>
      </c>
      <c r="K23" s="89"/>
    </row>
    <row r="24" spans="1:12" ht="15" customHeight="1" x14ac:dyDescent="0.25">
      <c r="A24" s="126"/>
      <c r="B24" s="126"/>
      <c r="C24" s="36" t="s">
        <v>11</v>
      </c>
      <c r="D24" s="9">
        <v>100000</v>
      </c>
      <c r="E24" s="7" t="s">
        <v>12</v>
      </c>
      <c r="F24" s="18">
        <v>92</v>
      </c>
      <c r="G24" s="17">
        <f>$D24*F24</f>
        <v>9200000</v>
      </c>
      <c r="K24" s="89"/>
    </row>
    <row r="25" spans="1:12" ht="15" customHeight="1" x14ac:dyDescent="0.25">
      <c r="A25" s="126"/>
      <c r="B25" s="127"/>
      <c r="C25" s="69" t="s">
        <v>13</v>
      </c>
      <c r="D25" s="65">
        <v>30000</v>
      </c>
      <c r="E25" s="66" t="s">
        <v>14</v>
      </c>
      <c r="F25" s="67">
        <v>26</v>
      </c>
      <c r="G25" s="68">
        <f>$D25*F25</f>
        <v>780000</v>
      </c>
      <c r="K25" s="89"/>
      <c r="L25" s="47"/>
    </row>
    <row r="26" spans="1:12" ht="15" customHeight="1" x14ac:dyDescent="0.25">
      <c r="A26" s="126"/>
      <c r="B26" s="128" t="s">
        <v>39</v>
      </c>
      <c r="C26" s="71" t="s">
        <v>35</v>
      </c>
      <c r="D26" s="72">
        <f>D19</f>
        <v>71000</v>
      </c>
      <c r="E26" s="73" t="s">
        <v>6</v>
      </c>
      <c r="F26" s="74">
        <v>4126.5638090117036</v>
      </c>
      <c r="G26" s="75">
        <f t="shared" ref="G26:G27" si="0">$D26*F26</f>
        <v>292986030.43983096</v>
      </c>
      <c r="H26" s="119"/>
      <c r="I26" s="41"/>
      <c r="J26" s="41"/>
    </row>
    <row r="27" spans="1:12" ht="15" customHeight="1" x14ac:dyDescent="0.25">
      <c r="A27" s="126"/>
      <c r="B27" s="129"/>
      <c r="C27" s="76" t="s">
        <v>36</v>
      </c>
      <c r="D27" s="77">
        <f>D26</f>
        <v>71000</v>
      </c>
      <c r="E27" s="78" t="s">
        <v>6</v>
      </c>
      <c r="F27" s="87">
        <v>4236.5377395642117</v>
      </c>
      <c r="G27" s="88">
        <f t="shared" si="0"/>
        <v>300794179.50905901</v>
      </c>
      <c r="H27" s="89"/>
      <c r="L27" s="89"/>
    </row>
    <row r="28" spans="1:12" x14ac:dyDescent="0.25">
      <c r="A28" s="130" t="s">
        <v>30</v>
      </c>
      <c r="B28" s="131"/>
      <c r="C28" s="131"/>
      <c r="D28" s="131"/>
      <c r="E28" s="131"/>
      <c r="F28" s="38"/>
      <c r="G28" s="39">
        <f>SUM(G17:G27)</f>
        <v>1699784830.5321777</v>
      </c>
      <c r="L28" s="89"/>
    </row>
    <row r="29" spans="1:12" s="23" customFormat="1" ht="15" customHeight="1" x14ac:dyDescent="0.25">
      <c r="A29" s="125" t="s">
        <v>31</v>
      </c>
      <c r="B29" s="70" t="s">
        <v>37</v>
      </c>
      <c r="C29" s="54" t="s">
        <v>2</v>
      </c>
      <c r="D29" s="55">
        <v>357500000</v>
      </c>
      <c r="E29" s="56" t="s">
        <v>3</v>
      </c>
      <c r="F29" s="57">
        <v>1</v>
      </c>
      <c r="G29" s="58">
        <f>$D29*F29</f>
        <v>357500000</v>
      </c>
    </row>
    <row r="30" spans="1:12" s="23" customFormat="1" ht="15" customHeight="1" x14ac:dyDescent="0.25">
      <c r="A30" s="126"/>
      <c r="B30" s="125" t="s">
        <v>38</v>
      </c>
      <c r="C30" s="34" t="s">
        <v>4</v>
      </c>
      <c r="D30" s="4">
        <v>8437500</v>
      </c>
      <c r="E30" s="5" t="s">
        <v>3</v>
      </c>
      <c r="F30" s="14">
        <v>1</v>
      </c>
      <c r="G30" s="15">
        <f>$D30*F30</f>
        <v>8437500</v>
      </c>
    </row>
    <row r="31" spans="1:12" s="23" customFormat="1" ht="15" customHeight="1" x14ac:dyDescent="0.25">
      <c r="A31" s="126"/>
      <c r="B31" s="126"/>
      <c r="C31" s="33" t="s">
        <v>5</v>
      </c>
      <c r="D31" s="2">
        <f>D19</f>
        <v>71000</v>
      </c>
      <c r="E31" s="3" t="s">
        <v>6</v>
      </c>
      <c r="F31" s="42">
        <v>5825.0684375838591</v>
      </c>
      <c r="G31" s="13">
        <f>$D31*F31</f>
        <v>413579859.06845403</v>
      </c>
      <c r="H31" s="120"/>
      <c r="I31" s="41"/>
      <c r="J31" s="118"/>
    </row>
    <row r="32" spans="1:12" ht="15" customHeight="1" x14ac:dyDescent="0.25">
      <c r="A32" s="126"/>
      <c r="B32" s="126"/>
      <c r="C32" s="40" t="s">
        <v>29</v>
      </c>
      <c r="D32" s="19">
        <f>D19</f>
        <v>71000</v>
      </c>
      <c r="E32" s="20" t="s">
        <v>6</v>
      </c>
      <c r="F32" s="43">
        <v>6278.7646772130029</v>
      </c>
      <c r="G32" s="21">
        <f>$D32*F32</f>
        <v>445792292.08212322</v>
      </c>
      <c r="J32" s="118"/>
    </row>
    <row r="33" spans="1:10" ht="15" customHeight="1" x14ac:dyDescent="0.25">
      <c r="A33" s="126"/>
      <c r="B33" s="126"/>
      <c r="C33" s="33" t="s">
        <v>7</v>
      </c>
      <c r="D33" s="2"/>
      <c r="E33" s="3"/>
      <c r="F33" s="35"/>
      <c r="G33" s="13">
        <v>2330505.7803468206</v>
      </c>
    </row>
    <row r="34" spans="1:10" ht="15" customHeight="1" x14ac:dyDescent="0.25">
      <c r="A34" s="126"/>
      <c r="B34" s="126"/>
      <c r="C34" s="36" t="s">
        <v>8</v>
      </c>
      <c r="D34" s="6"/>
      <c r="E34" s="7"/>
      <c r="F34" s="37"/>
      <c r="G34" s="17">
        <v>280500</v>
      </c>
    </row>
    <row r="35" spans="1:10" ht="15" customHeight="1" x14ac:dyDescent="0.25">
      <c r="A35" s="126"/>
      <c r="B35" s="126"/>
      <c r="C35" s="33" t="s">
        <v>9</v>
      </c>
      <c r="D35" s="2">
        <v>30000</v>
      </c>
      <c r="E35" s="3" t="s">
        <v>10</v>
      </c>
      <c r="F35" s="16">
        <v>81</v>
      </c>
      <c r="G35" s="13">
        <f>$D35*F35</f>
        <v>2430000</v>
      </c>
    </row>
    <row r="36" spans="1:10" ht="15" customHeight="1" x14ac:dyDescent="0.25">
      <c r="A36" s="126"/>
      <c r="B36" s="126"/>
      <c r="C36" s="36" t="s">
        <v>11</v>
      </c>
      <c r="D36" s="9">
        <v>100000</v>
      </c>
      <c r="E36" s="7" t="s">
        <v>12</v>
      </c>
      <c r="F36" s="18">
        <v>52</v>
      </c>
      <c r="G36" s="17">
        <f>$D36*F36</f>
        <v>5200000</v>
      </c>
    </row>
    <row r="37" spans="1:10" ht="15" customHeight="1" x14ac:dyDescent="0.25">
      <c r="A37" s="126"/>
      <c r="B37" s="126"/>
      <c r="C37" s="33" t="s">
        <v>34</v>
      </c>
      <c r="D37" s="46">
        <v>150000</v>
      </c>
      <c r="E37" s="3" t="s">
        <v>14</v>
      </c>
      <c r="F37" s="51">
        <v>2</v>
      </c>
      <c r="G37" s="52">
        <f>D37*F37</f>
        <v>300000</v>
      </c>
    </row>
    <row r="38" spans="1:10" ht="15" customHeight="1" x14ac:dyDescent="0.25">
      <c r="A38" s="126"/>
      <c r="B38" s="128" t="s">
        <v>39</v>
      </c>
      <c r="C38" s="80" t="s">
        <v>35</v>
      </c>
      <c r="D38" s="81">
        <f>D26</f>
        <v>71000</v>
      </c>
      <c r="E38" s="82" t="s">
        <v>6</v>
      </c>
      <c r="F38" s="108">
        <v>4907.1446250003564</v>
      </c>
      <c r="G38" s="83">
        <f>$D38*F38</f>
        <v>348407268.37502533</v>
      </c>
      <c r="H38" s="120"/>
      <c r="I38" s="89"/>
      <c r="J38" s="112"/>
    </row>
    <row r="39" spans="1:10" ht="15" customHeight="1" x14ac:dyDescent="0.25">
      <c r="A39" s="127"/>
      <c r="B39" s="132"/>
      <c r="C39" s="84" t="s">
        <v>36</v>
      </c>
      <c r="D39" s="85">
        <f>D38</f>
        <v>71000</v>
      </c>
      <c r="E39" s="86" t="s">
        <v>6</v>
      </c>
      <c r="F39" s="109">
        <v>4983.7800000003363</v>
      </c>
      <c r="G39" s="79">
        <f>D39*F39</f>
        <v>353848380.0000239</v>
      </c>
      <c r="J39" s="112"/>
    </row>
    <row r="40" spans="1:10" x14ac:dyDescent="0.25">
      <c r="A40" s="130" t="s">
        <v>32</v>
      </c>
      <c r="B40" s="131"/>
      <c r="C40" s="131"/>
      <c r="D40" s="131"/>
      <c r="E40" s="131"/>
      <c r="F40" s="38"/>
      <c r="G40" s="39">
        <f>SUM(G29:G39)</f>
        <v>1938106305.3059733</v>
      </c>
      <c r="I40" s="118"/>
    </row>
    <row r="41" spans="1:10" ht="30" customHeight="1" x14ac:dyDescent="0.25">
      <c r="A41" s="23"/>
      <c r="C41" s="23"/>
      <c r="D41" s="23"/>
      <c r="E41" s="23"/>
      <c r="F41" s="23"/>
      <c r="G41" s="110">
        <f>G28+G40</f>
        <v>3637891135.838151</v>
      </c>
    </row>
    <row r="42" spans="1:10" ht="18.75" x14ac:dyDescent="0.25">
      <c r="A42" s="44" t="s">
        <v>23</v>
      </c>
      <c r="B42" s="44"/>
      <c r="C42" s="44"/>
      <c r="D42" s="45"/>
      <c r="E42" s="45"/>
      <c r="F42" s="123">
        <f>F15</f>
        <v>43862</v>
      </c>
      <c r="G42" s="124"/>
    </row>
    <row r="43" spans="1:10" s="23" customFormat="1" x14ac:dyDescent="0.25">
      <c r="A43" s="1" t="s">
        <v>27</v>
      </c>
      <c r="B43" s="1"/>
      <c r="C43" s="1" t="s">
        <v>0</v>
      </c>
      <c r="D43" s="121" t="s">
        <v>1</v>
      </c>
      <c r="E43" s="122"/>
      <c r="F43" s="10" t="s">
        <v>15</v>
      </c>
      <c r="G43" s="11" t="s">
        <v>16</v>
      </c>
    </row>
    <row r="44" spans="1:10" s="23" customFormat="1" ht="15" customHeight="1" x14ac:dyDescent="0.25">
      <c r="A44" s="125" t="s">
        <v>28</v>
      </c>
      <c r="B44" s="70" t="s">
        <v>37</v>
      </c>
      <c r="C44" s="33" t="s">
        <v>2</v>
      </c>
      <c r="D44" s="2">
        <f>D17</f>
        <v>357500000</v>
      </c>
      <c r="E44" s="3" t="s">
        <v>3</v>
      </c>
      <c r="F44" s="12">
        <f>F17</f>
        <v>1</v>
      </c>
      <c r="G44" s="13">
        <f>$D44*F44</f>
        <v>357500000</v>
      </c>
    </row>
    <row r="45" spans="1:10" s="23" customFormat="1" ht="15" customHeight="1" x14ac:dyDescent="0.25">
      <c r="A45" s="126"/>
      <c r="B45" s="125" t="s">
        <v>38</v>
      </c>
      <c r="C45" s="90" t="s">
        <v>4</v>
      </c>
      <c r="D45" s="60">
        <f>D18</f>
        <v>8437500</v>
      </c>
      <c r="E45" s="61" t="s">
        <v>3</v>
      </c>
      <c r="F45" s="62">
        <f>F18</f>
        <v>1</v>
      </c>
      <c r="G45" s="63">
        <f>$D45*F45</f>
        <v>8437500</v>
      </c>
    </row>
    <row r="46" spans="1:10" s="23" customFormat="1" ht="15" customHeight="1" x14ac:dyDescent="0.25">
      <c r="A46" s="126"/>
      <c r="B46" s="126"/>
      <c r="C46" s="50" t="s">
        <v>5</v>
      </c>
      <c r="D46" s="2">
        <f>D19</f>
        <v>71000</v>
      </c>
      <c r="E46" s="3" t="s">
        <v>6</v>
      </c>
      <c r="F46" s="42">
        <f>F19</f>
        <v>4715.3997643416551</v>
      </c>
      <c r="G46" s="13">
        <f>$D46*F46</f>
        <v>334793383.2682575</v>
      </c>
    </row>
    <row r="47" spans="1:10" s="23" customFormat="1" ht="15.75" x14ac:dyDescent="0.25">
      <c r="A47" s="126"/>
      <c r="B47" s="126"/>
      <c r="C47" s="91" t="s">
        <v>29</v>
      </c>
      <c r="D47" s="19">
        <f>D20</f>
        <v>71000</v>
      </c>
      <c r="E47" s="20" t="s">
        <v>6</v>
      </c>
      <c r="F47" s="43">
        <f>F20-(D12/2)</f>
        <v>4804.3257066745573</v>
      </c>
      <c r="G47" s="21">
        <f>$D47*F47</f>
        <v>341107125.17389357</v>
      </c>
      <c r="H47" s="41"/>
      <c r="I47" s="41"/>
    </row>
    <row r="48" spans="1:10" s="23" customFormat="1" ht="15" customHeight="1" x14ac:dyDescent="0.25">
      <c r="A48" s="126"/>
      <c r="B48" s="126"/>
      <c r="C48" s="50" t="s">
        <v>7</v>
      </c>
      <c r="D48" s="2"/>
      <c r="E48" s="3"/>
      <c r="F48" s="35"/>
      <c r="G48" s="13">
        <f>G21</f>
        <v>21892630.057803471</v>
      </c>
    </row>
    <row r="49" spans="1:36" s="23" customFormat="1" ht="15" customHeight="1" x14ac:dyDescent="0.25">
      <c r="A49" s="126"/>
      <c r="B49" s="126"/>
      <c r="C49" s="8" t="s">
        <v>8</v>
      </c>
      <c r="D49" s="6"/>
      <c r="E49" s="7"/>
      <c r="F49" s="37"/>
      <c r="G49" s="17">
        <f>G22</f>
        <v>2032500</v>
      </c>
    </row>
    <row r="50" spans="1:36" s="23" customFormat="1" ht="15" customHeight="1" x14ac:dyDescent="0.25">
      <c r="A50" s="126"/>
      <c r="B50" s="126"/>
      <c r="C50" s="50" t="s">
        <v>9</v>
      </c>
      <c r="D50" s="2">
        <f>D23</f>
        <v>30000</v>
      </c>
      <c r="E50" s="3" t="s">
        <v>10</v>
      </c>
      <c r="F50" s="16">
        <f>F23</f>
        <v>719</v>
      </c>
      <c r="G50" s="13">
        <f>$D50*F50</f>
        <v>21570000</v>
      </c>
    </row>
    <row r="51" spans="1:36" s="23" customFormat="1" ht="15" customHeight="1" x14ac:dyDescent="0.25">
      <c r="A51" s="126"/>
      <c r="B51" s="126"/>
      <c r="C51" s="8" t="s">
        <v>11</v>
      </c>
      <c r="D51" s="9">
        <f>D24</f>
        <v>100000</v>
      </c>
      <c r="E51" s="7" t="s">
        <v>12</v>
      </c>
      <c r="F51" s="18">
        <v>81</v>
      </c>
      <c r="G51" s="17">
        <f>$D51*F51</f>
        <v>8100000</v>
      </c>
      <c r="J51" s="47"/>
    </row>
    <row r="52" spans="1:36" s="23" customFormat="1" ht="15" customHeight="1" x14ac:dyDescent="0.25">
      <c r="A52" s="126"/>
      <c r="B52" s="127"/>
      <c r="C52" s="64" t="s">
        <v>13</v>
      </c>
      <c r="D52" s="65">
        <f>D25</f>
        <v>30000</v>
      </c>
      <c r="E52" s="66" t="s">
        <v>14</v>
      </c>
      <c r="F52" s="67">
        <f>F25</f>
        <v>26</v>
      </c>
      <c r="G52" s="68">
        <f>$D52*F52</f>
        <v>780000</v>
      </c>
    </row>
    <row r="53" spans="1:36" s="53" customFormat="1" ht="15" customHeight="1" x14ac:dyDescent="0.25">
      <c r="A53" s="126"/>
      <c r="B53" s="128" t="s">
        <v>39</v>
      </c>
      <c r="C53" s="92" t="s">
        <v>35</v>
      </c>
      <c r="D53" s="93">
        <f>D26</f>
        <v>71000</v>
      </c>
      <c r="E53" s="94" t="s">
        <v>6</v>
      </c>
      <c r="F53" s="95">
        <f>F26</f>
        <v>4126.5638090117036</v>
      </c>
      <c r="G53" s="96">
        <f t="shared" ref="G53:G54" si="1">$D53*F53</f>
        <v>292986030.43983096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</row>
    <row r="54" spans="1:36" s="53" customFormat="1" ht="15" customHeight="1" x14ac:dyDescent="0.25">
      <c r="A54" s="126"/>
      <c r="B54" s="129"/>
      <c r="C54" s="97" t="s">
        <v>36</v>
      </c>
      <c r="D54" s="98">
        <f>D27</f>
        <v>71000</v>
      </c>
      <c r="E54" s="99" t="s">
        <v>6</v>
      </c>
      <c r="F54" s="106">
        <f>F27</f>
        <v>4236.5377395642117</v>
      </c>
      <c r="G54" s="107">
        <f t="shared" si="1"/>
        <v>300794179.50905901</v>
      </c>
      <c r="H54" s="7"/>
      <c r="I54" s="116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</row>
    <row r="55" spans="1:36" s="23" customFormat="1" x14ac:dyDescent="0.25">
      <c r="A55" s="130" t="s">
        <v>30</v>
      </c>
      <c r="B55" s="131"/>
      <c r="C55" s="131"/>
      <c r="D55" s="131"/>
      <c r="E55" s="131"/>
      <c r="F55" s="38"/>
      <c r="G55" s="39">
        <f>SUM(G44:G54)</f>
        <v>1689993348.4488447</v>
      </c>
    </row>
    <row r="56" spans="1:36" s="23" customFormat="1" ht="15" customHeight="1" x14ac:dyDescent="0.25">
      <c r="A56" s="125" t="s">
        <v>31</v>
      </c>
      <c r="B56" s="70" t="s">
        <v>37</v>
      </c>
      <c r="C56" s="33" t="s">
        <v>2</v>
      </c>
      <c r="D56" s="2">
        <f>D29</f>
        <v>357500000</v>
      </c>
      <c r="E56" s="3" t="s">
        <v>3</v>
      </c>
      <c r="F56" s="12">
        <f>F29</f>
        <v>1</v>
      </c>
      <c r="G56" s="13">
        <f>$D56*F56</f>
        <v>357500000</v>
      </c>
    </row>
    <row r="57" spans="1:36" s="23" customFormat="1" ht="15" customHeight="1" x14ac:dyDescent="0.25">
      <c r="A57" s="126"/>
      <c r="B57" s="125" t="s">
        <v>38</v>
      </c>
      <c r="C57" s="90" t="s">
        <v>4</v>
      </c>
      <c r="D57" s="60">
        <f t="shared" ref="D57:D59" si="2">D30</f>
        <v>8437500</v>
      </c>
      <c r="E57" s="61" t="s">
        <v>3</v>
      </c>
      <c r="F57" s="62">
        <f>F30</f>
        <v>1</v>
      </c>
      <c r="G57" s="63">
        <f>$D57*F57</f>
        <v>8437500</v>
      </c>
    </row>
    <row r="58" spans="1:36" s="23" customFormat="1" ht="15" customHeight="1" x14ac:dyDescent="0.25">
      <c r="A58" s="126"/>
      <c r="B58" s="126"/>
      <c r="C58" s="50" t="s">
        <v>5</v>
      </c>
      <c r="D58" s="2">
        <f t="shared" si="2"/>
        <v>71000</v>
      </c>
      <c r="E58" s="3" t="s">
        <v>6</v>
      </c>
      <c r="F58" s="42">
        <f>F31</f>
        <v>5825.0684375838591</v>
      </c>
      <c r="G58" s="13">
        <f>$D58*F58</f>
        <v>413579859.06845403</v>
      </c>
    </row>
    <row r="59" spans="1:36" s="23" customFormat="1" ht="15.75" x14ac:dyDescent="0.25">
      <c r="A59" s="126"/>
      <c r="B59" s="126"/>
      <c r="C59" s="91" t="s">
        <v>29</v>
      </c>
      <c r="D59" s="19">
        <f t="shared" si="2"/>
        <v>71000</v>
      </c>
      <c r="E59" s="20" t="s">
        <v>6</v>
      </c>
      <c r="F59" s="43">
        <f>F32-(D12/2)</f>
        <v>6156.3494366026744</v>
      </c>
      <c r="G59" s="21">
        <f>$D59*F59</f>
        <v>437100809.99878991</v>
      </c>
      <c r="H59" s="41"/>
      <c r="I59" s="41"/>
    </row>
    <row r="60" spans="1:36" s="23" customFormat="1" ht="15" customHeight="1" x14ac:dyDescent="0.25">
      <c r="A60" s="126"/>
      <c r="B60" s="126"/>
      <c r="C60" s="50" t="s">
        <v>7</v>
      </c>
      <c r="D60" s="2"/>
      <c r="E60" s="3"/>
      <c r="F60" s="35"/>
      <c r="G60" s="13">
        <f>G33</f>
        <v>2330505.7803468206</v>
      </c>
    </row>
    <row r="61" spans="1:36" s="23" customFormat="1" ht="15" customHeight="1" x14ac:dyDescent="0.25">
      <c r="A61" s="126"/>
      <c r="B61" s="126"/>
      <c r="C61" s="8" t="s">
        <v>8</v>
      </c>
      <c r="D61" s="6"/>
      <c r="E61" s="7"/>
      <c r="F61" s="37"/>
      <c r="G61" s="17">
        <f>G34</f>
        <v>280500</v>
      </c>
    </row>
    <row r="62" spans="1:36" s="23" customFormat="1" ht="15" customHeight="1" x14ac:dyDescent="0.25">
      <c r="A62" s="126"/>
      <c r="B62" s="126"/>
      <c r="C62" s="50" t="s">
        <v>9</v>
      </c>
      <c r="D62" s="2">
        <f t="shared" ref="D62:D66" si="3">D35</f>
        <v>30000</v>
      </c>
      <c r="E62" s="3" t="s">
        <v>10</v>
      </c>
      <c r="F62" s="16">
        <f>F35</f>
        <v>81</v>
      </c>
      <c r="G62" s="13">
        <f>$D62*F62</f>
        <v>2430000</v>
      </c>
    </row>
    <row r="63" spans="1:36" s="23" customFormat="1" ht="15" customHeight="1" x14ac:dyDescent="0.25">
      <c r="A63" s="126"/>
      <c r="B63" s="126"/>
      <c r="C63" s="8" t="s">
        <v>11</v>
      </c>
      <c r="D63" s="9">
        <f t="shared" si="3"/>
        <v>100000</v>
      </c>
      <c r="E63" s="7" t="s">
        <v>12</v>
      </c>
      <c r="F63" s="18">
        <f>F36</f>
        <v>52</v>
      </c>
      <c r="G63" s="17">
        <f>$D63*F63</f>
        <v>5200000</v>
      </c>
    </row>
    <row r="64" spans="1:36" s="23" customFormat="1" ht="15.75" customHeight="1" x14ac:dyDescent="0.25">
      <c r="A64" s="126"/>
      <c r="B64" s="126"/>
      <c r="C64" s="64" t="s">
        <v>34</v>
      </c>
      <c r="D64" s="65">
        <f t="shared" si="3"/>
        <v>150000</v>
      </c>
      <c r="E64" s="66" t="s">
        <v>14</v>
      </c>
      <c r="F64" s="67">
        <f>F37</f>
        <v>2</v>
      </c>
      <c r="G64" s="100">
        <f>D64*F64</f>
        <v>300000</v>
      </c>
    </row>
    <row r="65" spans="1:7" ht="15" customHeight="1" x14ac:dyDescent="0.25">
      <c r="A65" s="126"/>
      <c r="B65" s="128" t="s">
        <v>39</v>
      </c>
      <c r="C65" s="101" t="s">
        <v>35</v>
      </c>
      <c r="D65" s="93">
        <f t="shared" si="3"/>
        <v>71000</v>
      </c>
      <c r="E65" s="94" t="s">
        <v>6</v>
      </c>
      <c r="F65" s="102">
        <f>F38</f>
        <v>4907.1446250003564</v>
      </c>
      <c r="G65" s="96">
        <f>$D65*F65</f>
        <v>348407268.37502533</v>
      </c>
    </row>
    <row r="66" spans="1:7" ht="15" customHeight="1" x14ac:dyDescent="0.25">
      <c r="A66" s="127"/>
      <c r="B66" s="132"/>
      <c r="C66" s="103" t="s">
        <v>36</v>
      </c>
      <c r="D66" s="98">
        <f t="shared" si="3"/>
        <v>71000</v>
      </c>
      <c r="E66" s="99" t="s">
        <v>6</v>
      </c>
      <c r="F66" s="104">
        <f>F39</f>
        <v>4983.7800000003363</v>
      </c>
      <c r="G66" s="105">
        <f>D66*F66</f>
        <v>353848380.0000239</v>
      </c>
    </row>
    <row r="67" spans="1:7" s="23" customFormat="1" x14ac:dyDescent="0.25">
      <c r="A67" s="130" t="s">
        <v>32</v>
      </c>
      <c r="B67" s="131"/>
      <c r="C67" s="131"/>
      <c r="D67" s="131"/>
      <c r="E67" s="131"/>
      <c r="F67" s="38"/>
      <c r="G67" s="39">
        <f>SUM(G56:G66)</f>
        <v>1929414823.22264</v>
      </c>
    </row>
    <row r="68" spans="1:7" s="23" customFormat="1" x14ac:dyDescent="0.25"/>
    <row r="69" spans="1:7" s="23" customFormat="1" x14ac:dyDescent="0.25">
      <c r="F69" s="41">
        <f>F46+F47+F53+F54+F58+F59+F65+F66</f>
        <v>39755.169518779352</v>
      </c>
      <c r="G69" s="47">
        <f>G55+G67</f>
        <v>3619408171.6714849</v>
      </c>
    </row>
    <row r="70" spans="1:7" s="23" customFormat="1" x14ac:dyDescent="0.25"/>
    <row r="71" spans="1:7" s="23" customFormat="1" ht="15.75" hidden="1" x14ac:dyDescent="0.25">
      <c r="D71" s="23" t="s">
        <v>40</v>
      </c>
      <c r="E71" s="111"/>
      <c r="F71" s="117"/>
      <c r="G71" s="47"/>
    </row>
    <row r="72" spans="1:7" s="23" customFormat="1" hidden="1" x14ac:dyDescent="0.25">
      <c r="E72" s="111"/>
      <c r="G72" s="114"/>
    </row>
    <row r="73" spans="1:7" s="23" customFormat="1" hidden="1" x14ac:dyDescent="0.25">
      <c r="F73" s="111"/>
      <c r="G73" s="114"/>
    </row>
    <row r="74" spans="1:7" s="23" customFormat="1" hidden="1" x14ac:dyDescent="0.25">
      <c r="G74" s="115"/>
    </row>
    <row r="75" spans="1:7" s="23" customFormat="1" hidden="1" x14ac:dyDescent="0.25">
      <c r="D75" s="23" t="s">
        <v>41</v>
      </c>
      <c r="E75" s="111"/>
      <c r="G75" s="114"/>
    </row>
    <row r="76" spans="1:7" s="23" customFormat="1" x14ac:dyDescent="0.25"/>
    <row r="77" spans="1:7" s="23" customFormat="1" x14ac:dyDescent="0.25"/>
    <row r="78" spans="1:7" s="23" customFormat="1" x14ac:dyDescent="0.25"/>
    <row r="79" spans="1:7" s="23" customFormat="1" x14ac:dyDescent="0.25"/>
    <row r="80" spans="1:7" s="23" customFormat="1" x14ac:dyDescent="0.25"/>
    <row r="81" s="23" customFormat="1" x14ac:dyDescent="0.25"/>
    <row r="82" s="23" customFormat="1" x14ac:dyDescent="0.25"/>
    <row r="83" s="23" customFormat="1" x14ac:dyDescent="0.25"/>
    <row r="84" s="23" customFormat="1" x14ac:dyDescent="0.25"/>
    <row r="85" s="23" customFormat="1" x14ac:dyDescent="0.25"/>
    <row r="86" s="23" customFormat="1" x14ac:dyDescent="0.25"/>
    <row r="87" s="23" customFormat="1" x14ac:dyDescent="0.25"/>
    <row r="88" s="23" customFormat="1" x14ac:dyDescent="0.25"/>
    <row r="89" s="23" customFormat="1" x14ac:dyDescent="0.25"/>
    <row r="90" s="23" customFormat="1" x14ac:dyDescent="0.25"/>
    <row r="91" s="23" customFormat="1" x14ac:dyDescent="0.25"/>
    <row r="92" s="23" customFormat="1" x14ac:dyDescent="0.25"/>
    <row r="93" s="23" customFormat="1" x14ac:dyDescent="0.25"/>
    <row r="94" s="23" customFormat="1" x14ac:dyDescent="0.25"/>
    <row r="95" s="23" customFormat="1" x14ac:dyDescent="0.25"/>
    <row r="96" s="23" customFormat="1" x14ac:dyDescent="0.25"/>
    <row r="97" s="23" customFormat="1" x14ac:dyDescent="0.25"/>
    <row r="98" s="23" customFormat="1" x14ac:dyDescent="0.25"/>
    <row r="99" s="23" customFormat="1" x14ac:dyDescent="0.25"/>
    <row r="100" s="23" customFormat="1" x14ac:dyDescent="0.25"/>
    <row r="101" s="23" customFormat="1" x14ac:dyDescent="0.25"/>
    <row r="102" s="23" customFormat="1" x14ac:dyDescent="0.25"/>
    <row r="103" s="23" customFormat="1" x14ac:dyDescent="0.25"/>
    <row r="104" s="23" customFormat="1" x14ac:dyDescent="0.25"/>
    <row r="105" s="23" customFormat="1" x14ac:dyDescent="0.25"/>
    <row r="106" s="23" customFormat="1" x14ac:dyDescent="0.25"/>
    <row r="107" s="23" customFormat="1" x14ac:dyDescent="0.25"/>
    <row r="108" s="23" customFormat="1" x14ac:dyDescent="0.25"/>
    <row r="109" s="23" customFormat="1" x14ac:dyDescent="0.25"/>
    <row r="110" s="23" customFormat="1" x14ac:dyDescent="0.25"/>
    <row r="111" s="23" customFormat="1" x14ac:dyDescent="0.25"/>
    <row r="112" s="23" customFormat="1" x14ac:dyDescent="0.25"/>
    <row r="113" s="23" customFormat="1" x14ac:dyDescent="0.25"/>
    <row r="114" s="23" customFormat="1" x14ac:dyDescent="0.25"/>
    <row r="115" s="23" customFormat="1" x14ac:dyDescent="0.25"/>
    <row r="116" s="23" customFormat="1" x14ac:dyDescent="0.25"/>
    <row r="117" s="23" customFormat="1" x14ac:dyDescent="0.25"/>
    <row r="118" s="23" customFormat="1" x14ac:dyDescent="0.25"/>
    <row r="119" s="23" customFormat="1" x14ac:dyDescent="0.25"/>
    <row r="120" s="23" customFormat="1" x14ac:dyDescent="0.25"/>
    <row r="121" s="23" customFormat="1" x14ac:dyDescent="0.25"/>
    <row r="122" s="23" customFormat="1" x14ac:dyDescent="0.25"/>
    <row r="123" s="23" customFormat="1" x14ac:dyDescent="0.25"/>
    <row r="124" s="23" customFormat="1" x14ac:dyDescent="0.25"/>
    <row r="125" s="23" customFormat="1" x14ac:dyDescent="0.25"/>
    <row r="126" s="23" customFormat="1" x14ac:dyDescent="0.25"/>
    <row r="127" s="23" customFormat="1" x14ac:dyDescent="0.25"/>
    <row r="128" s="23" customFormat="1" x14ac:dyDescent="0.25"/>
    <row r="129" s="23" customFormat="1" x14ac:dyDescent="0.25"/>
    <row r="130" s="23" customFormat="1" x14ac:dyDescent="0.25"/>
    <row r="131" s="23" customFormat="1" x14ac:dyDescent="0.25"/>
    <row r="132" s="23" customFormat="1" x14ac:dyDescent="0.25"/>
    <row r="133" s="23" customFormat="1" x14ac:dyDescent="0.25"/>
    <row r="134" s="23" customFormat="1" x14ac:dyDescent="0.25"/>
    <row r="135" s="23" customFormat="1" x14ac:dyDescent="0.25"/>
    <row r="136" s="23" customFormat="1" x14ac:dyDescent="0.25"/>
    <row r="137" s="23" customFormat="1" x14ac:dyDescent="0.25"/>
    <row r="138" s="23" customFormat="1" x14ac:dyDescent="0.25"/>
    <row r="139" s="23" customFormat="1" x14ac:dyDescent="0.25"/>
    <row r="140" s="23" customFormat="1" x14ac:dyDescent="0.25"/>
    <row r="141" s="23" customFormat="1" x14ac:dyDescent="0.25"/>
    <row r="142" s="23" customFormat="1" x14ac:dyDescent="0.25"/>
    <row r="143" s="23" customFormat="1" x14ac:dyDescent="0.25"/>
    <row r="144" s="23" customFormat="1" x14ac:dyDescent="0.25"/>
    <row r="145" s="23" customFormat="1" x14ac:dyDescent="0.25"/>
    <row r="146" s="23" customFormat="1" x14ac:dyDescent="0.25"/>
    <row r="147" s="23" customFormat="1" x14ac:dyDescent="0.25"/>
    <row r="148" s="23" customFormat="1" x14ac:dyDescent="0.25"/>
    <row r="149" s="23" customFormat="1" x14ac:dyDescent="0.25"/>
    <row r="150" s="23" customFormat="1" x14ac:dyDescent="0.25"/>
    <row r="151" s="23" customFormat="1" x14ac:dyDescent="0.25"/>
    <row r="152" s="23" customFormat="1" x14ac:dyDescent="0.25"/>
    <row r="153" s="23" customFormat="1" x14ac:dyDescent="0.25"/>
    <row r="154" s="23" customFormat="1" x14ac:dyDescent="0.25"/>
    <row r="155" s="23" customFormat="1" x14ac:dyDescent="0.25"/>
    <row r="156" s="23" customFormat="1" x14ac:dyDescent="0.25"/>
    <row r="157" s="23" customFormat="1" x14ac:dyDescent="0.25"/>
    <row r="158" s="23" customFormat="1" x14ac:dyDescent="0.25"/>
    <row r="159" s="23" customFormat="1" x14ac:dyDescent="0.25"/>
    <row r="160" s="23" customFormat="1" x14ac:dyDescent="0.25"/>
    <row r="161" s="23" customFormat="1" x14ac:dyDescent="0.25"/>
    <row r="162" s="23" customFormat="1" x14ac:dyDescent="0.25"/>
    <row r="163" s="23" customFormat="1" x14ac:dyDescent="0.25"/>
    <row r="164" s="23" customFormat="1" x14ac:dyDescent="0.25"/>
    <row r="165" s="23" customFormat="1" x14ac:dyDescent="0.25"/>
    <row r="166" s="23" customFormat="1" x14ac:dyDescent="0.25"/>
    <row r="167" s="23" customFormat="1" x14ac:dyDescent="0.25"/>
    <row r="168" s="23" customFormat="1" x14ac:dyDescent="0.25"/>
    <row r="169" s="23" customFormat="1" x14ac:dyDescent="0.25"/>
    <row r="170" s="23" customFormat="1" x14ac:dyDescent="0.25"/>
    <row r="171" s="23" customFormat="1" x14ac:dyDescent="0.25"/>
  </sheetData>
  <mergeCells count="20">
    <mergeCell ref="A67:E67"/>
    <mergeCell ref="A44:A54"/>
    <mergeCell ref="B45:B52"/>
    <mergeCell ref="B53:B54"/>
    <mergeCell ref="A55:E55"/>
    <mergeCell ref="A56:A66"/>
    <mergeCell ref="B57:B64"/>
    <mergeCell ref="B65:B66"/>
    <mergeCell ref="D43:E43"/>
    <mergeCell ref="F15:G15"/>
    <mergeCell ref="D16:E16"/>
    <mergeCell ref="A17:A27"/>
    <mergeCell ref="B18:B25"/>
    <mergeCell ref="B26:B27"/>
    <mergeCell ref="A28:E28"/>
    <mergeCell ref="A29:A39"/>
    <mergeCell ref="B30:B37"/>
    <mergeCell ref="B38:B39"/>
    <mergeCell ref="A40:E40"/>
    <mergeCell ref="F42:G42"/>
  </mergeCells>
  <printOptions horizontalCentered="1"/>
  <pageMargins left="0.31496062992125984" right="0.31496062992125984" top="0.74803149606299213" bottom="0.74803149606299213" header="0.31496062992125984" footer="0.31496062992125984"/>
  <pageSetup paperSize="14"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Summary round to min.</vt:lpstr>
      <vt:lpstr>'Summary round to min.'!Print_Area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Arfianto</dc:creator>
  <cp:lastModifiedBy>Andy Arfianto</cp:lastModifiedBy>
  <cp:lastPrinted>2019-05-27T09:29:38Z</cp:lastPrinted>
  <dcterms:created xsi:type="dcterms:W3CDTF">2018-09-27T07:19:48Z</dcterms:created>
  <dcterms:modified xsi:type="dcterms:W3CDTF">2020-02-27T02:48:20Z</dcterms:modified>
</cp:coreProperties>
</file>