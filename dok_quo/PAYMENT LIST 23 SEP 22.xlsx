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285"/>
  </bookViews>
  <sheets>
    <sheet name="23 SEP OPR" sheetId="1" r:id="rId1"/>
  </sheets>
  <definedNames>
    <definedName name="_xlnm._FilterDatabase" localSheetId="0" hidden="1">'23 SEP OPR'!$A$8:$T$29</definedName>
    <definedName name="_xlnm.Print_Area" localSheetId="0">'23 SEP OPR'!$A$1:$F$19</definedName>
    <definedName name="_xlnm.Print_Titles" localSheetId="0">'23 SEP OPR'!$1:$8</definedName>
  </definedNames>
  <calcPr calcId="144525"/>
</workbook>
</file>

<file path=xl/calcChain.xml><?xml version="1.0" encoding="utf-8"?>
<calcChain xmlns="http://schemas.openxmlformats.org/spreadsheetml/2006/main">
  <c r="F18" i="1" l="1"/>
  <c r="Q17" i="1"/>
  <c r="K17" i="1"/>
  <c r="J17" i="1"/>
  <c r="Q16" i="1"/>
  <c r="K16" i="1"/>
  <c r="J16" i="1"/>
  <c r="Q15" i="1"/>
  <c r="K15" i="1"/>
  <c r="J15" i="1"/>
  <c r="Q14" i="1"/>
  <c r="K14" i="1"/>
  <c r="J14" i="1"/>
  <c r="Q13" i="1"/>
  <c r="M13" i="1"/>
  <c r="M14" i="1" s="1"/>
  <c r="K13" i="1"/>
  <c r="J13" i="1"/>
  <c r="F12" i="1"/>
  <c r="F19" i="1" s="1"/>
  <c r="S11" i="1"/>
  <c r="Q11" i="1"/>
  <c r="K11" i="1"/>
  <c r="J11" i="1"/>
  <c r="I11" i="1"/>
  <c r="A11" i="1"/>
  <c r="P11" i="1" s="1"/>
  <c r="S10" i="1"/>
  <c r="A10" i="1" s="1"/>
  <c r="P10" i="1" s="1"/>
  <c r="Q10" i="1"/>
  <c r="K10" i="1"/>
  <c r="J10" i="1"/>
  <c r="S9" i="1"/>
  <c r="Q9" i="1"/>
  <c r="P9" i="1"/>
  <c r="K9" i="1"/>
  <c r="J9" i="1"/>
  <c r="A9" i="1"/>
  <c r="M15" i="1" l="1"/>
  <c r="S14" i="1"/>
  <c r="A14" i="1" s="1"/>
  <c r="P14" i="1" s="1"/>
  <c r="S13" i="1"/>
  <c r="A13" i="1" s="1"/>
  <c r="P13" i="1" s="1"/>
  <c r="M16" i="1" l="1"/>
  <c r="S15" i="1"/>
  <c r="A15" i="1" s="1"/>
  <c r="P15" i="1" s="1"/>
  <c r="M17" i="1" l="1"/>
  <c r="S17" i="1" s="1"/>
  <c r="A17" i="1" s="1"/>
  <c r="P17" i="1" s="1"/>
  <c r="S16" i="1"/>
  <c r="A16" i="1" s="1"/>
  <c r="P16" i="1" s="1"/>
</calcChain>
</file>

<file path=xl/sharedStrings.xml><?xml version="1.0" encoding="utf-8"?>
<sst xmlns="http://schemas.openxmlformats.org/spreadsheetml/2006/main" count="89" uniqueCount="47">
  <si>
    <t>PT. SEMARANG AUTOCOMP MANUFACTURING INDONESIA</t>
  </si>
  <si>
    <t>PAYMENT LIST by BANK TRANSFER</t>
  </si>
  <si>
    <t>BANK NAME : MANDIRI</t>
  </si>
  <si>
    <t>DATE : 23-SEPTEMBER-2022</t>
  </si>
  <si>
    <t>DATA UNTUK PAYMENT ORACLE</t>
  </si>
  <si>
    <t>VOUCHER NO.</t>
  </si>
  <si>
    <t>INV. NUMBER</t>
  </si>
  <si>
    <t>SUPPLIER</t>
  </si>
  <si>
    <t>DESCRIPTION</t>
  </si>
  <si>
    <t>CUR</t>
  </si>
  <si>
    <t>AMOUNT</t>
  </si>
  <si>
    <t>Trading Partner</t>
  </si>
  <si>
    <t>Amount</t>
  </si>
  <si>
    <t>Cash Code</t>
  </si>
  <si>
    <t>VP No</t>
  </si>
  <si>
    <t>Description</t>
  </si>
  <si>
    <t>Invoice no</t>
  </si>
  <si>
    <t>Voucher no</t>
  </si>
  <si>
    <t>024/PUM/0922</t>
  </si>
  <si>
    <t>PGA</t>
  </si>
  <si>
    <t>REWARD KAIZEN P. SEPT 22</t>
  </si>
  <si>
    <t>IDR</t>
  </si>
  <si>
    <t>fa_03@sami-jf.co.id</t>
  </si>
  <si>
    <t>039</t>
  </si>
  <si>
    <t xml:space="preserve"> </t>
  </si>
  <si>
    <t>^</t>
  </si>
  <si>
    <t>/0922/MANDIRI-JF/K</t>
  </si>
  <si>
    <t>025/PUM/0922</t>
  </si>
  <si>
    <t>ENTERTAINT TRAINING DAMKAR P. 28-30 SEPT  22</t>
  </si>
  <si>
    <t>040</t>
  </si>
  <si>
    <t>026/PUM/0922</t>
  </si>
  <si>
    <t>ENTERTAINT BEA CUKAI</t>
  </si>
  <si>
    <t>041</t>
  </si>
  <si>
    <t>PGA Total</t>
  </si>
  <si>
    <t>JF073-EHL-2209-JPR</t>
  </si>
  <si>
    <t>BEA CUKAI</t>
  </si>
  <si>
    <t>PIB SCRAP JF073-EHL-2209-JPR</t>
  </si>
  <si>
    <t>JF074-EHL-2209-JPR</t>
  </si>
  <si>
    <t>PIB SCRAP JF074-EHL-2209-JPR</t>
  </si>
  <si>
    <t>SJDD22192B</t>
  </si>
  <si>
    <t>PIB DOMESTIK FINISH GOOD SJDD22192B</t>
  </si>
  <si>
    <t>SJDD22190B</t>
  </si>
  <si>
    <t>PIB DOMESTIK FINISH GOOD SJDD22190B</t>
  </si>
  <si>
    <t>SJDD22191B</t>
  </si>
  <si>
    <t>PIB DOMESTIK FINISH GOOD SJDD22191B</t>
  </si>
  <si>
    <t>BEA CUKAI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</si>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</sst>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0000000000000000000_);_(* \(#,##0.0000000000000000000000\);_(* &quot;-&quot;??_);_(@_)"/>
    <numFmt numFmtId="166" formatCode="_-* #,##0_-;\-* #,##0_-;_-* &quot;-&quot;_-;_-@_-"/>
    <numFmt numFmtId="167" formatCode="_-* #,##0.00_-;\-* #,##0.00_-;_-* &quot;-&quot;??_-;_-@_-"/>
    <numFmt numFmtId="168" formatCode="#,##0.00\ ;&quot; (&quot;#,##0.00\);&quot; -&quot;#\ ;@\ "/>
    <numFmt numFmtId="169" formatCode="mmmm\-yy"/>
    <numFmt numFmtId="170" formatCode="_(&quot;Rp&quot;* #.##0_);_(&quot;Rp&quot;* \(#.##0\);_(&quot;Rp&quot;* &quot;-&quot;_);_(@_)"/>
    <numFmt numFmtId="171" formatCode="_-* #,##0.00\ _B_F_-;\-* #,##0.00\ _B_F_-;_-* &quot;-&quot;??\ _B_F_-;_-@_-"/>
    <numFmt numFmtId="172" formatCode="\$#,##0.00;[Red]\-\$#,##0.00"/>
    <numFmt numFmtId="173" formatCode="&quot;S/&quot;#,##0;[Red]&quot;S/&quot;\-#,##0"/>
    <numFmt numFmtId="174" formatCode="_-* #,##0\ _B_F_-;\-* #,##0\ _B_F_-;_-* &quot;-&quot;\ _B_F_-;_-@_-"/>
    <numFmt numFmtId="175" formatCode="[$€]#,##0.00;[Red]\-[$€]#,##0.00"/>
    <numFmt numFmtId="176" formatCode="0.00_)"/>
    <numFmt numFmtId="177" formatCode="0%_);\(0%\)"/>
    <numFmt numFmtId="178" formatCode="_-&quot;£&quot;* #,##0_-;\-&quot;£&quot;* #,##0_-;_-&quot;£&quot;* &quot;-&quot;_-;_-@_-"/>
    <numFmt numFmtId="179" formatCode="_-&quot;£&quot;* #,##0.00_-;\-&quot;£&quot;* #,##0.00_-;_-&quot;£&quot;* &quot;-&quot;??_-;_-@_-"/>
  </numFmts>
  <fonts count="10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theme="1"/>
      <name val="Consolas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Consolas"/>
      <family val="2"/>
    </font>
    <font>
      <sz val="11"/>
      <color indexed="9"/>
      <name val="Calibri"/>
      <family val="2"/>
    </font>
    <font>
      <sz val="11"/>
      <color theme="0"/>
      <name val="Calibri"/>
      <family val="2"/>
      <charset val="1"/>
      <scheme val="minor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sz val="11"/>
      <color rgb="FF9C0006"/>
      <name val="Consolas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charset val="1"/>
      <scheme val="minor"/>
    </font>
    <font>
      <b/>
      <sz val="9"/>
      <name val="BANGKOK"/>
      <family val="1"/>
    </font>
    <font>
      <b/>
      <sz val="11"/>
      <color rgb="FFFA7D00"/>
      <name val="Consolas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charset val="1"/>
      <scheme val="minor"/>
    </font>
    <font>
      <b/>
      <sz val="10"/>
      <name val="Helv"/>
      <family val="2"/>
    </font>
    <font>
      <b/>
      <sz val="11"/>
      <color theme="0"/>
      <name val="Consolas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</font>
    <font>
      <sz val="10"/>
      <name val="Tahoma"/>
      <family val="2"/>
    </font>
    <font>
      <sz val="10"/>
      <name val="Times New Roman"/>
      <family val="1"/>
    </font>
    <font>
      <sz val="12"/>
      <name val="Arial Narrow"/>
      <family val="2"/>
    </font>
    <font>
      <sz val="11"/>
      <name val="明朝"/>
      <family val="1"/>
      <charset val="128"/>
    </font>
    <font>
      <i/>
      <sz val="11"/>
      <color rgb="FF7F7F7F"/>
      <name val="Consolas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onsolas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charset val="1"/>
      <scheme val="minor"/>
    </font>
    <font>
      <sz val="8"/>
      <name val="Arial"/>
      <family val="2"/>
    </font>
    <font>
      <b/>
      <sz val="12"/>
      <name val="Helv"/>
      <family val="2"/>
    </font>
    <font>
      <b/>
      <sz val="15"/>
      <color theme="3"/>
      <name val="Consolas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onsolas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onsolas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charset val="1"/>
      <scheme val="minor"/>
    </font>
    <font>
      <u/>
      <sz val="11"/>
      <color indexed="12"/>
      <name val="ＭＳ ゴシック"/>
      <family val="3"/>
      <charset val="128"/>
    </font>
    <font>
      <sz val="11"/>
      <color rgb="FF3F3F76"/>
      <name val="Consolas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charset val="1"/>
      <scheme val="minor"/>
    </font>
    <font>
      <sz val="11"/>
      <color rgb="FFFA7D00"/>
      <name val="Consolas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charset val="1"/>
      <scheme val="minor"/>
    </font>
    <font>
      <b/>
      <sz val="11"/>
      <name val="Helv"/>
      <family val="2"/>
    </font>
    <font>
      <sz val="11"/>
      <color rgb="FF9C6500"/>
      <name val="Consolas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charset val="1"/>
      <scheme val="minor"/>
    </font>
    <font>
      <b/>
      <i/>
      <sz val="16"/>
      <name val="Helv"/>
      <family val="2"/>
    </font>
    <font>
      <sz val="11"/>
      <name val="ＭＳ ゴシック"/>
      <family val="3"/>
      <charset val="128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color rgb="FF3F3F3F"/>
      <name val="Consolas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charset val="1"/>
      <scheme val="minor"/>
    </font>
    <font>
      <sz val="9"/>
      <color indexed="8"/>
      <name val="Arial Narrow"/>
      <family val="2"/>
    </font>
    <font>
      <sz val="10"/>
      <color indexed="8"/>
      <name val="MS Sans Serif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onsolas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onsolas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charset val="1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4"/>
      <name val="Cordia New"/>
      <family val="2"/>
      <charset val="222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1" fillId="10" borderId="0" applyNumberFormat="0" applyBorder="0" applyAlignment="0" applyProtection="0"/>
    <xf numFmtId="0" fontId="12" fillId="36" borderId="0" applyNumberFormat="0" applyBorder="0" applyAlignment="0" applyProtection="0"/>
    <xf numFmtId="0" fontId="13" fillId="10" borderId="0" applyNumberFormat="0" applyBorder="0" applyAlignment="0" applyProtection="0"/>
    <xf numFmtId="0" fontId="11" fillId="14" borderId="0" applyNumberFormat="0" applyBorder="0" applyAlignment="0" applyProtection="0"/>
    <xf numFmtId="0" fontId="12" fillId="37" borderId="0" applyNumberFormat="0" applyBorder="0" applyAlignment="0" applyProtection="0"/>
    <xf numFmtId="0" fontId="13" fillId="14" borderId="0" applyNumberFormat="0" applyBorder="0" applyAlignment="0" applyProtection="0"/>
    <xf numFmtId="0" fontId="11" fillId="18" borderId="0" applyNumberFormat="0" applyBorder="0" applyAlignment="0" applyProtection="0"/>
    <xf numFmtId="0" fontId="12" fillId="38" borderId="0" applyNumberFormat="0" applyBorder="0" applyAlignment="0" applyProtection="0"/>
    <xf numFmtId="0" fontId="13" fillId="18" borderId="0" applyNumberFormat="0" applyBorder="0" applyAlignment="0" applyProtection="0"/>
    <xf numFmtId="0" fontId="11" fillId="22" borderId="0" applyNumberFormat="0" applyBorder="0" applyAlignment="0" applyProtection="0"/>
    <xf numFmtId="0" fontId="12" fillId="39" borderId="0" applyNumberFormat="0" applyBorder="0" applyAlignment="0" applyProtection="0"/>
    <xf numFmtId="0" fontId="13" fillId="22" borderId="0" applyNumberFormat="0" applyBorder="0" applyAlignment="0" applyProtection="0"/>
    <xf numFmtId="0" fontId="11" fillId="26" borderId="0" applyNumberFormat="0" applyBorder="0" applyAlignment="0" applyProtection="0"/>
    <xf numFmtId="0" fontId="12" fillId="40" borderId="0" applyNumberFormat="0" applyBorder="0" applyAlignment="0" applyProtection="0"/>
    <xf numFmtId="0" fontId="13" fillId="26" borderId="0" applyNumberFormat="0" applyBorder="0" applyAlignment="0" applyProtection="0"/>
    <xf numFmtId="0" fontId="11" fillId="30" borderId="0" applyNumberFormat="0" applyBorder="0" applyAlignment="0" applyProtection="0"/>
    <xf numFmtId="0" fontId="12" fillId="41" borderId="0" applyNumberFormat="0" applyBorder="0" applyAlignment="0" applyProtection="0"/>
    <xf numFmtId="0" fontId="13" fillId="30" borderId="0" applyNumberFormat="0" applyBorder="0" applyAlignment="0" applyProtection="0"/>
    <xf numFmtId="0" fontId="14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12" fillId="42" borderId="0" applyNumberFormat="0" applyBorder="0" applyAlignment="0" applyProtection="0"/>
    <xf numFmtId="0" fontId="13" fillId="11" borderId="0" applyNumberFormat="0" applyBorder="0" applyAlignment="0" applyProtection="0"/>
    <xf numFmtId="0" fontId="11" fillId="15" borderId="0" applyNumberFormat="0" applyBorder="0" applyAlignment="0" applyProtection="0"/>
    <xf numFmtId="0" fontId="12" fillId="43" borderId="0" applyNumberFormat="0" applyBorder="0" applyAlignment="0" applyProtection="0"/>
    <xf numFmtId="0" fontId="13" fillId="15" borderId="0" applyNumberFormat="0" applyBorder="0" applyAlignment="0" applyProtection="0"/>
    <xf numFmtId="0" fontId="11" fillId="19" borderId="0" applyNumberFormat="0" applyBorder="0" applyAlignment="0" applyProtection="0"/>
    <xf numFmtId="0" fontId="12" fillId="44" borderId="0" applyNumberFormat="0" applyBorder="0" applyAlignment="0" applyProtection="0"/>
    <xf numFmtId="0" fontId="13" fillId="19" borderId="0" applyNumberFormat="0" applyBorder="0" applyAlignment="0" applyProtection="0"/>
    <xf numFmtId="0" fontId="11" fillId="23" borderId="0" applyNumberFormat="0" applyBorder="0" applyAlignment="0" applyProtection="0"/>
    <xf numFmtId="0" fontId="12" fillId="39" borderId="0" applyNumberFormat="0" applyBorder="0" applyAlignment="0" applyProtection="0"/>
    <xf numFmtId="0" fontId="13" fillId="23" borderId="0" applyNumberFormat="0" applyBorder="0" applyAlignment="0" applyProtection="0"/>
    <xf numFmtId="0" fontId="11" fillId="27" borderId="0" applyNumberFormat="0" applyBorder="0" applyAlignment="0" applyProtection="0"/>
    <xf numFmtId="0" fontId="12" fillId="42" borderId="0" applyNumberFormat="0" applyBorder="0" applyAlignment="0" applyProtection="0"/>
    <xf numFmtId="0" fontId="13" fillId="27" borderId="0" applyNumberFormat="0" applyBorder="0" applyAlignment="0" applyProtection="0"/>
    <xf numFmtId="0" fontId="11" fillId="31" borderId="0" applyNumberFormat="0" applyBorder="0" applyAlignment="0" applyProtection="0"/>
    <xf numFmtId="0" fontId="12" fillId="45" borderId="0" applyNumberFormat="0" applyBorder="0" applyAlignment="0" applyProtection="0"/>
    <xf numFmtId="0" fontId="13" fillId="31" borderId="0" applyNumberFormat="0" applyBorder="0" applyAlignment="0" applyProtection="0"/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5" fillId="12" borderId="0" applyNumberFormat="0" applyBorder="0" applyAlignment="0" applyProtection="0"/>
    <xf numFmtId="0" fontId="16" fillId="46" borderId="0" applyNumberFormat="0" applyBorder="0" applyAlignment="0" applyProtection="0"/>
    <xf numFmtId="0" fontId="17" fillId="12" borderId="0" applyNumberFormat="0" applyBorder="0" applyAlignment="0" applyProtection="0"/>
    <xf numFmtId="0" fontId="15" fillId="16" borderId="0" applyNumberFormat="0" applyBorder="0" applyAlignment="0" applyProtection="0"/>
    <xf numFmtId="0" fontId="16" fillId="43" borderId="0" applyNumberFormat="0" applyBorder="0" applyAlignment="0" applyProtection="0"/>
    <xf numFmtId="0" fontId="17" fillId="16" borderId="0" applyNumberFormat="0" applyBorder="0" applyAlignment="0" applyProtection="0"/>
    <xf numFmtId="0" fontId="15" fillId="20" borderId="0" applyNumberFormat="0" applyBorder="0" applyAlignment="0" applyProtection="0"/>
    <xf numFmtId="0" fontId="16" fillId="44" borderId="0" applyNumberFormat="0" applyBorder="0" applyAlignment="0" applyProtection="0"/>
    <xf numFmtId="0" fontId="17" fillId="20" borderId="0" applyNumberFormat="0" applyBorder="0" applyAlignment="0" applyProtection="0"/>
    <xf numFmtId="0" fontId="15" fillId="24" borderId="0" applyNumberFormat="0" applyBorder="0" applyAlignment="0" applyProtection="0"/>
    <xf numFmtId="0" fontId="16" fillId="47" borderId="0" applyNumberFormat="0" applyBorder="0" applyAlignment="0" applyProtection="0"/>
    <xf numFmtId="0" fontId="17" fillId="24" borderId="0" applyNumberFormat="0" applyBorder="0" applyAlignment="0" applyProtection="0"/>
    <xf numFmtId="0" fontId="15" fillId="28" borderId="0" applyNumberFormat="0" applyBorder="0" applyAlignment="0" applyProtection="0"/>
    <xf numFmtId="0" fontId="16" fillId="48" borderId="0" applyNumberFormat="0" applyBorder="0" applyAlignment="0" applyProtection="0"/>
    <xf numFmtId="0" fontId="17" fillId="28" borderId="0" applyNumberFormat="0" applyBorder="0" applyAlignment="0" applyProtection="0"/>
    <xf numFmtId="0" fontId="15" fillId="32" borderId="0" applyNumberFormat="0" applyBorder="0" applyAlignment="0" applyProtection="0"/>
    <xf numFmtId="0" fontId="16" fillId="49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5" fillId="9" borderId="0" applyNumberFormat="0" applyBorder="0" applyAlignment="0" applyProtection="0"/>
    <xf numFmtId="0" fontId="16" fillId="50" borderId="0" applyNumberFormat="0" applyBorder="0" applyAlignment="0" applyProtection="0"/>
    <xf numFmtId="0" fontId="17" fillId="9" borderId="0" applyNumberFormat="0" applyBorder="0" applyAlignment="0" applyProtection="0"/>
    <xf numFmtId="0" fontId="15" fillId="13" borderId="0" applyNumberFormat="0" applyBorder="0" applyAlignment="0" applyProtection="0"/>
    <xf numFmtId="0" fontId="3" fillId="13" borderId="0" applyNumberFormat="0" applyBorder="0" applyAlignment="0" applyProtection="0"/>
    <xf numFmtId="0" fontId="16" fillId="51" borderId="0" applyNumberFormat="0" applyBorder="0" applyAlignment="0" applyProtection="0"/>
    <xf numFmtId="0" fontId="17" fillId="13" borderId="0" applyNumberFormat="0" applyBorder="0" applyAlignment="0" applyProtection="0"/>
    <xf numFmtId="0" fontId="15" fillId="17" borderId="0" applyNumberFormat="0" applyBorder="0" applyAlignment="0" applyProtection="0"/>
    <xf numFmtId="0" fontId="16" fillId="52" borderId="0" applyNumberFormat="0" applyBorder="0" applyAlignment="0" applyProtection="0"/>
    <xf numFmtId="0" fontId="17" fillId="17" borderId="0" applyNumberFormat="0" applyBorder="0" applyAlignment="0" applyProtection="0"/>
    <xf numFmtId="0" fontId="15" fillId="21" borderId="0" applyNumberFormat="0" applyBorder="0" applyAlignment="0" applyProtection="0"/>
    <xf numFmtId="0" fontId="16" fillId="47" borderId="0" applyNumberFormat="0" applyBorder="0" applyAlignment="0" applyProtection="0"/>
    <xf numFmtId="0" fontId="17" fillId="21" borderId="0" applyNumberFormat="0" applyBorder="0" applyAlignment="0" applyProtection="0"/>
    <xf numFmtId="0" fontId="15" fillId="25" borderId="0" applyNumberFormat="0" applyBorder="0" applyAlignment="0" applyProtection="0"/>
    <xf numFmtId="0" fontId="16" fillId="48" borderId="0" applyNumberFormat="0" applyBorder="0" applyAlignment="0" applyProtection="0"/>
    <xf numFmtId="0" fontId="17" fillId="25" borderId="0" applyNumberFormat="0" applyBorder="0" applyAlignment="0" applyProtection="0"/>
    <xf numFmtId="0" fontId="15" fillId="29" borderId="0" applyNumberFormat="0" applyBorder="0" applyAlignment="0" applyProtection="0"/>
    <xf numFmtId="0" fontId="16" fillId="53" borderId="0" applyNumberFormat="0" applyBorder="0" applyAlignment="0" applyProtection="0"/>
    <xf numFmtId="0" fontId="17" fillId="29" borderId="0" applyNumberFormat="0" applyBorder="0" applyAlignment="0" applyProtection="0"/>
    <xf numFmtId="0" fontId="20" fillId="3" borderId="0" applyNumberFormat="0" applyBorder="0" applyAlignment="0" applyProtection="0"/>
    <xf numFmtId="0" fontId="21" fillId="37" borderId="0" applyNumberFormat="0" applyBorder="0" applyAlignment="0" applyProtection="0"/>
    <xf numFmtId="0" fontId="22" fillId="3" borderId="0" applyNumberFormat="0" applyBorder="0" applyAlignment="0" applyProtection="0"/>
    <xf numFmtId="0" fontId="23" fillId="0" borderId="0" applyNumberFormat="0" applyAlignment="0">
      <alignment horizontal="left" vertical="center"/>
    </xf>
    <xf numFmtId="0" fontId="23" fillId="0" borderId="0" applyNumberFormat="0" applyAlignment="0">
      <alignment horizontal="left" vertical="center"/>
    </xf>
    <xf numFmtId="0" fontId="24" fillId="6" borderId="4" applyNumberFormat="0" applyAlignment="0" applyProtection="0"/>
    <xf numFmtId="0" fontId="25" fillId="54" borderId="11" applyNumberFormat="0" applyAlignment="0" applyProtection="0"/>
    <xf numFmtId="0" fontId="26" fillId="6" borderId="4" applyNumberFormat="0" applyAlignment="0" applyProtection="0"/>
    <xf numFmtId="0" fontId="27" fillId="0" borderId="0"/>
    <xf numFmtId="0" fontId="27" fillId="0" borderId="0"/>
    <xf numFmtId="0" fontId="28" fillId="7" borderId="7" applyNumberFormat="0" applyAlignment="0" applyProtection="0"/>
    <xf numFmtId="0" fontId="29" fillId="55" borderId="12" applyNumberFormat="0" applyAlignment="0" applyProtection="0"/>
    <xf numFmtId="0" fontId="30" fillId="7" borderId="7" applyNumberFormat="0" applyAlignment="0" applyProtection="0"/>
    <xf numFmtId="41" fontId="3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ill="0" applyBorder="0" applyAlignment="0" applyProtection="0"/>
    <xf numFmtId="167" fontId="12" fillId="0" borderId="0" applyFont="0" applyFill="0" applyBorder="0" applyAlignment="0" applyProtection="0"/>
    <xf numFmtId="0" fontId="32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3" fontId="4" fillId="0" borderId="0" applyFont="0" applyFill="0" applyBorder="0" applyAlignment="0" applyProtection="0"/>
    <xf numFmtId="172" fontId="33" fillId="0" borderId="0">
      <alignment horizontal="center"/>
    </xf>
    <xf numFmtId="0" fontId="32" fillId="0" borderId="0" applyFill="0" applyBorder="0" applyAlignment="0" applyProtection="0"/>
    <xf numFmtId="17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34" fillId="0" borderId="0" applyFont="0" applyFill="0" applyBorder="0" applyAlignment="0" applyProtection="0"/>
    <xf numFmtId="171" fontId="34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2" fontId="4" fillId="0" borderId="0" applyFont="0" applyFill="0" applyBorder="0" applyAlignment="0" applyProtection="0"/>
    <xf numFmtId="0" fontId="39" fillId="2" borderId="0" applyNumberFormat="0" applyBorder="0" applyAlignment="0" applyProtection="0"/>
    <xf numFmtId="0" fontId="40" fillId="38" borderId="0" applyNumberFormat="0" applyBorder="0" applyAlignment="0" applyProtection="0"/>
    <xf numFmtId="0" fontId="41" fillId="2" borderId="0" applyNumberFormat="0" applyBorder="0" applyAlignment="0" applyProtection="0"/>
    <xf numFmtId="38" fontId="42" fillId="56" borderId="0" applyNumberFormat="0" applyBorder="0" applyAlignment="0" applyProtection="0"/>
    <xf numFmtId="38" fontId="42" fillId="56" borderId="0" applyNumberFormat="0" applyBorder="0" applyAlignment="0" applyProtection="0"/>
    <xf numFmtId="0" fontId="43" fillId="0" borderId="0">
      <alignment horizontal="left"/>
    </xf>
    <xf numFmtId="0" fontId="43" fillId="0" borderId="0">
      <alignment horizontal="left"/>
    </xf>
    <xf numFmtId="14" fontId="5" fillId="57" borderId="13">
      <alignment horizontal="center" vertical="center" wrapText="1"/>
    </xf>
    <xf numFmtId="0" fontId="44" fillId="0" borderId="1" applyNumberFormat="0" applyFill="0" applyAlignment="0" applyProtection="0"/>
    <xf numFmtId="0" fontId="45" fillId="0" borderId="14" applyNumberFormat="0" applyFill="0" applyAlignment="0" applyProtection="0"/>
    <xf numFmtId="0" fontId="46" fillId="0" borderId="1" applyNumberFormat="0" applyFill="0" applyAlignment="0" applyProtection="0"/>
    <xf numFmtId="0" fontId="47" fillId="0" borderId="2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50" fillId="0" borderId="3" applyNumberFormat="0" applyFill="0" applyAlignment="0" applyProtection="0"/>
    <xf numFmtId="0" fontId="51" fillId="0" borderId="16" applyNumberFormat="0" applyFill="0" applyAlignment="0" applyProtection="0"/>
    <xf numFmtId="0" fontId="52" fillId="0" borderId="3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10" fontId="42" fillId="56" borderId="10" applyNumberFormat="0" applyBorder="0" applyAlignment="0" applyProtection="0"/>
    <xf numFmtId="10" fontId="42" fillId="56" borderId="10" applyNumberFormat="0" applyBorder="0" applyAlignment="0" applyProtection="0"/>
    <xf numFmtId="0" fontId="54" fillId="5" borderId="4" applyNumberFormat="0" applyAlignment="0" applyProtection="0"/>
    <xf numFmtId="0" fontId="55" fillId="41" borderId="11" applyNumberFormat="0" applyAlignment="0" applyProtection="0"/>
    <xf numFmtId="0" fontId="56" fillId="5" borderId="4" applyNumberFormat="0" applyAlignment="0" applyProtection="0"/>
    <xf numFmtId="0" fontId="57" fillId="0" borderId="6" applyNumberFormat="0" applyFill="0" applyAlignment="0" applyProtection="0"/>
    <xf numFmtId="0" fontId="58" fillId="0" borderId="17" applyNumberFormat="0" applyFill="0" applyAlignment="0" applyProtection="0"/>
    <xf numFmtId="0" fontId="59" fillId="0" borderId="6" applyNumberFormat="0" applyFill="0" applyAlignment="0" applyProtection="0"/>
    <xf numFmtId="38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60" fillId="0" borderId="13"/>
    <xf numFmtId="0" fontId="60" fillId="0" borderId="13"/>
    <xf numFmtId="6" fontId="19" fillId="0" borderId="0" applyFont="0" applyFill="0" applyBorder="0" applyAlignment="0" applyProtection="0"/>
    <xf numFmtId="8" fontId="19" fillId="0" borderId="0" applyFont="0" applyFill="0" applyBorder="0" applyAlignment="0" applyProtection="0"/>
    <xf numFmtId="0" fontId="61" fillId="4" borderId="0" applyNumberFormat="0" applyBorder="0" applyAlignment="0" applyProtection="0"/>
    <xf numFmtId="0" fontId="62" fillId="58" borderId="0" applyNumberFormat="0" applyBorder="0" applyAlignment="0" applyProtection="0"/>
    <xf numFmtId="0" fontId="63" fillId="4" borderId="0" applyNumberFormat="0" applyBorder="0" applyAlignment="0" applyProtection="0"/>
    <xf numFmtId="176" fontId="64" fillId="0" borderId="0"/>
    <xf numFmtId="176" fontId="64" fillId="0" borderId="0"/>
    <xf numFmtId="0" fontId="4" fillId="0" borderId="0"/>
    <xf numFmtId="0" fontId="4" fillId="0" borderId="0"/>
    <xf numFmtId="0" fontId="1" fillId="0" borderId="0"/>
    <xf numFmtId="0" fontId="1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65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6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1" fillId="0" borderId="0"/>
    <xf numFmtId="0" fontId="4" fillId="59" borderId="18" applyNumberFormat="0" applyFont="0" applyAlignment="0" applyProtection="0"/>
    <xf numFmtId="0" fontId="11" fillId="8" borderId="8" applyNumberFormat="0" applyFont="0" applyAlignment="0" applyProtection="0"/>
    <xf numFmtId="0" fontId="4" fillId="59" borderId="18" applyNumberFormat="0" applyFont="0" applyAlignment="0" applyProtection="0"/>
    <xf numFmtId="0" fontId="4" fillId="59" borderId="18" applyNumberFormat="0" applyFont="0" applyAlignment="0" applyProtection="0"/>
    <xf numFmtId="0" fontId="4" fillId="59" borderId="18" applyNumberFormat="0" applyFont="0" applyAlignment="0" applyProtection="0"/>
    <xf numFmtId="0" fontId="13" fillId="8" borderId="8" applyNumberFormat="0" applyFont="0" applyAlignment="0" applyProtection="0"/>
    <xf numFmtId="0" fontId="68" fillId="6" borderId="5" applyNumberFormat="0" applyAlignment="0" applyProtection="0"/>
    <xf numFmtId="0" fontId="69" fillId="54" borderId="19" applyNumberFormat="0" applyAlignment="0" applyProtection="0"/>
    <xf numFmtId="0" fontId="70" fillId="6" borderId="5" applyNumberFormat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71" fillId="0" borderId="20" applyNumberFormat="0" applyBorder="0" applyAlignment="0"/>
    <xf numFmtId="0" fontId="72" fillId="0" borderId="0" applyNumberFormat="0" applyFont="0" applyFill="0" applyBorder="0" applyAlignment="0" applyProtection="0"/>
    <xf numFmtId="0" fontId="60" fillId="0" borderId="0"/>
    <xf numFmtId="0" fontId="60" fillId="0" borderId="0"/>
    <xf numFmtId="0" fontId="73" fillId="0" borderId="0" applyFill="0" applyBorder="0" applyProtection="0">
      <alignment horizontal="left" vertical="top"/>
    </xf>
    <xf numFmtId="0" fontId="2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9" applyNumberFormat="0" applyFill="0" applyAlignment="0" applyProtection="0"/>
    <xf numFmtId="0" fontId="77" fillId="0" borderId="21" applyNumberFormat="0" applyFill="0" applyAlignment="0" applyProtection="0"/>
    <xf numFmtId="0" fontId="78" fillId="0" borderId="9" applyNumberFormat="0" applyFill="0" applyAlignment="0" applyProtection="0"/>
    <xf numFmtId="0" fontId="71" fillId="60" borderId="20" applyNumberFormat="0" applyBorder="0" applyAlignment="0">
      <protection locked="0"/>
    </xf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8" fillId="50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55" borderId="12" applyNumberFormat="0" applyAlignment="0" applyProtection="0">
      <alignment vertical="center"/>
    </xf>
    <xf numFmtId="0" fontId="84" fillId="58" borderId="0" applyNumberFormat="0" applyBorder="0" applyAlignment="0" applyProtection="0">
      <alignment vertical="center"/>
    </xf>
    <xf numFmtId="9" fontId="85" fillId="0" borderId="0" applyFont="0" applyFill="0" applyBorder="0" applyAlignment="0" applyProtection="0">
      <alignment vertical="center"/>
    </xf>
    <xf numFmtId="0" fontId="4" fillId="59" borderId="18" applyNumberFormat="0" applyFont="0" applyAlignment="0" applyProtection="0">
      <alignment vertical="center"/>
    </xf>
    <xf numFmtId="0" fontId="86" fillId="0" borderId="17" applyNumberFormat="0" applyFill="0" applyAlignment="0" applyProtection="0">
      <alignment vertical="center"/>
    </xf>
    <xf numFmtId="0" fontId="87" fillId="0" borderId="0"/>
    <xf numFmtId="0" fontId="88" fillId="41" borderId="11" applyNumberFormat="0" applyAlignment="0" applyProtection="0">
      <alignment vertical="center"/>
    </xf>
    <xf numFmtId="0" fontId="89" fillId="54" borderId="19" applyNumberFormat="0" applyAlignment="0" applyProtection="0">
      <alignment vertical="center"/>
    </xf>
    <xf numFmtId="0" fontId="90" fillId="37" borderId="0" applyNumberFormat="0" applyBorder="0" applyAlignment="0" applyProtection="0">
      <alignment vertical="center"/>
    </xf>
    <xf numFmtId="38" fontId="85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0" fontId="91" fillId="0" borderId="0"/>
    <xf numFmtId="0" fontId="92" fillId="38" borderId="0" applyNumberFormat="0" applyBorder="0" applyAlignment="0" applyProtection="0">
      <alignment vertical="center"/>
    </xf>
    <xf numFmtId="0" fontId="93" fillId="0" borderId="14" applyNumberFormat="0" applyFill="0" applyAlignment="0" applyProtection="0">
      <alignment vertical="center"/>
    </xf>
    <xf numFmtId="0" fontId="94" fillId="0" borderId="15" applyNumberFormat="0" applyFill="0" applyAlignment="0" applyProtection="0">
      <alignment vertical="center"/>
    </xf>
    <xf numFmtId="0" fontId="95" fillId="0" borderId="16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54" borderId="11" applyNumberForma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21" applyNumberFormat="0" applyFill="0" applyAlignment="0" applyProtection="0">
      <alignment vertical="center"/>
    </xf>
  </cellStyleXfs>
  <cellXfs count="37">
    <xf numFmtId="0" fontId="0" fillId="0" borderId="0" xfId="0"/>
    <xf numFmtId="0" fontId="5" fillId="0" borderId="0" xfId="2" applyFont="1" applyFill="1" applyAlignment="1">
      <alignment horizontal="left"/>
    </xf>
    <xf numFmtId="0" fontId="4" fillId="0" borderId="0" xfId="2" applyFont="1" applyFill="1"/>
    <xf numFmtId="0" fontId="6" fillId="0" borderId="0" xfId="2" applyFont="1" applyFill="1"/>
    <xf numFmtId="0" fontId="7" fillId="0" borderId="0" xfId="2" applyFont="1" applyFill="1"/>
    <xf numFmtId="0" fontId="6" fillId="33" borderId="0" xfId="2" applyFont="1" applyFill="1"/>
    <xf numFmtId="3" fontId="6" fillId="0" borderId="0" xfId="2" applyNumberFormat="1" applyFont="1" applyFill="1"/>
    <xf numFmtId="0" fontId="8" fillId="0" borderId="0" xfId="2" applyFont="1" applyFill="1" applyAlignment="1">
      <alignment horizontal="left"/>
    </xf>
    <xf numFmtId="0" fontId="6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left"/>
    </xf>
    <xf numFmtId="0" fontId="6" fillId="0" borderId="0" xfId="2" applyFont="1" applyFill="1" applyAlignment="1">
      <alignment horizontal="center"/>
    </xf>
    <xf numFmtId="4" fontId="6" fillId="0" borderId="0" xfId="2" applyNumberFormat="1" applyFont="1" applyFill="1"/>
    <xf numFmtId="0" fontId="5" fillId="0" borderId="10" xfId="2" applyFont="1" applyFill="1" applyBorder="1" applyAlignment="1">
      <alignment horizontal="center" vertical="center"/>
    </xf>
    <xf numFmtId="43" fontId="5" fillId="0" borderId="10" xfId="3" applyFont="1" applyFill="1" applyBorder="1" applyAlignment="1">
      <alignment horizontal="center" vertical="center"/>
    </xf>
    <xf numFmtId="4" fontId="6" fillId="0" borderId="0" xfId="2" applyNumberFormat="1" applyFont="1" applyFill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6" fillId="33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left" vertical="center"/>
    </xf>
    <xf numFmtId="0" fontId="6" fillId="0" borderId="10" xfId="2" applyFont="1" applyFill="1" applyBorder="1" applyAlignment="1">
      <alignment horizontal="center" vertical="center"/>
    </xf>
    <xf numFmtId="0" fontId="4" fillId="0" borderId="10" xfId="2" applyFont="1" applyFill="1" applyBorder="1" applyAlignment="1">
      <alignment horizontal="left" vertical="center"/>
    </xf>
    <xf numFmtId="0" fontId="6" fillId="0" borderId="10" xfId="2" applyFont="1" applyFill="1" applyBorder="1" applyAlignment="1">
      <alignment horizontal="left" vertical="center"/>
    </xf>
    <xf numFmtId="164" fontId="7" fillId="0" borderId="10" xfId="3" applyNumberFormat="1" applyFont="1" applyFill="1" applyBorder="1" applyAlignment="1">
      <alignment horizontal="left" vertical="center"/>
    </xf>
    <xf numFmtId="0" fontId="6" fillId="34" borderId="0" xfId="2" quotePrefix="1" applyFont="1" applyFill="1" applyAlignment="1">
      <alignment horizontal="center" vertical="center" wrapText="1"/>
    </xf>
    <xf numFmtId="0" fontId="6" fillId="35" borderId="0" xfId="2" quotePrefix="1" applyFont="1" applyFill="1" applyAlignment="1">
      <alignment horizontal="center" vertical="center"/>
    </xf>
    <xf numFmtId="43" fontId="6" fillId="0" borderId="0" xfId="2" applyNumberFormat="1" applyFont="1" applyFill="1" applyAlignment="1">
      <alignment vertical="center"/>
    </xf>
    <xf numFmtId="0" fontId="6" fillId="33" borderId="0" xfId="2" quotePrefix="1" applyFont="1" applyFill="1" applyAlignment="1">
      <alignment horizontal="center" vertical="center"/>
    </xf>
    <xf numFmtId="0" fontId="6" fillId="34" borderId="0" xfId="2" quotePrefix="1" applyFont="1" applyFill="1" applyAlignment="1">
      <alignment horizontal="center" vertical="center"/>
    </xf>
    <xf numFmtId="0" fontId="5" fillId="0" borderId="10" xfId="2" applyFont="1" applyFill="1" applyBorder="1" applyAlignment="1">
      <alignment horizontal="left" vertical="center"/>
    </xf>
    <xf numFmtId="164" fontId="10" fillId="0" borderId="10" xfId="3" applyNumberFormat="1" applyFont="1" applyFill="1" applyBorder="1" applyAlignment="1">
      <alignment horizontal="left" vertical="center"/>
    </xf>
    <xf numFmtId="164" fontId="6" fillId="34" borderId="0" xfId="2" quotePrefix="1" applyNumberFormat="1" applyFont="1" applyFill="1" applyAlignment="1">
      <alignment horizontal="center" vertical="center"/>
    </xf>
    <xf numFmtId="0" fontId="6" fillId="0" borderId="0" xfId="2" quotePrefix="1" applyFont="1" applyFill="1" applyAlignment="1">
      <alignment horizontal="center"/>
    </xf>
    <xf numFmtId="15" fontId="4" fillId="0" borderId="0" xfId="2" applyNumberFormat="1" applyFont="1" applyFill="1"/>
    <xf numFmtId="43" fontId="0" fillId="0" borderId="0" xfId="1" applyFont="1" applyFill="1"/>
    <xf numFmtId="165" fontId="6" fillId="0" borderId="0" xfId="2" applyNumberFormat="1" applyFont="1" applyFill="1"/>
    <xf numFmtId="43" fontId="6" fillId="0" borderId="0" xfId="1" applyFont="1" applyFill="1"/>
    <xf numFmtId="43" fontId="7" fillId="0" borderId="0" xfId="1" applyFont="1" applyFill="1"/>
    <xf numFmtId="43" fontId="6" fillId="0" borderId="0" xfId="2" applyNumberFormat="1" applyFont="1" applyFill="1" applyAlignment="1">
      <alignment horizontal="center" vertical="center"/>
    </xf>
  </cellXfs>
  <cellStyles count="456">
    <cellStyle name="20% - Accent1 2" xfId="4"/>
    <cellStyle name="20% - Accent1 3" xfId="5"/>
    <cellStyle name="20% - Accent1 4" xfId="6"/>
    <cellStyle name="20% - Accent2 2" xfId="7"/>
    <cellStyle name="20% - Accent2 3" xfId="8"/>
    <cellStyle name="20% - Accent2 4" xfId="9"/>
    <cellStyle name="20% - Accent3 2" xfId="10"/>
    <cellStyle name="20% - Accent3 3" xfId="11"/>
    <cellStyle name="20% - Accent3 4" xfId="12"/>
    <cellStyle name="20% - Accent4 2" xfId="13"/>
    <cellStyle name="20% - Accent4 3" xfId="14"/>
    <cellStyle name="20% - Accent4 4" xfId="15"/>
    <cellStyle name="20% - Accent5 2" xfId="16"/>
    <cellStyle name="20% - Accent5 3" xfId="17"/>
    <cellStyle name="20% - Accent5 4" xfId="18"/>
    <cellStyle name="20% - Accent6 2" xfId="19"/>
    <cellStyle name="20% - Accent6 3" xfId="20"/>
    <cellStyle name="20% - Accent6 4" xfId="21"/>
    <cellStyle name="20% - アクセント 1" xfId="22"/>
    <cellStyle name="20% - アクセント 2" xfId="23"/>
    <cellStyle name="20% - アクセント 3" xfId="24"/>
    <cellStyle name="20% - アクセント 4" xfId="25"/>
    <cellStyle name="20% - アクセント 5" xfId="26"/>
    <cellStyle name="20% - アクセント 6" xfId="27"/>
    <cellStyle name="40% - Accent1 2" xfId="28"/>
    <cellStyle name="40% - Accent1 3" xfId="29"/>
    <cellStyle name="40% - Accent1 4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4 2" xfId="37"/>
    <cellStyle name="40% - Accent4 3" xfId="38"/>
    <cellStyle name="40% - Accent4 4" xfId="39"/>
    <cellStyle name="40% - Accent5 2" xfId="40"/>
    <cellStyle name="40% - Accent5 3" xfId="41"/>
    <cellStyle name="40% - Accent5 4" xfId="42"/>
    <cellStyle name="40% - Accent6 2" xfId="43"/>
    <cellStyle name="40% - Accent6 3" xfId="44"/>
    <cellStyle name="40% - Accent6 4" xfId="45"/>
    <cellStyle name="40% - アクセント 1" xfId="46"/>
    <cellStyle name="40% - アクセント 2" xfId="47"/>
    <cellStyle name="40% - アクセント 3" xfId="48"/>
    <cellStyle name="40% - アクセント 4" xfId="49"/>
    <cellStyle name="40% - アクセント 5" xfId="50"/>
    <cellStyle name="40% - アクセント 6" xfId="51"/>
    <cellStyle name="60% - Accent1 2" xfId="52"/>
    <cellStyle name="60% - Accent1 3" xfId="53"/>
    <cellStyle name="60% - Accent1 4" xfId="54"/>
    <cellStyle name="60% - Accent2 2" xfId="55"/>
    <cellStyle name="60% - Accent2 3" xfId="56"/>
    <cellStyle name="60% - Accent2 4" xfId="57"/>
    <cellStyle name="60% - Accent3 2" xfId="58"/>
    <cellStyle name="60% - Accent3 3" xfId="59"/>
    <cellStyle name="60% - Accent3 4" xfId="60"/>
    <cellStyle name="60% - Accent4 2" xfId="61"/>
    <cellStyle name="60% - Accent4 3" xfId="62"/>
    <cellStyle name="60% - Accent4 4" xfId="63"/>
    <cellStyle name="60% - Accent5 2" xfId="64"/>
    <cellStyle name="60% - Accent5 3" xfId="65"/>
    <cellStyle name="60% - Accent5 4" xfId="66"/>
    <cellStyle name="60% - Accent6 2" xfId="67"/>
    <cellStyle name="60% - Accent6 3" xfId="68"/>
    <cellStyle name="60% - Accent6 4" xfId="69"/>
    <cellStyle name="60% - アクセント 1" xfId="70"/>
    <cellStyle name="60% - アクセント 2" xfId="71"/>
    <cellStyle name="60% - アクセント 3" xfId="72"/>
    <cellStyle name="60% - アクセント 4" xfId="73"/>
    <cellStyle name="60% - アクセント 5" xfId="74"/>
    <cellStyle name="60% - アクセント 6" xfId="75"/>
    <cellStyle name="75" xfId="76"/>
    <cellStyle name="75%" xfId="77"/>
    <cellStyle name="75_01_Dec_2006(KTS)" xfId="78"/>
    <cellStyle name="Accent1 2" xfId="79"/>
    <cellStyle name="Accent1 3" xfId="80"/>
    <cellStyle name="Accent1 4" xfId="81"/>
    <cellStyle name="Accent2 2" xfId="82"/>
    <cellStyle name="Accent2 2 2" xfId="83"/>
    <cellStyle name="Accent2 3" xfId="84"/>
    <cellStyle name="Accent2 4" xfId="85"/>
    <cellStyle name="Accent3 2" xfId="86"/>
    <cellStyle name="Accent3 3" xfId="87"/>
    <cellStyle name="Accent3 4" xfId="88"/>
    <cellStyle name="Accent4 2" xfId="89"/>
    <cellStyle name="Accent4 3" xfId="90"/>
    <cellStyle name="Accent4 4" xfId="91"/>
    <cellStyle name="Accent5 2" xfId="92"/>
    <cellStyle name="Accent5 3" xfId="93"/>
    <cellStyle name="Accent5 4" xfId="94"/>
    <cellStyle name="Accent6 2" xfId="95"/>
    <cellStyle name="Accent6 3" xfId="96"/>
    <cellStyle name="Accent6 4" xfId="97"/>
    <cellStyle name="Bad 2" xfId="98"/>
    <cellStyle name="Bad 3" xfId="99"/>
    <cellStyle name="Bad 4" xfId="100"/>
    <cellStyle name="BANGKOK" xfId="101"/>
    <cellStyle name="BANGKOK 2" xfId="102"/>
    <cellStyle name="Calculation 2" xfId="103"/>
    <cellStyle name="Calculation 3" xfId="104"/>
    <cellStyle name="Calculation 4" xfId="105"/>
    <cellStyle name="category" xfId="106"/>
    <cellStyle name="category 2" xfId="107"/>
    <cellStyle name="Check Cell 2" xfId="108"/>
    <cellStyle name="Check Cell 3" xfId="109"/>
    <cellStyle name="Check Cell 4" xfId="110"/>
    <cellStyle name="Comma" xfId="1" builtinId="3"/>
    <cellStyle name="Comma [0] 2" xfId="111"/>
    <cellStyle name="Comma [0] 2 2" xfId="112"/>
    <cellStyle name="Comma [0] 3" xfId="113"/>
    <cellStyle name="Comma [0] 4" xfId="114"/>
    <cellStyle name="Comma [0] 5" xfId="115"/>
    <cellStyle name="Comma [0] 6" xfId="116"/>
    <cellStyle name="Comma [0] 6 2" xfId="117"/>
    <cellStyle name="Comma [0] 7" xfId="118"/>
    <cellStyle name="Comma 10" xfId="119"/>
    <cellStyle name="Comma 11" xfId="120"/>
    <cellStyle name="Comma 11 2" xfId="121"/>
    <cellStyle name="Comma 12" xfId="122"/>
    <cellStyle name="Comma 12 2" xfId="123"/>
    <cellStyle name="Comma 13" xfId="124"/>
    <cellStyle name="Comma 13 2" xfId="125"/>
    <cellStyle name="Comma 13 3" xfId="126"/>
    <cellStyle name="Comma 14" xfId="127"/>
    <cellStyle name="Comma 14 2" xfId="128"/>
    <cellStyle name="Comma 15" xfId="129"/>
    <cellStyle name="Comma 15 2" xfId="130"/>
    <cellStyle name="Comma 16" xfId="131"/>
    <cellStyle name="Comma 17" xfId="132"/>
    <cellStyle name="Comma 18" xfId="133"/>
    <cellStyle name="Comma 19" xfId="134"/>
    <cellStyle name="Comma 2" xfId="3"/>
    <cellStyle name="Comma 2 2" xfId="135"/>
    <cellStyle name="Comma 2 3" xfId="136"/>
    <cellStyle name="Comma 2 4" xfId="137"/>
    <cellStyle name="Comma 2 5" xfId="138"/>
    <cellStyle name="Comma 20" xfId="139"/>
    <cellStyle name="Comma 21" xfId="140"/>
    <cellStyle name="Comma 22" xfId="141"/>
    <cellStyle name="Comma 23" xfId="142"/>
    <cellStyle name="Comma 24" xfId="143"/>
    <cellStyle name="Comma 25" xfId="144"/>
    <cellStyle name="Comma 26" xfId="145"/>
    <cellStyle name="Comma 27" xfId="146"/>
    <cellStyle name="Comma 28" xfId="147"/>
    <cellStyle name="Comma 29" xfId="148"/>
    <cellStyle name="Comma 3" xfId="149"/>
    <cellStyle name="Comma 3 2" xfId="150"/>
    <cellStyle name="Comma 3 2 2" xfId="151"/>
    <cellStyle name="Comma 3 2 3" xfId="152"/>
    <cellStyle name="Comma 3 2 4" xfId="153"/>
    <cellStyle name="Comma 3 3" xfId="154"/>
    <cellStyle name="Comma 3 4" xfId="155"/>
    <cellStyle name="Comma 3 5" xfId="156"/>
    <cellStyle name="Comma 30" xfId="157"/>
    <cellStyle name="Comma 31" xfId="158"/>
    <cellStyle name="Comma 32" xfId="159"/>
    <cellStyle name="Comma 33" xfId="160"/>
    <cellStyle name="Comma 34" xfId="161"/>
    <cellStyle name="Comma 35" xfId="162"/>
    <cellStyle name="Comma 36" xfId="163"/>
    <cellStyle name="Comma 37" xfId="164"/>
    <cellStyle name="Comma 38" xfId="165"/>
    <cellStyle name="Comma 39" xfId="166"/>
    <cellStyle name="Comma 4" xfId="167"/>
    <cellStyle name="Comma 4 2" xfId="168"/>
    <cellStyle name="Comma 4 2 2" xfId="169"/>
    <cellStyle name="Comma 4 3" xfId="170"/>
    <cellStyle name="Comma 4 4" xfId="171"/>
    <cellStyle name="Comma 4 5" xfId="172"/>
    <cellStyle name="Comma 40" xfId="173"/>
    <cellStyle name="Comma 41" xfId="174"/>
    <cellStyle name="Comma 42" xfId="175"/>
    <cellStyle name="Comma 43" xfId="176"/>
    <cellStyle name="Comma 44" xfId="177"/>
    <cellStyle name="Comma 45" xfId="178"/>
    <cellStyle name="Comma 46" xfId="179"/>
    <cellStyle name="Comma 47" xfId="180"/>
    <cellStyle name="Comma 48" xfId="181"/>
    <cellStyle name="Comma 49" xfId="182"/>
    <cellStyle name="Comma 5" xfId="183"/>
    <cellStyle name="Comma 5 2" xfId="184"/>
    <cellStyle name="Comma 50" xfId="185"/>
    <cellStyle name="Comma 51" xfId="186"/>
    <cellStyle name="Comma 52" xfId="187"/>
    <cellStyle name="Comma 53" xfId="188"/>
    <cellStyle name="Comma 54" xfId="189"/>
    <cellStyle name="Comma 55" xfId="190"/>
    <cellStyle name="Comma 56" xfId="191"/>
    <cellStyle name="Comma 57" xfId="192"/>
    <cellStyle name="Comma 58" xfId="193"/>
    <cellStyle name="Comma 59" xfId="194"/>
    <cellStyle name="Comma 6" xfId="195"/>
    <cellStyle name="Comma 6 2" xfId="196"/>
    <cellStyle name="Comma 60" xfId="197"/>
    <cellStyle name="Comma 61" xfId="198"/>
    <cellStyle name="Comma 62" xfId="199"/>
    <cellStyle name="Comma 63" xfId="200"/>
    <cellStyle name="Comma 64" xfId="201"/>
    <cellStyle name="Comma 65" xfId="202"/>
    <cellStyle name="Comma 66" xfId="203"/>
    <cellStyle name="Comma 67" xfId="204"/>
    <cellStyle name="Comma 68" xfId="205"/>
    <cellStyle name="Comma 69" xfId="206"/>
    <cellStyle name="Comma 7" xfId="207"/>
    <cellStyle name="Comma 7 2" xfId="208"/>
    <cellStyle name="Comma 70" xfId="209"/>
    <cellStyle name="Comma 71" xfId="210"/>
    <cellStyle name="Comma 72" xfId="211"/>
    <cellStyle name="Comma 73" xfId="212"/>
    <cellStyle name="Comma 74" xfId="213"/>
    <cellStyle name="Comma 75" xfId="214"/>
    <cellStyle name="Comma 76" xfId="215"/>
    <cellStyle name="Comma 77" xfId="216"/>
    <cellStyle name="Comma 78" xfId="217"/>
    <cellStyle name="Comma 79" xfId="218"/>
    <cellStyle name="Comma 8" xfId="219"/>
    <cellStyle name="Comma 8 2" xfId="220"/>
    <cellStyle name="Comma 80" xfId="221"/>
    <cellStyle name="Comma 81" xfId="222"/>
    <cellStyle name="Comma 82" xfId="223"/>
    <cellStyle name="Comma 83" xfId="224"/>
    <cellStyle name="Comma 84" xfId="225"/>
    <cellStyle name="Comma 85" xfId="226"/>
    <cellStyle name="Comma 86" xfId="227"/>
    <cellStyle name="Comma 87" xfId="228"/>
    <cellStyle name="Comma 88" xfId="229"/>
    <cellStyle name="Comma 89" xfId="230"/>
    <cellStyle name="Comma 9" xfId="231"/>
    <cellStyle name="Comma 90" xfId="232"/>
    <cellStyle name="Comma 91" xfId="233"/>
    <cellStyle name="Comma 92" xfId="234"/>
    <cellStyle name="Comma0" xfId="235"/>
    <cellStyle name="Currency $" xfId="236"/>
    <cellStyle name="Currency 2" xfId="237"/>
    <cellStyle name="Currency0" xfId="238"/>
    <cellStyle name="Date" xfId="239"/>
    <cellStyle name="Dezimal [0]_Mondeo" xfId="240"/>
    <cellStyle name="Dezimal_Mondeo" xfId="241"/>
    <cellStyle name="Euro" xfId="242"/>
    <cellStyle name="Explanatory Text 2" xfId="243"/>
    <cellStyle name="Explanatory Text 3" xfId="244"/>
    <cellStyle name="Explanatory Text 4" xfId="245"/>
    <cellStyle name="Fixed" xfId="246"/>
    <cellStyle name="Good 2" xfId="247"/>
    <cellStyle name="Good 3" xfId="248"/>
    <cellStyle name="Good 4" xfId="249"/>
    <cellStyle name="Grey" xfId="250"/>
    <cellStyle name="Grey 2" xfId="251"/>
    <cellStyle name="HEADER" xfId="252"/>
    <cellStyle name="HEADER 2" xfId="253"/>
    <cellStyle name="Heading" xfId="254"/>
    <cellStyle name="Heading 1 2" xfId="255"/>
    <cellStyle name="Heading 1 3" xfId="256"/>
    <cellStyle name="Heading 1 4" xfId="257"/>
    <cellStyle name="Heading 2 2" xfId="258"/>
    <cellStyle name="Heading 2 3" xfId="259"/>
    <cellStyle name="Heading 2 4" xfId="260"/>
    <cellStyle name="Heading 3 2" xfId="261"/>
    <cellStyle name="Heading 3 3" xfId="262"/>
    <cellStyle name="Heading 3 4" xfId="263"/>
    <cellStyle name="Heading 4 2" xfId="264"/>
    <cellStyle name="Heading 4 3" xfId="265"/>
    <cellStyle name="Heading 4 4" xfId="266"/>
    <cellStyle name="Hyperlink 2" xfId="267"/>
    <cellStyle name="Input [yellow]" xfId="268"/>
    <cellStyle name="Input [yellow] 2" xfId="269"/>
    <cellStyle name="Input 2" xfId="270"/>
    <cellStyle name="Input 3" xfId="271"/>
    <cellStyle name="Input 4" xfId="272"/>
    <cellStyle name="Linked Cell 2" xfId="273"/>
    <cellStyle name="Linked Cell 3" xfId="274"/>
    <cellStyle name="Linked Cell 4" xfId="275"/>
    <cellStyle name="Milliers [0]_AR1194" xfId="276"/>
    <cellStyle name="Milliers_AR1194" xfId="277"/>
    <cellStyle name="Model" xfId="278"/>
    <cellStyle name="Model 2" xfId="279"/>
    <cellStyle name="Mon騁aire [0]_AR1194" xfId="280"/>
    <cellStyle name="Mon騁aire_AR1194" xfId="281"/>
    <cellStyle name="Neutral 2" xfId="282"/>
    <cellStyle name="Neutral 3" xfId="283"/>
    <cellStyle name="Neutral 4" xfId="284"/>
    <cellStyle name="Normal" xfId="0" builtinId="0"/>
    <cellStyle name="Normal - Style1" xfId="285"/>
    <cellStyle name="Normal - Style1 2" xfId="286"/>
    <cellStyle name="Normal 10" xfId="287"/>
    <cellStyle name="Normal 11" xfId="288"/>
    <cellStyle name="Normal 11 2" xfId="289"/>
    <cellStyle name="Normal 11 2 2" xfId="290"/>
    <cellStyle name="Normal 11 3" xfId="291"/>
    <cellStyle name="Normal 11 3 2" xfId="292"/>
    <cellStyle name="Normal 12" xfId="293"/>
    <cellStyle name="Normal 12 2" xfId="294"/>
    <cellStyle name="Normal 12 3" xfId="295"/>
    <cellStyle name="Normal 13" xfId="296"/>
    <cellStyle name="Normal 13 2" xfId="297"/>
    <cellStyle name="Normal 13 3" xfId="298"/>
    <cellStyle name="Normal 14" xfId="299"/>
    <cellStyle name="Normal 15" xfId="300"/>
    <cellStyle name="Normal 16" xfId="301"/>
    <cellStyle name="Normal 17" xfId="302"/>
    <cellStyle name="Normal 18" xfId="303"/>
    <cellStyle name="Normal 19" xfId="304"/>
    <cellStyle name="Normal 2" xfId="2"/>
    <cellStyle name="Normal 2 10 2" xfId="305"/>
    <cellStyle name="Normal 2 10 2 2" xfId="306"/>
    <cellStyle name="Normal 2 2" xfId="307"/>
    <cellStyle name="Normal 2 2 2" xfId="308"/>
    <cellStyle name="Normal 2 3" xfId="309"/>
    <cellStyle name="Normal 2 4" xfId="310"/>
    <cellStyle name="Normal 2 4 2" xfId="311"/>
    <cellStyle name="Normal 2 5" xfId="312"/>
    <cellStyle name="Normal 2 6" xfId="313"/>
    <cellStyle name="Normal 2 7" xfId="314"/>
    <cellStyle name="Normal 2_02.(FORMAT)FormB-C-D Fin R1" xfId="315"/>
    <cellStyle name="Normal 20" xfId="316"/>
    <cellStyle name="Normal 21" xfId="317"/>
    <cellStyle name="Normal 22" xfId="318"/>
    <cellStyle name="Normal 23" xfId="319"/>
    <cellStyle name="Normal 24" xfId="320"/>
    <cellStyle name="Normal 25" xfId="321"/>
    <cellStyle name="Normal 26" xfId="322"/>
    <cellStyle name="Normal 27" xfId="323"/>
    <cellStyle name="Normal 28" xfId="324"/>
    <cellStyle name="Normal 29" xfId="325"/>
    <cellStyle name="Normal 3" xfId="326"/>
    <cellStyle name="Normal 3 2" xfId="327"/>
    <cellStyle name="Normal 3 2 12" xfId="328"/>
    <cellStyle name="Normal 3 2 2" xfId="329"/>
    <cellStyle name="Normal 3 3" xfId="330"/>
    <cellStyle name="Normal 3 4" xfId="331"/>
    <cellStyle name="Normal 30" xfId="332"/>
    <cellStyle name="Normal 31" xfId="333"/>
    <cellStyle name="Normal 32" xfId="334"/>
    <cellStyle name="Normal 33" xfId="335"/>
    <cellStyle name="Normal 34" xfId="336"/>
    <cellStyle name="Normal 35" xfId="337"/>
    <cellStyle name="Normal 36" xfId="338"/>
    <cellStyle name="Normal 37" xfId="339"/>
    <cellStyle name="Normal 38" xfId="340"/>
    <cellStyle name="Normal 39" xfId="341"/>
    <cellStyle name="Normal 4" xfId="342"/>
    <cellStyle name="Normal 4 2" xfId="343"/>
    <cellStyle name="Normal 40" xfId="344"/>
    <cellStyle name="Normal 41" xfId="345"/>
    <cellStyle name="Normal 42" xfId="346"/>
    <cellStyle name="Normal 43" xfId="347"/>
    <cellStyle name="Normal 44" xfId="348"/>
    <cellStyle name="Normal 45" xfId="349"/>
    <cellStyle name="Normal 46" xfId="350"/>
    <cellStyle name="Normal 47" xfId="351"/>
    <cellStyle name="Normal 48" xfId="352"/>
    <cellStyle name="Normal 49" xfId="353"/>
    <cellStyle name="Normal 5" xfId="354"/>
    <cellStyle name="Normal 5 2" xfId="355"/>
    <cellStyle name="Normal 50" xfId="356"/>
    <cellStyle name="Normal 51" xfId="357"/>
    <cellStyle name="Normal 52" xfId="358"/>
    <cellStyle name="Normal 53" xfId="359"/>
    <cellStyle name="Normal 54" xfId="360"/>
    <cellStyle name="Normal 55" xfId="361"/>
    <cellStyle name="Normal 56" xfId="362"/>
    <cellStyle name="Normal 56 2" xfId="363"/>
    <cellStyle name="Normal 57" xfId="364"/>
    <cellStyle name="Normal 58" xfId="365"/>
    <cellStyle name="Normal 59" xfId="366"/>
    <cellStyle name="Normal 6" xfId="367"/>
    <cellStyle name="Normal 6 2" xfId="368"/>
    <cellStyle name="Normal 60" xfId="369"/>
    <cellStyle name="Normal 61" xfId="370"/>
    <cellStyle name="Normal 62" xfId="371"/>
    <cellStyle name="Normal 63" xfId="372"/>
    <cellStyle name="Normal 64" xfId="373"/>
    <cellStyle name="Normal 65" xfId="374"/>
    <cellStyle name="Normal 66" xfId="375"/>
    <cellStyle name="Normal 67" xfId="376"/>
    <cellStyle name="Normal 68" xfId="377"/>
    <cellStyle name="Normal 69" xfId="378"/>
    <cellStyle name="Normal 7" xfId="379"/>
    <cellStyle name="Normal 70" xfId="380"/>
    <cellStyle name="Normal 71" xfId="381"/>
    <cellStyle name="Normal 72" xfId="382"/>
    <cellStyle name="Normal 73" xfId="383"/>
    <cellStyle name="Normal 74" xfId="384"/>
    <cellStyle name="Normal 75" xfId="385"/>
    <cellStyle name="Normal 76" xfId="386"/>
    <cellStyle name="Normal 77" xfId="387"/>
    <cellStyle name="Normal 78" xfId="388"/>
    <cellStyle name="Normal 79" xfId="389"/>
    <cellStyle name="Normal 8" xfId="390"/>
    <cellStyle name="Normal 9" xfId="391"/>
    <cellStyle name="Note 2" xfId="392"/>
    <cellStyle name="Note 3" xfId="393"/>
    <cellStyle name="Note 4" xfId="394"/>
    <cellStyle name="Note 5" xfId="395"/>
    <cellStyle name="Note 6" xfId="396"/>
    <cellStyle name="Note 7" xfId="397"/>
    <cellStyle name="Output 2" xfId="398"/>
    <cellStyle name="Output 3" xfId="399"/>
    <cellStyle name="Output 4" xfId="400"/>
    <cellStyle name="Percent (0)" xfId="401"/>
    <cellStyle name="Percent [2]" xfId="402"/>
    <cellStyle name="Percent 2" xfId="403"/>
    <cellStyle name="Percent 2 2" xfId="404"/>
    <cellStyle name="Percent 2 3" xfId="405"/>
    <cellStyle name="Percent 2 4" xfId="406"/>
    <cellStyle name="Percent 3" xfId="407"/>
    <cellStyle name="Percent 4" xfId="408"/>
    <cellStyle name="Percent 5" xfId="409"/>
    <cellStyle name="Percent 6" xfId="410"/>
    <cellStyle name="Protec" xfId="411"/>
    <cellStyle name="Standard_DE_LATE_" xfId="412"/>
    <cellStyle name="subhead" xfId="413"/>
    <cellStyle name="subhead 2" xfId="414"/>
    <cellStyle name="Tickmark" xfId="415"/>
    <cellStyle name="Title 2" xfId="416"/>
    <cellStyle name="Title 3" xfId="417"/>
    <cellStyle name="Title 4" xfId="418"/>
    <cellStyle name="Total 2" xfId="419"/>
    <cellStyle name="Total 3" xfId="420"/>
    <cellStyle name="Total 4" xfId="421"/>
    <cellStyle name="Unproc" xfId="422"/>
    <cellStyle name="Währung [0]_Mondeo" xfId="423"/>
    <cellStyle name="Währung_Mondeo" xfId="424"/>
    <cellStyle name="Warning Text 2" xfId="425"/>
    <cellStyle name="Warning Text 3" xfId="426"/>
    <cellStyle name="Warning Text 4" xfId="427"/>
    <cellStyle name="アクセント 1" xfId="428"/>
    <cellStyle name="アクセント 2" xfId="429"/>
    <cellStyle name="アクセント 3" xfId="430"/>
    <cellStyle name="アクセント 4" xfId="431"/>
    <cellStyle name="アクセント 5" xfId="432"/>
    <cellStyle name="アクセント 6" xfId="433"/>
    <cellStyle name="タイトル" xfId="434"/>
    <cellStyle name="チェック セル" xfId="435"/>
    <cellStyle name="どちらでもない" xfId="436"/>
    <cellStyle name="パーセント 2" xfId="437"/>
    <cellStyle name="メモ" xfId="438"/>
    <cellStyle name="リンク セル" xfId="439"/>
    <cellStyle name="ปกติ_GMT 265-3 Master Plan" xfId="440"/>
    <cellStyle name="入力" xfId="441"/>
    <cellStyle name="出力" xfId="442"/>
    <cellStyle name="悪い" xfId="443"/>
    <cellStyle name="桁区切り 2" xfId="444"/>
    <cellStyle name="標準 2" xfId="445"/>
    <cellStyle name="標準_70期ＰＡＳＩ方針（社長、ＶＰ、ダイレクター） (3)" xfId="446"/>
    <cellStyle name="良い" xfId="447"/>
    <cellStyle name="見出し 1" xfId="448"/>
    <cellStyle name="見出し 2" xfId="449"/>
    <cellStyle name="見出し 3" xfId="450"/>
    <cellStyle name="見出し 4" xfId="451"/>
    <cellStyle name="計算" xfId="452"/>
    <cellStyle name="説明文" xfId="453"/>
    <cellStyle name="警告文" xfId="454"/>
    <cellStyle name="集計" xfId="4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138544</xdr:colOff>
      <xdr:row>0</xdr:row>
      <xdr:rowOff>0</xdr:rowOff>
    </xdr:from>
    <xdr:to>
      <xdr:col>5</xdr:col>
      <xdr:colOff>1333499</xdr:colOff>
      <xdr:row>5</xdr:row>
      <xdr:rowOff>164521</xdr:rowOff>
    </xdr:to>
    <xdr:grpSp>
      <xdr:nvGrpSpPr>
        <xdr:cNvPr id="2" name="Group 1"/>
        <xdr:cNvGrpSpPr/>
      </xdr:nvGrpSpPr>
      <xdr:grpSpPr>
        <a:xfrm>
          <a:off x="3615169" y="0"/>
          <a:ext cx="4564424" cy="1057490"/>
          <a:chOff x="4572021" y="10583"/>
          <a:chExt cx="5344582" cy="1081946"/>
        </a:xfrm>
      </xdr:grpSpPr>
      <xdr:sp macro="" textlink="">
        <xdr:nvSpPr>
          <xdr:cNvPr id="3" name="Rectangle 1503"/>
          <xdr:cNvSpPr>
            <a:spLocks noChangeArrowheads="1"/>
          </xdr:cNvSpPr>
        </xdr:nvSpPr>
        <xdr:spPr bwMode="auto">
          <a:xfrm>
            <a:off x="5016521" y="21166"/>
            <a:ext cx="8397" cy="1052231"/>
          </a:xfrm>
          <a:prstGeom prst="rect">
            <a:avLst/>
          </a:prstGeom>
          <a:solidFill>
            <a:srgbClr val="000000"/>
          </a:solidFill>
          <a:ln w="9525">
            <a:noFill/>
            <a:miter lim="800000"/>
            <a:headEnd/>
            <a:tailEnd/>
          </a:ln>
        </xdr:spPr>
      </xdr:sp>
      <xdr:grpSp>
        <xdr:nvGrpSpPr>
          <xdr:cNvPr id="4" name="Group 3"/>
          <xdr:cNvGrpSpPr/>
        </xdr:nvGrpSpPr>
        <xdr:grpSpPr>
          <a:xfrm>
            <a:off x="4572021" y="10583"/>
            <a:ext cx="5344582" cy="1081946"/>
            <a:chOff x="4453467" y="7079"/>
            <a:chExt cx="5344582" cy="1081946"/>
          </a:xfrm>
        </xdr:grpSpPr>
        <xdr:sp macro="" textlink="">
          <xdr:nvSpPr>
            <xdr:cNvPr id="5" name="Rectangle 1492"/>
            <xdr:cNvSpPr>
              <a:spLocks noChangeArrowheads="1"/>
            </xdr:cNvSpPr>
          </xdr:nvSpPr>
          <xdr:spPr bwMode="auto">
            <a:xfrm>
              <a:off x="4961476" y="38100"/>
              <a:ext cx="828675" cy="15134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id-ID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APPROVED</a:t>
              </a: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2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6" name="Rectangle 1493"/>
            <xdr:cNvSpPr>
              <a:spLocks noChangeArrowheads="1"/>
            </xdr:cNvSpPr>
          </xdr:nvSpPr>
          <xdr:spPr bwMode="auto">
            <a:xfrm>
              <a:off x="5964328" y="38100"/>
              <a:ext cx="847725" cy="15134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id-ID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APPROVED</a:t>
              </a: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1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7" name="Rectangle 1494"/>
            <xdr:cNvSpPr>
              <a:spLocks noChangeArrowheads="1"/>
            </xdr:cNvSpPr>
          </xdr:nvSpPr>
          <xdr:spPr bwMode="auto">
            <a:xfrm>
              <a:off x="7981944" y="28575"/>
              <a:ext cx="758825" cy="1799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id-ID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CHECKED</a:t>
              </a: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1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8" name="Rectangle 1495"/>
            <xdr:cNvSpPr>
              <a:spLocks noChangeArrowheads="1"/>
            </xdr:cNvSpPr>
          </xdr:nvSpPr>
          <xdr:spPr bwMode="auto">
            <a:xfrm>
              <a:off x="8957731" y="38100"/>
              <a:ext cx="695325" cy="17039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id-ID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PREPARED</a:t>
              </a:r>
            </a:p>
          </xdr:txBody>
        </xdr:sp>
        <xdr:sp macro="" textlink="">
          <xdr:nvSpPr>
            <xdr:cNvPr id="9" name="Rectangle 1496"/>
            <xdr:cNvSpPr>
              <a:spLocks noChangeArrowheads="1"/>
            </xdr:cNvSpPr>
          </xdr:nvSpPr>
          <xdr:spPr bwMode="auto">
            <a:xfrm>
              <a:off x="5486400" y="918633"/>
              <a:ext cx="257175" cy="17039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0" name="Rectangle 1497"/>
            <xdr:cNvSpPr>
              <a:spLocks noChangeArrowheads="1"/>
            </xdr:cNvSpPr>
          </xdr:nvSpPr>
          <xdr:spPr bwMode="auto">
            <a:xfrm>
              <a:off x="6348277" y="885511"/>
              <a:ext cx="257175" cy="1524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BKP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1" name="Rectangle 1498"/>
            <xdr:cNvSpPr>
              <a:spLocks noChangeArrowheads="1"/>
            </xdr:cNvSpPr>
          </xdr:nvSpPr>
          <xdr:spPr bwMode="auto">
            <a:xfrm>
              <a:off x="9208549" y="888177"/>
              <a:ext cx="209550" cy="1524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100" b="0" i="0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NAR</a:t>
              </a:r>
              <a:endParaRPr lang="en-US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0">
                <a:defRPr sz="1000"/>
              </a:pP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2" name="Rectangle 1503"/>
            <xdr:cNvSpPr>
              <a:spLocks noChangeArrowheads="1"/>
            </xdr:cNvSpPr>
          </xdr:nvSpPr>
          <xdr:spPr bwMode="auto">
            <a:xfrm>
              <a:off x="5903649" y="7079"/>
              <a:ext cx="8397" cy="1052231"/>
            </a:xfrm>
            <a:prstGeom prst="rect">
              <a:avLst/>
            </a:prstGeom>
            <a:solidFill>
              <a:srgbClr val="000000"/>
            </a:solidFill>
            <a:ln w="9525">
              <a:noFill/>
              <a:miter lim="800000"/>
              <a:headEnd/>
              <a:tailEnd/>
            </a:ln>
          </xdr:spPr>
        </xdr:sp>
        <xdr:sp macro="" textlink="">
          <xdr:nvSpPr>
            <xdr:cNvPr id="13" name="Rectangle 1498"/>
            <xdr:cNvSpPr>
              <a:spLocks noChangeArrowheads="1"/>
            </xdr:cNvSpPr>
          </xdr:nvSpPr>
          <xdr:spPr bwMode="auto">
            <a:xfrm>
              <a:off x="4453467" y="19050"/>
              <a:ext cx="209550" cy="1143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sp>
        <xdr:sp macro="" textlink="">
          <xdr:nvSpPr>
            <xdr:cNvPr id="14" name="Rectangle 1498"/>
            <xdr:cNvSpPr>
              <a:spLocks noChangeArrowheads="1"/>
            </xdr:cNvSpPr>
          </xdr:nvSpPr>
          <xdr:spPr bwMode="auto">
            <a:xfrm>
              <a:off x="7213126" y="889235"/>
              <a:ext cx="206513" cy="1619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BRI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15" name="Line 1516"/>
            <xdr:cNvSpPr>
              <a:spLocks noChangeShapeType="1"/>
            </xdr:cNvSpPr>
          </xdr:nvSpPr>
          <xdr:spPr bwMode="auto">
            <a:xfrm flipV="1">
              <a:off x="4885189" y="1054473"/>
              <a:ext cx="4896907" cy="8467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6" name="Line 1516"/>
            <xdr:cNvSpPr>
              <a:spLocks noChangeShapeType="1"/>
            </xdr:cNvSpPr>
          </xdr:nvSpPr>
          <xdr:spPr bwMode="auto">
            <a:xfrm>
              <a:off x="4910667" y="872067"/>
              <a:ext cx="4868333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7" name="Line 1516"/>
            <xdr:cNvSpPr>
              <a:spLocks noChangeShapeType="1"/>
            </xdr:cNvSpPr>
          </xdr:nvSpPr>
          <xdr:spPr bwMode="auto">
            <a:xfrm>
              <a:off x="4901142" y="227542"/>
              <a:ext cx="4896907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8" name="Line 1516"/>
            <xdr:cNvSpPr>
              <a:spLocks noChangeShapeType="1"/>
            </xdr:cNvSpPr>
          </xdr:nvSpPr>
          <xdr:spPr bwMode="auto">
            <a:xfrm>
              <a:off x="4901142" y="9525"/>
              <a:ext cx="4896907" cy="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9" name="Rectangle 1503"/>
            <xdr:cNvSpPr>
              <a:spLocks noChangeArrowheads="1"/>
            </xdr:cNvSpPr>
          </xdr:nvSpPr>
          <xdr:spPr bwMode="auto">
            <a:xfrm>
              <a:off x="7901742" y="28575"/>
              <a:ext cx="8397" cy="1051173"/>
            </a:xfrm>
            <a:prstGeom prst="rect">
              <a:avLst/>
            </a:prstGeom>
            <a:solidFill>
              <a:srgbClr val="000000"/>
            </a:solidFill>
            <a:ln w="9525">
              <a:noFill/>
              <a:miter lim="800000"/>
              <a:headEnd/>
              <a:tailEnd/>
            </a:ln>
          </xdr:spPr>
        </xdr:sp>
        <xdr:sp macro="" textlink="">
          <xdr:nvSpPr>
            <xdr:cNvPr id="20" name="Rectangle 1503"/>
            <xdr:cNvSpPr>
              <a:spLocks noChangeArrowheads="1"/>
            </xdr:cNvSpPr>
          </xdr:nvSpPr>
          <xdr:spPr bwMode="auto">
            <a:xfrm>
              <a:off x="8847664" y="17993"/>
              <a:ext cx="8397" cy="1051173"/>
            </a:xfrm>
            <a:prstGeom prst="rect">
              <a:avLst/>
            </a:prstGeom>
            <a:solidFill>
              <a:srgbClr val="000000"/>
            </a:solidFill>
            <a:ln w="9525">
              <a:noFill/>
              <a:miter lim="800000"/>
              <a:headEnd/>
              <a:tailEnd/>
            </a:ln>
          </xdr:spPr>
        </xdr:sp>
        <xdr:sp macro="" textlink="">
          <xdr:nvSpPr>
            <xdr:cNvPr id="21" name="Rectangle 1503"/>
            <xdr:cNvSpPr>
              <a:spLocks noChangeArrowheads="1"/>
            </xdr:cNvSpPr>
          </xdr:nvSpPr>
          <xdr:spPr bwMode="auto">
            <a:xfrm>
              <a:off x="9788525" y="19050"/>
              <a:ext cx="8397" cy="1052231"/>
            </a:xfrm>
            <a:prstGeom prst="rect">
              <a:avLst/>
            </a:prstGeom>
            <a:solidFill>
              <a:srgbClr val="000000"/>
            </a:solidFill>
            <a:ln w="9525">
              <a:noFill/>
              <a:miter lim="800000"/>
              <a:headEnd/>
              <a:tailEnd/>
            </a:ln>
          </xdr:spPr>
        </xdr:sp>
        <xdr:sp macro="" textlink="">
          <xdr:nvSpPr>
            <xdr:cNvPr id="22" name="Rectangle 1497"/>
            <xdr:cNvSpPr>
              <a:spLocks noChangeArrowheads="1"/>
            </xdr:cNvSpPr>
          </xdr:nvSpPr>
          <xdr:spPr bwMode="auto">
            <a:xfrm>
              <a:off x="5258591" y="899582"/>
              <a:ext cx="257175" cy="1524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HKU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23" name="Rectangle 1503"/>
            <xdr:cNvSpPr>
              <a:spLocks noChangeArrowheads="1"/>
            </xdr:cNvSpPr>
          </xdr:nvSpPr>
          <xdr:spPr bwMode="auto">
            <a:xfrm>
              <a:off x="6932406" y="32809"/>
              <a:ext cx="8397" cy="1051173"/>
            </a:xfrm>
            <a:prstGeom prst="rect">
              <a:avLst/>
            </a:prstGeom>
            <a:solidFill>
              <a:srgbClr val="000000"/>
            </a:solidFill>
            <a:ln w="9525">
              <a:noFill/>
              <a:miter lim="800000"/>
              <a:headEnd/>
              <a:tailEnd/>
            </a:ln>
          </xdr:spPr>
        </xdr:sp>
        <xdr:sp macro="" textlink="">
          <xdr:nvSpPr>
            <xdr:cNvPr id="24" name="Rectangle 1494"/>
            <xdr:cNvSpPr>
              <a:spLocks noChangeArrowheads="1"/>
            </xdr:cNvSpPr>
          </xdr:nvSpPr>
          <xdr:spPr bwMode="auto">
            <a:xfrm>
              <a:off x="6969702" y="43390"/>
              <a:ext cx="758825" cy="179917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id-ID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CHECKED</a:t>
              </a: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2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25" name="Rectangle 1497"/>
            <xdr:cNvSpPr>
              <a:spLocks noChangeArrowheads="1"/>
            </xdr:cNvSpPr>
          </xdr:nvSpPr>
          <xdr:spPr bwMode="auto">
            <a:xfrm>
              <a:off x="8204200" y="903816"/>
              <a:ext cx="257175" cy="15240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0" tIns="0" rIns="0" bIns="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1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FAR</a:t>
              </a:r>
              <a:endParaRPr lang="id-ID" sz="11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26630"/>
  <sheetViews>
    <sheetView tabSelected="1" view="pageBreakPreview" zoomScale="80" zoomScaleNormal="80" zoomScaleSheetLayoutView="80" workbookViewId="0">
      <selection activeCell="F19" sqref="F19"/>
    </sheetView>
  </sheetViews>
  <sheetFormatPr defaultRowHeight="14.25" outlineLevelRow="1"/>
  <cols>
    <col min="1" max="1" width="21.42578125" style="10" customWidth="1"/>
    <col min="2" max="2" width="14" style="2" customWidth="1"/>
    <col min="3" max="3" width="16.7109375" style="2" customWidth="1"/>
    <col min="4" max="4" width="46.5703125" style="2" customWidth="1"/>
    <col min="5" max="5" width="3.85546875" style="3" customWidth="1"/>
    <col min="6" max="6" width="20.28515625" style="4" bestFit="1" customWidth="1"/>
    <col min="7" max="7" width="20.7109375" style="3" customWidth="1"/>
    <col min="8" max="8" width="19" style="3" customWidth="1"/>
    <col min="9" max="9" width="13.28515625" style="3" customWidth="1"/>
    <col min="10" max="10" width="16.7109375" style="3" customWidth="1"/>
    <col min="11" max="11" width="17.140625" style="3" bestFit="1" customWidth="1"/>
    <col min="12" max="12" width="10" style="3" customWidth="1"/>
    <col min="13" max="13" width="5.85546875" style="5" bestFit="1" customWidth="1"/>
    <col min="14" max="14" width="1.42578125" style="3" customWidth="1"/>
    <col min="15" max="15" width="1.7109375" style="3" customWidth="1"/>
    <col min="16" max="16" width="63.140625" style="3" customWidth="1"/>
    <col min="17" max="17" width="17.140625" style="3" customWidth="1"/>
    <col min="18" max="18" width="17" style="5" bestFit="1" customWidth="1"/>
    <col min="19" max="19" width="20.140625" style="3" bestFit="1" customWidth="1"/>
    <col min="20" max="20" width="22.85546875" style="3" bestFit="1" customWidth="1"/>
    <col min="21" max="21" width="23.42578125" style="3" bestFit="1" customWidth="1"/>
    <col min="22" max="25" width="9" style="3" customWidth="1"/>
    <col min="26" max="26" width="11" style="3" bestFit="1" customWidth="1"/>
    <col min="27" max="27" width="9" style="3" customWidth="1"/>
    <col min="28" max="16384" width="9.140625" style="3"/>
  </cols>
  <sheetData>
    <row r="1" spans="1:20">
      <c r="A1" s="1" t="s">
        <v>0</v>
      </c>
    </row>
    <row r="2" spans="1:20">
      <c r="A2" s="1" t="s">
        <v>1</v>
      </c>
      <c r="G2" s="6"/>
    </row>
    <row r="3" spans="1:20">
      <c r="A3" s="1" t="s">
        <v>2</v>
      </c>
    </row>
    <row r="4" spans="1:20">
      <c r="A4" s="7" t="s">
        <v>3</v>
      </c>
      <c r="B4" s="3"/>
      <c r="J4" s="8"/>
    </row>
    <row r="5" spans="1:20">
      <c r="A5" s="9"/>
      <c r="B5" s="3"/>
      <c r="C5" s="3"/>
    </row>
    <row r="6" spans="1:20">
      <c r="B6" s="3"/>
      <c r="J6" s="3" t="s">
        <v>4</v>
      </c>
    </row>
    <row r="7" spans="1:20">
      <c r="B7" s="3"/>
      <c r="G7" s="11"/>
      <c r="H7" s="11"/>
      <c r="I7" s="11"/>
    </row>
    <row r="8" spans="1:20" s="8" customFormat="1" ht="39" customHeight="1">
      <c r="A8" s="12" t="s">
        <v>5</v>
      </c>
      <c r="B8" s="12" t="s">
        <v>6</v>
      </c>
      <c r="C8" s="12" t="s">
        <v>7</v>
      </c>
      <c r="D8" s="12" t="s">
        <v>8</v>
      </c>
      <c r="E8" s="12" t="s">
        <v>9</v>
      </c>
      <c r="F8" s="13" t="s">
        <v>10</v>
      </c>
      <c r="G8" s="14"/>
      <c r="H8" s="14"/>
      <c r="I8" s="14"/>
      <c r="J8" s="15" t="s">
        <v>11</v>
      </c>
      <c r="K8" s="15" t="s">
        <v>12</v>
      </c>
      <c r="L8" s="15" t="s">
        <v>13</v>
      </c>
      <c r="M8" s="16" t="s">
        <v>14</v>
      </c>
      <c r="N8" s="3"/>
      <c r="O8" s="3"/>
      <c r="P8" s="15" t="s">
        <v>15</v>
      </c>
      <c r="Q8" s="17" t="s">
        <v>16</v>
      </c>
      <c r="R8" s="16"/>
      <c r="S8" s="17" t="s">
        <v>17</v>
      </c>
      <c r="T8" s="3"/>
    </row>
    <row r="9" spans="1:20" s="8" customFormat="1" ht="20.100000000000001" customHeight="1">
      <c r="A9" s="18" t="str">
        <f t="shared" ref="A9:A17" si="0">S9</f>
        <v>039/0922/MANDIRI-JF/K</v>
      </c>
      <c r="B9" s="19" t="s">
        <v>18</v>
      </c>
      <c r="C9" s="19" t="s">
        <v>19</v>
      </c>
      <c r="D9" s="19" t="s">
        <v>20</v>
      </c>
      <c r="E9" s="20" t="s">
        <v>21</v>
      </c>
      <c r="F9" s="21">
        <v>525000</v>
      </c>
      <c r="G9" s="22"/>
      <c r="H9" s="23" t="s">
        <v>22</v>
      </c>
      <c r="I9" s="23"/>
      <c r="J9" s="15" t="str">
        <f t="shared" ref="J9:J17" si="1">C9</f>
        <v>PGA</v>
      </c>
      <c r="K9" s="24">
        <f t="shared" ref="K9:K17" si="2">F9</f>
        <v>525000</v>
      </c>
      <c r="L9" s="15"/>
      <c r="M9" s="25" t="s">
        <v>23</v>
      </c>
      <c r="N9" s="8" t="s">
        <v>24</v>
      </c>
      <c r="O9" s="8" t="s">
        <v>25</v>
      </c>
      <c r="P9" s="15" t="str">
        <f t="shared" ref="P9:P17" si="3">CONCATENATE(A9,N9,B9,O9,D9)</f>
        <v>039/0922/MANDIRI-JF/K 024/PUM/0922^REWARD KAIZEN P. SEPT 22</v>
      </c>
      <c r="Q9" s="17" t="str">
        <f t="shared" ref="Q9:Q17" si="4">B9</f>
        <v>024/PUM/0922</v>
      </c>
      <c r="R9" s="16" t="s">
        <v>26</v>
      </c>
      <c r="S9" s="8" t="str">
        <f t="shared" ref="S9:S17" si="5">CONCATENATE(M9,R9)</f>
        <v>039/0922/MANDIRI-JF/K</v>
      </c>
    </row>
    <row r="10" spans="1:20" s="8" customFormat="1" ht="20.100000000000001" customHeight="1">
      <c r="A10" s="18" t="str">
        <f t="shared" si="0"/>
        <v>040/0922/MANDIRI-JF/K</v>
      </c>
      <c r="B10" s="19" t="s">
        <v>27</v>
      </c>
      <c r="C10" s="19" t="s">
        <v>19</v>
      </c>
      <c r="D10" s="19" t="s">
        <v>28</v>
      </c>
      <c r="E10" s="20" t="s">
        <v>21</v>
      </c>
      <c r="F10" s="21">
        <v>900000</v>
      </c>
      <c r="G10" s="26"/>
      <c r="H10" s="23" t="s">
        <v>22</v>
      </c>
      <c r="I10" s="23"/>
      <c r="J10" s="15" t="str">
        <f t="shared" si="1"/>
        <v>PGA</v>
      </c>
      <c r="K10" s="24">
        <f t="shared" si="2"/>
        <v>900000</v>
      </c>
      <c r="L10" s="15"/>
      <c r="M10" s="25" t="s">
        <v>29</v>
      </c>
      <c r="N10" s="8" t="s">
        <v>24</v>
      </c>
      <c r="O10" s="8" t="s">
        <v>25</v>
      </c>
      <c r="P10" s="15" t="str">
        <f t="shared" si="3"/>
        <v>040/0922/MANDIRI-JF/K 025/PUM/0922^ENTERTAINT TRAINING DAMKAR P. 28-30 SEPT  22</v>
      </c>
      <c r="Q10" s="17" t="str">
        <f t="shared" si="4"/>
        <v>025/PUM/0922</v>
      </c>
      <c r="R10" s="16" t="s">
        <v>26</v>
      </c>
      <c r="S10" s="8" t="str">
        <f t="shared" si="5"/>
        <v>040/0922/MANDIRI-JF/K</v>
      </c>
    </row>
    <row r="11" spans="1:20" s="8" customFormat="1" ht="20.100000000000001" customHeight="1">
      <c r="A11" s="18" t="str">
        <f t="shared" si="0"/>
        <v>041/0922/MANDIRI-JF/K</v>
      </c>
      <c r="B11" s="19" t="s">
        <v>30</v>
      </c>
      <c r="C11" s="19" t="s">
        <v>19</v>
      </c>
      <c r="D11" s="19" t="s">
        <v>31</v>
      </c>
      <c r="E11" s="20" t="s">
        <v>21</v>
      </c>
      <c r="F11" s="21">
        <v>250000</v>
      </c>
      <c r="G11" s="26"/>
      <c r="H11" s="23" t="s">
        <v>22</v>
      </c>
      <c r="I11" s="23" t="str">
        <f>+B11</f>
        <v>026/PUM/0922</v>
      </c>
      <c r="J11" s="15" t="str">
        <f t="shared" si="1"/>
        <v>PGA</v>
      </c>
      <c r="K11" s="24">
        <f t="shared" si="2"/>
        <v>250000</v>
      </c>
      <c r="L11" s="15"/>
      <c r="M11" s="25" t="s">
        <v>32</v>
      </c>
      <c r="N11" s="8" t="s">
        <v>24</v>
      </c>
      <c r="O11" s="8" t="s">
        <v>25</v>
      </c>
      <c r="P11" s="15" t="str">
        <f t="shared" si="3"/>
        <v>041/0922/MANDIRI-JF/K 026/PUM/0922^ENTERTAINT BEA CUKAI</v>
      </c>
      <c r="Q11" s="17" t="str">
        <f t="shared" si="4"/>
        <v>026/PUM/0922</v>
      </c>
      <c r="R11" s="16" t="s">
        <v>26</v>
      </c>
      <c r="S11" s="8" t="str">
        <f t="shared" si="5"/>
        <v>041/0922/MANDIRI-JF/K</v>
      </c>
    </row>
    <row r="12" spans="1:20" s="8" customFormat="1" ht="19.5" customHeight="1" outlineLevel="1">
      <c r="A12" s="18"/>
      <c r="B12" s="19"/>
      <c r="C12" s="27" t="s">
        <v>33</v>
      </c>
      <c r="D12" s="19"/>
      <c r="E12" s="20"/>
      <c r="F12" s="28">
        <f>SUBTOTAL(9,F9:F11)</f>
        <v>1675000</v>
      </c>
      <c r="G12" s="29"/>
      <c r="H12" s="23"/>
      <c r="I12" s="23"/>
      <c r="J12" s="15"/>
      <c r="K12" s="24"/>
      <c r="L12" s="15"/>
      <c r="M12" s="25"/>
      <c r="P12" s="15"/>
      <c r="Q12" s="17"/>
      <c r="R12" s="16"/>
    </row>
    <row r="13" spans="1:20" s="8" customFormat="1" ht="20.100000000000001" customHeight="1">
      <c r="A13" s="18" t="str">
        <f t="shared" si="0"/>
        <v>041/0922/MANDIRI-JF/K</v>
      </c>
      <c r="B13" s="19" t="s">
        <v>34</v>
      </c>
      <c r="C13" s="19" t="s">
        <v>35</v>
      </c>
      <c r="D13" s="19" t="s">
        <v>36</v>
      </c>
      <c r="E13" s="20" t="s">
        <v>21</v>
      </c>
      <c r="F13" s="21">
        <v>5680000</v>
      </c>
      <c r="G13" s="26"/>
      <c r="H13" s="23" t="s">
        <v>22</v>
      </c>
      <c r="I13" s="23"/>
      <c r="J13" s="15" t="str">
        <f t="shared" si="1"/>
        <v>BEA CUKAI</v>
      </c>
      <c r="K13" s="24">
        <f t="shared" si="2"/>
        <v>5680000</v>
      </c>
      <c r="L13" s="15"/>
      <c r="M13" s="25" t="str">
        <f>M11</f>
        <v>041</v>
      </c>
      <c r="N13" s="8" t="s">
        <v>24</v>
      </c>
      <c r="O13" s="8" t="s">
        <v>25</v>
      </c>
      <c r="P13" s="15" t="str">
        <f t="shared" si="3"/>
        <v>041/0922/MANDIRI-JF/K JF073-EHL-2209-JPR^PIB SCRAP JF073-EHL-2209-JPR</v>
      </c>
      <c r="Q13" s="17" t="str">
        <f t="shared" si="4"/>
        <v>JF073-EHL-2209-JPR</v>
      </c>
      <c r="R13" s="16" t="s">
        <v>26</v>
      </c>
      <c r="S13" s="8" t="str">
        <f t="shared" si="5"/>
        <v>041/0922/MANDIRI-JF/K</v>
      </c>
    </row>
    <row r="14" spans="1:20" s="8" customFormat="1" ht="20.100000000000001" customHeight="1">
      <c r="A14" s="18" t="str">
        <f t="shared" si="0"/>
        <v>42/0922/MANDIRI-JF/K</v>
      </c>
      <c r="B14" s="19" t="s">
        <v>37</v>
      </c>
      <c r="C14" s="19" t="s">
        <v>35</v>
      </c>
      <c r="D14" s="19" t="s">
        <v>38</v>
      </c>
      <c r="E14" s="20" t="s">
        <v>21</v>
      </c>
      <c r="F14" s="21">
        <v>55262000</v>
      </c>
      <c r="G14" s="26"/>
      <c r="H14" s="23" t="s">
        <v>22</v>
      </c>
      <c r="I14" s="23"/>
      <c r="J14" s="15" t="str">
        <f t="shared" si="1"/>
        <v>BEA CUKAI</v>
      </c>
      <c r="K14" s="24">
        <f t="shared" si="2"/>
        <v>55262000</v>
      </c>
      <c r="L14" s="15"/>
      <c r="M14" s="25">
        <f>M13+1</f>
        <v>42</v>
      </c>
      <c r="N14" s="8" t="s">
        <v>24</v>
      </c>
      <c r="O14" s="8" t="s">
        <v>25</v>
      </c>
      <c r="P14" s="15" t="str">
        <f t="shared" si="3"/>
        <v>42/0922/MANDIRI-JF/K JF074-EHL-2209-JPR^PIB SCRAP JF074-EHL-2209-JPR</v>
      </c>
      <c r="Q14" s="17" t="str">
        <f t="shared" si="4"/>
        <v>JF074-EHL-2209-JPR</v>
      </c>
      <c r="R14" s="16" t="s">
        <v>26</v>
      </c>
      <c r="S14" s="8" t="str">
        <f t="shared" si="5"/>
        <v>42/0922/MANDIRI-JF/K</v>
      </c>
    </row>
    <row r="15" spans="1:20" s="8" customFormat="1" ht="20.100000000000001" customHeight="1">
      <c r="A15" s="18" t="str">
        <f t="shared" si="0"/>
        <v>43/0922/MANDIRI-JF/K</v>
      </c>
      <c r="B15" s="19" t="s">
        <v>39</v>
      </c>
      <c r="C15" s="19" t="s">
        <v>35</v>
      </c>
      <c r="D15" s="19" t="s">
        <v>40</v>
      </c>
      <c r="E15" s="20" t="s">
        <v>21</v>
      </c>
      <c r="F15" s="21">
        <v>96000</v>
      </c>
      <c r="G15" s="26"/>
      <c r="H15" s="23" t="s">
        <v>22</v>
      </c>
      <c r="I15" s="23"/>
      <c r="J15" s="15" t="str">
        <f t="shared" si="1"/>
        <v>BEA CUKAI</v>
      </c>
      <c r="K15" s="24">
        <f t="shared" si="2"/>
        <v>96000</v>
      </c>
      <c r="L15" s="15"/>
      <c r="M15" s="25">
        <f t="shared" ref="M15:M17" si="6">M14+1</f>
        <v>43</v>
      </c>
      <c r="N15" s="8" t="s">
        <v>24</v>
      </c>
      <c r="O15" s="8" t="s">
        <v>25</v>
      </c>
      <c r="P15" s="15" t="str">
        <f t="shared" si="3"/>
        <v>43/0922/MANDIRI-JF/K SJDD22192B^PIB DOMESTIK FINISH GOOD SJDD22192B</v>
      </c>
      <c r="Q15" s="17" t="str">
        <f t="shared" si="4"/>
        <v>SJDD22192B</v>
      </c>
      <c r="R15" s="16" t="s">
        <v>26</v>
      </c>
      <c r="S15" s="8" t="str">
        <f t="shared" si="5"/>
        <v>43/0922/MANDIRI-JF/K</v>
      </c>
    </row>
    <row r="16" spans="1:20" s="8" customFormat="1" ht="20.100000000000001" customHeight="1">
      <c r="A16" s="18" t="str">
        <f t="shared" si="0"/>
        <v>44/0922/MANDIRI-JF/K</v>
      </c>
      <c r="B16" s="19" t="s">
        <v>41</v>
      </c>
      <c r="C16" s="19" t="s">
        <v>35</v>
      </c>
      <c r="D16" s="19" t="s">
        <v>42</v>
      </c>
      <c r="E16" s="20" t="s">
        <v>21</v>
      </c>
      <c r="F16" s="21">
        <v>45413000</v>
      </c>
      <c r="G16" s="26"/>
      <c r="H16" s="23" t="s">
        <v>22</v>
      </c>
      <c r="I16" s="23"/>
      <c r="J16" s="15" t="str">
        <f t="shared" si="1"/>
        <v>BEA CUKAI</v>
      </c>
      <c r="K16" s="24">
        <f t="shared" si="2"/>
        <v>45413000</v>
      </c>
      <c r="L16" s="15"/>
      <c r="M16" s="25">
        <f t="shared" si="6"/>
        <v>44</v>
      </c>
      <c r="N16" s="8" t="s">
        <v>24</v>
      </c>
      <c r="O16" s="8" t="s">
        <v>25</v>
      </c>
      <c r="P16" s="15" t="str">
        <f t="shared" si="3"/>
        <v>44/0922/MANDIRI-JF/K SJDD22190B^PIB DOMESTIK FINISH GOOD SJDD22190B</v>
      </c>
      <c r="Q16" s="17" t="str">
        <f t="shared" si="4"/>
        <v>SJDD22190B</v>
      </c>
      <c r="R16" s="16" t="s">
        <v>26</v>
      </c>
      <c r="S16" s="8" t="str">
        <f t="shared" si="5"/>
        <v>44/0922/MANDIRI-JF/K</v>
      </c>
    </row>
    <row r="17" spans="1:19" s="8" customFormat="1" ht="20.100000000000001" customHeight="1">
      <c r="A17" s="18" t="str">
        <f t="shared" si="0"/>
        <v>45/0922/MANDIRI-JF/K</v>
      </c>
      <c r="B17" s="19" t="s">
        <v>43</v>
      </c>
      <c r="C17" s="19" t="s">
        <v>35</v>
      </c>
      <c r="D17" s="19" t="s">
        <v>44</v>
      </c>
      <c r="E17" s="20" t="s">
        <v>21</v>
      </c>
      <c r="F17" s="21">
        <v>121479000</v>
      </c>
      <c r="G17" s="26"/>
      <c r="H17" s="23" t="s">
        <v>22</v>
      </c>
      <c r="I17" s="23"/>
      <c r="J17" s="15" t="str">
        <f t="shared" si="1"/>
        <v>BEA CUKAI</v>
      </c>
      <c r="K17" s="24">
        <f t="shared" si="2"/>
        <v>121479000</v>
      </c>
      <c r="L17" s="15"/>
      <c r="M17" s="25">
        <f t="shared" si="6"/>
        <v>45</v>
      </c>
      <c r="N17" s="8" t="s">
        <v>24</v>
      </c>
      <c r="O17" s="8" t="s">
        <v>25</v>
      </c>
      <c r="P17" s="15" t="str">
        <f t="shared" si="3"/>
        <v>45/0922/MANDIRI-JF/K SJDD22191B^PIB DOMESTIK FINISH GOOD SJDD22191B</v>
      </c>
      <c r="Q17" s="17" t="str">
        <f t="shared" si="4"/>
        <v>SJDD22191B</v>
      </c>
      <c r="R17" s="16" t="s">
        <v>26</v>
      </c>
      <c r="S17" s="8" t="str">
        <f t="shared" si="5"/>
        <v>45/0922/MANDIRI-JF/K</v>
      </c>
    </row>
    <row r="18" spans="1:19" s="8" customFormat="1" ht="20.100000000000001" customHeight="1" outlineLevel="1">
      <c r="A18" s="18"/>
      <c r="B18" s="19"/>
      <c r="C18" s="27" t="s">
        <v>45</v>
      </c>
      <c r="D18" s="19"/>
      <c r="E18" s="20"/>
      <c r="F18" s="28">
        <f>SUBTOTAL(9,F13:F17)</f>
        <v>227930000</v>
      </c>
      <c r="G18" s="26"/>
      <c r="H18" s="23"/>
      <c r="I18" s="23"/>
      <c r="J18" s="15"/>
      <c r="K18" s="24"/>
      <c r="L18" s="15"/>
      <c r="M18" s="25"/>
      <c r="P18" s="15"/>
      <c r="Q18" s="17"/>
      <c r="R18" s="16"/>
    </row>
    <row r="19" spans="1:19" s="8" customFormat="1" ht="20.100000000000001" customHeight="1" outlineLevel="1">
      <c r="A19" s="18"/>
      <c r="B19" s="19"/>
      <c r="C19" s="27" t="s">
        <v>46</v>
      </c>
      <c r="D19" s="19"/>
      <c r="E19" s="20"/>
      <c r="F19" s="28">
        <f>SUBTOTAL(9,F8:F18)</f>
        <v>229605000</v>
      </c>
      <c r="G19" s="26"/>
      <c r="H19" s="23"/>
      <c r="I19" s="23"/>
      <c r="J19" s="15"/>
      <c r="K19" s="24"/>
      <c r="L19" s="15"/>
      <c r="M19" s="25"/>
      <c r="P19" s="15"/>
      <c r="Q19" s="17"/>
      <c r="R19" s="16"/>
    </row>
    <row r="20" spans="1:19" s="8" customFormat="1" ht="19.5" customHeight="1">
      <c r="A20" s="30"/>
      <c r="B20" s="2"/>
      <c r="C20" s="2"/>
      <c r="D20" s="31"/>
      <c r="E20" s="3"/>
      <c r="F20" s="32"/>
      <c r="G20" s="11"/>
      <c r="H20" s="33"/>
      <c r="I20" s="34"/>
      <c r="J20" s="3"/>
      <c r="K20" s="3"/>
      <c r="L20" s="3"/>
      <c r="M20" s="5"/>
      <c r="N20" s="3"/>
      <c r="O20" s="3"/>
      <c r="P20" s="3"/>
      <c r="Q20" s="3"/>
      <c r="R20" s="5"/>
      <c r="S20" s="3"/>
    </row>
    <row r="21" spans="1:19" s="8" customFormat="1" ht="19.5" customHeight="1">
      <c r="A21" s="10"/>
      <c r="B21" s="2"/>
      <c r="C21" s="2"/>
      <c r="D21" s="2"/>
      <c r="E21" s="3"/>
      <c r="F21" s="32"/>
      <c r="G21" s="11"/>
      <c r="H21" s="3"/>
      <c r="I21" s="3"/>
      <c r="J21" s="3"/>
      <c r="K21" s="3"/>
      <c r="L21" s="3"/>
      <c r="M21" s="5"/>
      <c r="N21" s="3"/>
      <c r="O21" s="3"/>
      <c r="P21" s="3"/>
      <c r="Q21" s="3"/>
      <c r="R21" s="5"/>
      <c r="S21" s="3"/>
    </row>
    <row r="22" spans="1:19" s="8" customFormat="1" ht="19.5" customHeight="1">
      <c r="A22" s="10"/>
      <c r="B22" s="2"/>
      <c r="C22" s="2"/>
      <c r="D22" s="2"/>
      <c r="E22" s="3"/>
      <c r="F22" s="35"/>
      <c r="G22" s="11"/>
      <c r="H22" s="3"/>
      <c r="I22" s="3"/>
      <c r="J22" s="3"/>
      <c r="K22" s="3"/>
      <c r="L22" s="3"/>
      <c r="M22" s="5"/>
      <c r="N22" s="3"/>
      <c r="O22" s="3"/>
      <c r="P22" s="3"/>
      <c r="Q22" s="3"/>
      <c r="R22" s="5"/>
      <c r="S22" s="3"/>
    </row>
    <row r="23" spans="1:19" s="8" customFormat="1" ht="19.5" customHeight="1">
      <c r="A23" s="10"/>
      <c r="B23" s="2"/>
      <c r="C23" s="2"/>
      <c r="D23" s="2"/>
      <c r="E23" s="3"/>
      <c r="F23" s="4"/>
      <c r="G23" s="11"/>
      <c r="H23" s="3"/>
      <c r="I23" s="3"/>
      <c r="J23" s="3"/>
      <c r="K23" s="3"/>
      <c r="L23" s="3"/>
      <c r="M23" s="5"/>
      <c r="N23" s="3"/>
      <c r="O23" s="3"/>
      <c r="P23" s="3"/>
      <c r="Q23" s="3"/>
      <c r="R23" s="5"/>
      <c r="S23" s="3"/>
    </row>
    <row r="24" spans="1:19" s="8" customFormat="1" ht="19.5" customHeight="1">
      <c r="A24" s="10"/>
      <c r="B24" s="2"/>
      <c r="C24" s="2"/>
      <c r="D24" s="2"/>
      <c r="E24" s="3"/>
      <c r="F24" s="4"/>
      <c r="G24" s="11"/>
      <c r="H24" s="3"/>
      <c r="I24" s="3"/>
      <c r="J24" s="3"/>
      <c r="K24" s="3"/>
      <c r="L24" s="3"/>
      <c r="M24" s="5"/>
      <c r="N24" s="3"/>
      <c r="O24" s="3"/>
      <c r="P24" s="3"/>
      <c r="Q24" s="3"/>
      <c r="R24" s="5"/>
      <c r="S24" s="3"/>
    </row>
    <row r="25" spans="1:19">
      <c r="G25" s="11"/>
    </row>
    <row r="26" spans="1:19">
      <c r="G26" s="11"/>
    </row>
    <row r="27" spans="1:19">
      <c r="G27" s="11"/>
    </row>
    <row r="28" spans="1:19">
      <c r="G28" s="11"/>
    </row>
    <row r="36" spans="7:9">
      <c r="G36" s="8"/>
      <c r="H36" s="8"/>
      <c r="I36" s="8"/>
    </row>
    <row r="37" spans="7:9">
      <c r="G37" s="8"/>
      <c r="H37" s="8"/>
      <c r="I37" s="8"/>
    </row>
    <row r="38" spans="7:9">
      <c r="G38" s="8"/>
      <c r="H38" s="8"/>
      <c r="I38" s="8"/>
    </row>
    <row r="39" spans="7:9">
      <c r="G39" s="8"/>
      <c r="H39" s="8"/>
      <c r="I39" s="8"/>
    </row>
    <row r="40" spans="7:9">
      <c r="G40" s="8"/>
      <c r="H40" s="8"/>
      <c r="I40" s="8"/>
    </row>
    <row r="41" spans="7:9">
      <c r="G41" s="8"/>
      <c r="H41" s="8"/>
      <c r="I41" s="8"/>
    </row>
    <row r="42" spans="7:9">
      <c r="G42" s="36"/>
      <c r="H42" s="36"/>
      <c r="I42" s="36"/>
    </row>
    <row r="43" spans="7:9">
      <c r="G43" s="8"/>
      <c r="H43" s="8"/>
      <c r="I43" s="8"/>
    </row>
    <row r="44" spans="7:9">
      <c r="G44" s="8"/>
      <c r="H44" s="8"/>
      <c r="I44" s="8"/>
    </row>
    <row r="26630" spans="10:10">
      <c r="J26630" s="3" t="s">
        <v>24</v>
      </c>
    </row>
  </sheetData>
  <autoFilter ref="A8:T29"/>
  <printOptions horizontalCentered="1"/>
  <pageMargins left="0" right="0" top="0.75" bottom="0.25" header="0" footer="0"/>
  <pageSetup paperSize="9" scale="80" orientation="portrait" horizontalDpi="4294967295" verticalDpi="4294967295" r:id="rId1"/>
  <headerFooter alignWithMargins="0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23 SEP OPR</vt:lpstr>
      <vt:lpstr>'23 SEP OPR'!Print_Area</vt:lpstr>
      <vt:lpstr>'23 SEP OPR'!Print_Titles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FA-JF03</dc:creator>
  <cp:lastModifiedBy>FA-JF03</cp:lastModifiedBy>
  <dcterms:created xsi:type="dcterms:W3CDTF">2022-09-23T02:25:41Z</dcterms:created>
  <dcterms:modified xsi:type="dcterms:W3CDTF">2022-09-23T02:25:59Z</dcterms:modified>
</cp:coreProperties>
</file>