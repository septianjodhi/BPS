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ku\01. File Kerja\06.Tagihan\Charge to SAMI\10. Okt-22\"/>
    </mc:Choice>
  </mc:AlternateContent>
  <xr:revisionPtr revIDLastSave="0" documentId="8_{B794F788-1FF5-4EF9-8996-DC82AAE4875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a Tagihan" sheetId="12" r:id="rId1"/>
  </sheets>
  <definedNames>
    <definedName name="_xlnm.Print_Area" localSheetId="0">'Data Tagihan'!$A$1:$H$76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12" l="1"/>
  <c r="F35" i="12"/>
  <c r="F40" i="12"/>
  <c r="G40" i="12" s="1"/>
  <c r="F34" i="12"/>
  <c r="F38" i="12"/>
  <c r="F18" i="12"/>
  <c r="F49" i="12" s="1"/>
  <c r="G49" i="12" s="1"/>
  <c r="F69" i="12"/>
  <c r="F24" i="12"/>
  <c r="G24" i="12" s="1"/>
  <c r="F21" i="12"/>
  <c r="F74" i="12"/>
  <c r="G74" i="12" s="1"/>
  <c r="F73" i="12"/>
  <c r="G73" i="12" s="1"/>
  <c r="D71" i="12"/>
  <c r="F70" i="12"/>
  <c r="G70" i="12" s="1"/>
  <c r="D69" i="12"/>
  <c r="F68" i="12"/>
  <c r="D68" i="12"/>
  <c r="G68" i="12" s="1"/>
  <c r="G67" i="12"/>
  <c r="F64" i="12"/>
  <c r="D64" i="12"/>
  <c r="G64" i="12" s="1"/>
  <c r="F63" i="12"/>
  <c r="G63" i="12" s="1"/>
  <c r="G62" i="12"/>
  <c r="F62" i="12"/>
  <c r="D62" i="12"/>
  <c r="F60" i="12"/>
  <c r="G60" i="12" s="1"/>
  <c r="G59" i="12"/>
  <c r="F58" i="12"/>
  <c r="F57" i="12"/>
  <c r="D57" i="12"/>
  <c r="G57" i="12" s="1"/>
  <c r="F56" i="12"/>
  <c r="D56" i="12"/>
  <c r="D55" i="12"/>
  <c r="F54" i="12"/>
  <c r="G54" i="12" s="1"/>
  <c r="G53" i="12"/>
  <c r="F51" i="12"/>
  <c r="D51" i="12"/>
  <c r="G51" i="12" s="1"/>
  <c r="G50" i="12"/>
  <c r="F50" i="12"/>
  <c r="D50" i="12"/>
  <c r="F48" i="12"/>
  <c r="D48" i="12"/>
  <c r="G48" i="12" s="1"/>
  <c r="F46" i="12"/>
  <c r="G43" i="12"/>
  <c r="D41" i="12"/>
  <c r="D72" i="12" s="1"/>
  <c r="D40" i="12"/>
  <c r="G39" i="12"/>
  <c r="G37" i="12"/>
  <c r="D35" i="12"/>
  <c r="D66" i="12" s="1"/>
  <c r="D34" i="12"/>
  <c r="D65" i="12" s="1"/>
  <c r="G33" i="12"/>
  <c r="G32" i="12"/>
  <c r="G31" i="12"/>
  <c r="G29" i="12"/>
  <c r="D26" i="12"/>
  <c r="G26" i="12" s="1"/>
  <c r="G25" i="12"/>
  <c r="G23" i="12"/>
  <c r="D21" i="12"/>
  <c r="D52" i="12" s="1"/>
  <c r="G20" i="12"/>
  <c r="G19" i="12"/>
  <c r="G17" i="12"/>
  <c r="D10" i="12"/>
  <c r="F71" i="12" l="1"/>
  <c r="D12" i="12"/>
  <c r="F66" i="12" s="1"/>
  <c r="D27" i="12"/>
  <c r="G27" i="12" s="1"/>
  <c r="G56" i="12"/>
  <c r="G18" i="12"/>
  <c r="F45" i="12"/>
  <c r="F72" i="12"/>
  <c r="G72" i="12" s="1"/>
  <c r="G71" i="12"/>
  <c r="G38" i="12"/>
  <c r="G69" i="12"/>
  <c r="F55" i="12"/>
  <c r="G55" i="12" s="1"/>
  <c r="F65" i="12"/>
  <c r="G65" i="12" s="1"/>
  <c r="F44" i="12"/>
  <c r="G34" i="12"/>
  <c r="G21" i="12"/>
  <c r="G35" i="12"/>
  <c r="G41" i="12"/>
  <c r="D58" i="12" l="1"/>
  <c r="G58" i="12" s="1"/>
  <c r="G44" i="12"/>
  <c r="F52" i="12"/>
  <c r="F61" i="12" s="1"/>
  <c r="G30" i="12"/>
  <c r="F75" i="12"/>
  <c r="F76" i="12"/>
  <c r="G66" i="12"/>
  <c r="G75" i="12" s="1"/>
  <c r="G52" i="12"/>
  <c r="G61" i="12" s="1"/>
  <c r="G45" i="12" l="1"/>
  <c r="G76" i="12"/>
</calcChain>
</file>

<file path=xl/sharedStrings.xml><?xml version="1.0" encoding="utf-8"?>
<sst xmlns="http://schemas.openxmlformats.org/spreadsheetml/2006/main" count="143" uniqueCount="49">
  <si>
    <t>Activity</t>
  </si>
  <si>
    <t>Rate</t>
  </si>
  <si>
    <t xml:space="preserve">Storage </t>
  </si>
  <si>
    <t>Fix</t>
  </si>
  <si>
    <t>Management Fee</t>
  </si>
  <si>
    <t>Handling IN</t>
  </si>
  <si>
    <t>per CBM</t>
  </si>
  <si>
    <t>Overtime Fee</t>
  </si>
  <si>
    <t>per Man Hour</t>
  </si>
  <si>
    <t xml:space="preserve">E-Seal </t>
  </si>
  <si>
    <t>per Truck</t>
  </si>
  <si>
    <t>Delivery by motorcycle</t>
  </si>
  <si>
    <t>per Trip</t>
  </si>
  <si>
    <t>Volume</t>
  </si>
  <si>
    <t>Revenue</t>
  </si>
  <si>
    <t>SUMMARY PERHITUNGAN TAGIHAN SAMI</t>
  </si>
  <si>
    <t>PEMASUKAN DISPOSAL SAMPAH</t>
  </si>
  <si>
    <t>PENGELUARAN:</t>
  </si>
  <si>
    <t>Convert Deduction to volume handling OUT</t>
  </si>
  <si>
    <t>cbm</t>
  </si>
  <si>
    <t>SISA (DEDUCTION TO WH CHARGE)</t>
  </si>
  <si>
    <t>- Operasional Bea Cukai</t>
  </si>
  <si>
    <t>PERHITUNGAN :</t>
  </si>
  <si>
    <t>FACTORY</t>
  </si>
  <si>
    <t>SAMI 
TUGU</t>
  </si>
  <si>
    <t>Handling OUT</t>
  </si>
  <si>
    <t xml:space="preserve"> SAMI TUGU</t>
  </si>
  <si>
    <t>SAMI 
JEPARA</t>
  </si>
  <si>
    <t xml:space="preserve"> SAMI JEPARA</t>
  </si>
  <si>
    <t>ORIGINAL CHARGE</t>
  </si>
  <si>
    <t>Delivery urgent</t>
  </si>
  <si>
    <t>Handling IN FG</t>
  </si>
  <si>
    <t>Handling OUT FG</t>
  </si>
  <si>
    <t>ALL</t>
  </si>
  <si>
    <t>RAW MATERIAL</t>
  </si>
  <si>
    <t>FINISHED GOODS</t>
  </si>
  <si>
    <t>CLAIM SAMI TF</t>
  </si>
  <si>
    <t>CLAIM SAMI JF</t>
  </si>
  <si>
    <t>CHARGE SETELAH DEDUCTION</t>
  </si>
  <si>
    <t>Biaya Lembur, Makan, Transport RM</t>
  </si>
  <si>
    <t>Overtime Fee RM</t>
  </si>
  <si>
    <t>Biaya Lembur, Makan, Transport FG</t>
  </si>
  <si>
    <t>Overtime Fee FG</t>
  </si>
  <si>
    <t>Additional storage</t>
  </si>
  <si>
    <t>per m2</t>
  </si>
  <si>
    <t>Remarks</t>
  </si>
  <si>
    <t>Biaya Lembur, Makan, Transport RM &amp; FG</t>
  </si>
  <si>
    <t>- Listrik Okt-2022</t>
  </si>
  <si>
    <t>Actual additional storage space used for TF &amp; JF =  1980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</si>
</sst>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([$IDR]\ * #,##0_);_([$IDR]\ * \(#,##0\);_([$IDR]\ * &quot;-&quot;_);_(@_)"/>
    <numFmt numFmtId="165" formatCode="_(* #,##0.0_);_(* \(#,##0.0\);_(* &quot;-&quot;_);_(@_)"/>
    <numFmt numFmtId="166" formatCode="0.000000"/>
    <numFmt numFmtId="167" formatCode="_(* #,##0.00_);_(* \(#,##0.00\);_(* &quot;-&quot;_);_(@_)"/>
    <numFmt numFmtId="168" formatCode="_(* #,##0.000000_);_(* \(#,##0.000000\);_(* &quot;-&quot;_);_(@_)"/>
    <numFmt numFmtId="169" formatCode="_(* #,##0.000000_);_(* \(#,##0.000000\);_(* &quot;-&quot;??????_);_(@_)"/>
    <numFmt numFmtId="170" formatCode="_([$IDR]\ * #,##0.00_);_([$IDR]\ * \(#,##0.00\);_([$IDR]\ * &quot;-&quot;_);_(@_)"/>
    <numFmt numFmtId="171" formatCode="_(* #,##0_);_(* \(#,##0\);_(* &quot;-&quot;??_);_(@_)"/>
    <numFmt numFmtId="172" formatCode="0.0%"/>
    <numFmt numFmtId="173" formatCode="_(* #,##0.00_);_(* \(#,##0.00\);_(* &quot;-&quot;??????_);_(@_)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2"/>
      <color rgb="FF0033CC"/>
      <name val="Calibri"/>
      <family val="2"/>
      <scheme val="minor"/>
    </font>
    <font>
      <sz val="11"/>
      <color rgb="FF0033CC"/>
      <name val="Calibri"/>
      <family val="2"/>
      <scheme val="minor"/>
    </font>
    <font>
      <sz val="11"/>
      <color rgb="FF0033CC"/>
      <name val="Calibri"/>
      <family val="2"/>
      <charset val="1"/>
      <scheme val="minor"/>
    </font>
    <font>
      <b/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charset val="1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rgb="FFC00000"/>
      </top>
      <bottom style="thin">
        <color rgb="FFC0000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C00000"/>
      </left>
      <right style="thin">
        <color theme="0"/>
      </right>
      <top/>
      <bottom/>
      <diagonal/>
    </border>
    <border>
      <left style="thin">
        <color rgb="FFC00000"/>
      </left>
      <right style="thin">
        <color theme="0"/>
      </right>
      <top/>
      <bottom style="thin">
        <color rgb="FFC00000"/>
      </bottom>
      <diagonal/>
    </border>
    <border>
      <left style="thin">
        <color rgb="FFC00000"/>
      </left>
      <right style="thin">
        <color theme="0"/>
      </right>
      <top style="thin">
        <color rgb="FFC00000"/>
      </top>
      <bottom style="thin">
        <color theme="0"/>
      </bottom>
      <diagonal/>
    </border>
    <border>
      <left style="thin">
        <color theme="0"/>
      </left>
      <right style="thin">
        <color rgb="FFC00000"/>
      </right>
      <top style="thin">
        <color rgb="FFC00000"/>
      </top>
      <bottom style="thin">
        <color theme="0"/>
      </bottom>
      <diagonal/>
    </border>
    <border>
      <left style="thin">
        <color theme="0"/>
      </left>
      <right style="thin">
        <color rgb="FFC00000"/>
      </right>
      <top style="thin">
        <color theme="0"/>
      </top>
      <bottom style="thin">
        <color rgb="FFC00000"/>
      </bottom>
      <diagonal/>
    </border>
    <border>
      <left style="thin">
        <color theme="0"/>
      </left>
      <right style="thin">
        <color rgb="FFC00000"/>
      </right>
      <top/>
      <bottom/>
      <diagonal/>
    </border>
    <border>
      <left style="thin">
        <color rgb="FFC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C00000"/>
      </right>
      <top/>
      <bottom style="thin">
        <color theme="0"/>
      </bottom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 style="thin">
        <color theme="0"/>
      </right>
      <top/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 style="thin">
        <color theme="0"/>
      </right>
      <top style="thin">
        <color rgb="FFC00000"/>
      </top>
      <bottom style="thin">
        <color theme="0"/>
      </bottom>
      <diagonal/>
    </border>
    <border>
      <left style="thin">
        <color theme="0"/>
      </left>
      <right/>
      <top style="thin">
        <color rgb="FFC00000"/>
      </top>
      <bottom style="thin">
        <color theme="0"/>
      </bottom>
      <diagonal/>
    </border>
    <border>
      <left/>
      <right/>
      <top style="thin">
        <color rgb="FFC00000"/>
      </top>
      <bottom style="thin">
        <color theme="0"/>
      </bottom>
      <diagonal/>
    </border>
    <border>
      <left/>
      <right/>
      <top/>
      <bottom style="thin">
        <color rgb="FFC00000"/>
      </bottom>
      <diagonal/>
    </border>
    <border>
      <left style="thin">
        <color theme="0"/>
      </left>
      <right style="thin">
        <color rgb="FFC00000"/>
      </right>
      <top/>
      <bottom style="thin">
        <color rgb="FFC00000"/>
      </bottom>
      <diagonal/>
    </border>
    <border>
      <left/>
      <right style="thin">
        <color theme="0"/>
      </right>
      <top/>
      <bottom style="thin">
        <color rgb="FFC00000"/>
      </bottom>
      <diagonal/>
    </border>
    <border>
      <left/>
      <right style="thin">
        <color theme="0"/>
      </right>
      <top style="thin">
        <color rgb="FFC00000"/>
      </top>
      <bottom/>
      <diagonal/>
    </border>
    <border>
      <left style="thin">
        <color theme="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 style="thin">
        <color theme="0"/>
      </left>
      <right style="thin">
        <color rgb="FFC00000"/>
      </right>
      <top style="thin">
        <color rgb="FFC00000"/>
      </top>
      <bottom/>
      <diagonal/>
    </border>
    <border>
      <left style="thin">
        <color theme="0"/>
      </left>
      <right/>
      <top/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theme="0"/>
      </right>
      <top style="thin">
        <color rgb="FFC00000"/>
      </top>
      <bottom/>
      <diagonal/>
    </border>
    <border>
      <left/>
      <right style="thin">
        <color theme="0"/>
      </right>
      <top style="thin">
        <color rgb="FFC00000"/>
      </top>
      <bottom style="thin">
        <color rgb="FFC00000"/>
      </bottom>
      <diagonal/>
    </border>
    <border>
      <left/>
      <right style="thin">
        <color theme="0"/>
      </right>
      <top style="thin">
        <color theme="0"/>
      </top>
      <bottom style="thin">
        <color rgb="FFC00000"/>
      </bottom>
      <diagonal/>
    </border>
    <border>
      <left style="thin">
        <color theme="0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0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/>
      <diagonal/>
    </border>
    <border>
      <left/>
      <right style="thin">
        <color theme="3" tint="-0.24994659260841701"/>
      </right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/>
      <bottom/>
      <diagonal/>
    </border>
    <border>
      <left style="thin">
        <color theme="0"/>
      </left>
      <right style="thin">
        <color theme="3" tint="-0.24994659260841701"/>
      </right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4">
    <xf numFmtId="0" fontId="0" fillId="0" borderId="0" xfId="0"/>
    <xf numFmtId="164" fontId="0" fillId="2" borderId="6" xfId="0" applyNumberFormat="1" applyFill="1" applyBorder="1"/>
    <xf numFmtId="0" fontId="0" fillId="2" borderId="7" xfId="0" applyFill="1" applyBorder="1"/>
    <xf numFmtId="164" fontId="0" fillId="2" borderId="5" xfId="0" applyNumberFormat="1" applyFill="1" applyBorder="1"/>
    <xf numFmtId="0" fontId="0" fillId="2" borderId="0" xfId="0" applyFill="1" applyBorder="1"/>
    <xf numFmtId="0" fontId="0" fillId="2" borderId="8" xfId="0" applyFill="1" applyBorder="1" applyAlignment="1">
      <alignment horizontal="left"/>
    </xf>
    <xf numFmtId="164" fontId="0" fillId="2" borderId="0" xfId="0" applyNumberFormat="1" applyFill="1" applyBorder="1"/>
    <xf numFmtId="0" fontId="0" fillId="2" borderId="14" xfId="0" applyFill="1" applyBorder="1"/>
    <xf numFmtId="164" fontId="0" fillId="2" borderId="15" xfId="0" applyNumberFormat="1" applyFill="1" applyBorder="1"/>
    <xf numFmtId="164" fontId="0" fillId="2" borderId="13" xfId="0" applyNumberFormat="1" applyFill="1" applyBorder="1"/>
    <xf numFmtId="164" fontId="6" fillId="2" borderId="5" xfId="0" applyNumberFormat="1" applyFont="1" applyFill="1" applyBorder="1"/>
    <xf numFmtId="0" fontId="6" fillId="2" borderId="0" xfId="0" applyFont="1" applyFill="1" applyBorder="1"/>
    <xf numFmtId="164" fontId="6" fillId="2" borderId="13" xfId="0" applyNumberFormat="1" applyFont="1" applyFill="1" applyBorder="1"/>
    <xf numFmtId="0" fontId="6" fillId="2" borderId="0" xfId="0" applyFont="1" applyFill="1"/>
    <xf numFmtId="0" fontId="0" fillId="2" borderId="0" xfId="0" applyFill="1"/>
    <xf numFmtId="17" fontId="0" fillId="2" borderId="0" xfId="0" quotePrefix="1" applyNumberFormat="1" applyFill="1"/>
    <xf numFmtId="0" fontId="0" fillId="2" borderId="1" xfId="0" applyFill="1" applyBorder="1"/>
    <xf numFmtId="0" fontId="0" fillId="2" borderId="1" xfId="0" quotePrefix="1" applyFill="1" applyBorder="1" applyAlignment="1">
      <alignment horizontal="left" indent="1"/>
    </xf>
    <xf numFmtId="0" fontId="0" fillId="2" borderId="1" xfId="0" applyFill="1" applyBorder="1" applyAlignment="1">
      <alignment horizontal="right"/>
    </xf>
    <xf numFmtId="0" fontId="0" fillId="2" borderId="3" xfId="0" applyFill="1" applyBorder="1"/>
    <xf numFmtId="0" fontId="3" fillId="2" borderId="0" xfId="0" applyFont="1" applyFill="1"/>
    <xf numFmtId="166" fontId="0" fillId="2" borderId="0" xfId="0" applyNumberFormat="1" applyFill="1"/>
    <xf numFmtId="0" fontId="3" fillId="0" borderId="0" xfId="0" applyFont="1" applyAlignment="1">
      <alignment horizontal="left" vertical="center"/>
    </xf>
    <xf numFmtId="0" fontId="0" fillId="2" borderId="22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167" fontId="0" fillId="2" borderId="8" xfId="1" applyNumberFormat="1" applyFont="1" applyFill="1" applyBorder="1"/>
    <xf numFmtId="0" fontId="6" fillId="2" borderId="20" xfId="0" applyFont="1" applyFill="1" applyBorder="1" applyAlignment="1">
      <alignment horizontal="left"/>
    </xf>
    <xf numFmtId="168" fontId="0" fillId="2" borderId="0" xfId="0" applyNumberFormat="1" applyFill="1"/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/>
    <xf numFmtId="164" fontId="0" fillId="2" borderId="2" xfId="0" applyNumberFormat="1" applyFill="1" applyBorder="1"/>
    <xf numFmtId="164" fontId="7" fillId="2" borderId="2" xfId="0" applyNumberFormat="1" applyFont="1" applyFill="1" applyBorder="1"/>
    <xf numFmtId="0" fontId="0" fillId="0" borderId="0" xfId="0" applyBorder="1"/>
    <xf numFmtId="0" fontId="0" fillId="2" borderId="28" xfId="0" applyFill="1" applyBorder="1" applyAlignment="1">
      <alignment horizontal="left"/>
    </xf>
    <xf numFmtId="164" fontId="0" fillId="2" borderId="29" xfId="0" applyNumberFormat="1" applyFill="1" applyBorder="1"/>
    <xf numFmtId="0" fontId="0" fillId="2" borderId="30" xfId="0" applyFill="1" applyBorder="1"/>
    <xf numFmtId="0" fontId="0" fillId="2" borderId="10" xfId="0" applyFill="1" applyBorder="1"/>
    <xf numFmtId="164" fontId="0" fillId="2" borderId="11" xfId="0" applyNumberFormat="1" applyFill="1" applyBorder="1"/>
    <xf numFmtId="0" fontId="9" fillId="2" borderId="20" xfId="0" applyFont="1" applyFill="1" applyBorder="1" applyAlignment="1">
      <alignment horizontal="left"/>
    </xf>
    <xf numFmtId="164" fontId="9" fillId="2" borderId="5" xfId="0" applyNumberFormat="1" applyFont="1" applyFill="1" applyBorder="1"/>
    <xf numFmtId="0" fontId="9" fillId="2" borderId="0" xfId="0" applyFont="1" applyFill="1" applyBorder="1"/>
    <xf numFmtId="169" fontId="0" fillId="2" borderId="0" xfId="0" applyNumberFormat="1" applyFill="1"/>
    <xf numFmtId="0" fontId="0" fillId="2" borderId="10" xfId="0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64" fontId="10" fillId="2" borderId="5" xfId="0" applyNumberFormat="1" applyFont="1" applyFill="1" applyBorder="1"/>
    <xf numFmtId="0" fontId="10" fillId="2" borderId="0" xfId="0" applyFont="1" applyFill="1" applyBorder="1"/>
    <xf numFmtId="164" fontId="10" fillId="2" borderId="13" xfId="0" applyNumberFormat="1" applyFont="1" applyFill="1" applyBorder="1"/>
    <xf numFmtId="0" fontId="10" fillId="2" borderId="20" xfId="0" applyFont="1" applyFill="1" applyBorder="1" applyAlignment="1">
      <alignment horizontal="left"/>
    </xf>
    <xf numFmtId="164" fontId="4" fillId="2" borderId="0" xfId="0" applyNumberFormat="1" applyFont="1" applyFill="1" applyAlignment="1">
      <alignment vertical="center"/>
    </xf>
    <xf numFmtId="0" fontId="4" fillId="0" borderId="0" xfId="0" applyFont="1" applyFill="1"/>
    <xf numFmtId="0" fontId="0" fillId="2" borderId="0" xfId="0" applyFill="1" applyAlignment="1">
      <alignment horizontal="center"/>
    </xf>
    <xf numFmtId="170" fontId="4" fillId="0" borderId="0" xfId="1" applyNumberFormat="1" applyFont="1" applyFill="1"/>
    <xf numFmtId="170" fontId="11" fillId="3" borderId="0" xfId="1" applyNumberFormat="1" applyFont="1" applyFill="1"/>
    <xf numFmtId="41" fontId="6" fillId="0" borderId="0" xfId="0" applyNumberFormat="1" applyFont="1" applyFill="1" applyBorder="1" applyAlignment="1">
      <alignment horizontal="right"/>
    </xf>
    <xf numFmtId="171" fontId="0" fillId="2" borderId="0" xfId="2" applyNumberFormat="1" applyFont="1" applyFill="1"/>
    <xf numFmtId="172" fontId="0" fillId="2" borderId="0" xfId="3" applyNumberFormat="1" applyFont="1" applyFill="1" applyAlignment="1">
      <alignment horizontal="center"/>
    </xf>
    <xf numFmtId="173" fontId="12" fillId="2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center"/>
    </xf>
    <xf numFmtId="167" fontId="6" fillId="2" borderId="8" xfId="1" applyNumberFormat="1" applyFont="1" applyFill="1" applyBorder="1"/>
    <xf numFmtId="167" fontId="13" fillId="2" borderId="8" xfId="1" applyNumberFormat="1" applyFont="1" applyFill="1" applyBorder="1"/>
    <xf numFmtId="17" fontId="0" fillId="2" borderId="0" xfId="0" quotePrefix="1" applyNumberFormat="1" applyFill="1" applyAlignment="1">
      <alignment horizontal="left"/>
    </xf>
    <xf numFmtId="41" fontId="0" fillId="2" borderId="16" xfId="1" applyNumberFormat="1" applyFont="1" applyFill="1" applyBorder="1"/>
    <xf numFmtId="2" fontId="0" fillId="2" borderId="2" xfId="0" applyNumberFormat="1" applyFill="1" applyBorder="1"/>
    <xf numFmtId="0" fontId="0" fillId="2" borderId="33" xfId="0" applyFill="1" applyBorder="1" applyAlignment="1">
      <alignment horizontal="left"/>
    </xf>
    <xf numFmtId="164" fontId="0" fillId="2" borderId="31" xfId="0" applyNumberFormat="1" applyFill="1" applyBorder="1"/>
    <xf numFmtId="0" fontId="0" fillId="2" borderId="31" xfId="0" applyFill="1" applyBorder="1"/>
    <xf numFmtId="165" fontId="0" fillId="2" borderId="17" xfId="1" applyNumberFormat="1" applyFont="1" applyFill="1" applyBorder="1"/>
    <xf numFmtId="164" fontId="0" fillId="2" borderId="32" xfId="0" applyNumberFormat="1" applyFill="1" applyBorder="1"/>
    <xf numFmtId="0" fontId="0" fillId="2" borderId="9" xfId="0" applyFill="1" applyBorder="1" applyAlignment="1">
      <alignment horizontal="left"/>
    </xf>
    <xf numFmtId="167" fontId="10" fillId="2" borderId="9" xfId="1" applyNumberFormat="1" applyFont="1" applyFill="1" applyBorder="1"/>
    <xf numFmtId="164" fontId="10" fillId="2" borderId="32" xfId="0" applyNumberFormat="1" applyFont="1" applyFill="1" applyBorder="1"/>
    <xf numFmtId="167" fontId="10" fillId="2" borderId="8" xfId="1" applyNumberFormat="1" applyFont="1" applyFill="1" applyBorder="1"/>
    <xf numFmtId="167" fontId="9" fillId="2" borderId="8" xfId="1" applyNumberFormat="1" applyFont="1" applyFill="1" applyBorder="1"/>
    <xf numFmtId="164" fontId="9" fillId="2" borderId="13" xfId="0" applyNumberFormat="1" applyFont="1" applyFill="1" applyBorder="1"/>
    <xf numFmtId="0" fontId="0" fillId="0" borderId="34" xfId="0" applyFill="1" applyBorder="1" applyAlignment="1">
      <alignment horizontal="left"/>
    </xf>
    <xf numFmtId="164" fontId="0" fillId="0" borderId="35" xfId="0" applyNumberFormat="1" applyFill="1" applyBorder="1"/>
    <xf numFmtId="0" fontId="0" fillId="0" borderId="36" xfId="0" applyFill="1" applyBorder="1"/>
    <xf numFmtId="0" fontId="0" fillId="0" borderId="40" xfId="0" applyFill="1" applyBorder="1"/>
    <xf numFmtId="164" fontId="0" fillId="0" borderId="37" xfId="0" applyNumberFormat="1" applyFill="1" applyBorder="1"/>
    <xf numFmtId="41" fontId="10" fillId="2" borderId="9" xfId="1" applyNumberFormat="1" applyFont="1" applyFill="1" applyBorder="1"/>
    <xf numFmtId="165" fontId="0" fillId="2" borderId="8" xfId="1" applyNumberFormat="1" applyFont="1" applyFill="1" applyBorder="1"/>
    <xf numFmtId="164" fontId="0" fillId="2" borderId="26" xfId="0" applyNumberFormat="1" applyFill="1" applyBorder="1"/>
    <xf numFmtId="0" fontId="9" fillId="2" borderId="33" xfId="0" applyFont="1" applyFill="1" applyBorder="1" applyAlignment="1">
      <alignment horizontal="left"/>
    </xf>
    <xf numFmtId="167" fontId="9" fillId="2" borderId="17" xfId="1" applyNumberFormat="1" applyFont="1" applyFill="1" applyBorder="1"/>
    <xf numFmtId="164" fontId="9" fillId="2" borderId="18" xfId="0" applyNumberFormat="1" applyFont="1" applyFill="1" applyBorder="1"/>
    <xf numFmtId="0" fontId="0" fillId="4" borderId="20" xfId="0" applyFill="1" applyBorder="1" applyAlignment="1">
      <alignment horizontal="left"/>
    </xf>
    <xf numFmtId="164" fontId="0" fillId="4" borderId="0" xfId="0" applyNumberFormat="1" applyFill="1" applyBorder="1"/>
    <xf numFmtId="0" fontId="0" fillId="4" borderId="0" xfId="0" applyFill="1" applyBorder="1"/>
    <xf numFmtId="41" fontId="0" fillId="4" borderId="16" xfId="1" applyNumberFormat="1" applyFont="1" applyFill="1" applyBorder="1"/>
    <xf numFmtId="164" fontId="0" fillId="4" borderId="13" xfId="0" applyNumberFormat="1" applyFill="1" applyBorder="1"/>
    <xf numFmtId="0" fontId="9" fillId="4" borderId="34" xfId="0" applyFont="1" applyFill="1" applyBorder="1" applyAlignment="1">
      <alignment horizontal="left"/>
    </xf>
    <xf numFmtId="164" fontId="9" fillId="4" borderId="35" xfId="0" applyNumberFormat="1" applyFont="1" applyFill="1" applyBorder="1"/>
    <xf numFmtId="0" fontId="9" fillId="4" borderId="36" xfId="0" applyFont="1" applyFill="1" applyBorder="1"/>
    <xf numFmtId="167" fontId="9" fillId="4" borderId="27" xfId="1" applyNumberFormat="1" applyFont="1" applyFill="1" applyBorder="1"/>
    <xf numFmtId="164" fontId="9" fillId="4" borderId="37" xfId="0" applyNumberFormat="1" applyFont="1" applyFill="1" applyBorder="1"/>
    <xf numFmtId="164" fontId="0" fillId="2" borderId="18" xfId="0" applyNumberFormat="1" applyFill="1" applyBorder="1"/>
    <xf numFmtId="167" fontId="10" fillId="2" borderId="17" xfId="1" applyNumberFormat="1" applyFont="1" applyFill="1" applyBorder="1"/>
    <xf numFmtId="164" fontId="10" fillId="2" borderId="18" xfId="0" applyNumberFormat="1" applyFont="1" applyFill="1" applyBorder="1"/>
    <xf numFmtId="0" fontId="0" fillId="4" borderId="8" xfId="0" applyFill="1" applyBorder="1" applyAlignment="1">
      <alignment horizontal="left"/>
    </xf>
    <xf numFmtId="165" fontId="0" fillId="4" borderId="16" xfId="1" applyNumberFormat="1" applyFont="1" applyFill="1" applyBorder="1"/>
    <xf numFmtId="0" fontId="10" fillId="4" borderId="20" xfId="0" applyFont="1" applyFill="1" applyBorder="1" applyAlignment="1">
      <alignment horizontal="left"/>
    </xf>
    <xf numFmtId="164" fontId="10" fillId="4" borderId="5" xfId="0" applyNumberFormat="1" applyFont="1" applyFill="1" applyBorder="1"/>
    <xf numFmtId="0" fontId="10" fillId="4" borderId="0" xfId="0" applyFont="1" applyFill="1" applyBorder="1"/>
    <xf numFmtId="167" fontId="10" fillId="4" borderId="16" xfId="1" applyNumberFormat="1" applyFont="1" applyFill="1" applyBorder="1"/>
    <xf numFmtId="164" fontId="10" fillId="4" borderId="13" xfId="0" applyNumberFormat="1" applyFont="1" applyFill="1" applyBorder="1"/>
    <xf numFmtId="0" fontId="5" fillId="5" borderId="12" xfId="0" applyFont="1" applyFill="1" applyBorder="1" applyAlignment="1">
      <alignment horizontal="center" vertical="center"/>
    </xf>
    <xf numFmtId="43" fontId="1" fillId="6" borderId="17" xfId="0" applyNumberFormat="1" applyFont="1" applyFill="1" applyBorder="1"/>
    <xf numFmtId="164" fontId="4" fillId="6" borderId="18" xfId="0" applyNumberFormat="1" applyFont="1" applyFill="1" applyBorder="1"/>
    <xf numFmtId="43" fontId="1" fillId="6" borderId="17" xfId="2" applyFont="1" applyFill="1" applyBorder="1"/>
    <xf numFmtId="0" fontId="0" fillId="4" borderId="33" xfId="0" applyFill="1" applyBorder="1" applyAlignment="1">
      <alignment horizontal="left"/>
    </xf>
    <xf numFmtId="164" fontId="0" fillId="4" borderId="38" xfId="0" applyNumberFormat="1" applyFill="1" applyBorder="1"/>
    <xf numFmtId="0" fontId="0" fillId="4" borderId="31" xfId="0" applyFill="1" applyBorder="1"/>
    <xf numFmtId="0" fontId="0" fillId="4" borderId="9" xfId="0" applyFill="1" applyBorder="1"/>
    <xf numFmtId="164" fontId="0" fillId="4" borderId="32" xfId="0" applyNumberFormat="1" applyFill="1" applyBorder="1"/>
    <xf numFmtId="164" fontId="0" fillId="4" borderId="5" xfId="0" applyNumberFormat="1" applyFill="1" applyBorder="1"/>
    <xf numFmtId="167" fontId="14" fillId="4" borderId="8" xfId="1" applyNumberFormat="1" applyFont="1" applyFill="1" applyBorder="1"/>
    <xf numFmtId="168" fontId="0" fillId="4" borderId="8" xfId="1" applyNumberFormat="1" applyFont="1" applyFill="1" applyBorder="1"/>
    <xf numFmtId="0" fontId="9" fillId="4" borderId="20" xfId="0" applyFont="1" applyFill="1" applyBorder="1" applyAlignment="1">
      <alignment horizontal="left"/>
    </xf>
    <xf numFmtId="164" fontId="9" fillId="4" borderId="5" xfId="0" applyNumberFormat="1" applyFont="1" applyFill="1" applyBorder="1"/>
    <xf numFmtId="0" fontId="9" fillId="4" borderId="0" xfId="0" applyFont="1" applyFill="1" applyBorder="1"/>
    <xf numFmtId="167" fontId="9" fillId="4" borderId="8" xfId="1" applyNumberFormat="1" applyFont="1" applyFill="1" applyBorder="1"/>
    <xf numFmtId="164" fontId="9" fillId="4" borderId="13" xfId="0" applyNumberFormat="1" applyFont="1" applyFill="1" applyBorder="1"/>
    <xf numFmtId="168" fontId="10" fillId="4" borderId="8" xfId="1" applyNumberFormat="1" applyFont="1" applyFill="1" applyBorder="1"/>
    <xf numFmtId="167" fontId="0" fillId="4" borderId="8" xfId="1" applyNumberFormat="1" applyFont="1" applyFill="1" applyBorder="1"/>
    <xf numFmtId="167" fontId="10" fillId="4" borderId="8" xfId="1" applyNumberFormat="1" applyFont="1" applyFill="1" applyBorder="1"/>
    <xf numFmtId="0" fontId="5" fillId="5" borderId="24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167" fontId="9" fillId="4" borderId="16" xfId="1" applyNumberFormat="1" applyFont="1" applyFill="1" applyBorder="1"/>
    <xf numFmtId="167" fontId="9" fillId="2" borderId="16" xfId="1" applyNumberFormat="1" applyFont="1" applyFill="1" applyBorder="1"/>
    <xf numFmtId="164" fontId="9" fillId="2" borderId="26" xfId="0" applyNumberFormat="1" applyFont="1" applyFill="1" applyBorder="1"/>
    <xf numFmtId="167" fontId="10" fillId="2" borderId="16" xfId="1" applyNumberFormat="1" applyFont="1" applyFill="1" applyBorder="1"/>
    <xf numFmtId="164" fontId="10" fillId="2" borderId="26" xfId="0" applyNumberFormat="1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17" fontId="5" fillId="5" borderId="10" xfId="0" applyNumberFormat="1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5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0" fillId="0" borderId="45" xfId="0" applyFill="1" applyBorder="1" applyAlignment="1">
      <alignment horizontal="left" vertical="top" wrapText="1"/>
    </xf>
    <xf numFmtId="0" fontId="0" fillId="0" borderId="46" xfId="0" applyFill="1" applyBorder="1" applyAlignment="1">
      <alignment horizontal="left" vertical="top" wrapText="1"/>
    </xf>
    <xf numFmtId="0" fontId="0" fillId="0" borderId="47" xfId="0" applyFill="1" applyBorder="1" applyAlignment="1">
      <alignment horizontal="left" vertical="top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right"/>
    </xf>
    <xf numFmtId="0" fontId="4" fillId="6" borderId="25" xfId="0" applyFont="1" applyFill="1" applyBorder="1" applyAlignment="1">
      <alignment horizontal="right"/>
    </xf>
    <xf numFmtId="0" fontId="5" fillId="5" borderId="44" xfId="0" applyFont="1" applyFill="1" applyBorder="1" applyAlignment="1">
      <alignment horizontal="center" vertical="center"/>
    </xf>
    <xf numFmtId="0" fontId="0" fillId="0" borderId="48" xfId="0" applyFill="1" applyBorder="1" applyAlignment="1">
      <alignment horizontal="left" vertical="top" wrapText="1"/>
    </xf>
    <xf numFmtId="0" fontId="0" fillId="0" borderId="50" xfId="0" applyFill="1" applyBorder="1" applyAlignment="1">
      <alignment horizontal="left" vertical="top" wrapText="1"/>
    </xf>
    <xf numFmtId="0" fontId="0" fillId="0" borderId="49" xfId="0" applyFill="1" applyBorder="1" applyAlignment="1">
      <alignment horizontal="left" vertical="top" wrapText="1"/>
    </xf>
    <xf numFmtId="0" fontId="6" fillId="2" borderId="39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</cellXfs>
  <cellStyles count="4">
    <cellStyle name="Comma" xfId="2" builtinId="3"/>
    <cellStyle name="Comma [0]" xfId="1" builtinId="6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597647</xdr:colOff>
      <xdr:row>1</xdr:row>
      <xdr:rowOff>97118</xdr:rowOff>
    </xdr:from>
    <xdr:to>
      <xdr:col>6</xdr:col>
      <xdr:colOff>543842</xdr:colOff>
      <xdr:row>3</xdr:row>
      <xdr:rowOff>209848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CD2105-657C-46D3-8048-2B8D7F0DA2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9872" y="297143"/>
          <a:ext cx="1270170" cy="493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1427-F5EF-4861-ACEF-8D1FB61A406A}">
  <dimension ref="A1:AG179"/>
  <sheetViews>
    <sheetView tabSelected="1" view="pageBreakPreview" zoomScale="85" zoomScaleNormal="100" zoomScaleSheetLayoutView="85" workbookViewId="0">
      <selection activeCell="I31" sqref="I31:L43"/>
    </sheetView>
  </sheetViews>
  <sheetFormatPr defaultRowHeight="15" x14ac:dyDescent="0.25"/>
  <cols>
    <col min="1" max="1" width="10" customWidth="1"/>
    <col min="2" max="2" width="12.5703125" customWidth="1"/>
    <col min="3" max="3" width="41.42578125" customWidth="1"/>
    <col min="4" max="4" width="17.140625" customWidth="1"/>
    <col min="5" max="5" width="14.42578125" customWidth="1"/>
    <col min="6" max="6" width="19.85546875" customWidth="1"/>
    <col min="7" max="7" width="20.85546875" customWidth="1"/>
    <col min="8" max="8" width="32.42578125" style="14" customWidth="1"/>
    <col min="9" max="9" width="12" style="14" bestFit="1" customWidth="1"/>
    <col min="10" max="10" width="11.42578125" style="14" bestFit="1" customWidth="1"/>
    <col min="11" max="33" width="9.140625" style="14"/>
  </cols>
  <sheetData>
    <row r="1" spans="1:8" s="14" customFormat="1" ht="15.75" x14ac:dyDescent="0.25">
      <c r="A1" s="13" t="s">
        <v>15</v>
      </c>
      <c r="B1" s="13"/>
    </row>
    <row r="2" spans="1:8" s="14" customFormat="1" x14ac:dyDescent="0.25">
      <c r="A2" s="62">
        <v>44835</v>
      </c>
      <c r="B2" s="15"/>
    </row>
    <row r="3" spans="1:8" s="14" customFormat="1" x14ac:dyDescent="0.25"/>
    <row r="4" spans="1:8" s="14" customFormat="1" ht="18.75" x14ac:dyDescent="0.3">
      <c r="C4" s="20" t="s">
        <v>22</v>
      </c>
    </row>
    <row r="5" spans="1:8" s="14" customFormat="1" x14ac:dyDescent="0.25">
      <c r="C5" s="16" t="s">
        <v>16</v>
      </c>
      <c r="D5" s="31">
        <v>15704135</v>
      </c>
      <c r="E5" s="19"/>
    </row>
    <row r="6" spans="1:8" s="14" customFormat="1" x14ac:dyDescent="0.25">
      <c r="C6" s="16" t="s">
        <v>17</v>
      </c>
      <c r="D6" s="31"/>
      <c r="E6" s="19"/>
    </row>
    <row r="7" spans="1:8" s="14" customFormat="1" x14ac:dyDescent="0.25">
      <c r="C7" s="17" t="s">
        <v>21</v>
      </c>
      <c r="D7" s="31">
        <v>3000000</v>
      </c>
      <c r="E7" s="19"/>
    </row>
    <row r="8" spans="1:8" s="14" customFormat="1" x14ac:dyDescent="0.25">
      <c r="C8" s="17" t="s">
        <v>47</v>
      </c>
      <c r="D8" s="31">
        <v>1500000</v>
      </c>
      <c r="E8" s="19"/>
    </row>
    <row r="9" spans="1:8" s="14" customFormat="1" x14ac:dyDescent="0.25">
      <c r="C9" s="17"/>
      <c r="D9" s="31"/>
      <c r="E9" s="19"/>
    </row>
    <row r="10" spans="1:8" s="14" customFormat="1" x14ac:dyDescent="0.25">
      <c r="C10" s="18" t="s">
        <v>20</v>
      </c>
      <c r="D10" s="32">
        <f>D5-D7-D8</f>
        <v>11204135</v>
      </c>
      <c r="E10" s="19"/>
    </row>
    <row r="11" spans="1:8" s="14" customFormat="1" x14ac:dyDescent="0.25"/>
    <row r="12" spans="1:8" s="14" customFormat="1" x14ac:dyDescent="0.25">
      <c r="C12" s="16" t="s">
        <v>18</v>
      </c>
      <c r="D12" s="64">
        <f>D10/D21</f>
        <v>127.3197159090909</v>
      </c>
      <c r="E12" s="19" t="s">
        <v>19</v>
      </c>
      <c r="G12" s="21"/>
    </row>
    <row r="13" spans="1:8" s="14" customFormat="1" x14ac:dyDescent="0.25"/>
    <row r="14" spans="1:8" s="14" customFormat="1" x14ac:dyDescent="0.25"/>
    <row r="15" spans="1:8" ht="18.75" x14ac:dyDescent="0.25">
      <c r="A15" s="22" t="s">
        <v>29</v>
      </c>
      <c r="B15" s="22"/>
      <c r="C15" s="28"/>
      <c r="D15" s="29"/>
      <c r="E15" s="29"/>
      <c r="F15" s="138">
        <v>44835</v>
      </c>
      <c r="G15" s="139"/>
      <c r="H15" s="140" t="s">
        <v>45</v>
      </c>
    </row>
    <row r="16" spans="1:8" x14ac:dyDescent="0.25">
      <c r="A16" s="127" t="s">
        <v>23</v>
      </c>
      <c r="B16" s="135"/>
      <c r="C16" s="128" t="s">
        <v>0</v>
      </c>
      <c r="D16" s="142" t="s">
        <v>1</v>
      </c>
      <c r="E16" s="142"/>
      <c r="F16" s="129" t="s">
        <v>13</v>
      </c>
      <c r="G16" s="107" t="s">
        <v>14</v>
      </c>
      <c r="H16" s="157"/>
    </row>
    <row r="17" spans="1:9" ht="15" customHeight="1" x14ac:dyDescent="0.25">
      <c r="A17" s="149" t="s">
        <v>24</v>
      </c>
      <c r="B17" s="136" t="s">
        <v>33</v>
      </c>
      <c r="C17" s="76" t="s">
        <v>2</v>
      </c>
      <c r="D17" s="77">
        <v>357500000</v>
      </c>
      <c r="E17" s="78" t="s">
        <v>3</v>
      </c>
      <c r="F17" s="79">
        <v>1</v>
      </c>
      <c r="G17" s="80">
        <f>$D17*F17</f>
        <v>357500000</v>
      </c>
      <c r="H17" s="158" t="s">
        <v>48</v>
      </c>
    </row>
    <row r="18" spans="1:9" ht="15" customHeight="1" x14ac:dyDescent="0.25">
      <c r="A18" s="150"/>
      <c r="B18" s="137"/>
      <c r="C18" s="111" t="s">
        <v>43</v>
      </c>
      <c r="D18" s="112">
        <v>71500</v>
      </c>
      <c r="E18" s="113" t="s">
        <v>44</v>
      </c>
      <c r="F18" s="114">
        <f>925+55</f>
        <v>980</v>
      </c>
      <c r="G18" s="115">
        <f>D18*F18</f>
        <v>70070000</v>
      </c>
      <c r="H18" s="159"/>
    </row>
    <row r="19" spans="1:9" ht="15" customHeight="1" x14ac:dyDescent="0.25">
      <c r="A19" s="150"/>
      <c r="B19" s="161" t="s">
        <v>34</v>
      </c>
      <c r="C19" s="34" t="s">
        <v>4</v>
      </c>
      <c r="D19" s="35">
        <v>8437500</v>
      </c>
      <c r="E19" s="36" t="s">
        <v>3</v>
      </c>
      <c r="F19" s="37">
        <v>1</v>
      </c>
      <c r="G19" s="38">
        <f>$D19*F19</f>
        <v>8437500</v>
      </c>
      <c r="H19" s="159"/>
    </row>
    <row r="20" spans="1:9" ht="15" customHeight="1" x14ac:dyDescent="0.25">
      <c r="A20" s="150"/>
      <c r="B20" s="162"/>
      <c r="C20" s="87" t="s">
        <v>5</v>
      </c>
      <c r="D20" s="116">
        <v>88000</v>
      </c>
      <c r="E20" s="89" t="s">
        <v>6</v>
      </c>
      <c r="F20" s="117">
        <v>3215.139254696001</v>
      </c>
      <c r="G20" s="91">
        <f>$D20*F20</f>
        <v>282932254.41324806</v>
      </c>
      <c r="H20" s="159"/>
    </row>
    <row r="21" spans="1:9" ht="15" customHeight="1" x14ac:dyDescent="0.25">
      <c r="A21" s="150"/>
      <c r="B21" s="162"/>
      <c r="C21" s="26" t="s">
        <v>25</v>
      </c>
      <c r="D21" s="10">
        <f>D20</f>
        <v>88000</v>
      </c>
      <c r="E21" s="11" t="s">
        <v>6</v>
      </c>
      <c r="F21" s="61">
        <f>2792.97317734201+217.608992858985+217.608992858985</f>
        <v>3228.1911630599798</v>
      </c>
      <c r="G21" s="12">
        <f>$D21*F21</f>
        <v>284080822.34927821</v>
      </c>
      <c r="H21" s="159"/>
    </row>
    <row r="22" spans="1:9" ht="15" customHeight="1" x14ac:dyDescent="0.25">
      <c r="A22" s="150"/>
      <c r="B22" s="162"/>
      <c r="C22" s="87" t="s">
        <v>39</v>
      </c>
      <c r="D22" s="116"/>
      <c r="E22" s="89"/>
      <c r="F22" s="118"/>
      <c r="G22" s="91">
        <v>717730.92485549126</v>
      </c>
      <c r="H22" s="159"/>
    </row>
    <row r="23" spans="1:9" ht="15" customHeight="1" x14ac:dyDescent="0.25">
      <c r="A23" s="150"/>
      <c r="B23" s="162"/>
      <c r="C23" s="24" t="s">
        <v>40</v>
      </c>
      <c r="D23" s="3">
        <v>30000</v>
      </c>
      <c r="E23" s="4" t="s">
        <v>8</v>
      </c>
      <c r="F23" s="25">
        <v>21</v>
      </c>
      <c r="G23" s="9">
        <f>$D23*F23</f>
        <v>630000</v>
      </c>
      <c r="H23" s="159"/>
    </row>
    <row r="24" spans="1:9" ht="15" customHeight="1" x14ac:dyDescent="0.25">
      <c r="A24" s="150"/>
      <c r="B24" s="162"/>
      <c r="C24" s="87" t="s">
        <v>9</v>
      </c>
      <c r="D24" s="88">
        <v>100000</v>
      </c>
      <c r="E24" s="89" t="s">
        <v>10</v>
      </c>
      <c r="F24" s="90">
        <f>96-16</f>
        <v>80</v>
      </c>
      <c r="G24" s="91">
        <f>$D24*F24</f>
        <v>8000000</v>
      </c>
      <c r="H24" s="159"/>
    </row>
    <row r="25" spans="1:9" ht="15" customHeight="1" x14ac:dyDescent="0.25">
      <c r="A25" s="150"/>
      <c r="B25" s="163"/>
      <c r="C25" s="65" t="s">
        <v>11</v>
      </c>
      <c r="D25" s="66">
        <v>30000</v>
      </c>
      <c r="E25" s="67" t="s">
        <v>12</v>
      </c>
      <c r="F25" s="68">
        <v>0</v>
      </c>
      <c r="G25" s="69">
        <f>$D25*F25</f>
        <v>0</v>
      </c>
      <c r="H25" s="159"/>
      <c r="I25" s="30"/>
    </row>
    <row r="26" spans="1:9" ht="15" customHeight="1" x14ac:dyDescent="0.25">
      <c r="A26" s="150"/>
      <c r="B26" s="152" t="s">
        <v>35</v>
      </c>
      <c r="C26" s="119" t="s">
        <v>31</v>
      </c>
      <c r="D26" s="120">
        <f>D20</f>
        <v>88000</v>
      </c>
      <c r="E26" s="121" t="s">
        <v>6</v>
      </c>
      <c r="F26" s="122">
        <v>3232.1081209249987</v>
      </c>
      <c r="G26" s="123">
        <f t="shared" ref="G26:G27" si="0">$D26*F26</f>
        <v>284425514.64139986</v>
      </c>
      <c r="H26" s="159"/>
    </row>
    <row r="27" spans="1:9" ht="15" customHeight="1" x14ac:dyDescent="0.25">
      <c r="A27" s="150"/>
      <c r="B27" s="153"/>
      <c r="C27" s="39" t="s">
        <v>32</v>
      </c>
      <c r="D27" s="40">
        <f>D26</f>
        <v>88000</v>
      </c>
      <c r="E27" s="41" t="s">
        <v>6</v>
      </c>
      <c r="F27" s="74">
        <v>3401.1152460760204</v>
      </c>
      <c r="G27" s="75">
        <f t="shared" si="0"/>
        <v>299298141.65468979</v>
      </c>
      <c r="H27" s="159"/>
      <c r="I27" s="42"/>
    </row>
    <row r="28" spans="1:9" ht="15" customHeight="1" x14ac:dyDescent="0.25">
      <c r="A28" s="150"/>
      <c r="B28" s="153"/>
      <c r="C28" s="102" t="s">
        <v>41</v>
      </c>
      <c r="D28" s="103"/>
      <c r="E28" s="104"/>
      <c r="F28" s="124"/>
      <c r="G28" s="106">
        <v>4737701.4450867055</v>
      </c>
      <c r="H28" s="159"/>
      <c r="I28" s="42"/>
    </row>
    <row r="29" spans="1:9" ht="15" customHeight="1" x14ac:dyDescent="0.25">
      <c r="A29" s="151"/>
      <c r="B29" s="154"/>
      <c r="C29" s="48" t="s">
        <v>42</v>
      </c>
      <c r="D29" s="45">
        <v>30000</v>
      </c>
      <c r="E29" s="46" t="s">
        <v>8</v>
      </c>
      <c r="F29" s="81">
        <v>145</v>
      </c>
      <c r="G29" s="72">
        <f>$D29*F29</f>
        <v>4350000</v>
      </c>
      <c r="H29" s="159"/>
      <c r="I29" s="42"/>
    </row>
    <row r="30" spans="1:9" x14ac:dyDescent="0.25">
      <c r="A30" s="155" t="s">
        <v>26</v>
      </c>
      <c r="B30" s="156"/>
      <c r="C30" s="156"/>
      <c r="D30" s="156"/>
      <c r="E30" s="156"/>
      <c r="F30" s="108"/>
      <c r="G30" s="109">
        <f>SUM(G17:G29)</f>
        <v>1605179665.4285581</v>
      </c>
      <c r="H30" s="159"/>
      <c r="I30" s="42"/>
    </row>
    <row r="31" spans="1:9" s="14" customFormat="1" ht="15" customHeight="1" x14ac:dyDescent="0.25">
      <c r="A31" s="149" t="s">
        <v>27</v>
      </c>
      <c r="B31" s="136" t="s">
        <v>33</v>
      </c>
      <c r="C31" s="76" t="s">
        <v>2</v>
      </c>
      <c r="D31" s="77">
        <v>357500000</v>
      </c>
      <c r="E31" s="78" t="s">
        <v>3</v>
      </c>
      <c r="F31" s="79">
        <v>1</v>
      </c>
      <c r="G31" s="80">
        <f>$D31*F31</f>
        <v>357500000</v>
      </c>
      <c r="H31" s="159"/>
    </row>
    <row r="32" spans="1:9" s="14" customFormat="1" ht="15" customHeight="1" x14ac:dyDescent="0.25">
      <c r="A32" s="150"/>
      <c r="B32" s="137"/>
      <c r="C32" s="111" t="s">
        <v>43</v>
      </c>
      <c r="D32" s="112">
        <v>71500</v>
      </c>
      <c r="E32" s="113" t="s">
        <v>44</v>
      </c>
      <c r="F32" s="114">
        <v>1000</v>
      </c>
      <c r="G32" s="115">
        <f>D32*F32</f>
        <v>71500000</v>
      </c>
      <c r="H32" s="159"/>
    </row>
    <row r="33" spans="1:8" s="14" customFormat="1" ht="15" customHeight="1" x14ac:dyDescent="0.25">
      <c r="A33" s="150"/>
      <c r="B33" s="150" t="s">
        <v>34</v>
      </c>
      <c r="C33" s="23" t="s">
        <v>4</v>
      </c>
      <c r="D33" s="1">
        <v>8437500</v>
      </c>
      <c r="E33" s="2" t="s">
        <v>3</v>
      </c>
      <c r="F33" s="7">
        <v>1</v>
      </c>
      <c r="G33" s="8">
        <f>$D33*F33</f>
        <v>8437500</v>
      </c>
      <c r="H33" s="159"/>
    </row>
    <row r="34" spans="1:8" s="14" customFormat="1" ht="15" customHeight="1" x14ac:dyDescent="0.25">
      <c r="A34" s="150"/>
      <c r="B34" s="150"/>
      <c r="C34" s="87" t="s">
        <v>5</v>
      </c>
      <c r="D34" s="116">
        <f>D20</f>
        <v>88000</v>
      </c>
      <c r="E34" s="89" t="s">
        <v>6</v>
      </c>
      <c r="F34" s="117">
        <f>3955.541873639+217.608992858985+217.608992858985</f>
        <v>4390.759859356971</v>
      </c>
      <c r="G34" s="91">
        <f>$D34*F34</f>
        <v>386386867.62341344</v>
      </c>
      <c r="H34" s="159"/>
    </row>
    <row r="35" spans="1:8" ht="15" customHeight="1" x14ac:dyDescent="0.25">
      <c r="A35" s="150"/>
      <c r="B35" s="150"/>
      <c r="C35" s="26" t="s">
        <v>25</v>
      </c>
      <c r="D35" s="10">
        <f>D20</f>
        <v>88000</v>
      </c>
      <c r="E35" s="11" t="s">
        <v>6</v>
      </c>
      <c r="F35" s="61">
        <f>4128.307230582+229.827609336996</f>
        <v>4358.1348399189956</v>
      </c>
      <c r="G35" s="12">
        <f>$D35*F35</f>
        <v>383515865.9128716</v>
      </c>
      <c r="H35" s="159"/>
    </row>
    <row r="36" spans="1:8" ht="15" customHeight="1" x14ac:dyDescent="0.25">
      <c r="A36" s="150"/>
      <c r="B36" s="150"/>
      <c r="C36" s="87" t="s">
        <v>46</v>
      </c>
      <c r="D36" s="116"/>
      <c r="E36" s="89"/>
      <c r="F36" s="125"/>
      <c r="G36" s="91">
        <v>909160.11560693639</v>
      </c>
      <c r="H36" s="159"/>
    </row>
    <row r="37" spans="1:8" ht="15" customHeight="1" x14ac:dyDescent="0.25">
      <c r="A37" s="150"/>
      <c r="B37" s="150"/>
      <c r="C37" s="24" t="s">
        <v>7</v>
      </c>
      <c r="D37" s="3">
        <v>30000</v>
      </c>
      <c r="E37" s="4" t="s">
        <v>8</v>
      </c>
      <c r="F37" s="82">
        <v>26</v>
      </c>
      <c r="G37" s="9">
        <f>$D37*F37</f>
        <v>780000</v>
      </c>
      <c r="H37" s="159"/>
    </row>
    <row r="38" spans="1:8" ht="15" customHeight="1" x14ac:dyDescent="0.25">
      <c r="A38" s="150"/>
      <c r="B38" s="150"/>
      <c r="C38" s="87" t="s">
        <v>9</v>
      </c>
      <c r="D38" s="88">
        <v>100000</v>
      </c>
      <c r="E38" s="89" t="s">
        <v>10</v>
      </c>
      <c r="F38" s="90">
        <f>48+16+2</f>
        <v>66</v>
      </c>
      <c r="G38" s="91">
        <f>$D38*F38</f>
        <v>6600000</v>
      </c>
      <c r="H38" s="159"/>
    </row>
    <row r="39" spans="1:8" ht="15" customHeight="1" x14ac:dyDescent="0.25">
      <c r="A39" s="150"/>
      <c r="B39" s="150"/>
      <c r="C39" s="24" t="s">
        <v>30</v>
      </c>
      <c r="D39" s="6">
        <v>150000</v>
      </c>
      <c r="E39" s="4" t="s">
        <v>12</v>
      </c>
      <c r="F39" s="63"/>
      <c r="G39" s="83">
        <f>D39*F39</f>
        <v>0</v>
      </c>
      <c r="H39" s="159"/>
    </row>
    <row r="40" spans="1:8" ht="15" customHeight="1" x14ac:dyDescent="0.25">
      <c r="A40" s="150"/>
      <c r="B40" s="152" t="s">
        <v>35</v>
      </c>
      <c r="C40" s="92" t="s">
        <v>31</v>
      </c>
      <c r="D40" s="93">
        <f>D20</f>
        <v>88000</v>
      </c>
      <c r="E40" s="94" t="s">
        <v>6</v>
      </c>
      <c r="F40" s="95">
        <f>4232.23276636801</f>
        <v>4232.2327663680098</v>
      </c>
      <c r="G40" s="96">
        <f>$D40*F40</f>
        <v>372436483.44038486</v>
      </c>
      <c r="H40" s="159"/>
    </row>
    <row r="41" spans="1:8" ht="15" customHeight="1" x14ac:dyDescent="0.25">
      <c r="A41" s="150"/>
      <c r="B41" s="153"/>
      <c r="C41" s="39" t="s">
        <v>32</v>
      </c>
      <c r="D41" s="40">
        <f>D20</f>
        <v>88000</v>
      </c>
      <c r="E41" s="41" t="s">
        <v>6</v>
      </c>
      <c r="F41" s="131">
        <f>4172.14635893602-919.310437347984+459.655218673992+229.827609336996</f>
        <v>3942.3187495990237</v>
      </c>
      <c r="G41" s="132">
        <f>D41*F41</f>
        <v>346924049.96471411</v>
      </c>
      <c r="H41" s="159"/>
    </row>
    <row r="42" spans="1:8" ht="15" customHeight="1" x14ac:dyDescent="0.25">
      <c r="A42" s="150"/>
      <c r="B42" s="153"/>
      <c r="C42" s="119" t="s">
        <v>41</v>
      </c>
      <c r="D42" s="120"/>
      <c r="E42" s="121"/>
      <c r="F42" s="130"/>
      <c r="G42" s="123">
        <v>3758434.0317919073</v>
      </c>
      <c r="H42" s="159"/>
    </row>
    <row r="43" spans="1:8" ht="15" customHeight="1" x14ac:dyDescent="0.25">
      <c r="A43" s="151"/>
      <c r="B43" s="154"/>
      <c r="C43" s="84" t="s">
        <v>42</v>
      </c>
      <c r="D43" s="45">
        <v>30000</v>
      </c>
      <c r="E43" s="46" t="s">
        <v>8</v>
      </c>
      <c r="F43" s="85">
        <v>110</v>
      </c>
      <c r="G43" s="86">
        <f>D43*F43</f>
        <v>3300000</v>
      </c>
      <c r="H43" s="159"/>
    </row>
    <row r="44" spans="1:8" x14ac:dyDescent="0.25">
      <c r="A44" s="155" t="s">
        <v>28</v>
      </c>
      <c r="B44" s="156"/>
      <c r="C44" s="156"/>
      <c r="D44" s="156"/>
      <c r="E44" s="156"/>
      <c r="F44" s="108">
        <f>F34+F35+F40+F41</f>
        <v>16923.446215242999</v>
      </c>
      <c r="G44" s="109">
        <f>SUM(G31:G43)</f>
        <v>1942048361.0887828</v>
      </c>
      <c r="H44" s="160"/>
    </row>
    <row r="45" spans="1:8" ht="30" customHeight="1" x14ac:dyDescent="0.25">
      <c r="A45" s="14"/>
      <c r="C45" s="14"/>
      <c r="D45" s="14"/>
      <c r="E45" s="14"/>
      <c r="F45" s="57">
        <f>F20+F21+F26+F27+F34+F35+F40+F41</f>
        <v>30000.000000000004</v>
      </c>
      <c r="G45" s="49">
        <f>G30+G44</f>
        <v>3547228026.5173407</v>
      </c>
      <c r="H45" s="57"/>
    </row>
    <row r="46" spans="1:8" ht="18.75" x14ac:dyDescent="0.25">
      <c r="A46" s="28" t="s">
        <v>38</v>
      </c>
      <c r="B46" s="28"/>
      <c r="C46" s="28"/>
      <c r="D46" s="29"/>
      <c r="E46" s="29"/>
      <c r="F46" s="138">
        <f>F15</f>
        <v>44835</v>
      </c>
      <c r="G46" s="139"/>
      <c r="H46" s="140" t="s">
        <v>45</v>
      </c>
    </row>
    <row r="47" spans="1:8" s="14" customFormat="1" x14ac:dyDescent="0.25">
      <c r="A47" s="127" t="s">
        <v>23</v>
      </c>
      <c r="B47" s="135"/>
      <c r="C47" s="128" t="s">
        <v>0</v>
      </c>
      <c r="D47" s="142" t="s">
        <v>1</v>
      </c>
      <c r="E47" s="142"/>
      <c r="F47" s="129" t="s">
        <v>13</v>
      </c>
      <c r="G47" s="107" t="s">
        <v>14</v>
      </c>
      <c r="H47" s="141"/>
    </row>
    <row r="48" spans="1:8" s="14" customFormat="1" ht="15" customHeight="1" x14ac:dyDescent="0.25">
      <c r="A48" s="143" t="s">
        <v>24</v>
      </c>
      <c r="B48" s="136" t="s">
        <v>33</v>
      </c>
      <c r="C48" s="76" t="s">
        <v>2</v>
      </c>
      <c r="D48" s="77">
        <f>D17</f>
        <v>357500000</v>
      </c>
      <c r="E48" s="78" t="s">
        <v>3</v>
      </c>
      <c r="F48" s="79">
        <f>F17</f>
        <v>1</v>
      </c>
      <c r="G48" s="80">
        <f>$D48*F48</f>
        <v>357500000</v>
      </c>
      <c r="H48" s="146" t="s">
        <v>48</v>
      </c>
    </row>
    <row r="49" spans="1:33" s="14" customFormat="1" ht="15" customHeight="1" x14ac:dyDescent="0.25">
      <c r="A49" s="144"/>
      <c r="B49" s="137"/>
      <c r="C49" s="111" t="s">
        <v>43</v>
      </c>
      <c r="D49" s="112">
        <v>71500</v>
      </c>
      <c r="E49" s="113" t="s">
        <v>44</v>
      </c>
      <c r="F49" s="114">
        <f>F18</f>
        <v>980</v>
      </c>
      <c r="G49" s="115">
        <f>D49*F49</f>
        <v>70070000</v>
      </c>
      <c r="H49" s="147"/>
    </row>
    <row r="50" spans="1:33" s="14" customFormat="1" ht="15" customHeight="1" x14ac:dyDescent="0.25">
      <c r="A50" s="144"/>
      <c r="B50" s="149" t="s">
        <v>34</v>
      </c>
      <c r="C50" s="43" t="s">
        <v>4</v>
      </c>
      <c r="D50" s="35">
        <f>D19</f>
        <v>8437500</v>
      </c>
      <c r="E50" s="36" t="s">
        <v>3</v>
      </c>
      <c r="F50" s="37">
        <f>F19</f>
        <v>1</v>
      </c>
      <c r="G50" s="38">
        <f>$D50*F50</f>
        <v>8437500</v>
      </c>
      <c r="H50" s="147"/>
    </row>
    <row r="51" spans="1:33" s="14" customFormat="1" ht="15" customHeight="1" x14ac:dyDescent="0.25">
      <c r="A51" s="144"/>
      <c r="B51" s="150"/>
      <c r="C51" s="100" t="s">
        <v>5</v>
      </c>
      <c r="D51" s="116">
        <f>D20</f>
        <v>88000</v>
      </c>
      <c r="E51" s="89" t="s">
        <v>6</v>
      </c>
      <c r="F51" s="125">
        <f>F20</f>
        <v>3215.139254696001</v>
      </c>
      <c r="G51" s="91">
        <f>$D51*F51</f>
        <v>282932254.41324806</v>
      </c>
      <c r="H51" s="147"/>
    </row>
    <row r="52" spans="1:33" s="14" customFormat="1" ht="15.75" x14ac:dyDescent="0.25">
      <c r="A52" s="144"/>
      <c r="B52" s="150"/>
      <c r="C52" s="44" t="s">
        <v>25</v>
      </c>
      <c r="D52" s="10">
        <f>D21</f>
        <v>88000</v>
      </c>
      <c r="E52" s="11" t="s">
        <v>6</v>
      </c>
      <c r="F52" s="60">
        <f>F21-(D12/2)</f>
        <v>3164.5313051054345</v>
      </c>
      <c r="G52" s="12">
        <f>$D52*F52</f>
        <v>278478754.84927821</v>
      </c>
      <c r="H52" s="147"/>
    </row>
    <row r="53" spans="1:33" s="14" customFormat="1" ht="15" customHeight="1" x14ac:dyDescent="0.25">
      <c r="A53" s="144"/>
      <c r="B53" s="150"/>
      <c r="C53" s="87" t="s">
        <v>39</v>
      </c>
      <c r="D53" s="116"/>
      <c r="E53" s="89"/>
      <c r="F53" s="118"/>
      <c r="G53" s="91">
        <f>G22</f>
        <v>717730.92485549126</v>
      </c>
      <c r="H53" s="147"/>
    </row>
    <row r="54" spans="1:33" s="14" customFormat="1" ht="15" customHeight="1" x14ac:dyDescent="0.25">
      <c r="A54" s="144"/>
      <c r="B54" s="150"/>
      <c r="C54" s="24" t="s">
        <v>40</v>
      </c>
      <c r="D54" s="3">
        <v>30000</v>
      </c>
      <c r="E54" s="4" t="s">
        <v>8</v>
      </c>
      <c r="F54" s="25">
        <f>F23</f>
        <v>21</v>
      </c>
      <c r="G54" s="9">
        <f>$D54*F54</f>
        <v>630000</v>
      </c>
      <c r="H54" s="147"/>
    </row>
    <row r="55" spans="1:33" s="14" customFormat="1" ht="15" customHeight="1" x14ac:dyDescent="0.25">
      <c r="A55" s="144"/>
      <c r="B55" s="150"/>
      <c r="C55" s="100" t="s">
        <v>9</v>
      </c>
      <c r="D55" s="88">
        <f>D24</f>
        <v>100000</v>
      </c>
      <c r="E55" s="89" t="s">
        <v>10</v>
      </c>
      <c r="F55" s="101">
        <f>F24</f>
        <v>80</v>
      </c>
      <c r="G55" s="91">
        <f>$D55*F55</f>
        <v>8000000</v>
      </c>
      <c r="H55" s="147"/>
    </row>
    <row r="56" spans="1:33" s="14" customFormat="1" ht="15" customHeight="1" x14ac:dyDescent="0.25">
      <c r="A56" s="144"/>
      <c r="B56" s="151"/>
      <c r="C56" s="70" t="s">
        <v>11</v>
      </c>
      <c r="D56" s="66">
        <f>D25</f>
        <v>30000</v>
      </c>
      <c r="E56" s="67" t="s">
        <v>12</v>
      </c>
      <c r="F56" s="68">
        <f>F25</f>
        <v>0</v>
      </c>
      <c r="G56" s="69">
        <f>$D56*F56</f>
        <v>0</v>
      </c>
      <c r="H56" s="147"/>
    </row>
    <row r="57" spans="1:33" s="33" customFormat="1" ht="15" customHeight="1" x14ac:dyDescent="0.25">
      <c r="A57" s="144"/>
      <c r="B57" s="152" t="s">
        <v>35</v>
      </c>
      <c r="C57" s="102" t="s">
        <v>31</v>
      </c>
      <c r="D57" s="103">
        <f>D26</f>
        <v>88000</v>
      </c>
      <c r="E57" s="104" t="s">
        <v>6</v>
      </c>
      <c r="F57" s="126">
        <f>F26</f>
        <v>3232.1081209249987</v>
      </c>
      <c r="G57" s="106">
        <f t="shared" ref="G57:G58" si="1">$D57*F57</f>
        <v>284425514.64139986</v>
      </c>
      <c r="H57" s="14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spans="1:33" s="33" customFormat="1" ht="15" customHeight="1" x14ac:dyDescent="0.25">
      <c r="A58" s="144"/>
      <c r="B58" s="153"/>
      <c r="C58" s="48" t="s">
        <v>32</v>
      </c>
      <c r="D58" s="45">
        <f>D27</f>
        <v>88000</v>
      </c>
      <c r="E58" s="46" t="s">
        <v>6</v>
      </c>
      <c r="F58" s="73">
        <f>F27</f>
        <v>3401.1152460760204</v>
      </c>
      <c r="G58" s="47">
        <f t="shared" si="1"/>
        <v>299298141.65468979</v>
      </c>
      <c r="H58" s="14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1:33" s="33" customFormat="1" ht="15" customHeight="1" x14ac:dyDescent="0.25">
      <c r="A59" s="144"/>
      <c r="B59" s="153"/>
      <c r="C59" s="102" t="s">
        <v>41</v>
      </c>
      <c r="D59" s="103"/>
      <c r="E59" s="104"/>
      <c r="F59" s="124"/>
      <c r="G59" s="106">
        <f>G28</f>
        <v>4737701.4450867055</v>
      </c>
      <c r="H59" s="14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1:33" s="33" customFormat="1" ht="15" customHeight="1" x14ac:dyDescent="0.25">
      <c r="A60" s="145"/>
      <c r="B60" s="154"/>
      <c r="C60" s="48" t="s">
        <v>42</v>
      </c>
      <c r="D60" s="45">
        <v>30000</v>
      </c>
      <c r="E60" s="46" t="s">
        <v>8</v>
      </c>
      <c r="F60" s="71">
        <f>F29</f>
        <v>145</v>
      </c>
      <c r="G60" s="72">
        <f>$D60*F60</f>
        <v>4350000</v>
      </c>
      <c r="H60" s="14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spans="1:33" s="14" customFormat="1" x14ac:dyDescent="0.25">
      <c r="A61" s="155" t="s">
        <v>26</v>
      </c>
      <c r="B61" s="156"/>
      <c r="C61" s="156"/>
      <c r="D61" s="156"/>
      <c r="E61" s="156"/>
      <c r="F61" s="110">
        <f>F51+F52+F57+F58</f>
        <v>13012.893926802455</v>
      </c>
      <c r="G61" s="109">
        <f>SUM(G48:G60)</f>
        <v>1599577597.9285581</v>
      </c>
      <c r="H61" s="147"/>
    </row>
    <row r="62" spans="1:33" s="14" customFormat="1" ht="15" customHeight="1" x14ac:dyDescent="0.25">
      <c r="A62" s="149" t="s">
        <v>27</v>
      </c>
      <c r="B62" s="136" t="s">
        <v>33</v>
      </c>
      <c r="C62" s="76" t="s">
        <v>2</v>
      </c>
      <c r="D62" s="77">
        <f>D31</f>
        <v>357500000</v>
      </c>
      <c r="E62" s="78" t="s">
        <v>3</v>
      </c>
      <c r="F62" s="79">
        <f>F31</f>
        <v>1</v>
      </c>
      <c r="G62" s="80">
        <f>$D62*F62</f>
        <v>357500000</v>
      </c>
      <c r="H62" s="147"/>
    </row>
    <row r="63" spans="1:33" s="14" customFormat="1" ht="15" customHeight="1" x14ac:dyDescent="0.25">
      <c r="A63" s="150"/>
      <c r="B63" s="137"/>
      <c r="C63" s="111" t="s">
        <v>43</v>
      </c>
      <c r="D63" s="112">
        <v>71500</v>
      </c>
      <c r="E63" s="113" t="s">
        <v>44</v>
      </c>
      <c r="F63" s="114">
        <f>F32</f>
        <v>1000</v>
      </c>
      <c r="G63" s="115">
        <f>D63*F63</f>
        <v>71500000</v>
      </c>
      <c r="H63" s="147"/>
    </row>
    <row r="64" spans="1:33" s="14" customFormat="1" ht="15" customHeight="1" x14ac:dyDescent="0.25">
      <c r="A64" s="150"/>
      <c r="B64" s="149" t="s">
        <v>34</v>
      </c>
      <c r="C64" s="43" t="s">
        <v>4</v>
      </c>
      <c r="D64" s="35">
        <f>D33</f>
        <v>8437500</v>
      </c>
      <c r="E64" s="36" t="s">
        <v>3</v>
      </c>
      <c r="F64" s="37">
        <f>F33</f>
        <v>1</v>
      </c>
      <c r="G64" s="38">
        <f>$D64*F64</f>
        <v>8437500</v>
      </c>
      <c r="H64" s="147"/>
    </row>
    <row r="65" spans="1:8" s="14" customFormat="1" ht="15" customHeight="1" x14ac:dyDescent="0.25">
      <c r="A65" s="150"/>
      <c r="B65" s="150"/>
      <c r="C65" s="100" t="s">
        <v>5</v>
      </c>
      <c r="D65" s="116">
        <f>D34</f>
        <v>88000</v>
      </c>
      <c r="E65" s="89" t="s">
        <v>6</v>
      </c>
      <c r="F65" s="125">
        <f>F34</f>
        <v>4390.759859356971</v>
      </c>
      <c r="G65" s="91">
        <f>$D65*F65</f>
        <v>386386867.62341344</v>
      </c>
      <c r="H65" s="147"/>
    </row>
    <row r="66" spans="1:8" s="14" customFormat="1" ht="15.75" x14ac:dyDescent="0.25">
      <c r="A66" s="150"/>
      <c r="B66" s="150"/>
      <c r="C66" s="44" t="s">
        <v>25</v>
      </c>
      <c r="D66" s="10">
        <f>D35</f>
        <v>88000</v>
      </c>
      <c r="E66" s="11" t="s">
        <v>6</v>
      </c>
      <c r="F66" s="60">
        <f>F35-(D12/2)</f>
        <v>4294.4749819644503</v>
      </c>
      <c r="G66" s="12">
        <f>$D66*F66</f>
        <v>377913798.4128716</v>
      </c>
      <c r="H66" s="147"/>
    </row>
    <row r="67" spans="1:8" s="14" customFormat="1" ht="15" customHeight="1" x14ac:dyDescent="0.25">
      <c r="A67" s="150"/>
      <c r="B67" s="150"/>
      <c r="C67" s="100" t="s">
        <v>46</v>
      </c>
      <c r="D67" s="116"/>
      <c r="E67" s="89"/>
      <c r="F67" s="125"/>
      <c r="G67" s="91">
        <f>G36</f>
        <v>909160.11560693639</v>
      </c>
      <c r="H67" s="147"/>
    </row>
    <row r="68" spans="1:8" s="14" customFormat="1" ht="15" customHeight="1" x14ac:dyDescent="0.25">
      <c r="A68" s="150"/>
      <c r="B68" s="150"/>
      <c r="C68" s="5" t="s">
        <v>7</v>
      </c>
      <c r="D68" s="3">
        <f>D37</f>
        <v>30000</v>
      </c>
      <c r="E68" s="4" t="s">
        <v>8</v>
      </c>
      <c r="F68" s="82">
        <f t="shared" ref="F68:F74" si="2">F37</f>
        <v>26</v>
      </c>
      <c r="G68" s="9">
        <f>$D68*F68</f>
        <v>780000</v>
      </c>
      <c r="H68" s="147"/>
    </row>
    <row r="69" spans="1:8" s="14" customFormat="1" ht="15" customHeight="1" x14ac:dyDescent="0.25">
      <c r="A69" s="150"/>
      <c r="B69" s="150"/>
      <c r="C69" s="100" t="s">
        <v>9</v>
      </c>
      <c r="D69" s="88">
        <f>D38</f>
        <v>100000</v>
      </c>
      <c r="E69" s="89" t="s">
        <v>10</v>
      </c>
      <c r="F69" s="101">
        <f t="shared" si="2"/>
        <v>66</v>
      </c>
      <c r="G69" s="91">
        <f>$D69*F69</f>
        <v>6600000</v>
      </c>
      <c r="H69" s="147"/>
    </row>
    <row r="70" spans="1:8" s="14" customFormat="1" ht="15.75" customHeight="1" x14ac:dyDescent="0.25">
      <c r="A70" s="150"/>
      <c r="B70" s="150"/>
      <c r="C70" s="70" t="s">
        <v>30</v>
      </c>
      <c r="D70" s="66">
        <v>150000</v>
      </c>
      <c r="E70" s="67" t="s">
        <v>12</v>
      </c>
      <c r="F70" s="68">
        <f t="shared" si="2"/>
        <v>0</v>
      </c>
      <c r="G70" s="97">
        <f>D70*F70</f>
        <v>0</v>
      </c>
      <c r="H70" s="147"/>
    </row>
    <row r="71" spans="1:8" ht="15" customHeight="1" x14ac:dyDescent="0.25">
      <c r="A71" s="150"/>
      <c r="B71" s="152" t="s">
        <v>35</v>
      </c>
      <c r="C71" s="102" t="s">
        <v>31</v>
      </c>
      <c r="D71" s="103">
        <f>D40</f>
        <v>88000</v>
      </c>
      <c r="E71" s="104" t="s">
        <v>6</v>
      </c>
      <c r="F71" s="105">
        <f t="shared" si="2"/>
        <v>4232.2327663680098</v>
      </c>
      <c r="G71" s="106">
        <f>$D71*F71</f>
        <v>372436483.44038486</v>
      </c>
      <c r="H71" s="147"/>
    </row>
    <row r="72" spans="1:8" ht="15" customHeight="1" x14ac:dyDescent="0.25">
      <c r="A72" s="150"/>
      <c r="B72" s="153"/>
      <c r="C72" s="48" t="s">
        <v>32</v>
      </c>
      <c r="D72" s="45">
        <f t="shared" ref="D72" si="3">D41</f>
        <v>88000</v>
      </c>
      <c r="E72" s="46" t="s">
        <v>6</v>
      </c>
      <c r="F72" s="133">
        <f t="shared" si="2"/>
        <v>3942.3187495990237</v>
      </c>
      <c r="G72" s="134">
        <f>D72*F72</f>
        <v>346924049.96471411</v>
      </c>
      <c r="H72" s="147"/>
    </row>
    <row r="73" spans="1:8" ht="15" customHeight="1" x14ac:dyDescent="0.25">
      <c r="A73" s="150"/>
      <c r="B73" s="153"/>
      <c r="C73" s="102" t="s">
        <v>41</v>
      </c>
      <c r="D73" s="103"/>
      <c r="E73" s="104"/>
      <c r="F73" s="105">
        <f t="shared" si="2"/>
        <v>0</v>
      </c>
      <c r="G73" s="106">
        <f>$D73*F73</f>
        <v>0</v>
      </c>
      <c r="H73" s="147"/>
    </row>
    <row r="74" spans="1:8" ht="15" customHeight="1" x14ac:dyDescent="0.25">
      <c r="A74" s="151"/>
      <c r="B74" s="154"/>
      <c r="C74" s="48" t="s">
        <v>42</v>
      </c>
      <c r="D74" s="45">
        <v>30000</v>
      </c>
      <c r="E74" s="46" t="s">
        <v>8</v>
      </c>
      <c r="F74" s="98">
        <f t="shared" si="2"/>
        <v>110</v>
      </c>
      <c r="G74" s="99">
        <f>D74*F74</f>
        <v>3300000</v>
      </c>
      <c r="H74" s="147"/>
    </row>
    <row r="75" spans="1:8" s="14" customFormat="1" x14ac:dyDescent="0.25">
      <c r="A75" s="155" t="s">
        <v>28</v>
      </c>
      <c r="B75" s="156"/>
      <c r="C75" s="156"/>
      <c r="D75" s="156"/>
      <c r="E75" s="156"/>
      <c r="F75" s="110">
        <f>F65+F66+F71+F72</f>
        <v>16859.786357288453</v>
      </c>
      <c r="G75" s="109">
        <f>SUM(G62:G74)</f>
        <v>1932687859.5569909</v>
      </c>
      <c r="H75" s="148"/>
    </row>
    <row r="76" spans="1:8" s="58" customFormat="1" ht="21.75" customHeight="1" x14ac:dyDescent="0.25">
      <c r="F76" s="57">
        <f>F51+F52+F57+F58+F65+F66+F71+F72</f>
        <v>29872.680284090911</v>
      </c>
      <c r="G76" s="59">
        <f>G61+G75</f>
        <v>3532265457.485549</v>
      </c>
    </row>
    <row r="77" spans="1:8" s="14" customFormat="1" x14ac:dyDescent="0.25">
      <c r="F77" s="27"/>
      <c r="G77" s="30"/>
    </row>
    <row r="78" spans="1:8" s="14" customFormat="1" x14ac:dyDescent="0.25">
      <c r="G78" s="55"/>
    </row>
    <row r="79" spans="1:8" s="14" customFormat="1" ht="15.75" hidden="1" x14ac:dyDescent="0.25">
      <c r="D79" s="14" t="s">
        <v>36</v>
      </c>
      <c r="E79" s="50"/>
      <c r="F79" s="54"/>
      <c r="G79" s="30"/>
    </row>
    <row r="80" spans="1:8" s="14" customFormat="1" hidden="1" x14ac:dyDescent="0.25">
      <c r="E80" s="50"/>
      <c r="G80" s="52"/>
    </row>
    <row r="81" spans="3:7" s="14" customFormat="1" hidden="1" x14ac:dyDescent="0.25">
      <c r="F81" s="50"/>
      <c r="G81" s="52"/>
    </row>
    <row r="82" spans="3:7" s="14" customFormat="1" hidden="1" x14ac:dyDescent="0.25">
      <c r="G82" s="53"/>
    </row>
    <row r="83" spans="3:7" s="14" customFormat="1" hidden="1" x14ac:dyDescent="0.25">
      <c r="D83" s="14" t="s">
        <v>37</v>
      </c>
      <c r="E83" s="50"/>
      <c r="G83" s="52"/>
    </row>
    <row r="84" spans="3:7" s="14" customFormat="1" x14ac:dyDescent="0.25">
      <c r="G84" s="30"/>
    </row>
    <row r="85" spans="3:7" s="14" customFormat="1" x14ac:dyDescent="0.25"/>
    <row r="86" spans="3:7" s="14" customFormat="1" x14ac:dyDescent="0.25"/>
    <row r="87" spans="3:7" s="14" customFormat="1" x14ac:dyDescent="0.25"/>
    <row r="88" spans="3:7" s="14" customFormat="1" x14ac:dyDescent="0.25"/>
    <row r="89" spans="3:7" s="14" customFormat="1" x14ac:dyDescent="0.25">
      <c r="C89" s="55"/>
    </row>
    <row r="90" spans="3:7" s="14" customFormat="1" x14ac:dyDescent="0.25">
      <c r="C90" s="55"/>
      <c r="D90" s="51"/>
      <c r="E90" s="51"/>
    </row>
    <row r="91" spans="3:7" s="14" customFormat="1" x14ac:dyDescent="0.25">
      <c r="C91" s="55"/>
      <c r="D91" s="56"/>
      <c r="E91" s="56"/>
      <c r="F91" s="55"/>
      <c r="G91" s="55"/>
    </row>
    <row r="92" spans="3:7" s="14" customFormat="1" x14ac:dyDescent="0.25">
      <c r="C92" s="55"/>
      <c r="D92" s="56"/>
      <c r="E92" s="56"/>
      <c r="F92" s="55"/>
      <c r="G92" s="55"/>
    </row>
    <row r="93" spans="3:7" s="14" customFormat="1" x14ac:dyDescent="0.25"/>
    <row r="94" spans="3:7" s="14" customFormat="1" x14ac:dyDescent="0.25"/>
    <row r="95" spans="3:7" s="14" customFormat="1" x14ac:dyDescent="0.25"/>
    <row r="96" spans="3:7" s="14" customFormat="1" x14ac:dyDescent="0.25"/>
    <row r="97" s="14" customFormat="1" x14ac:dyDescent="0.25"/>
    <row r="98" s="14" customFormat="1" x14ac:dyDescent="0.25"/>
    <row r="99" s="14" customFormat="1" x14ac:dyDescent="0.25"/>
    <row r="100" s="14" customFormat="1" x14ac:dyDescent="0.25"/>
    <row r="101" s="14" customFormat="1" x14ac:dyDescent="0.25"/>
    <row r="102" s="14" customFormat="1" x14ac:dyDescent="0.25"/>
    <row r="103" s="14" customFormat="1" x14ac:dyDescent="0.25"/>
    <row r="104" s="14" customFormat="1" x14ac:dyDescent="0.25"/>
    <row r="105" s="14" customFormat="1" x14ac:dyDescent="0.25"/>
    <row r="106" s="14" customFormat="1" x14ac:dyDescent="0.25"/>
    <row r="107" s="14" customFormat="1" x14ac:dyDescent="0.25"/>
    <row r="108" s="14" customFormat="1" x14ac:dyDescent="0.25"/>
    <row r="109" s="14" customFormat="1" x14ac:dyDescent="0.25"/>
    <row r="110" s="14" customFormat="1" x14ac:dyDescent="0.25"/>
    <row r="111" s="14" customFormat="1" x14ac:dyDescent="0.25"/>
    <row r="112" s="14" customFormat="1" x14ac:dyDescent="0.25"/>
    <row r="113" s="14" customFormat="1" x14ac:dyDescent="0.25"/>
    <row r="114" s="14" customFormat="1" x14ac:dyDescent="0.25"/>
    <row r="115" s="14" customFormat="1" x14ac:dyDescent="0.25"/>
    <row r="116" s="14" customFormat="1" x14ac:dyDescent="0.25"/>
    <row r="117" s="14" customFormat="1" x14ac:dyDescent="0.25"/>
    <row r="118" s="14" customFormat="1" x14ac:dyDescent="0.25"/>
    <row r="119" s="14" customFormat="1" x14ac:dyDescent="0.25"/>
    <row r="120" s="14" customFormat="1" x14ac:dyDescent="0.25"/>
    <row r="121" s="14" customFormat="1" x14ac:dyDescent="0.25"/>
    <row r="122" s="14" customFormat="1" x14ac:dyDescent="0.25"/>
    <row r="123" s="14" customFormat="1" x14ac:dyDescent="0.25"/>
    <row r="124" s="14" customFormat="1" x14ac:dyDescent="0.25"/>
    <row r="125" s="14" customFormat="1" x14ac:dyDescent="0.25"/>
    <row r="126" s="14" customFormat="1" x14ac:dyDescent="0.25"/>
    <row r="127" s="14" customFormat="1" x14ac:dyDescent="0.25"/>
    <row r="128" s="14" customFormat="1" x14ac:dyDescent="0.25"/>
    <row r="129" s="14" customFormat="1" x14ac:dyDescent="0.25"/>
    <row r="130" s="14" customFormat="1" x14ac:dyDescent="0.25"/>
    <row r="131" s="14" customFormat="1" x14ac:dyDescent="0.25"/>
    <row r="132" s="14" customFormat="1" x14ac:dyDescent="0.25"/>
    <row r="133" s="14" customFormat="1" x14ac:dyDescent="0.25"/>
    <row r="134" s="14" customFormat="1" x14ac:dyDescent="0.25"/>
    <row r="135" s="14" customFormat="1" x14ac:dyDescent="0.25"/>
    <row r="136" s="14" customFormat="1" x14ac:dyDescent="0.25"/>
    <row r="137" s="14" customFormat="1" x14ac:dyDescent="0.25"/>
    <row r="138" s="14" customFormat="1" x14ac:dyDescent="0.25"/>
    <row r="139" s="14" customFormat="1" x14ac:dyDescent="0.25"/>
    <row r="140" s="14" customFormat="1" x14ac:dyDescent="0.25"/>
    <row r="141" s="14" customFormat="1" x14ac:dyDescent="0.25"/>
    <row r="142" s="14" customFormat="1" x14ac:dyDescent="0.25"/>
    <row r="143" s="14" customFormat="1" x14ac:dyDescent="0.25"/>
    <row r="144" s="14" customFormat="1" x14ac:dyDescent="0.25"/>
    <row r="145" s="14" customFormat="1" x14ac:dyDescent="0.25"/>
    <row r="146" s="14" customFormat="1" x14ac:dyDescent="0.25"/>
    <row r="147" s="14" customFormat="1" x14ac:dyDescent="0.25"/>
    <row r="148" s="14" customFormat="1" x14ac:dyDescent="0.25"/>
    <row r="149" s="14" customFormat="1" x14ac:dyDescent="0.25"/>
    <row r="150" s="14" customFormat="1" x14ac:dyDescent="0.25"/>
    <row r="151" s="14" customFormat="1" x14ac:dyDescent="0.25"/>
    <row r="152" s="14" customFormat="1" x14ac:dyDescent="0.25"/>
    <row r="153" s="14" customFormat="1" x14ac:dyDescent="0.25"/>
    <row r="154" s="14" customFormat="1" x14ac:dyDescent="0.25"/>
    <row r="155" s="14" customFormat="1" x14ac:dyDescent="0.25"/>
    <row r="156" s="14" customFormat="1" x14ac:dyDescent="0.25"/>
    <row r="157" s="14" customFormat="1" x14ac:dyDescent="0.25"/>
    <row r="158" s="14" customFormat="1" x14ac:dyDescent="0.25"/>
    <row r="159" s="14" customFormat="1" x14ac:dyDescent="0.25"/>
    <row r="160" s="14" customFormat="1" x14ac:dyDescent="0.25"/>
    <row r="161" s="14" customFormat="1" x14ac:dyDescent="0.25"/>
    <row r="162" s="14" customFormat="1" x14ac:dyDescent="0.25"/>
    <row r="163" s="14" customFormat="1" x14ac:dyDescent="0.25"/>
    <row r="164" s="14" customFormat="1" x14ac:dyDescent="0.25"/>
    <row r="165" s="14" customFormat="1" x14ac:dyDescent="0.25"/>
    <row r="166" s="14" customFormat="1" x14ac:dyDescent="0.25"/>
    <row r="167" s="14" customFormat="1" x14ac:dyDescent="0.25"/>
    <row r="168" s="14" customFormat="1" x14ac:dyDescent="0.25"/>
    <row r="169" s="14" customFormat="1" x14ac:dyDescent="0.25"/>
    <row r="170" s="14" customFormat="1" x14ac:dyDescent="0.25"/>
    <row r="171" s="14" customFormat="1" x14ac:dyDescent="0.25"/>
    <row r="172" s="14" customFormat="1" x14ac:dyDescent="0.25"/>
    <row r="173" s="14" customFormat="1" x14ac:dyDescent="0.25"/>
    <row r="174" s="14" customFormat="1" x14ac:dyDescent="0.25"/>
    <row r="175" s="14" customFormat="1" x14ac:dyDescent="0.25"/>
    <row r="176" s="14" customFormat="1" x14ac:dyDescent="0.25"/>
    <row r="177" s="14" customFormat="1" x14ac:dyDescent="0.25"/>
    <row r="178" s="14" customFormat="1" x14ac:dyDescent="0.25"/>
    <row r="179" s="14" customFormat="1" x14ac:dyDescent="0.25"/>
  </sheetData>
  <mergeCells count="24">
    <mergeCell ref="F15:G15"/>
    <mergeCell ref="H15:H16"/>
    <mergeCell ref="D16:E16"/>
    <mergeCell ref="A17:A29"/>
    <mergeCell ref="H17:H44"/>
    <mergeCell ref="B19:B25"/>
    <mergeCell ref="B26:B29"/>
    <mergeCell ref="A30:E30"/>
    <mergeCell ref="A31:A43"/>
    <mergeCell ref="B33:B39"/>
    <mergeCell ref="B40:B43"/>
    <mergeCell ref="A44:E44"/>
    <mergeCell ref="F46:G46"/>
    <mergeCell ref="H46:H47"/>
    <mergeCell ref="D47:E47"/>
    <mergeCell ref="A48:A60"/>
    <mergeCell ref="H48:H75"/>
    <mergeCell ref="B50:B56"/>
    <mergeCell ref="B57:B60"/>
    <mergeCell ref="A61:E61"/>
    <mergeCell ref="A62:A74"/>
    <mergeCell ref="B64:B70"/>
    <mergeCell ref="B71:B74"/>
    <mergeCell ref="A75:E75"/>
  </mergeCells>
  <printOptions horizontalCentered="1"/>
  <pageMargins left="0.31496062992125984" right="0.31496062992125984" top="0.74803149606299213" bottom="0.74803149606299213" header="0.31496062992125984" footer="0.31496062992125984"/>
  <pageSetup paperSize="14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Tagihan</vt:lpstr>
      <vt:lpstr>'Data Tagihan'!Print_Area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Arfianto</dc:creator>
  <cp:lastModifiedBy>Boby Sandana - DSV</cp:lastModifiedBy>
  <cp:lastPrinted>2019-05-27T09:29:38Z</cp:lastPrinted>
  <dcterms:created xsi:type="dcterms:W3CDTF">2018-09-27T07:19:48Z</dcterms:created>
  <dcterms:modified xsi:type="dcterms:W3CDTF">2022-10-26T01:26:20Z</dcterms:modified>
</cp:coreProperties>
</file>