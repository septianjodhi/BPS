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RCHASING\2. REQUEST USER\WKS\"/>
    </mc:Choice>
  </mc:AlternateContent>
  <xr:revisionPtr revIDLastSave="0" documentId="13_ncr:1_{940E2C77-9555-4EC1-B220-DD1CD6DE16A7}" xr6:coauthVersionLast="47" xr6:coauthVersionMax="47" xr10:uidLastSave="{00000000-0000-0000-0000-000000000000}"/>
  <bookViews>
    <workbookView xWindow="-120" yWindow="-120" windowWidth="29040" windowHeight="15720" xr2:uid="{7ACCA988-082A-413C-9619-34E8ED4151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D23" i="1"/>
  <c r="E22" i="1"/>
  <c r="E21" i="1"/>
  <c r="E20" i="1"/>
  <c r="E9" i="1"/>
  <c r="M12" i="1"/>
  <c r="M11" i="1"/>
  <c r="M8" i="1"/>
  <c r="F9" i="1"/>
  <c r="H7" i="1"/>
  <c r="E8" i="1"/>
  <c r="D8" i="1"/>
  <c r="K11" i="1"/>
  <c r="I6" i="1"/>
  <c r="J6" i="1" s="1"/>
  <c r="L6" i="1" s="1"/>
  <c r="G7" i="1" s="1"/>
  <c r="E24" i="1" l="1"/>
  <c r="E16" i="1"/>
  <c r="E14" i="1"/>
  <c r="E15" i="1"/>
  <c r="E13" i="1"/>
  <c r="E6" i="1"/>
  <c r="E7" i="1"/>
  <c r="E5" i="1"/>
</calcChain>
</file>

<file path=xl/sharedStrings.xml><?xml version="1.0" encoding="utf-8"?>
<sst xmlns="http://schemas.openxmlformats.org/spreadsheetml/2006/main" count="46" uniqueCount="18">
  <si>
    <t>HOTEL</t>
  </si>
  <si>
    <t>DELUXE</t>
  </si>
  <si>
    <t>NZA</t>
  </si>
  <si>
    <t>HARGA</t>
  </si>
  <si>
    <t>JUMLAH HARI</t>
  </si>
  <si>
    <t>STANDART TWIN</t>
  </si>
  <si>
    <t>EXTRABED</t>
  </si>
  <si>
    <t>WKS</t>
  </si>
  <si>
    <t>PIC</t>
  </si>
  <si>
    <t>AMOUNT</t>
  </si>
  <si>
    <t>TOTAL</t>
  </si>
  <si>
    <t>TRANSPORTASI</t>
  </si>
  <si>
    <t>PP PESAWAT</t>
  </si>
  <si>
    <t>JUMLAH</t>
  </si>
  <si>
    <t>ADD BUDGET</t>
  </si>
  <si>
    <t>PESAWAT+KERETA</t>
  </si>
  <si>
    <t>ADA BUDGET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</si>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</sst>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Rp-3809]* #,##0.00_-;\-[$Rp-3809]* #,##0.00_-;_-[$Rp-38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43" fontId="0" fillId="0" borderId="0" xfId="1" applyFont="1"/>
    <xf numFmtId="164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1A41-2947-4DFA-9CBD-07EDBCB637B5}">
  <dimension ref="A4:M26"/>
  <sheetViews>
    <sheetView tabSelected="1" workbookViewId="0">
      <selection activeCell="K18" sqref="K18"/>
    </sheetView>
  </sheetViews>
  <sheetFormatPr defaultRowHeight="15" x14ac:dyDescent="0.25"/>
  <cols>
    <col min="2" max="2" width="17.42578125" bestFit="1" customWidth="1"/>
    <col min="3" max="3" width="17.5703125" customWidth="1"/>
    <col min="5" max="5" width="15.5703125" bestFit="1" customWidth="1"/>
    <col min="6" max="8" width="14" bestFit="1" customWidth="1"/>
    <col min="9" max="9" width="20.42578125" customWidth="1"/>
    <col min="10" max="10" width="14.140625" bestFit="1" customWidth="1"/>
    <col min="11" max="11" width="13.28515625" bestFit="1" customWidth="1"/>
    <col min="12" max="12" width="14" bestFit="1" customWidth="1"/>
    <col min="13" max="13" width="15.5703125" bestFit="1" customWidth="1"/>
  </cols>
  <sheetData>
    <row r="4" spans="1:13" ht="29.25" customHeight="1" x14ac:dyDescent="0.25">
      <c r="A4" s="4" t="s">
        <v>8</v>
      </c>
      <c r="B4" s="4" t="s">
        <v>0</v>
      </c>
      <c r="C4" s="4" t="s">
        <v>3</v>
      </c>
      <c r="D4" s="4" t="s">
        <v>4</v>
      </c>
      <c r="E4" s="4" t="s">
        <v>9</v>
      </c>
    </row>
    <row r="5" spans="1:13" ht="18" customHeight="1" x14ac:dyDescent="0.25">
      <c r="A5" s="5" t="s">
        <v>2</v>
      </c>
      <c r="B5" s="5" t="s">
        <v>1</v>
      </c>
      <c r="C5" s="6">
        <v>680000</v>
      </c>
      <c r="D5" s="3">
        <v>1</v>
      </c>
      <c r="E5" s="6">
        <f>C5*D5</f>
        <v>680000</v>
      </c>
      <c r="F5" t="s">
        <v>16</v>
      </c>
    </row>
    <row r="6" spans="1:13" ht="18" customHeight="1" x14ac:dyDescent="0.25">
      <c r="A6" s="5" t="s">
        <v>7</v>
      </c>
      <c r="B6" s="5" t="s">
        <v>5</v>
      </c>
      <c r="C6" s="6">
        <v>567000</v>
      </c>
      <c r="D6" s="3">
        <v>4</v>
      </c>
      <c r="E6" s="6">
        <f t="shared" ref="E6:E8" si="0">C6*D6</f>
        <v>2268000</v>
      </c>
      <c r="F6" t="s">
        <v>16</v>
      </c>
      <c r="G6">
        <v>115000</v>
      </c>
      <c r="H6">
        <v>3</v>
      </c>
      <c r="I6">
        <f>G6*H6</f>
        <v>345000</v>
      </c>
      <c r="J6" s="1">
        <f>C6+I6</f>
        <v>912000</v>
      </c>
      <c r="K6">
        <v>800000</v>
      </c>
      <c r="L6" s="1">
        <f>J6-K6</f>
        <v>112000</v>
      </c>
    </row>
    <row r="7" spans="1:13" ht="18" customHeight="1" x14ac:dyDescent="0.25">
      <c r="A7" s="5" t="s">
        <v>7</v>
      </c>
      <c r="B7" s="5" t="s">
        <v>6</v>
      </c>
      <c r="C7" s="6">
        <v>202500</v>
      </c>
      <c r="D7" s="3">
        <v>4</v>
      </c>
      <c r="E7" s="6">
        <f t="shared" si="0"/>
        <v>810000</v>
      </c>
      <c r="F7" t="s">
        <v>16</v>
      </c>
      <c r="G7" s="1">
        <f>L6</f>
        <v>112000</v>
      </c>
      <c r="H7" s="1">
        <f>G7+C7</f>
        <v>314500</v>
      </c>
      <c r="M7">
        <v>680000</v>
      </c>
    </row>
    <row r="8" spans="1:13" ht="18" customHeight="1" x14ac:dyDescent="0.25">
      <c r="A8" s="5" t="s">
        <v>7</v>
      </c>
      <c r="B8" s="5" t="s">
        <v>17</v>
      </c>
      <c r="C8" s="6">
        <v>115000</v>
      </c>
      <c r="D8" s="3">
        <f>3*4</f>
        <v>12</v>
      </c>
      <c r="E8" s="6">
        <f t="shared" si="0"/>
        <v>1380000</v>
      </c>
      <c r="G8" s="1"/>
      <c r="H8" s="1"/>
      <c r="M8" s="1">
        <f>J6*4</f>
        <v>3648000</v>
      </c>
    </row>
    <row r="9" spans="1:13" ht="25.5" customHeight="1" x14ac:dyDescent="0.25">
      <c r="A9" s="7" t="s">
        <v>10</v>
      </c>
      <c r="B9" s="8"/>
      <c r="C9" s="8"/>
      <c r="D9" s="8"/>
      <c r="E9" s="9">
        <f>SUM(E5:E8)</f>
        <v>5138000</v>
      </c>
      <c r="F9" s="11">
        <f>E9/9</f>
        <v>570888.88888888888</v>
      </c>
    </row>
    <row r="10" spans="1:13" x14ac:dyDescent="0.25">
      <c r="D10" s="2"/>
      <c r="M10">
        <v>810000</v>
      </c>
    </row>
    <row r="11" spans="1:13" x14ac:dyDescent="0.25">
      <c r="D11" s="2"/>
      <c r="I11" s="10">
        <v>800000</v>
      </c>
      <c r="J11" s="10">
        <v>9</v>
      </c>
      <c r="K11" s="10">
        <f>I11*J11</f>
        <v>7200000</v>
      </c>
      <c r="M11" s="1">
        <f>M7+M8+M10</f>
        <v>5138000</v>
      </c>
    </row>
    <row r="12" spans="1:13" ht="30" customHeight="1" x14ac:dyDescent="0.25">
      <c r="A12" s="4" t="s">
        <v>8</v>
      </c>
      <c r="B12" s="4" t="s">
        <v>11</v>
      </c>
      <c r="C12" s="4" t="s">
        <v>3</v>
      </c>
      <c r="D12" s="4" t="s">
        <v>13</v>
      </c>
      <c r="E12" s="4" t="s">
        <v>9</v>
      </c>
      <c r="M12" s="1">
        <f>800000*7</f>
        <v>5600000</v>
      </c>
    </row>
    <row r="13" spans="1:13" ht="18" customHeight="1" x14ac:dyDescent="0.25">
      <c r="A13" s="5" t="s">
        <v>2</v>
      </c>
      <c r="B13" s="5" t="s">
        <v>12</v>
      </c>
      <c r="C13" s="6">
        <v>2046200</v>
      </c>
      <c r="D13" s="3">
        <v>1</v>
      </c>
      <c r="E13" s="6">
        <f>C13*D13</f>
        <v>2046200</v>
      </c>
      <c r="F13" t="s">
        <v>14</v>
      </c>
    </row>
    <row r="14" spans="1:13" ht="18" customHeight="1" x14ac:dyDescent="0.25">
      <c r="A14" s="5" t="s">
        <v>7</v>
      </c>
      <c r="B14" s="5" t="s">
        <v>15</v>
      </c>
      <c r="C14" s="6">
        <v>1477300</v>
      </c>
      <c r="D14" s="3">
        <v>1</v>
      </c>
      <c r="E14" s="6">
        <f t="shared" ref="E14:E15" si="1">C14*D14</f>
        <v>1477300</v>
      </c>
      <c r="F14" t="s">
        <v>14</v>
      </c>
    </row>
    <row r="15" spans="1:13" ht="18" customHeight="1" x14ac:dyDescent="0.25">
      <c r="A15" s="5" t="s">
        <v>7</v>
      </c>
      <c r="B15" s="5" t="s">
        <v>15</v>
      </c>
      <c r="C15" s="6">
        <v>1477300</v>
      </c>
      <c r="D15" s="3">
        <v>2</v>
      </c>
      <c r="E15" s="6">
        <f t="shared" si="1"/>
        <v>2954600</v>
      </c>
      <c r="F15" t="s">
        <v>16</v>
      </c>
    </row>
    <row r="16" spans="1:13" ht="24.75" customHeight="1" x14ac:dyDescent="0.25">
      <c r="A16" s="7" t="s">
        <v>10</v>
      </c>
      <c r="B16" s="8"/>
      <c r="C16" s="8"/>
      <c r="D16" s="8"/>
      <c r="E16" s="9">
        <f>SUM(E13:E15)</f>
        <v>6478100</v>
      </c>
    </row>
    <row r="19" spans="1:5" ht="30" x14ac:dyDescent="0.25">
      <c r="A19" s="4" t="s">
        <v>8</v>
      </c>
      <c r="B19" s="4" t="s">
        <v>0</v>
      </c>
      <c r="C19" s="4" t="s">
        <v>3</v>
      </c>
      <c r="D19" s="4" t="s">
        <v>4</v>
      </c>
      <c r="E19" s="4" t="s">
        <v>9</v>
      </c>
    </row>
    <row r="20" spans="1:5" x14ac:dyDescent="0.25">
      <c r="A20" s="5" t="s">
        <v>2</v>
      </c>
      <c r="B20" s="5" t="s">
        <v>1</v>
      </c>
      <c r="C20" s="6">
        <v>680000</v>
      </c>
      <c r="D20" s="3">
        <v>1</v>
      </c>
      <c r="E20" s="6">
        <f>C20*D20</f>
        <v>680000</v>
      </c>
    </row>
    <row r="21" spans="1:5" x14ac:dyDescent="0.25">
      <c r="A21" s="5" t="s">
        <v>7</v>
      </c>
      <c r="B21" s="5" t="s">
        <v>5</v>
      </c>
      <c r="C21" s="6">
        <v>567000</v>
      </c>
      <c r="D21" s="3">
        <v>4</v>
      </c>
      <c r="E21" s="6">
        <f t="shared" ref="E21:E23" si="2">C21*D21</f>
        <v>2268000</v>
      </c>
    </row>
    <row r="22" spans="1:5" x14ac:dyDescent="0.25">
      <c r="A22" s="5" t="s">
        <v>7</v>
      </c>
      <c r="B22" s="5" t="s">
        <v>6</v>
      </c>
      <c r="C22" s="6">
        <v>202500</v>
      </c>
      <c r="D22" s="3">
        <v>4</v>
      </c>
      <c r="E22" s="6">
        <f t="shared" si="2"/>
        <v>810000</v>
      </c>
    </row>
    <row r="23" spans="1:5" x14ac:dyDescent="0.25">
      <c r="A23" s="5" t="s">
        <v>7</v>
      </c>
      <c r="B23" s="5" t="s">
        <v>17</v>
      </c>
      <c r="C23" s="6">
        <v>153500</v>
      </c>
      <c r="D23" s="3">
        <f>3*4</f>
        <v>12</v>
      </c>
      <c r="E23" s="6">
        <f t="shared" si="2"/>
        <v>1842000</v>
      </c>
    </row>
    <row r="24" spans="1:5" x14ac:dyDescent="0.25">
      <c r="A24" s="7" t="s">
        <v>10</v>
      </c>
      <c r="B24" s="8"/>
      <c r="C24" s="8"/>
      <c r="D24" s="8"/>
      <c r="E24" s="9">
        <f>SUM(E20:E23)</f>
        <v>5600000</v>
      </c>
    </row>
    <row r="25" spans="1:5" x14ac:dyDescent="0.25">
      <c r="E25" s="1"/>
    </row>
    <row r="26" spans="1:5" x14ac:dyDescent="0.25">
      <c r="E26" s="1"/>
    </row>
  </sheetData>
  <mergeCells count="3">
    <mergeCell ref="A9:D9"/>
    <mergeCell ref="A16:D16"/>
    <mergeCell ref="A24:D2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MTP-07</dc:creator>
  <cp:lastModifiedBy>MTP-07</cp:lastModifiedBy>
  <dcterms:created xsi:type="dcterms:W3CDTF">2023-06-26T03:12:10Z</dcterms:created>
  <dcterms:modified xsi:type="dcterms:W3CDTF">2023-06-26T04:08:30Z</dcterms:modified>
</cp:coreProperties>
</file>