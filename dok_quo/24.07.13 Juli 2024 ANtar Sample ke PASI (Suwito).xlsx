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GA\GA-03- MIKI\2. PERJALANAN DINAS\DOMESTIC\3. LPJ\"/>
    </mc:Choice>
  </mc:AlternateContent>
  <bookViews>
    <workbookView xWindow="0" yWindow="0" windowWidth="21600" windowHeight="9180" tabRatio="764" activeTab="2"/>
  </bookViews>
  <sheets>
    <sheet name="LEMBAR LPJ (2)" sheetId="14" r:id="rId1"/>
    <sheet name="Rincian Overtime Driver (2)" sheetId="15" r:id="rId2"/>
    <sheet name="Sheet2" sheetId="17" r:id="rId3"/>
  </sheets>
  <definedNames>
    <definedName name="_xlnm.Print_Area" localSheetId="0">'LEMBAR LPJ (2)'!$B$2:$O$32</definedName>
    <definedName name="_xlnm.Print_Area" localSheetId="1">'Rincian Overtime Driver (2)'!$A$1:$Q$14</definedName>
    <definedName name="_xlnm.Print_Area" localSheetId="2">Sheet2!$A$1:$Q$36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3" i="15" l="1"/>
  <c r="P12" i="15"/>
  <c r="F15" i="14"/>
  <c r="E15" i="14"/>
  <c r="I15" i="14" l="1"/>
  <c r="L16" i="14"/>
  <c r="K16" i="14"/>
  <c r="I16" i="14" l="1"/>
  <c r="P22" i="14"/>
  <c r="O5" i="15" l="1"/>
  <c r="O4" i="15"/>
  <c r="O3" i="15"/>
  <c r="C9" i="15"/>
  <c r="B9" i="15"/>
  <c r="R10" i="15" l="1"/>
  <c r="G11" i="15"/>
  <c r="E11" i="15"/>
  <c r="O10" i="15"/>
  <c r="O11" i="15" s="1"/>
  <c r="N10" i="15"/>
  <c r="N11" i="15" s="1"/>
  <c r="L10" i="15"/>
  <c r="L11" i="15" s="1"/>
  <c r="E6" i="15"/>
  <c r="P14" i="14"/>
  <c r="I9" i="15" l="1"/>
  <c r="J9" i="15" s="1"/>
  <c r="M9" i="15" s="1"/>
  <c r="M10" i="15" s="1"/>
  <c r="M11" i="15" s="1"/>
  <c r="P11" i="15" s="1"/>
  <c r="P10" i="15" l="1"/>
  <c r="J15" i="14"/>
  <c r="J16" i="14" s="1"/>
  <c r="D20" i="14" s="1"/>
  <c r="E20" i="14"/>
</calcChain>
</file>

<file path=xl/sharedStrings.xml><?xml version="1.0" encoding="utf-8"?>
<sst xmlns="http://schemas.openxmlformats.org/spreadsheetml/2006/main" count="102" uniqueCount="83">
  <si>
    <t>BBM</t>
  </si>
  <si>
    <t>JUMLAH</t>
  </si>
  <si>
    <t>HARI</t>
  </si>
  <si>
    <t>TANGGAL</t>
  </si>
  <si>
    <t>PERHITUNGAN OT DRIVER</t>
  </si>
  <si>
    <t>NO. POLISI</t>
  </si>
  <si>
    <t>TYPE MOBIL</t>
  </si>
  <si>
    <t>UMK      :</t>
  </si>
  <si>
    <t xml:space="preserve">   Jam Kerja Efektif :   08.00 - 17.00</t>
  </si>
  <si>
    <t>1 TUL    =    UMK/173    =</t>
  </si>
  <si>
    <t>KET. JAM</t>
  </si>
  <si>
    <t>OT AWAL</t>
  </si>
  <si>
    <t>OT AKHIR</t>
  </si>
  <si>
    <t>SUB TOTAL OT</t>
  </si>
  <si>
    <t>KET.</t>
  </si>
  <si>
    <t>RINCIAN PERHITUNGAN</t>
  </si>
  <si>
    <t>Start</t>
  </si>
  <si>
    <t>Finish</t>
  </si>
  <si>
    <t>JAM</t>
  </si>
  <si>
    <t>JAM PENGALI TUL</t>
  </si>
  <si>
    <t>pengali</t>
  </si>
  <si>
    <t>jam ke</t>
  </si>
  <si>
    <t>tul</t>
  </si>
  <si>
    <t xml:space="preserve">Jumlah </t>
  </si>
  <si>
    <t>nominal</t>
  </si>
  <si>
    <t>TOTAL TUL</t>
  </si>
  <si>
    <t>OT :</t>
  </si>
  <si>
    <t>TOTAL BIAYA OVERTIME</t>
  </si>
  <si>
    <t>DRIVER</t>
  </si>
  <si>
    <t>TGL</t>
  </si>
  <si>
    <t>-</t>
  </si>
  <si>
    <t>PREPARED</t>
  </si>
  <si>
    <t>CHECKED</t>
  </si>
  <si>
    <t>Renny</t>
  </si>
  <si>
    <t>WIN</t>
  </si>
  <si>
    <t>PT. SEMARANG AUTOCOMP MANUFACTURING INDONESIA</t>
  </si>
  <si>
    <t>TOL</t>
  </si>
  <si>
    <t>PARKIR</t>
  </si>
  <si>
    <t>OVERTIME</t>
  </si>
  <si>
    <t>LUAR KOTA</t>
  </si>
  <si>
    <t>INAP</t>
  </si>
  <si>
    <t>BIAYA DRIVER</t>
  </si>
  <si>
    <t>LAIN-LAIN</t>
  </si>
  <si>
    <t>REVISI</t>
  </si>
  <si>
    <t>ISI PERUBAHAN</t>
  </si>
  <si>
    <t>PIC</t>
  </si>
  <si>
    <t>REVIEW</t>
  </si>
  <si>
    <t>New Release</t>
  </si>
  <si>
    <t>PUM</t>
  </si>
  <si>
    <t>ACTUAL</t>
  </si>
  <si>
    <t>SISA</t>
  </si>
  <si>
    <t>NO. DOKUMEN</t>
  </si>
  <si>
    <t>HALAMAN</t>
  </si>
  <si>
    <t>MASA BERLAKU</t>
  </si>
  <si>
    <t>FORM/CHECKSHEET</t>
  </si>
  <si>
    <t>No. Mobil</t>
  </si>
  <si>
    <t>Tujuan</t>
  </si>
  <si>
    <t>PIC / User</t>
  </si>
  <si>
    <t>Nama</t>
  </si>
  <si>
    <t>Dept</t>
  </si>
  <si>
    <t>Kota</t>
  </si>
  <si>
    <t>APPROVED I</t>
  </si>
  <si>
    <t>APPROVED II</t>
  </si>
  <si>
    <t>SMK/RRH</t>
  </si>
  <si>
    <t>FYH</t>
  </si>
  <si>
    <t>AWI</t>
  </si>
  <si>
    <t>Status
Mobil</t>
  </si>
  <si>
    <t>Jenis
Mobil</t>
  </si>
  <si>
    <t>PERLINDUNGAN HAK CIPTA!                                                                                       
Dokumen ini adalah milik dan untuk dipergunakan di lingkungan kerja PT. SAMI .
Tidak diperkenankan memindahkan, menyalin, atau menggandakan sebagian ataupun seluruhnya isi dokumen ini dalam bentuk dan dengan cara apapun, tanpa izin tertulis dari Wakil manajemen.</t>
  </si>
  <si>
    <t>Referensi Prosedur/WI/OS/IS/ :</t>
  </si>
  <si>
    <t>LPJ DRIVER
(Back up perjalanan dinas luar kota)</t>
  </si>
  <si>
    <t>JUMLAH OPS PER HARI</t>
  </si>
  <si>
    <t>Driver</t>
  </si>
  <si>
    <t>Vendor</t>
  </si>
  <si>
    <t>Tunas Rent.</t>
  </si>
  <si>
    <t>SAMI</t>
  </si>
  <si>
    <t>Innova</t>
  </si>
  <si>
    <t>`</t>
  </si>
  <si>
    <t>Jumat</t>
  </si>
  <si>
    <t>Suwito</t>
  </si>
  <si>
    <t>H-1631-IA</t>
  </si>
  <si>
    <t>PASI</t>
  </si>
  <si>
    <t>Cikarang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</si>
</sst>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409]d\-mmm;@"/>
    <numFmt numFmtId="166" formatCode="_-[$Rp-421]* #,##0.00_ ;_-[$Rp-421]* \-#,##0.00\ ;_-[$Rp-421]* &quot;-&quot;_ ;_-@_ "/>
    <numFmt numFmtId="167" formatCode="_-[$Rp-421]* #,##0_ ;_-[$Rp-421]* \-#,##0\ ;_-[$Rp-421]* &quot;-&quot;_ ;_-@_ "/>
    <numFmt numFmtId="168" formatCode="h:mm;@"/>
    <numFmt numFmtId="169" formatCode="#,##0.00;[Red]#,##0.00"/>
    <numFmt numFmtId="170" formatCode="0.00;[Red]0.00"/>
    <numFmt numFmtId="171" formatCode="_-[$Rp-421]* #,##0.00_ ;_-[$Rp-421]* \-#,##0.00\ ;_-[$Rp-421]* &quot;-&quot;??_ ;_-@_ "/>
    <numFmt numFmtId="172" formatCode="[$-409]d\-mmm\-yy;@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22"/>
      <name val="Calibri"/>
      <family val="2"/>
      <scheme val="minor"/>
    </font>
    <font>
      <b/>
      <sz val="9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4"/>
      <name val="Calibri"/>
      <family val="2"/>
      <scheme val="minor"/>
    </font>
    <font>
      <b/>
      <sz val="8"/>
      <name val="Calibri"/>
      <family val="2"/>
      <scheme val="minor"/>
    </font>
    <font>
      <b/>
      <sz val="9"/>
      <name val="Tekton Pro"/>
      <family val="2"/>
    </font>
    <font>
      <b/>
      <sz val="8"/>
      <name val="Tekton Pro"/>
      <family val="2"/>
    </font>
    <font>
      <sz val="9"/>
      <name val="Berlin Sans FB Demi"/>
      <family val="2"/>
    </font>
    <font>
      <sz val="24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2"/>
      <color rgb="FF0000CC"/>
      <name val="Comic Sans MS"/>
      <family val="4"/>
    </font>
    <font>
      <b/>
      <sz val="8"/>
      <color rgb="FFFF0000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8"/>
      <color theme="0" tint="-0.499984740745262"/>
      <name val="Times New Roman"/>
      <family val="1"/>
    </font>
    <font>
      <sz val="9"/>
      <color theme="1"/>
      <name val="Times New Roman"/>
      <family val="1"/>
    </font>
    <font>
      <sz val="12"/>
      <color rgb="FF0070C0"/>
      <name val="Times New Roman"/>
      <family val="1"/>
    </font>
    <font>
      <sz val="10"/>
      <color rgb="FF0070C0"/>
      <name val="Times New Roman"/>
      <family val="1"/>
    </font>
    <font>
      <b/>
      <sz val="11"/>
      <color rgb="FF0070C0"/>
      <name val="Times New Roman"/>
      <family val="1"/>
    </font>
    <font>
      <b/>
      <sz val="10"/>
      <color rgb="FF0070C0"/>
      <name val="Times New Roman"/>
      <family val="1"/>
    </font>
    <font>
      <sz val="10"/>
      <name val="Times New Roman"/>
      <family val="1"/>
    </font>
    <font>
      <b/>
      <sz val="12"/>
      <color rgb="FF0070C0"/>
      <name val="Times New Roman"/>
      <family val="1"/>
    </font>
    <font>
      <sz val="11"/>
      <color rgb="FF0070C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5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41" fontId="8" fillId="0" borderId="0" xfId="2" applyFont="1" applyFill="1" applyBorder="1" applyAlignment="1">
      <alignment vertical="center"/>
    </xf>
    <xf numFmtId="41" fontId="4" fillId="0" borderId="0" xfId="2" applyFont="1" applyFill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0" fontId="12" fillId="4" borderId="10" xfId="0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41" fontId="6" fillId="5" borderId="2" xfId="2" applyFont="1" applyFill="1" applyBorder="1" applyAlignment="1">
      <alignment horizontal="center" vertical="center"/>
    </xf>
    <xf numFmtId="41" fontId="6" fillId="5" borderId="2" xfId="2" applyFont="1" applyFill="1" applyBorder="1" applyAlignment="1">
      <alignment horizontal="right" vertical="center"/>
    </xf>
    <xf numFmtId="167" fontId="6" fillId="0" borderId="10" xfId="0" applyNumberFormat="1" applyFont="1" applyBorder="1" applyAlignment="1">
      <alignment vertical="center"/>
    </xf>
    <xf numFmtId="167" fontId="6" fillId="0" borderId="11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right" vertical="center" wrapText="1"/>
    </xf>
    <xf numFmtId="0" fontId="6" fillId="2" borderId="18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170" fontId="16" fillId="0" borderId="15" xfId="0" applyNumberFormat="1" applyFont="1" applyBorder="1" applyAlignment="1">
      <alignment horizontal="right" vertical="center"/>
    </xf>
    <xf numFmtId="170" fontId="8" fillId="0" borderId="15" xfId="0" applyNumberFormat="1" applyFont="1" applyBorder="1" applyAlignment="1">
      <alignment horizontal="right" vertical="center"/>
    </xf>
    <xf numFmtId="170" fontId="16" fillId="0" borderId="22" xfId="0" applyNumberFormat="1" applyFont="1" applyBorder="1" applyAlignment="1">
      <alignment horizontal="right" vertical="center"/>
    </xf>
    <xf numFmtId="170" fontId="8" fillId="6" borderId="22" xfId="0" applyNumberFormat="1" applyFont="1" applyFill="1" applyBorder="1" applyAlignment="1">
      <alignment horizontal="right" vertical="center"/>
    </xf>
    <xf numFmtId="165" fontId="17" fillId="0" borderId="24" xfId="0" applyNumberFormat="1" applyFont="1" applyBorder="1" applyAlignment="1">
      <alignment horizontal="center" vertical="center" wrapText="1"/>
    </xf>
    <xf numFmtId="170" fontId="16" fillId="0" borderId="28" xfId="0" applyNumberFormat="1" applyFont="1" applyBorder="1" applyAlignment="1">
      <alignment horizontal="right" vertical="center"/>
    </xf>
    <xf numFmtId="167" fontId="8" fillId="3" borderId="28" xfId="0" applyNumberFormat="1" applyFont="1" applyFill="1" applyBorder="1" applyAlignment="1">
      <alignment horizontal="right" vertical="center"/>
    </xf>
    <xf numFmtId="43" fontId="8" fillId="0" borderId="15" xfId="1" applyFont="1" applyFill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170" fontId="7" fillId="0" borderId="34" xfId="0" applyNumberFormat="1" applyFont="1" applyBorder="1" applyAlignment="1">
      <alignment horizontal="right" vertical="center"/>
    </xf>
    <xf numFmtId="170" fontId="7" fillId="6" borderId="35" xfId="0" applyNumberFormat="1" applyFont="1" applyFill="1" applyBorder="1" applyAlignment="1">
      <alignment horizontal="right" vertical="center"/>
    </xf>
    <xf numFmtId="167" fontId="7" fillId="3" borderId="36" xfId="0" applyNumberFormat="1" applyFont="1" applyFill="1" applyBorder="1" applyAlignment="1">
      <alignment horizontal="right" vertical="center"/>
    </xf>
    <xf numFmtId="0" fontId="10" fillId="0" borderId="3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" fontId="2" fillId="0" borderId="22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164" fontId="20" fillId="0" borderId="0" xfId="1" applyNumberFormat="1" applyFont="1" applyAlignment="1">
      <alignment vertical="center"/>
    </xf>
    <xf numFmtId="164" fontId="21" fillId="0" borderId="0" xfId="1" applyNumberFormat="1" applyFont="1" applyAlignment="1">
      <alignment vertical="center" wrapText="1"/>
    </xf>
    <xf numFmtId="164" fontId="20" fillId="0" borderId="0" xfId="1" applyNumberFormat="1" applyFont="1" applyAlignment="1">
      <alignment vertical="center" wrapText="1"/>
    </xf>
    <xf numFmtId="0" fontId="3" fillId="0" borderId="22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49" xfId="0" applyFont="1" applyBorder="1" applyAlignment="1">
      <alignment vertical="center"/>
    </xf>
    <xf numFmtId="0" fontId="22" fillId="0" borderId="50" xfId="0" applyFont="1" applyBorder="1" applyAlignment="1">
      <alignment vertical="center"/>
    </xf>
    <xf numFmtId="0" fontId="22" fillId="0" borderId="51" xfId="0" applyFont="1" applyBorder="1" applyAlignment="1">
      <alignment vertical="center"/>
    </xf>
    <xf numFmtId="0" fontId="22" fillId="0" borderId="52" xfId="0" applyFont="1" applyBorder="1" applyAlignment="1">
      <alignment vertical="center"/>
    </xf>
    <xf numFmtId="0" fontId="22" fillId="0" borderId="53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22" fillId="0" borderId="54" xfId="0" applyFont="1" applyBorder="1" applyAlignment="1">
      <alignment vertical="center"/>
    </xf>
    <xf numFmtId="0" fontId="24" fillId="0" borderId="38" xfId="0" applyFont="1" applyBorder="1" applyAlignment="1">
      <alignment horizontal="right" vertical="center"/>
    </xf>
    <xf numFmtId="0" fontId="2" fillId="0" borderId="37" xfId="0" applyFont="1" applyBorder="1" applyAlignment="1">
      <alignment horizontal="center" vertical="center"/>
    </xf>
    <xf numFmtId="169" fontId="12" fillId="6" borderId="33" xfId="0" applyNumberFormat="1" applyFont="1" applyFill="1" applyBorder="1" applyAlignment="1">
      <alignment vertical="center"/>
    </xf>
    <xf numFmtId="171" fontId="28" fillId="3" borderId="36" xfId="0" applyNumberFormat="1" applyFont="1" applyFill="1" applyBorder="1" applyAlignment="1">
      <alignment vertical="center"/>
    </xf>
    <xf numFmtId="0" fontId="29" fillId="0" borderId="20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9" fillId="0" borderId="47" xfId="0" applyFont="1" applyBorder="1" applyAlignment="1">
      <alignment vertical="center"/>
    </xf>
    <xf numFmtId="0" fontId="30" fillId="7" borderId="40" xfId="0" applyFont="1" applyFill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top" wrapText="1"/>
    </xf>
    <xf numFmtId="0" fontId="29" fillId="0" borderId="0" xfId="0" applyFont="1" applyAlignment="1">
      <alignment horizontal="center" vertical="top" wrapText="1"/>
    </xf>
    <xf numFmtId="0" fontId="29" fillId="0" borderId="47" xfId="0" applyFont="1" applyBorder="1" applyAlignment="1">
      <alignment horizontal="center" vertical="top" wrapText="1"/>
    </xf>
    <xf numFmtId="0" fontId="31" fillId="0" borderId="20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47" xfId="0" applyFont="1" applyBorder="1" applyAlignment="1">
      <alignment horizontal="center" vertical="center" wrapText="1"/>
    </xf>
    <xf numFmtId="164" fontId="29" fillId="0" borderId="0" xfId="1" applyNumberFormat="1" applyFont="1" applyBorder="1" applyAlignment="1">
      <alignment vertical="center"/>
    </xf>
    <xf numFmtId="164" fontId="29" fillId="0" borderId="47" xfId="1" applyNumberFormat="1" applyFont="1" applyBorder="1" applyAlignment="1">
      <alignment vertical="center"/>
    </xf>
    <xf numFmtId="164" fontId="29" fillId="0" borderId="0" xfId="0" applyNumberFormat="1" applyFont="1" applyAlignment="1">
      <alignment vertical="center"/>
    </xf>
    <xf numFmtId="0" fontId="30" fillId="0" borderId="20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29" fillId="0" borderId="0" xfId="0" applyFont="1" applyBorder="1" applyAlignment="1">
      <alignment vertical="center"/>
    </xf>
    <xf numFmtId="0" fontId="31" fillId="8" borderId="22" xfId="0" applyFont="1" applyFill="1" applyBorder="1" applyAlignment="1">
      <alignment horizontal="center" vertical="center"/>
    </xf>
    <xf numFmtId="0" fontId="31" fillId="8" borderId="37" xfId="0" applyFont="1" applyFill="1" applyBorder="1" applyAlignment="1">
      <alignment horizontal="center" vertical="center"/>
    </xf>
    <xf numFmtId="0" fontId="31" fillId="0" borderId="20" xfId="0" applyFont="1" applyFill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164" fontId="33" fillId="0" borderId="20" xfId="1" applyNumberFormat="1" applyFont="1" applyFill="1" applyBorder="1" applyAlignment="1">
      <alignment vertical="center"/>
    </xf>
    <xf numFmtId="0" fontId="34" fillId="0" borderId="0" xfId="0" applyFont="1" applyBorder="1" applyAlignment="1">
      <alignment horizontal="left" wrapText="1"/>
    </xf>
    <xf numFmtId="164" fontId="35" fillId="0" borderId="0" xfId="1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0" borderId="41" xfId="0" applyFont="1" applyBorder="1" applyAlignment="1">
      <alignment horizontal="center" vertical="top" wrapText="1"/>
    </xf>
    <xf numFmtId="0" fontId="36" fillId="0" borderId="41" xfId="0" applyFont="1" applyBorder="1" applyAlignment="1">
      <alignment horizontal="left" vertical="top" wrapText="1"/>
    </xf>
    <xf numFmtId="164" fontId="37" fillId="0" borderId="22" xfId="1" applyNumberFormat="1" applyFont="1" applyBorder="1" applyAlignment="1">
      <alignment vertical="center"/>
    </xf>
    <xf numFmtId="164" fontId="37" fillId="9" borderId="22" xfId="1" applyNumberFormat="1" applyFont="1" applyFill="1" applyBorder="1" applyAlignment="1">
      <alignment vertical="center"/>
    </xf>
    <xf numFmtId="164" fontId="37" fillId="9" borderId="22" xfId="1" applyNumberFormat="1" applyFont="1" applyFill="1" applyBorder="1" applyAlignment="1">
      <alignment horizontal="center" vertical="center"/>
    </xf>
    <xf numFmtId="164" fontId="38" fillId="9" borderId="22" xfId="1" applyNumberFormat="1" applyFont="1" applyFill="1" applyBorder="1" applyAlignment="1">
      <alignment vertical="center"/>
    </xf>
    <xf numFmtId="164" fontId="39" fillId="9" borderId="22" xfId="1" applyNumberFormat="1" applyFont="1" applyFill="1" applyBorder="1" applyAlignment="1">
      <alignment vertical="center"/>
    </xf>
    <xf numFmtId="0" fontId="40" fillId="0" borderId="22" xfId="0" applyFont="1" applyBorder="1" applyAlignment="1">
      <alignment horizontal="left" vertical="center"/>
    </xf>
    <xf numFmtId="172" fontId="40" fillId="0" borderId="22" xfId="0" applyNumberFormat="1" applyFont="1" applyBorder="1" applyAlignment="1">
      <alignment horizontal="center" vertical="center"/>
    </xf>
    <xf numFmtId="0" fontId="42" fillId="0" borderId="41" xfId="0" applyFont="1" applyBorder="1" applyAlignment="1">
      <alignment horizontal="left" vertical="top" wrapText="1"/>
    </xf>
    <xf numFmtId="164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 wrapText="1"/>
    </xf>
    <xf numFmtId="0" fontId="31" fillId="7" borderId="22" xfId="0" applyFont="1" applyFill="1" applyBorder="1" applyAlignment="1">
      <alignment horizontal="center" vertical="center" wrapText="1"/>
    </xf>
    <xf numFmtId="164" fontId="31" fillId="0" borderId="0" xfId="1" applyNumberFormat="1" applyFont="1" applyAlignment="1">
      <alignment horizontal="center" vertical="center" wrapText="1"/>
    </xf>
    <xf numFmtId="0" fontId="26" fillId="0" borderId="22" xfId="0" applyFont="1" applyBorder="1" applyAlignment="1">
      <alignment horizontal="left" vertical="top" wrapText="1"/>
    </xf>
    <xf numFmtId="0" fontId="26" fillId="0" borderId="22" xfId="0" applyFont="1" applyBorder="1" applyAlignment="1">
      <alignment horizontal="left" vertical="top"/>
    </xf>
    <xf numFmtId="0" fontId="2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left" vertical="top"/>
    </xf>
    <xf numFmtId="0" fontId="31" fillId="7" borderId="19" xfId="0" applyFont="1" applyFill="1" applyBorder="1" applyAlignment="1">
      <alignment horizontal="center" vertical="center" wrapText="1"/>
    </xf>
    <xf numFmtId="0" fontId="31" fillId="7" borderId="41" xfId="0" applyFont="1" applyFill="1" applyBorder="1" applyAlignment="1">
      <alignment horizontal="center" vertical="center" wrapText="1"/>
    </xf>
    <xf numFmtId="0" fontId="31" fillId="7" borderId="37" xfId="0" applyFont="1" applyFill="1" applyBorder="1" applyAlignment="1">
      <alignment horizontal="center" vertical="center" wrapText="1"/>
    </xf>
    <xf numFmtId="0" fontId="31" fillId="7" borderId="54" xfId="0" applyFont="1" applyFill="1" applyBorder="1" applyAlignment="1">
      <alignment horizontal="center" vertical="center" wrapText="1"/>
    </xf>
    <xf numFmtId="0" fontId="31" fillId="7" borderId="38" xfId="0" applyFont="1" applyFill="1" applyBorder="1" applyAlignment="1">
      <alignment horizontal="center" vertical="center" wrapText="1"/>
    </xf>
    <xf numFmtId="0" fontId="30" fillId="0" borderId="37" xfId="0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164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4" fontId="41" fillId="9" borderId="22" xfId="1" applyNumberFormat="1" applyFont="1" applyFill="1" applyBorder="1" applyAlignment="1">
      <alignment horizontal="center" vertical="center"/>
    </xf>
    <xf numFmtId="164" fontId="41" fillId="9" borderId="37" xfId="1" applyNumberFormat="1" applyFont="1" applyFill="1" applyBorder="1" applyAlignment="1">
      <alignment horizontal="center" vertical="center"/>
    </xf>
    <xf numFmtId="0" fontId="31" fillId="7" borderId="22" xfId="0" applyFont="1" applyFill="1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7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27" fillId="0" borderId="44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0" fontId="30" fillId="7" borderId="37" xfId="0" applyFont="1" applyFill="1" applyBorder="1" applyAlignment="1">
      <alignment horizontal="center" vertical="center" wrapText="1"/>
    </xf>
    <xf numFmtId="0" fontId="30" fillId="7" borderId="38" xfId="0" applyFont="1" applyFill="1" applyBorder="1" applyAlignment="1">
      <alignment horizontal="center" vertical="center" wrapText="1"/>
    </xf>
    <xf numFmtId="0" fontId="30" fillId="7" borderId="19" xfId="0" applyFont="1" applyFill="1" applyBorder="1" applyAlignment="1">
      <alignment horizontal="center" vertical="center" wrapText="1"/>
    </xf>
    <xf numFmtId="0" fontId="30" fillId="7" borderId="55" xfId="0" applyFont="1" applyFill="1" applyBorder="1" applyAlignment="1">
      <alignment horizontal="center" vertical="center" wrapText="1"/>
    </xf>
    <xf numFmtId="169" fontId="7" fillId="0" borderId="13" xfId="0" quotePrefix="1" applyNumberFormat="1" applyFont="1" applyBorder="1" applyAlignment="1">
      <alignment horizontal="center"/>
    </xf>
    <xf numFmtId="169" fontId="7" fillId="0" borderId="18" xfId="0" quotePrefix="1" applyNumberFormat="1" applyFont="1" applyBorder="1" applyAlignment="1">
      <alignment horizontal="center"/>
    </xf>
    <xf numFmtId="169" fontId="7" fillId="0" borderId="24" xfId="0" quotePrefix="1" applyNumberFormat="1" applyFont="1" applyBorder="1" applyAlignment="1">
      <alignment horizontal="center"/>
    </xf>
    <xf numFmtId="168" fontId="7" fillId="0" borderId="28" xfId="0" applyNumberFormat="1" applyFont="1" applyBorder="1" applyAlignment="1">
      <alignment horizontal="center" vertical="center"/>
    </xf>
    <xf numFmtId="168" fontId="7" fillId="0" borderId="25" xfId="0" applyNumberFormat="1" applyFont="1" applyBorder="1" applyAlignment="1">
      <alignment horizontal="center" vertical="center"/>
    </xf>
    <xf numFmtId="168" fontId="7" fillId="0" borderId="13" xfId="0" quotePrefix="1" applyNumberFormat="1" applyFont="1" applyBorder="1" applyAlignment="1">
      <alignment horizontal="center" vertical="center"/>
    </xf>
    <xf numFmtId="168" fontId="7" fillId="0" borderId="18" xfId="0" quotePrefix="1" applyNumberFormat="1" applyFont="1" applyBorder="1" applyAlignment="1">
      <alignment horizontal="center" vertical="center"/>
    </xf>
    <xf numFmtId="168" fontId="18" fillId="0" borderId="13" xfId="0" quotePrefix="1" applyNumberFormat="1" applyFont="1" applyBorder="1" applyAlignment="1">
      <alignment horizontal="center" vertical="center"/>
    </xf>
    <xf numFmtId="168" fontId="18" fillId="0" borderId="18" xfId="0" quotePrefix="1" applyNumberFormat="1" applyFont="1" applyBorder="1" applyAlignment="1">
      <alignment horizontal="center" vertical="center"/>
    </xf>
    <xf numFmtId="168" fontId="7" fillId="0" borderId="14" xfId="0" quotePrefix="1" applyNumberFormat="1" applyFont="1" applyBorder="1" applyAlignment="1">
      <alignment horizontal="center" vertical="center"/>
    </xf>
    <xf numFmtId="168" fontId="7" fillId="0" borderId="20" xfId="0" quotePrefix="1" applyNumberFormat="1" applyFont="1" applyBorder="1" applyAlignment="1">
      <alignment horizontal="center" vertical="center"/>
    </xf>
    <xf numFmtId="168" fontId="7" fillId="0" borderId="13" xfId="0" quotePrefix="1" applyNumberFormat="1" applyFont="1" applyBorder="1" applyAlignment="1">
      <alignment horizontal="center"/>
    </xf>
    <xf numFmtId="168" fontId="7" fillId="0" borderId="18" xfId="0" quotePrefix="1" applyNumberFormat="1" applyFont="1" applyBorder="1" applyAlignment="1">
      <alignment horizontal="center"/>
    </xf>
    <xf numFmtId="168" fontId="7" fillId="0" borderId="24" xfId="0" quotePrefix="1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 wrapText="1"/>
    </xf>
    <xf numFmtId="165" fontId="7" fillId="0" borderId="18" xfId="0" applyNumberFormat="1" applyFont="1" applyBorder="1" applyAlignment="1">
      <alignment horizontal="center" vertical="center" wrapText="1"/>
    </xf>
    <xf numFmtId="165" fontId="7" fillId="0" borderId="24" xfId="0" applyNumberFormat="1" applyFont="1" applyBorder="1" applyAlignment="1">
      <alignment horizontal="center" vertical="center" wrapText="1"/>
    </xf>
    <xf numFmtId="165" fontId="17" fillId="0" borderId="15" xfId="0" applyNumberFormat="1" applyFont="1" applyBorder="1" applyAlignment="1">
      <alignment horizontal="center" vertical="center" wrapText="1"/>
    </xf>
    <xf numFmtId="165" fontId="17" fillId="0" borderId="22" xfId="0" applyNumberFormat="1" applyFont="1" applyBorder="1" applyAlignment="1">
      <alignment horizontal="center" vertical="center" wrapText="1"/>
    </xf>
    <xf numFmtId="0" fontId="10" fillId="2" borderId="33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66" fontId="12" fillId="4" borderId="11" xfId="2" applyNumberFormat="1" applyFont="1" applyFill="1" applyBorder="1" applyAlignment="1">
      <alignment horizontal="center" vertical="center"/>
    </xf>
    <xf numFmtId="166" fontId="12" fillId="4" borderId="12" xfId="2" applyNumberFormat="1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165" fontId="10" fillId="2" borderId="13" xfId="0" applyNumberFormat="1" applyFont="1" applyFill="1" applyBorder="1" applyAlignment="1">
      <alignment horizontal="center" vertical="center" wrapText="1"/>
    </xf>
    <xf numFmtId="165" fontId="10" fillId="2" borderId="24" xfId="0" applyNumberFormat="1" applyFont="1" applyFill="1" applyBorder="1" applyAlignment="1">
      <alignment horizontal="center" vertical="center" wrapText="1"/>
    </xf>
    <xf numFmtId="165" fontId="10" fillId="2" borderId="18" xfId="0" applyNumberFormat="1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colors>
    <mruColors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27</xdr:row>
      <xdr:rowOff>19050</xdr:rowOff>
    </xdr:from>
    <xdr:to>
      <xdr:col>5</xdr:col>
      <xdr:colOff>695325</xdr:colOff>
      <xdr:row>31</xdr:row>
      <xdr:rowOff>47625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0C09B2D-9634-43F6-B254-27527986A1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57475" y="6962775"/>
          <a:ext cx="6096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134470</xdr:colOff>
      <xdr:row>0</xdr:row>
      <xdr:rowOff>56029</xdr:rowOff>
    </xdr:from>
    <xdr:to>
      <xdr:col>14</xdr:col>
      <xdr:colOff>582145</xdr:colOff>
      <xdr:row>21</xdr:row>
      <xdr:rowOff>179854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470" y="56029"/>
          <a:ext cx="8919322" cy="412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75641</xdr:colOff>
      <xdr:row>21</xdr:row>
      <xdr:rowOff>11205</xdr:rowOff>
    </xdr:from>
    <xdr:to>
      <xdr:col>16</xdr:col>
      <xdr:colOff>32498</xdr:colOff>
      <xdr:row>34</xdr:row>
      <xdr:rowOff>58830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41" y="4011705"/>
          <a:ext cx="9608857" cy="2524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R32"/>
  <sheetViews>
    <sheetView showGridLines="0" topLeftCell="A7" zoomScaleNormal="100" workbookViewId="0">
      <selection activeCell="C9" sqref="C9:N23"/>
    </sheetView>
  </sheetViews>
  <sheetFormatPr defaultRowHeight="12.75"/>
  <cols>
    <col min="1" max="2" width="1.7109375" style="50" customWidth="1"/>
    <col min="3" max="11" width="11.7109375" style="50" customWidth="1"/>
    <col min="12" max="15" width="9.7109375" style="50" customWidth="1"/>
    <col min="16" max="16" width="23.7109375" style="50" customWidth="1"/>
    <col min="17" max="17" width="10.5703125" style="50" bestFit="1" customWidth="1"/>
    <col min="18" max="16384" width="9.140625" style="50"/>
  </cols>
  <sheetData>
    <row r="2" spans="2:18" ht="14.1" customHeight="1">
      <c r="B2" s="64" t="s">
        <v>35</v>
      </c>
      <c r="C2" s="65"/>
      <c r="D2" s="65"/>
      <c r="E2" s="65"/>
      <c r="F2" s="65"/>
      <c r="G2" s="65"/>
      <c r="H2" s="66" t="s">
        <v>54</v>
      </c>
      <c r="I2" s="59" t="s">
        <v>51</v>
      </c>
      <c r="J2" s="59" t="s">
        <v>30</v>
      </c>
      <c r="K2" s="59"/>
      <c r="L2" s="58" t="s">
        <v>62</v>
      </c>
      <c r="M2" s="58" t="s">
        <v>61</v>
      </c>
      <c r="N2" s="58" t="s">
        <v>32</v>
      </c>
      <c r="O2" s="58" t="s">
        <v>31</v>
      </c>
    </row>
    <row r="3" spans="2:18" ht="14.1" customHeight="1">
      <c r="B3" s="130" t="s">
        <v>70</v>
      </c>
      <c r="C3" s="131"/>
      <c r="D3" s="131"/>
      <c r="E3" s="131"/>
      <c r="F3" s="131"/>
      <c r="G3" s="131"/>
      <c r="H3" s="132"/>
      <c r="I3" s="60" t="s">
        <v>3</v>
      </c>
      <c r="J3" s="61" t="s">
        <v>30</v>
      </c>
      <c r="K3" s="61"/>
      <c r="L3" s="139" t="s">
        <v>30</v>
      </c>
      <c r="M3" s="140"/>
      <c r="N3" s="140"/>
      <c r="O3" s="141"/>
    </row>
    <row r="4" spans="2:18" ht="14.1" customHeight="1">
      <c r="B4" s="133"/>
      <c r="C4" s="134"/>
      <c r="D4" s="134"/>
      <c r="E4" s="134"/>
      <c r="F4" s="134"/>
      <c r="G4" s="134"/>
      <c r="H4" s="135"/>
      <c r="I4" s="60" t="s">
        <v>43</v>
      </c>
      <c r="J4" s="61" t="s">
        <v>30</v>
      </c>
      <c r="K4" s="61"/>
      <c r="L4" s="142"/>
      <c r="M4" s="143"/>
      <c r="N4" s="143"/>
      <c r="O4" s="144"/>
    </row>
    <row r="5" spans="2:18" ht="14.1" customHeight="1">
      <c r="B5" s="133"/>
      <c r="C5" s="134"/>
      <c r="D5" s="134"/>
      <c r="E5" s="134"/>
      <c r="F5" s="134"/>
      <c r="G5" s="134"/>
      <c r="H5" s="135"/>
      <c r="I5" s="60" t="s">
        <v>52</v>
      </c>
      <c r="J5" s="61" t="s">
        <v>30</v>
      </c>
      <c r="K5" s="61"/>
      <c r="L5" s="145"/>
      <c r="M5" s="146"/>
      <c r="N5" s="146"/>
      <c r="O5" s="147"/>
    </row>
    <row r="6" spans="2:18" ht="14.1" customHeight="1">
      <c r="B6" s="136"/>
      <c r="C6" s="137"/>
      <c r="D6" s="137"/>
      <c r="E6" s="137"/>
      <c r="F6" s="137"/>
      <c r="G6" s="137"/>
      <c r="H6" s="138"/>
      <c r="I6" s="62" t="s">
        <v>53</v>
      </c>
      <c r="J6" s="63" t="s">
        <v>30</v>
      </c>
      <c r="K6" s="63"/>
      <c r="L6" s="58" t="s">
        <v>65</v>
      </c>
      <c r="M6" s="58" t="s">
        <v>64</v>
      </c>
      <c r="N6" s="58" t="s">
        <v>34</v>
      </c>
      <c r="O6" s="58" t="s">
        <v>63</v>
      </c>
    </row>
    <row r="7" spans="2:18" s="71" customFormat="1" ht="20.100000000000001" customHeight="1">
      <c r="B7" s="70"/>
      <c r="O7" s="72"/>
    </row>
    <row r="8" spans="2:18" s="71" customFormat="1" ht="20.100000000000001" customHeight="1">
      <c r="B8" s="70"/>
      <c r="O8" s="72"/>
    </row>
    <row r="9" spans="2:18" s="71" customFormat="1" ht="20.100000000000001" customHeight="1">
      <c r="B9" s="70"/>
      <c r="C9" s="148" t="s">
        <v>72</v>
      </c>
      <c r="D9" s="149"/>
      <c r="E9" s="150" t="s">
        <v>66</v>
      </c>
      <c r="F9" s="150" t="s">
        <v>67</v>
      </c>
      <c r="G9" s="150" t="s">
        <v>55</v>
      </c>
      <c r="H9" s="148" t="s">
        <v>57</v>
      </c>
      <c r="I9" s="149"/>
      <c r="J9" s="148" t="s">
        <v>56</v>
      </c>
      <c r="K9" s="149"/>
      <c r="O9" s="72"/>
    </row>
    <row r="10" spans="2:18" s="71" customFormat="1" ht="20.100000000000001" customHeight="1" thickBot="1">
      <c r="B10" s="70"/>
      <c r="C10" s="110" t="s">
        <v>58</v>
      </c>
      <c r="D10" s="110" t="s">
        <v>73</v>
      </c>
      <c r="E10" s="151"/>
      <c r="F10" s="151"/>
      <c r="G10" s="151"/>
      <c r="H10" s="73" t="s">
        <v>58</v>
      </c>
      <c r="I10" s="73" t="s">
        <v>59</v>
      </c>
      <c r="J10" s="73" t="s">
        <v>58</v>
      </c>
      <c r="K10" s="73" t="s">
        <v>60</v>
      </c>
      <c r="O10" s="72"/>
    </row>
    <row r="11" spans="2:18" s="75" customFormat="1" ht="65.099999999999994" customHeight="1" thickTop="1">
      <c r="B11" s="74"/>
      <c r="C11" s="97" t="s">
        <v>79</v>
      </c>
      <c r="D11" s="97" t="s">
        <v>74</v>
      </c>
      <c r="E11" s="97" t="s">
        <v>75</v>
      </c>
      <c r="F11" s="97" t="s">
        <v>76</v>
      </c>
      <c r="G11" s="97" t="s">
        <v>80</v>
      </c>
      <c r="H11" s="106"/>
      <c r="I11" s="98"/>
      <c r="J11" s="97" t="s">
        <v>81</v>
      </c>
      <c r="K11" s="97" t="s">
        <v>82</v>
      </c>
      <c r="O11" s="76"/>
    </row>
    <row r="12" spans="2:18" s="71" customFormat="1" ht="20.100000000000001" customHeight="1">
      <c r="B12" s="70"/>
      <c r="O12" s="72"/>
    </row>
    <row r="13" spans="2:18" s="80" customFormat="1" ht="20.100000000000001" customHeight="1">
      <c r="B13" s="77"/>
      <c r="C13" s="129" t="s">
        <v>2</v>
      </c>
      <c r="D13" s="129" t="s">
        <v>3</v>
      </c>
      <c r="E13" s="129" t="s">
        <v>0</v>
      </c>
      <c r="F13" s="129" t="s">
        <v>36</v>
      </c>
      <c r="G13" s="129" t="s">
        <v>37</v>
      </c>
      <c r="H13" s="117" t="s">
        <v>42</v>
      </c>
      <c r="I13" s="117" t="s">
        <v>71</v>
      </c>
      <c r="J13" s="119" t="s">
        <v>41</v>
      </c>
      <c r="K13" s="120"/>
      <c r="L13" s="121"/>
      <c r="M13" s="78"/>
      <c r="N13" s="78"/>
      <c r="O13" s="79"/>
    </row>
    <row r="14" spans="2:18" s="80" customFormat="1" ht="20.100000000000001" customHeight="1">
      <c r="B14" s="77"/>
      <c r="C14" s="129"/>
      <c r="D14" s="129"/>
      <c r="E14" s="129"/>
      <c r="F14" s="129"/>
      <c r="G14" s="129"/>
      <c r="H14" s="118"/>
      <c r="I14" s="118"/>
      <c r="J14" s="111" t="s">
        <v>38</v>
      </c>
      <c r="K14" s="111" t="s">
        <v>39</v>
      </c>
      <c r="L14" s="111" t="s">
        <v>40</v>
      </c>
      <c r="M14" s="81"/>
      <c r="N14" s="81"/>
      <c r="O14" s="82"/>
      <c r="P14" s="112">
        <f>36*825000</f>
        <v>29700000</v>
      </c>
    </row>
    <row r="15" spans="2:18" s="71" customFormat="1" ht="18" customHeight="1">
      <c r="B15" s="70"/>
      <c r="C15" s="104" t="s">
        <v>78</v>
      </c>
      <c r="D15" s="105">
        <v>45486</v>
      </c>
      <c r="E15" s="99">
        <f>300000+450000</f>
        <v>750000</v>
      </c>
      <c r="F15" s="99">
        <f>5500+421500+27000+400000</f>
        <v>854000</v>
      </c>
      <c r="G15" s="99"/>
      <c r="H15" s="99"/>
      <c r="I15" s="103">
        <f>SUM(E15:H15)</f>
        <v>1604000</v>
      </c>
      <c r="J15" s="100">
        <f>'Rincian Overtime Driver (2)'!P11</f>
        <v>290644.6213872832</v>
      </c>
      <c r="K15" s="101">
        <v>100000</v>
      </c>
      <c r="L15" s="100"/>
      <c r="M15" s="83"/>
      <c r="N15" s="83"/>
      <c r="O15" s="84"/>
      <c r="Q15" s="85"/>
    </row>
    <row r="16" spans="2:18" s="87" customFormat="1" ht="18" customHeight="1">
      <c r="B16" s="86"/>
      <c r="C16" s="122" t="s">
        <v>1</v>
      </c>
      <c r="D16" s="123"/>
      <c r="E16" s="123"/>
      <c r="F16" s="123"/>
      <c r="G16" s="123"/>
      <c r="H16" s="124"/>
      <c r="I16" s="102">
        <f>SUM(I15:I15)</f>
        <v>1604000</v>
      </c>
      <c r="J16" s="102">
        <f>SUM(J15:J15)</f>
        <v>290644.6213872832</v>
      </c>
      <c r="K16" s="102">
        <f>SUM(K15:K15)</f>
        <v>100000</v>
      </c>
      <c r="L16" s="102">
        <f>SUM(L15:L15)</f>
        <v>0</v>
      </c>
      <c r="M16" s="83"/>
      <c r="N16" s="83"/>
      <c r="O16" s="84"/>
      <c r="Q16" s="85"/>
      <c r="R16" s="85"/>
    </row>
    <row r="17" spans="2:18" s="71" customFormat="1" ht="18" customHeight="1">
      <c r="B17" s="70"/>
      <c r="O17" s="72"/>
      <c r="Q17" s="125"/>
      <c r="R17" s="126"/>
    </row>
    <row r="18" spans="2:18" s="71" customFormat="1" ht="18" customHeight="1">
      <c r="B18" s="70"/>
      <c r="G18" s="88"/>
      <c r="H18" s="88"/>
      <c r="I18" s="88"/>
      <c r="O18" s="72"/>
      <c r="Q18" s="107"/>
      <c r="R18" s="108"/>
    </row>
    <row r="19" spans="2:18" s="71" customFormat="1" ht="18" customHeight="1">
      <c r="B19" s="70"/>
      <c r="C19" s="89" t="s">
        <v>48</v>
      </c>
      <c r="D19" s="89" t="s">
        <v>49</v>
      </c>
      <c r="E19" s="90" t="s">
        <v>50</v>
      </c>
      <c r="F19" s="91"/>
      <c r="G19" s="88"/>
      <c r="H19" s="92"/>
      <c r="I19" s="92"/>
      <c r="O19" s="72"/>
    </row>
    <row r="20" spans="2:18" s="71" customFormat="1" ht="18" customHeight="1">
      <c r="B20" s="70"/>
      <c r="C20" s="127">
        <v>2500000</v>
      </c>
      <c r="D20" s="127">
        <f>SUM(I16:L16)</f>
        <v>1994644.6213872833</v>
      </c>
      <c r="E20" s="128">
        <f>+C20-D20</f>
        <v>505355.37861271668</v>
      </c>
      <c r="F20" s="93"/>
      <c r="G20" s="88"/>
      <c r="H20" s="94"/>
      <c r="I20" s="94"/>
      <c r="O20" s="72"/>
    </row>
    <row r="21" spans="2:18" s="71" customFormat="1" ht="18" customHeight="1">
      <c r="B21" s="70"/>
      <c r="C21" s="127"/>
      <c r="D21" s="127"/>
      <c r="E21" s="128"/>
      <c r="F21" s="93"/>
      <c r="G21" s="88"/>
      <c r="H21" s="94"/>
      <c r="I21" s="94"/>
      <c r="O21" s="72"/>
    </row>
    <row r="22" spans="2:18" s="71" customFormat="1" ht="18" customHeight="1">
      <c r="B22" s="70"/>
      <c r="C22" s="127"/>
      <c r="D22" s="127"/>
      <c r="E22" s="128"/>
      <c r="F22" s="93"/>
      <c r="G22" s="88"/>
      <c r="H22" s="95"/>
      <c r="I22" s="95"/>
      <c r="O22" s="72"/>
      <c r="P22" s="71">
        <f>399000/2</f>
        <v>199500</v>
      </c>
    </row>
    <row r="23" spans="2:18" s="71" customFormat="1" ht="18" customHeight="1">
      <c r="B23" s="70"/>
      <c r="G23" s="88"/>
      <c r="H23" s="88"/>
      <c r="I23" s="88"/>
      <c r="O23" s="72"/>
    </row>
    <row r="24" spans="2:18" s="71" customFormat="1" ht="18" customHeight="1">
      <c r="B24" s="70"/>
      <c r="G24" s="88"/>
      <c r="H24" s="88"/>
      <c r="I24" s="88"/>
      <c r="O24" s="72"/>
    </row>
    <row r="25" spans="2:18" s="71" customFormat="1" ht="18" customHeight="1">
      <c r="B25" s="70"/>
      <c r="C25" s="96"/>
      <c r="D25" s="96"/>
      <c r="E25" s="96"/>
      <c r="F25" s="96"/>
      <c r="G25" s="96"/>
      <c r="O25" s="72"/>
    </row>
    <row r="26" spans="2:18" s="71" customFormat="1" ht="18" customHeight="1">
      <c r="B26" s="70"/>
      <c r="O26" s="72"/>
    </row>
    <row r="27" spans="2:18" ht="14.1" customHeight="1">
      <c r="B27" s="113" t="s">
        <v>68</v>
      </c>
      <c r="C27" s="114"/>
      <c r="D27" s="114"/>
      <c r="E27" s="114"/>
      <c r="F27" s="115"/>
      <c r="G27" s="116" t="s">
        <v>69</v>
      </c>
      <c r="H27" s="116"/>
      <c r="I27" s="109"/>
      <c r="J27" s="109"/>
      <c r="K27" s="109"/>
      <c r="L27" s="109"/>
      <c r="M27" s="109"/>
      <c r="N27" s="109"/>
      <c r="O27" s="109"/>
    </row>
    <row r="28" spans="2:18" ht="14.1" customHeight="1">
      <c r="B28" s="114"/>
      <c r="C28" s="114"/>
      <c r="D28" s="114"/>
      <c r="E28" s="114"/>
      <c r="F28" s="115"/>
      <c r="G28" s="116"/>
      <c r="H28" s="116"/>
      <c r="I28" s="109"/>
      <c r="J28" s="109"/>
      <c r="K28" s="109"/>
      <c r="L28" s="109"/>
      <c r="M28" s="109"/>
      <c r="N28" s="109"/>
      <c r="O28" s="109"/>
    </row>
    <row r="29" spans="2:18" ht="14.1" customHeight="1">
      <c r="B29" s="114"/>
      <c r="C29" s="114"/>
      <c r="D29" s="114"/>
      <c r="E29" s="114"/>
      <c r="F29" s="115"/>
      <c r="G29" s="116"/>
      <c r="H29" s="116"/>
      <c r="I29" s="109"/>
      <c r="J29" s="109"/>
      <c r="K29" s="67"/>
      <c r="L29" s="109"/>
      <c r="M29" s="109"/>
      <c r="N29" s="109"/>
      <c r="O29" s="109"/>
    </row>
    <row r="30" spans="2:18" ht="14.1" customHeight="1">
      <c r="B30" s="114"/>
      <c r="C30" s="114"/>
      <c r="D30" s="114"/>
      <c r="E30" s="114"/>
      <c r="F30" s="115"/>
      <c r="G30" s="116"/>
      <c r="H30" s="116"/>
      <c r="I30" s="109"/>
      <c r="J30" s="109"/>
      <c r="K30" s="109"/>
      <c r="L30" s="109"/>
      <c r="M30" s="109"/>
      <c r="N30" s="109"/>
      <c r="O30" s="109"/>
    </row>
    <row r="31" spans="2:18" ht="14.1" customHeight="1">
      <c r="B31" s="114"/>
      <c r="C31" s="114"/>
      <c r="D31" s="114"/>
      <c r="E31" s="114"/>
      <c r="F31" s="115"/>
      <c r="G31" s="116"/>
      <c r="H31" s="116"/>
      <c r="I31" s="109">
        <v>0</v>
      </c>
      <c r="J31" s="52">
        <v>44918</v>
      </c>
      <c r="K31" s="109" t="s">
        <v>47</v>
      </c>
      <c r="L31" s="109" t="s">
        <v>33</v>
      </c>
      <c r="M31" s="109" t="s">
        <v>30</v>
      </c>
      <c r="N31" s="109" t="s">
        <v>30</v>
      </c>
      <c r="O31" s="109" t="s">
        <v>30</v>
      </c>
    </row>
    <row r="32" spans="2:18" s="51" customFormat="1" ht="14.1" customHeight="1">
      <c r="B32" s="114"/>
      <c r="C32" s="114"/>
      <c r="D32" s="114"/>
      <c r="E32" s="114"/>
      <c r="F32" s="115"/>
      <c r="G32" s="116"/>
      <c r="H32" s="116"/>
      <c r="I32" s="57" t="s">
        <v>43</v>
      </c>
      <c r="J32" s="57" t="s">
        <v>3</v>
      </c>
      <c r="K32" s="57" t="s">
        <v>44</v>
      </c>
      <c r="L32" s="57" t="s">
        <v>45</v>
      </c>
      <c r="M32" s="57" t="s">
        <v>46</v>
      </c>
      <c r="N32" s="57" t="s">
        <v>29</v>
      </c>
      <c r="O32" s="57" t="s">
        <v>45</v>
      </c>
    </row>
  </sheetData>
  <mergeCells count="24">
    <mergeCell ref="B3:H6"/>
    <mergeCell ref="L3:O5"/>
    <mergeCell ref="C9:D9"/>
    <mergeCell ref="E9:E10"/>
    <mergeCell ref="F9:F10"/>
    <mergeCell ref="G9:G10"/>
    <mergeCell ref="H9:I9"/>
    <mergeCell ref="J9:K9"/>
    <mergeCell ref="Q17:R17"/>
    <mergeCell ref="C20:C22"/>
    <mergeCell ref="D20:D22"/>
    <mergeCell ref="E20:E22"/>
    <mergeCell ref="C13:C14"/>
    <mergeCell ref="D13:D14"/>
    <mergeCell ref="E13:E14"/>
    <mergeCell ref="F13:F14"/>
    <mergeCell ref="G13:G14"/>
    <mergeCell ref="H13:H14"/>
    <mergeCell ref="B27:E32"/>
    <mergeCell ref="F27:F32"/>
    <mergeCell ref="G27:H32"/>
    <mergeCell ref="I13:I14"/>
    <mergeCell ref="J13:L13"/>
    <mergeCell ref="C16:H16"/>
  </mergeCells>
  <printOptions horizontalCentered="1" verticalCentered="1"/>
  <pageMargins left="0" right="0" top="0" bottom="0" header="0" footer="0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5"/>
  <sheetViews>
    <sheetView showGridLines="0" zoomScaleNormal="100" workbookViewId="0">
      <selection activeCell="B3" sqref="B3:P13"/>
    </sheetView>
  </sheetViews>
  <sheetFormatPr defaultRowHeight="15"/>
  <cols>
    <col min="1" max="1" width="2.140625" style="1" customWidth="1"/>
    <col min="2" max="2" width="7.7109375" style="2" customWidth="1"/>
    <col min="3" max="3" width="7.7109375" style="3" customWidth="1"/>
    <col min="4" max="4" width="7.5703125" style="4" bestFit="1" customWidth="1"/>
    <col min="5" max="8" width="5.7109375" style="5" customWidth="1"/>
    <col min="9" max="9" width="9.7109375" style="5" customWidth="1"/>
    <col min="10" max="10" width="13.5703125" style="5" bestFit="1" customWidth="1"/>
    <col min="11" max="11" width="7.7109375" style="1" customWidth="1"/>
    <col min="12" max="15" width="10.7109375" style="43" customWidth="1"/>
    <col min="16" max="16" width="25.7109375" style="44" customWidth="1"/>
    <col min="17" max="17" width="3.7109375" style="1" customWidth="1"/>
    <col min="18" max="18" width="12.7109375" style="54" customWidth="1"/>
    <col min="19" max="19" width="15.42578125" style="54" bestFit="1" customWidth="1"/>
    <col min="20" max="20" width="9.140625" style="54"/>
    <col min="21" max="16384" width="9.140625" style="1"/>
  </cols>
  <sheetData>
    <row r="1" spans="1:20" ht="9.9499999999999993" customHeight="1">
      <c r="I1" s="6"/>
      <c r="J1" s="6"/>
      <c r="L1" s="7"/>
      <c r="M1" s="7"/>
      <c r="N1" s="7"/>
      <c r="O1" s="7"/>
      <c r="P1" s="8"/>
    </row>
    <row r="2" spans="1:20" ht="20.100000000000001" customHeight="1" thickBot="1">
      <c r="B2" s="53"/>
      <c r="I2" s="6"/>
      <c r="J2" s="6"/>
      <c r="L2" s="7"/>
      <c r="M2" s="7"/>
      <c r="N2" s="7"/>
      <c r="O2" s="7"/>
      <c r="P2" s="8"/>
    </row>
    <row r="3" spans="1:20" s="5" customFormat="1" ht="17.100000000000001" customHeight="1">
      <c r="B3" s="182" t="s">
        <v>4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4"/>
      <c r="N3" s="9" t="s">
        <v>5</v>
      </c>
      <c r="O3" s="10" t="str">
        <f>'LEMBAR LPJ (2)'!G11</f>
        <v>H-1631-IA</v>
      </c>
      <c r="P3" s="48"/>
      <c r="Q3" s="11"/>
      <c r="R3" s="54"/>
      <c r="S3" s="54"/>
      <c r="T3" s="54"/>
    </row>
    <row r="4" spans="1:20" s="5" customFormat="1" ht="17.100000000000001" customHeight="1" thickBot="1">
      <c r="B4" s="185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7"/>
      <c r="N4" s="12" t="s">
        <v>6</v>
      </c>
      <c r="O4" s="13" t="str">
        <f>'LEMBAR LPJ (2)'!F11</f>
        <v>Innova</v>
      </c>
      <c r="P4" s="49"/>
      <c r="Q4" s="11"/>
      <c r="R4" s="54"/>
      <c r="S4" s="54"/>
      <c r="T4" s="54"/>
    </row>
    <row r="5" spans="1:20" s="5" customFormat="1" ht="17.100000000000001" customHeight="1" thickBot="1">
      <c r="A5" s="14"/>
      <c r="B5" s="15" t="s">
        <v>7</v>
      </c>
      <c r="C5" s="188">
        <v>3243969</v>
      </c>
      <c r="D5" s="188"/>
      <c r="E5" s="189"/>
      <c r="F5" s="190" t="s">
        <v>8</v>
      </c>
      <c r="G5" s="191"/>
      <c r="H5" s="191"/>
      <c r="I5" s="191"/>
      <c r="J5" s="191"/>
      <c r="K5" s="191"/>
      <c r="L5" s="191"/>
      <c r="M5" s="192"/>
      <c r="N5" s="16" t="s">
        <v>28</v>
      </c>
      <c r="O5" s="17" t="str">
        <f>'LEMBAR LPJ (2)'!C11</f>
        <v>Suwito</v>
      </c>
      <c r="P5" s="18"/>
      <c r="R5" s="54"/>
      <c r="S5" s="54"/>
      <c r="T5" s="54"/>
    </row>
    <row r="6" spans="1:20" s="5" customFormat="1" ht="17.100000000000001" customHeight="1" thickBot="1">
      <c r="A6" s="14"/>
      <c r="B6" s="19" t="s">
        <v>9</v>
      </c>
      <c r="C6" s="20"/>
      <c r="D6" s="21"/>
      <c r="E6" s="193">
        <f>+C5/173</f>
        <v>18751.265895953758</v>
      </c>
      <c r="F6" s="194"/>
      <c r="G6" s="22"/>
      <c r="H6" s="23"/>
      <c r="I6" s="24"/>
      <c r="J6" s="24"/>
      <c r="K6" s="24"/>
      <c r="L6" s="24"/>
      <c r="M6" s="24"/>
      <c r="N6" s="24"/>
      <c r="O6" s="13"/>
      <c r="P6" s="25"/>
      <c r="R6" s="54"/>
      <c r="S6" s="54"/>
      <c r="T6" s="54"/>
    </row>
    <row r="7" spans="1:20" s="28" customFormat="1" ht="20.100000000000001" customHeight="1">
      <c r="A7" s="26"/>
      <c r="B7" s="195" t="s">
        <v>2</v>
      </c>
      <c r="C7" s="197" t="s">
        <v>3</v>
      </c>
      <c r="D7" s="197" t="s">
        <v>10</v>
      </c>
      <c r="E7" s="200" t="s">
        <v>11</v>
      </c>
      <c r="F7" s="201"/>
      <c r="G7" s="200" t="s">
        <v>12</v>
      </c>
      <c r="H7" s="201"/>
      <c r="I7" s="200" t="s">
        <v>13</v>
      </c>
      <c r="J7" s="201"/>
      <c r="K7" s="27" t="s">
        <v>14</v>
      </c>
      <c r="L7" s="202" t="s">
        <v>15</v>
      </c>
      <c r="M7" s="203"/>
      <c r="N7" s="203"/>
      <c r="O7" s="204"/>
      <c r="P7" s="180" t="s">
        <v>1</v>
      </c>
      <c r="R7" s="55"/>
      <c r="S7" s="55"/>
      <c r="T7" s="55"/>
    </row>
    <row r="8" spans="1:20" s="28" customFormat="1" ht="24.95" customHeight="1" thickBot="1">
      <c r="A8" s="26"/>
      <c r="B8" s="196"/>
      <c r="C8" s="198"/>
      <c r="D8" s="199"/>
      <c r="E8" s="29" t="s">
        <v>16</v>
      </c>
      <c r="F8" s="29" t="s">
        <v>17</v>
      </c>
      <c r="G8" s="29" t="s">
        <v>16</v>
      </c>
      <c r="H8" s="29" t="s">
        <v>17</v>
      </c>
      <c r="I8" s="30" t="s">
        <v>18</v>
      </c>
      <c r="J8" s="30" t="s">
        <v>19</v>
      </c>
      <c r="K8" s="31" t="s">
        <v>20</v>
      </c>
      <c r="L8" s="32">
        <v>1.5</v>
      </c>
      <c r="M8" s="32">
        <v>2</v>
      </c>
      <c r="N8" s="32">
        <v>3</v>
      </c>
      <c r="O8" s="33">
        <v>4</v>
      </c>
      <c r="P8" s="181"/>
      <c r="R8" s="55"/>
      <c r="S8" s="55"/>
      <c r="T8" s="55"/>
    </row>
    <row r="9" spans="1:20">
      <c r="B9" s="172" t="str">
        <f>'LEMBAR LPJ (2)'!C15</f>
        <v>Jumat</v>
      </c>
      <c r="C9" s="175">
        <f>'LEMBAR LPJ (2)'!D15</f>
        <v>45486</v>
      </c>
      <c r="D9" s="178" t="s">
        <v>26</v>
      </c>
      <c r="E9" s="157">
        <v>0.33333333333333331</v>
      </c>
      <c r="F9" s="159">
        <v>0.33333333333333331</v>
      </c>
      <c r="G9" s="159">
        <v>0.70833333333333337</v>
      </c>
      <c r="H9" s="161">
        <v>1.0416666666666667</v>
      </c>
      <c r="I9" s="163">
        <f>E11+G11</f>
        <v>0.33333333333333337</v>
      </c>
      <c r="J9" s="152">
        <f>((HOUR(I9)*60)+MINUTE(I9))/60</f>
        <v>8</v>
      </c>
      <c r="K9" s="34" t="s">
        <v>21</v>
      </c>
      <c r="L9" s="35">
        <v>1</v>
      </c>
      <c r="M9" s="41">
        <f>+J9-L9</f>
        <v>7</v>
      </c>
      <c r="N9" s="35"/>
      <c r="O9" s="35"/>
      <c r="P9" s="45"/>
      <c r="R9" s="56"/>
    </row>
    <row r="10" spans="1:20" s="42" customFormat="1" ht="18" customHeight="1">
      <c r="B10" s="173"/>
      <c r="C10" s="176"/>
      <c r="D10" s="179"/>
      <c r="E10" s="158"/>
      <c r="F10" s="160"/>
      <c r="G10" s="160"/>
      <c r="H10" s="162"/>
      <c r="I10" s="164"/>
      <c r="J10" s="153"/>
      <c r="K10" s="36" t="s">
        <v>22</v>
      </c>
      <c r="L10" s="37">
        <f>+L9*$L$8</f>
        <v>1.5</v>
      </c>
      <c r="M10" s="37">
        <f>+M9*$M$8</f>
        <v>14</v>
      </c>
      <c r="N10" s="37">
        <f>+N9*$N$8</f>
        <v>0</v>
      </c>
      <c r="O10" s="37">
        <f>+O9*$O$8</f>
        <v>0</v>
      </c>
      <c r="P10" s="46">
        <f>SUM(L10:O10)</f>
        <v>15.5</v>
      </c>
      <c r="R10" s="56">
        <f>SUM(R4:R9)</f>
        <v>0</v>
      </c>
      <c r="S10" s="54"/>
      <c r="T10" s="54"/>
    </row>
    <row r="11" spans="1:20" ht="15.75" customHeight="1" thickBot="1">
      <c r="B11" s="174"/>
      <c r="C11" s="177"/>
      <c r="D11" s="38" t="s">
        <v>23</v>
      </c>
      <c r="E11" s="155">
        <f>+F9-E9</f>
        <v>0</v>
      </c>
      <c r="F11" s="155"/>
      <c r="G11" s="155">
        <f>+H9-G9</f>
        <v>0.33333333333333337</v>
      </c>
      <c r="H11" s="156"/>
      <c r="I11" s="165"/>
      <c r="J11" s="154"/>
      <c r="K11" s="39" t="s">
        <v>24</v>
      </c>
      <c r="L11" s="40">
        <f>+L10*$C$5/173</f>
        <v>28126.898843930634</v>
      </c>
      <c r="M11" s="40">
        <f>+M10*$C$5/173</f>
        <v>262517.72254335257</v>
      </c>
      <c r="N11" s="40">
        <f>+N10*$C$5/173</f>
        <v>0</v>
      </c>
      <c r="O11" s="40">
        <f>+O10*$C$5/173</f>
        <v>0</v>
      </c>
      <c r="P11" s="47">
        <f>SUM(L11:O11)</f>
        <v>290644.6213872832</v>
      </c>
    </row>
    <row r="12" spans="1:20" ht="20.100000000000001" customHeight="1">
      <c r="B12" s="166" t="s">
        <v>25</v>
      </c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8"/>
      <c r="P12" s="68">
        <f>P10</f>
        <v>15.5</v>
      </c>
    </row>
    <row r="13" spans="1:20" ht="20.100000000000001" customHeight="1" thickBot="1">
      <c r="B13" s="169" t="s">
        <v>27</v>
      </c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1"/>
      <c r="P13" s="69">
        <f>P11</f>
        <v>290644.6213872832</v>
      </c>
    </row>
    <row r="15" spans="1:20">
      <c r="D15" s="4" t="s">
        <v>77</v>
      </c>
    </row>
  </sheetData>
  <mergeCells count="25">
    <mergeCell ref="B3:M4"/>
    <mergeCell ref="C5:E5"/>
    <mergeCell ref="F5:M5"/>
    <mergeCell ref="E6:F6"/>
    <mergeCell ref="B7:B8"/>
    <mergeCell ref="C7:C8"/>
    <mergeCell ref="D7:D8"/>
    <mergeCell ref="E7:F7"/>
    <mergeCell ref="G7:H7"/>
    <mergeCell ref="I7:J7"/>
    <mergeCell ref="L7:O7"/>
    <mergeCell ref="P7:P8"/>
    <mergeCell ref="B9:B11"/>
    <mergeCell ref="C9:C11"/>
    <mergeCell ref="D9:D10"/>
    <mergeCell ref="E9:E10"/>
    <mergeCell ref="F9:F10"/>
    <mergeCell ref="H9:H10"/>
    <mergeCell ref="I9:I11"/>
    <mergeCell ref="J9:J11"/>
    <mergeCell ref="E11:F11"/>
    <mergeCell ref="G11:H11"/>
    <mergeCell ref="G9:G10"/>
    <mergeCell ref="B12:O12"/>
    <mergeCell ref="B13:O13"/>
  </mergeCells>
  <printOptions horizontalCentered="1"/>
  <pageMargins left="0" right="0" top="0.5" bottom="0" header="0.5" footer="0"/>
  <pageSetup paperSize="9" scale="9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view="pageBreakPreview" zoomScale="60" zoomScaleNormal="85" workbookViewId="0">
      <selection activeCell="L41" sqref="L41"/>
    </sheetView>
  </sheetViews>
  <sheetFormatPr defaultRowHeight="15"/>
  <sheetData/>
  <pageMargins left="0.7" right="0.7" top="0.75" bottom="0.75" header="0.3" footer="0.3"/>
  <pageSetup paperSize="9" scale="8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LEMBAR LPJ (2)</vt:lpstr>
      <vt:lpstr>Rincian Overtime Driver (2)</vt:lpstr>
      <vt:lpstr>Sheet2</vt:lpstr>
      <vt:lpstr>'LEMBAR LPJ (2)'!Print_Area</vt:lpstr>
      <vt:lpstr>'Rincian Overtime Driver (2)'!Print_Area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GA-05</dc:creator>
  <cp:lastModifiedBy>GA-05</cp:lastModifiedBy>
  <cp:lastPrinted>2024-07-17T03:52:02Z</cp:lastPrinted>
  <dcterms:created xsi:type="dcterms:W3CDTF">2022-06-09T02:34:31Z</dcterms:created>
  <dcterms:modified xsi:type="dcterms:W3CDTF">2024-07-17T05:40:52Z</dcterms:modified>
</cp:coreProperties>
</file>