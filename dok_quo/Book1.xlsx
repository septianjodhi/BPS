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-06\Documents\"/>
    </mc:Choice>
  </mc:AlternateContent>
  <xr:revisionPtr revIDLastSave="0" documentId="8_{738C540A-828D-433F-B359-5D515E3D3059}" xr6:coauthVersionLast="47" xr6:coauthVersionMax="47" xr10:uidLastSave="{00000000-0000-0000-0000-000000000000}"/>
  <bookViews>
    <workbookView xWindow="-120" yWindow="-120" windowWidth="24240" windowHeight="13140" xr2:uid="{8213A0B8-666E-481A-923A-C7EECEC3ACFF}"/>
  </bookViews>
  <sheets>
    <sheet name="summary (3)" sheetId="1" r:id="rId1"/>
  </sheets>
  <externalReferences>
    <externalReference r:id="rId2"/>
  </externalReferences>
  <definedNames>
    <definedName name="_xlnm._FilterDatabase" localSheetId="0" hidden="1">'summary (3)'!$A$2:$T$48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8" i="1" l="1"/>
  <c r="K47" i="1"/>
  <c r="K46" i="1"/>
  <c r="L45" i="1"/>
  <c r="K45" i="1"/>
  <c r="L44" i="1"/>
  <c r="K44" i="1"/>
  <c r="K43" i="1"/>
  <c r="K42" i="1"/>
  <c r="L41" i="1"/>
  <c r="K41" i="1"/>
  <c r="K40" i="1"/>
  <c r="L39" i="1"/>
  <c r="K39" i="1"/>
  <c r="K38" i="1"/>
  <c r="L37" i="1"/>
  <c r="K37" i="1"/>
  <c r="K36" i="1"/>
  <c r="K35" i="1"/>
  <c r="L34" i="1"/>
  <c r="K34" i="1"/>
  <c r="K33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L24" i="1"/>
  <c r="K24" i="1"/>
  <c r="L23" i="1"/>
  <c r="K23" i="1"/>
  <c r="K22" i="1"/>
  <c r="K21" i="1"/>
  <c r="K20" i="1"/>
  <c r="K19" i="1"/>
  <c r="K18" i="1"/>
  <c r="L17" i="1"/>
  <c r="K17" i="1"/>
  <c r="L16" i="1"/>
  <c r="K16" i="1"/>
  <c r="L15" i="1"/>
  <c r="K15" i="1"/>
  <c r="K13" i="1"/>
  <c r="K11" i="1"/>
  <c r="K10" i="1"/>
  <c r="K9" i="1"/>
  <c r="L8" i="1"/>
  <c r="K8" i="1"/>
  <c r="L7" i="1"/>
  <c r="K7" i="1"/>
  <c r="K6" i="1"/>
  <c r="L5" i="1"/>
  <c r="K5" i="1"/>
  <c r="K4" i="1"/>
  <c r="K3" i="1"/>
</calcChain>
</file>

<file path=xl/sharedStrings.xml><?xml version="1.0" encoding="utf-8"?>
<sst xmlns="http://schemas.openxmlformats.org/spreadsheetml/2006/main" count="257" uniqueCount="95">
  <si>
    <t>No</t>
  </si>
  <si>
    <t>Supplier</t>
  </si>
  <si>
    <t>PIC</t>
  </si>
  <si>
    <t>Grand Total</t>
  </si>
  <si>
    <t>Kontrak Existing</t>
  </si>
  <si>
    <t>Remark</t>
  </si>
  <si>
    <t>STATUS KONTRAK</t>
  </si>
  <si>
    <t>KETERANGAN</t>
  </si>
  <si>
    <t>30/11/21</t>
  </si>
  <si>
    <t>TARGET</t>
  </si>
  <si>
    <t>DRAFT</t>
  </si>
  <si>
    <t>LEGAL</t>
  </si>
  <si>
    <t>SUPPLIER</t>
  </si>
  <si>
    <t>LEGAL(TRANSLATE)</t>
  </si>
  <si>
    <t>APPROVAL</t>
  </si>
  <si>
    <t>AKIRA DATA PRATAMA,PT</t>
  </si>
  <si>
    <t>GA</t>
  </si>
  <si>
    <t>X</t>
  </si>
  <si>
    <t>Tidak rutin tidak perlu dikontrak</t>
  </si>
  <si>
    <t>TIDAK PERLU</t>
  </si>
  <si>
    <t>AMAN MULTI INDONESIA, PT</t>
  </si>
  <si>
    <t>rutin</t>
  </si>
  <si>
    <t>DRAFT DIKIRIM TGL 15 NOV21 KE VENDOR</t>
  </si>
  <si>
    <t>proses ttd ke presedir plan mba riytgl 1 des 2021</t>
  </si>
  <si>
    <t>ASIAN BEARINDO PRIMA, PT</t>
  </si>
  <si>
    <t>MTP</t>
  </si>
  <si>
    <t>BINA ADIDAYA, PT.</t>
  </si>
  <si>
    <t>BIROTIKA SEMESTA, PT</t>
  </si>
  <si>
    <t>EXIM</t>
  </si>
  <si>
    <t>CARAKA DAYA</t>
  </si>
  <si>
    <t>OFF</t>
  </si>
  <si>
    <t>CENTRAL PLOTTER INDONESIA,PT</t>
  </si>
  <si>
    <t>FICI LAUNDRY</t>
  </si>
  <si>
    <t>rutin tapi nilai tiap bulannya tdk mencapai 1jt jadi tidak perlu kontrak</t>
  </si>
  <si>
    <t>FLEXINDO MANDIRI UTAMA, PT</t>
  </si>
  <si>
    <t>belum ada balasan dan sudah dihubungi telp pic tidak bisa</t>
  </si>
  <si>
    <t>FPC INDONESIA, PT</t>
  </si>
  <si>
    <t>GS</t>
  </si>
  <si>
    <t>Wajib</t>
  </si>
  <si>
    <t>bukan kontrak pembelian(jadi draft berbeda)</t>
  </si>
  <si>
    <t>HARAPAN MULYA</t>
  </si>
  <si>
    <t>HARUM INDAH SARI TOURS &amp; TRAVEL, PT</t>
  </si>
  <si>
    <t>INDONESIA BELTING SOLUTION ,PT</t>
  </si>
  <si>
    <t>INDOSAT TBK,PT</t>
  </si>
  <si>
    <t>IT</t>
  </si>
  <si>
    <t>JAVAPART ELECTRICAL AUTOMATION, CV</t>
  </si>
  <si>
    <t>JAYA MAKMUR, CV</t>
  </si>
  <si>
    <t>KAWAN LAMA, PT</t>
  </si>
  <si>
    <t>KIOS BUNGA TUNGGAK SEMI</t>
  </si>
  <si>
    <t>KOPERASI KARYAWAN SAMI</t>
  </si>
  <si>
    <t>rutin
Ada kontrak namun untuk pengelolaan koperasi</t>
  </si>
  <si>
    <t>KRANINDO TIRTA ABADI, PT</t>
  </si>
  <si>
    <t>MTP/GA</t>
  </si>
  <si>
    <t>revisi nanti tidak perlu kontrak karena nilai tidak sampai 10jt</t>
  </si>
  <si>
    <t>LESTARI ENGINEERING CV,</t>
  </si>
  <si>
    <t>MANDIRI JAYA MAKMUR</t>
  </si>
  <si>
    <t>MAXIMA SURYA ABADI, PT</t>
  </si>
  <si>
    <t>PROSES APPROVE TMA</t>
  </si>
  <si>
    <t>MCL TRANS INDONESIA, PT</t>
  </si>
  <si>
    <t>MITRA SEJATI</t>
  </si>
  <si>
    <t>Tidak perlu karena pembelian tidak rutin</t>
  </si>
  <si>
    <t>MOONAIR JAYA ABADI, CV</t>
  </si>
  <si>
    <t>NASIONAL MAKMUR SEJAHTERA, PT</t>
  </si>
  <si>
    <t>NIHON SAMPOERNA PACKINDO, PT</t>
  </si>
  <si>
    <t>LD</t>
  </si>
  <si>
    <t>PLATINUM JAYA LOGISTIC SEMARANG, PT</t>
  </si>
  <si>
    <t>POLY SENTRA, PT</t>
  </si>
  <si>
    <t>LD/GA</t>
  </si>
  <si>
    <t>PUTRA PANDAWA ,CV</t>
  </si>
  <si>
    <t>REJO MAKMUR</t>
  </si>
  <si>
    <t>SATO LABEL SOLUTIONS, PT</t>
  </si>
  <si>
    <t>rutin
Ada kontrak namun pembelian barcode printer</t>
  </si>
  <si>
    <t>SEMARANG TEHNIK ,CV</t>
  </si>
  <si>
    <t xml:space="preserve">draft nanti untuk pekerjan </t>
  </si>
  <si>
    <t>SENTRA LUMASINTI NUSANTARA, PT</t>
  </si>
  <si>
    <t>SIGMA ELECTRINDO, CV</t>
  </si>
  <si>
    <t>proses masih di cek vendor karena pembelian oleh mtp dan ga</t>
  </si>
  <si>
    <t>SMART LAB INDONESIA, PT</t>
  </si>
  <si>
    <t>SUMBER REJEKI KONVEKSI</t>
  </si>
  <si>
    <t>draft akan langsung ttd dari vendor isi sama dengan cipta cemerlang</t>
  </si>
  <si>
    <t>SURYA ALI BEKEN, CV</t>
  </si>
  <si>
    <t>SURYA KUSUMA NUSANTARA, PT</t>
  </si>
  <si>
    <t>draft dari vendor dikirim hari ini 30 nov 2021</t>
  </si>
  <si>
    <t>SURYA KUSUMA PUTRA ,PT</t>
  </si>
  <si>
    <t>TEKADE MITRA INDONESIA, PT</t>
  </si>
  <si>
    <t>TIKI JALUR NUGRAHA EKAKURIR,PT</t>
  </si>
  <si>
    <t>TOKO RIZQY</t>
  </si>
  <si>
    <t>DRAFT DIKIRIM TGL 15 NOV21</t>
  </si>
  <si>
    <t>VICTORIA CARE INDONESIA ,PT</t>
  </si>
  <si>
    <t>YAKULT INDONESIA PERSADA, PT</t>
  </si>
  <si>
    <t>minta draft disamakan dengan jepara</t>
  </si>
  <si>
    <t>Kontrak</t>
  </si>
  <si>
    <t>belum mbalik dari central</t>
  </si>
  <si>
    <t>sudah ada dari pasi untuk all aviliat</t>
  </si>
  <si>
    <t>pak sulis belum balas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</si>
</sst>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7" fontId="2" fillId="2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1" applyFont="1" applyBorder="1" applyAlignment="1">
      <alignment vertical="center"/>
    </xf>
    <xf numFmtId="0" fontId="0" fillId="0" borderId="1" xfId="0" applyBorder="1" applyAlignment="1">
      <alignment vertical="center" wrapText="1"/>
    </xf>
    <xf numFmtId="15" fontId="0" fillId="0" borderId="0" xfId="0" applyNumberForma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NE%20LP%20BPI\2.%20Data%20Vendor\0.D.%20PROSES%205S%20KONTRAK\Cek%20Transaksi%20Belum%20Ada%20Kontra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(2)"/>
      <sheetName val="Sheet1"/>
      <sheetName val="summary"/>
      <sheetName val="detail transaksi"/>
    </sheetNames>
    <sheetDataSet>
      <sheetData sheetId="0">
        <row r="3">
          <cell r="B3" t="str">
            <v>SHIMIZU BANGUNCIPTA KONTRATOR, PT</v>
          </cell>
          <cell r="E3">
            <v>2075376387</v>
          </cell>
          <cell r="G3">
            <v>2075376387</v>
          </cell>
          <cell r="H3" t="str">
            <v>GA</v>
          </cell>
          <cell r="I3" t="str">
            <v>ADA</v>
          </cell>
        </row>
        <row r="4">
          <cell r="B4" t="str">
            <v>CAHAYA PURNAMA MENTARI,CV</v>
          </cell>
          <cell r="C4">
            <v>362713780</v>
          </cell>
          <cell r="D4">
            <v>574567060</v>
          </cell>
          <cell r="E4">
            <v>366165662</v>
          </cell>
          <cell r="F4">
            <v>31338380</v>
          </cell>
          <cell r="G4">
            <v>1334784882</v>
          </cell>
          <cell r="H4" t="str">
            <v>GA</v>
          </cell>
          <cell r="I4" t="str">
            <v>ADA</v>
          </cell>
        </row>
        <row r="5">
          <cell r="B5" t="str">
            <v>BERJAYA BERSAMA SAHABAT, PT</v>
          </cell>
          <cell r="F5">
            <v>660960000</v>
          </cell>
          <cell r="G5">
            <v>660960000</v>
          </cell>
          <cell r="H5" t="str">
            <v>GA</v>
          </cell>
          <cell r="I5" t="str">
            <v>ADA</v>
          </cell>
        </row>
        <row r="6">
          <cell r="B6" t="str">
            <v>AMAZON KARYA ELOK DAYA MANDIRI,PT</v>
          </cell>
          <cell r="C6">
            <v>21076466</v>
          </cell>
          <cell r="D6">
            <v>207552328</v>
          </cell>
          <cell r="E6">
            <v>125210366</v>
          </cell>
          <cell r="F6">
            <v>26103840</v>
          </cell>
          <cell r="G6">
            <v>379943000</v>
          </cell>
          <cell r="H6" t="str">
            <v>GA</v>
          </cell>
          <cell r="I6" t="str">
            <v>ADA</v>
          </cell>
        </row>
        <row r="7">
          <cell r="B7" t="str">
            <v>ANUGRAH CATERING</v>
          </cell>
          <cell r="C7">
            <v>83634180</v>
          </cell>
          <cell r="D7">
            <v>120873200</v>
          </cell>
          <cell r="E7">
            <v>120070580</v>
          </cell>
          <cell r="F7">
            <v>39458720</v>
          </cell>
          <cell r="G7">
            <v>364036680</v>
          </cell>
          <cell r="H7" t="str">
            <v>GA</v>
          </cell>
          <cell r="I7" t="str">
            <v>ADA</v>
          </cell>
        </row>
        <row r="8">
          <cell r="B8" t="str">
            <v>GARDA UTAMA NUSA SATRIA,PT</v>
          </cell>
          <cell r="C8">
            <v>94093829</v>
          </cell>
          <cell r="E8">
            <v>195451790</v>
          </cell>
          <cell r="G8">
            <v>289545619</v>
          </cell>
          <cell r="H8" t="str">
            <v>GA</v>
          </cell>
          <cell r="I8" t="str">
            <v>ADA</v>
          </cell>
        </row>
        <row r="9">
          <cell r="B9" t="str">
            <v>ARTO CATERING</v>
          </cell>
          <cell r="C9">
            <v>56286300</v>
          </cell>
          <cell r="D9">
            <v>94812060</v>
          </cell>
          <cell r="E9">
            <v>100416680</v>
          </cell>
          <cell r="F9">
            <v>37606520</v>
          </cell>
          <cell r="G9">
            <v>289121560</v>
          </cell>
          <cell r="H9" t="str">
            <v>GA</v>
          </cell>
          <cell r="I9" t="str">
            <v>ADA</v>
          </cell>
        </row>
        <row r="10">
          <cell r="B10" t="str">
            <v>MITRA MEDIA SUKSES ,CV</v>
          </cell>
          <cell r="C10">
            <v>42270762</v>
          </cell>
          <cell r="D10">
            <v>4119500</v>
          </cell>
          <cell r="E10">
            <v>101370566</v>
          </cell>
          <cell r="G10">
            <v>147760828</v>
          </cell>
          <cell r="H10" t="str">
            <v>GA</v>
          </cell>
          <cell r="I10" t="str">
            <v>ADA</v>
          </cell>
        </row>
        <row r="11">
          <cell r="B11" t="str">
            <v>SANGRONI PUTRA, CV</v>
          </cell>
          <cell r="D11">
            <v>144820000</v>
          </cell>
          <cell r="G11">
            <v>144820000</v>
          </cell>
          <cell r="H11" t="str">
            <v>GA</v>
          </cell>
          <cell r="I11" t="str">
            <v>ADA</v>
          </cell>
        </row>
        <row r="12">
          <cell r="B12" t="str">
            <v>BIE JAV ENGINEERING, CV</v>
          </cell>
          <cell r="D12">
            <v>57000000</v>
          </cell>
          <cell r="E12">
            <v>84275000</v>
          </cell>
          <cell r="G12">
            <v>141275000</v>
          </cell>
          <cell r="H12" t="str">
            <v>GA</v>
          </cell>
          <cell r="I12" t="str">
            <v>ADA</v>
          </cell>
        </row>
        <row r="13">
          <cell r="B13" t="str">
            <v>KARUNIA MAS SEWATAMA, PT</v>
          </cell>
          <cell r="C13">
            <v>34830000</v>
          </cell>
          <cell r="D13">
            <v>34830000</v>
          </cell>
          <cell r="E13">
            <v>34830000</v>
          </cell>
          <cell r="F13">
            <v>34830000</v>
          </cell>
          <cell r="G13">
            <v>139320000</v>
          </cell>
          <cell r="H13" t="str">
            <v>GA</v>
          </cell>
          <cell r="I13" t="str">
            <v>ADA</v>
          </cell>
        </row>
        <row r="14">
          <cell r="B14" t="str">
            <v>RESWARA PRAPTAMA, CV</v>
          </cell>
          <cell r="F14">
            <v>136080000</v>
          </cell>
          <cell r="G14">
            <v>136080000</v>
          </cell>
          <cell r="H14" t="str">
            <v>GA</v>
          </cell>
          <cell r="I14" t="str">
            <v>ADA</v>
          </cell>
        </row>
        <row r="15">
          <cell r="B15" t="str">
            <v>CITRA UTAMA CATERING</v>
          </cell>
          <cell r="C15">
            <v>41077680</v>
          </cell>
          <cell r="D15">
            <v>59397765</v>
          </cell>
          <cell r="E15">
            <v>16298100</v>
          </cell>
          <cell r="G15">
            <v>116773545</v>
          </cell>
          <cell r="H15" t="str">
            <v>GA</v>
          </cell>
          <cell r="I15" t="str">
            <v>OFF</v>
          </cell>
        </row>
        <row r="16">
          <cell r="B16" t="str">
            <v>CENTRAL JAVA ENGINEERING,CV</v>
          </cell>
          <cell r="C16">
            <v>19000000</v>
          </cell>
          <cell r="D16">
            <v>34388600</v>
          </cell>
          <cell r="E16">
            <v>15360000</v>
          </cell>
          <cell r="G16">
            <v>68748600</v>
          </cell>
          <cell r="H16" t="str">
            <v>GA</v>
          </cell>
          <cell r="I16" t="str">
            <v>ADA</v>
          </cell>
        </row>
        <row r="17">
          <cell r="B17" t="str">
            <v>CITO,LABORATORIUM</v>
          </cell>
          <cell r="C17">
            <v>1862000</v>
          </cell>
          <cell r="D17">
            <v>39923200</v>
          </cell>
          <cell r="E17">
            <v>2499000</v>
          </cell>
          <cell r="F17">
            <v>21903664</v>
          </cell>
          <cell r="G17">
            <v>66187864</v>
          </cell>
          <cell r="H17" t="str">
            <v>GA</v>
          </cell>
          <cell r="I17" t="str">
            <v>ADA</v>
          </cell>
        </row>
        <row r="18">
          <cell r="B18" t="str">
            <v>MITRA TIRTA BUWANA ,PT</v>
          </cell>
          <cell r="C18">
            <v>18139000</v>
          </cell>
          <cell r="D18">
            <v>24422200</v>
          </cell>
          <cell r="E18">
            <v>23122550</v>
          </cell>
          <cell r="G18">
            <v>65683750</v>
          </cell>
          <cell r="H18" t="str">
            <v>GA</v>
          </cell>
          <cell r="I18" t="str">
            <v>ADA</v>
          </cell>
        </row>
        <row r="19">
          <cell r="B19" t="str">
            <v>MAXIMA SURYA ABADI, PT</v>
          </cell>
          <cell r="E19">
            <v>28125000</v>
          </cell>
          <cell r="F19">
            <v>37500000</v>
          </cell>
          <cell r="G19">
            <v>65625000</v>
          </cell>
          <cell r="H19" t="str">
            <v>GA</v>
          </cell>
          <cell r="I19" t="str">
            <v>ADA</v>
          </cell>
        </row>
        <row r="20">
          <cell r="B20" t="str">
            <v>ATLAS COPCO INDONESIA, PT</v>
          </cell>
          <cell r="C20">
            <v>35575200</v>
          </cell>
          <cell r="F20">
            <v>21168000</v>
          </cell>
          <cell r="G20">
            <v>56743200</v>
          </cell>
          <cell r="H20" t="str">
            <v>GA</v>
          </cell>
          <cell r="I20" t="str">
            <v>ADA</v>
          </cell>
        </row>
        <row r="21">
          <cell r="B21" t="str">
            <v>PRASADHA PAMUNAH LIMBAH INDUSTRI,PT</v>
          </cell>
          <cell r="E21">
            <v>55598400</v>
          </cell>
          <cell r="G21">
            <v>55598400</v>
          </cell>
          <cell r="H21" t="str">
            <v>GA</v>
          </cell>
          <cell r="I21" t="str">
            <v>ADA</v>
          </cell>
        </row>
        <row r="22">
          <cell r="B22" t="str">
            <v>KAWAN LAMA, PT</v>
          </cell>
          <cell r="C22">
            <v>1697100</v>
          </cell>
          <cell r="D22">
            <v>44506000</v>
          </cell>
          <cell r="E22">
            <v>2648850</v>
          </cell>
          <cell r="G22">
            <v>48851950</v>
          </cell>
          <cell r="H22" t="str">
            <v>GA</v>
          </cell>
          <cell r="I22" t="str">
            <v>X</v>
          </cell>
        </row>
        <row r="23">
          <cell r="B23" t="str">
            <v>CIPTA CEMERLANG ABADI,CV</v>
          </cell>
          <cell r="C23">
            <v>4849500</v>
          </cell>
          <cell r="D23">
            <v>35979630</v>
          </cell>
          <cell r="E23">
            <v>4598500</v>
          </cell>
          <cell r="G23">
            <v>45427630</v>
          </cell>
          <cell r="H23" t="str">
            <v>GA</v>
          </cell>
          <cell r="I23" t="str">
            <v>ADA</v>
          </cell>
        </row>
        <row r="24">
          <cell r="B24" t="str">
            <v>MARDIKA KARYA UTAMA, CV</v>
          </cell>
          <cell r="D24">
            <v>43011000</v>
          </cell>
          <cell r="G24">
            <v>43011000</v>
          </cell>
          <cell r="H24" t="str">
            <v>GA</v>
          </cell>
          <cell r="I24" t="str">
            <v>TIDAK PERLU KONTRAK</v>
          </cell>
        </row>
        <row r="25">
          <cell r="B25" t="str">
            <v>GADING MURNI, PT</v>
          </cell>
          <cell r="C25">
            <v>889790</v>
          </cell>
          <cell r="D25">
            <v>8800550</v>
          </cell>
          <cell r="E25">
            <v>1014090</v>
          </cell>
          <cell r="F25">
            <v>8375290</v>
          </cell>
          <cell r="G25">
            <v>19079720</v>
          </cell>
          <cell r="H25" t="str">
            <v>GA</v>
          </cell>
          <cell r="I25" t="str">
            <v>ADA</v>
          </cell>
        </row>
        <row r="26">
          <cell r="B26" t="str">
            <v>SAHABAT MAKMUR MANDIRI, PT</v>
          </cell>
          <cell r="C26">
            <v>1717210</v>
          </cell>
          <cell r="E26">
            <v>3753420</v>
          </cell>
          <cell r="G26">
            <v>5470630</v>
          </cell>
          <cell r="H26" t="str">
            <v>GA</v>
          </cell>
          <cell r="I26" t="str">
            <v>ADA</v>
          </cell>
        </row>
        <row r="27">
          <cell r="B27" t="str">
            <v>CITO DIAGNOSTIKA UTAMA, PT</v>
          </cell>
          <cell r="C27">
            <v>648000</v>
          </cell>
          <cell r="D27">
            <v>1944000</v>
          </cell>
          <cell r="E27">
            <v>648000</v>
          </cell>
          <cell r="F27">
            <v>648000</v>
          </cell>
          <cell r="G27">
            <v>3888000</v>
          </cell>
          <cell r="H27" t="str">
            <v>GA</v>
          </cell>
          <cell r="I27" t="str">
            <v>ADA</v>
          </cell>
        </row>
        <row r="28">
          <cell r="B28" t="str">
            <v>CALTESYS INDONESIA, PT</v>
          </cell>
          <cell r="C28">
            <v>513000</v>
          </cell>
          <cell r="D28">
            <v>1080000</v>
          </cell>
          <cell r="G28">
            <v>1593000</v>
          </cell>
          <cell r="H28" t="str">
            <v>GA</v>
          </cell>
          <cell r="I28" t="str">
            <v>ADA</v>
          </cell>
        </row>
        <row r="29">
          <cell r="B29" t="str">
            <v>MUSTIKA RAJAWALI</v>
          </cell>
          <cell r="C29">
            <v>440000</v>
          </cell>
          <cell r="D29">
            <v>660000</v>
          </cell>
          <cell r="E29">
            <v>137500</v>
          </cell>
          <cell r="F29">
            <v>352000</v>
          </cell>
          <cell r="G29">
            <v>1589500</v>
          </cell>
          <cell r="H29" t="str">
            <v>GA</v>
          </cell>
          <cell r="I29" t="str">
            <v>ADA</v>
          </cell>
        </row>
        <row r="30">
          <cell r="B30" t="str">
            <v>ANAMETRI METROLOGI INDONESIA, PT</v>
          </cell>
          <cell r="E30">
            <v>810810</v>
          </cell>
          <cell r="G30">
            <v>810810</v>
          </cell>
          <cell r="H30" t="str">
            <v>GA</v>
          </cell>
          <cell r="I30" t="str">
            <v>ADA</v>
          </cell>
        </row>
        <row r="31">
          <cell r="B31" t="str">
            <v>ANUGRAH SENTOSA,CV</v>
          </cell>
          <cell r="C31">
            <v>68302925</v>
          </cell>
          <cell r="D31">
            <v>162722025</v>
          </cell>
          <cell r="E31">
            <v>91774830</v>
          </cell>
          <cell r="F31">
            <v>10571935</v>
          </cell>
          <cell r="G31">
            <v>333371715</v>
          </cell>
          <cell r="H31" t="str">
            <v>GA</v>
          </cell>
          <cell r="I31" t="str">
            <v>OFF</v>
          </cell>
        </row>
        <row r="32">
          <cell r="B32" t="str">
            <v>CARAKA DAYA</v>
          </cell>
          <cell r="C32">
            <v>6432000</v>
          </cell>
          <cell r="D32">
            <v>19488000</v>
          </cell>
          <cell r="E32">
            <v>10785600</v>
          </cell>
          <cell r="F32">
            <v>9504000</v>
          </cell>
          <cell r="G32">
            <v>46209600</v>
          </cell>
          <cell r="H32" t="str">
            <v>GA</v>
          </cell>
          <cell r="I32" t="str">
            <v>OFF</v>
          </cell>
        </row>
        <row r="33">
          <cell r="B33" t="str">
            <v>AKIP</v>
          </cell>
          <cell r="C33">
            <v>2880000</v>
          </cell>
          <cell r="D33">
            <v>2880000</v>
          </cell>
          <cell r="E33">
            <v>5760000</v>
          </cell>
          <cell r="G33">
            <v>11520000</v>
          </cell>
          <cell r="H33" t="str">
            <v>GA</v>
          </cell>
          <cell r="I33" t="str">
            <v>OFF</v>
          </cell>
        </row>
        <row r="34">
          <cell r="B34" t="str">
            <v>NMC NALA MEDICAL CENTER</v>
          </cell>
          <cell r="C34">
            <v>56512080</v>
          </cell>
          <cell r="D34">
            <v>135292380</v>
          </cell>
          <cell r="E34">
            <v>117542540</v>
          </cell>
          <cell r="G34">
            <v>309347000</v>
          </cell>
          <cell r="H34" t="str">
            <v>GA</v>
          </cell>
          <cell r="I34" t="str">
            <v>ADA</v>
          </cell>
        </row>
        <row r="35">
          <cell r="B35" t="str">
            <v>ANUGRAH SENTOSA PROTEKSINDO, PT</v>
          </cell>
          <cell r="F35">
            <v>10890000</v>
          </cell>
          <cell r="G35">
            <v>10890000</v>
          </cell>
          <cell r="H35" t="str">
            <v>GA</v>
          </cell>
          <cell r="I35" t="str">
            <v>ADA</v>
          </cell>
        </row>
        <row r="36">
          <cell r="B36" t="str">
            <v>KARYA TUWUH</v>
          </cell>
          <cell r="D36">
            <v>8854000</v>
          </cell>
          <cell r="E36">
            <v>4809000</v>
          </cell>
          <cell r="F36">
            <v>3342000</v>
          </cell>
          <cell r="G36">
            <v>17005000</v>
          </cell>
          <cell r="H36" t="str">
            <v>GA</v>
          </cell>
          <cell r="I36" t="str">
            <v>ADA</v>
          </cell>
        </row>
        <row r="37">
          <cell r="B37" t="str">
            <v>BARONG APARTMENTS</v>
          </cell>
          <cell r="D37">
            <v>531000000</v>
          </cell>
          <cell r="G37">
            <v>531000000</v>
          </cell>
          <cell r="H37" t="str">
            <v>GS</v>
          </cell>
          <cell r="I37" t="str">
            <v>ADA</v>
          </cell>
        </row>
        <row r="38">
          <cell r="B38" t="str">
            <v>TRUSTINDO MEKATRONICS MULYA, PT</v>
          </cell>
          <cell r="C38">
            <v>18411524</v>
          </cell>
          <cell r="D38">
            <v>150444919</v>
          </cell>
          <cell r="E38">
            <v>91786811</v>
          </cell>
          <cell r="F38">
            <v>143838222</v>
          </cell>
          <cell r="G38">
            <v>404481476</v>
          </cell>
          <cell r="H38" t="str">
            <v>GA</v>
          </cell>
          <cell r="I38" t="str">
            <v>TIDAK PERLU KONTRAK</v>
          </cell>
        </row>
        <row r="39">
          <cell r="B39" t="str">
            <v>SENTRAL TEKNIK UTAMA</v>
          </cell>
          <cell r="C39">
            <v>14157272</v>
          </cell>
          <cell r="D39">
            <v>94506901</v>
          </cell>
          <cell r="E39">
            <v>83918390</v>
          </cell>
          <cell r="F39">
            <v>101836550</v>
          </cell>
          <cell r="G39">
            <v>294419113</v>
          </cell>
          <cell r="H39" t="str">
            <v>GA</v>
          </cell>
          <cell r="I39" t="str">
            <v>X</v>
          </cell>
        </row>
        <row r="40">
          <cell r="B40" t="str">
            <v>GEMA INSAN MANDIRI, CV</v>
          </cell>
          <cell r="C40">
            <v>10805000</v>
          </cell>
          <cell r="D40">
            <v>48861854</v>
          </cell>
          <cell r="E40">
            <v>218319726</v>
          </cell>
          <cell r="F40">
            <v>8285000</v>
          </cell>
          <cell r="G40">
            <v>286271580</v>
          </cell>
          <cell r="H40" t="str">
            <v>GA</v>
          </cell>
          <cell r="I40" t="str">
            <v>TIDAK PERLU KONTRAK</v>
          </cell>
        </row>
        <row r="41">
          <cell r="B41" t="str">
            <v>SARANA SOLUSINDO INFORMATIKA, PT</v>
          </cell>
          <cell r="C41">
            <v>28716600</v>
          </cell>
          <cell r="D41">
            <v>50328300</v>
          </cell>
          <cell r="E41">
            <v>102802700</v>
          </cell>
          <cell r="F41">
            <v>69229600</v>
          </cell>
          <cell r="G41">
            <v>251077200</v>
          </cell>
          <cell r="H41" t="str">
            <v>GA</v>
          </cell>
          <cell r="I41" t="str">
            <v>X</v>
          </cell>
        </row>
        <row r="42">
          <cell r="B42" t="str">
            <v>AGUNG JAYA SENTOSA</v>
          </cell>
          <cell r="C42">
            <v>30634630</v>
          </cell>
          <cell r="D42">
            <v>126593100</v>
          </cell>
          <cell r="E42">
            <v>53417400</v>
          </cell>
          <cell r="F42">
            <v>34787250</v>
          </cell>
          <cell r="G42">
            <v>245432380</v>
          </cell>
          <cell r="H42" t="str">
            <v>GA</v>
          </cell>
          <cell r="I42" t="str">
            <v>TIDAK PERLU KONTRAK</v>
          </cell>
        </row>
        <row r="43">
          <cell r="B43" t="str">
            <v>SARANA MITRA SEJAHTERA, CV</v>
          </cell>
          <cell r="C43">
            <v>48444065</v>
          </cell>
          <cell r="D43">
            <v>94744835</v>
          </cell>
          <cell r="E43">
            <v>63811499</v>
          </cell>
          <cell r="F43">
            <v>31470030</v>
          </cell>
          <cell r="G43">
            <v>238470429</v>
          </cell>
          <cell r="H43" t="str">
            <v>GA</v>
          </cell>
          <cell r="I43" t="str">
            <v>SUDAH ADA</v>
          </cell>
        </row>
        <row r="44">
          <cell r="B44" t="str">
            <v>ANUGRAH AGUNG</v>
          </cell>
          <cell r="C44">
            <v>19818850</v>
          </cell>
          <cell r="D44">
            <v>73017932</v>
          </cell>
          <cell r="E44">
            <v>26685954</v>
          </cell>
          <cell r="F44">
            <v>103009956</v>
          </cell>
          <cell r="G44">
            <v>222532692</v>
          </cell>
          <cell r="H44" t="str">
            <v>GA</v>
          </cell>
          <cell r="I44" t="str">
            <v>X</v>
          </cell>
        </row>
        <row r="45">
          <cell r="B45" t="str">
            <v>REJO MAKMUR</v>
          </cell>
          <cell r="C45">
            <v>42500000</v>
          </cell>
          <cell r="D45">
            <v>42500000</v>
          </cell>
          <cell r="E45">
            <v>54000000</v>
          </cell>
          <cell r="F45">
            <v>47000000</v>
          </cell>
          <cell r="G45">
            <v>186000000</v>
          </cell>
          <cell r="H45" t="str">
            <v>GA</v>
          </cell>
          <cell r="I45" t="str">
            <v>OFF</v>
          </cell>
        </row>
        <row r="46">
          <cell r="B46" t="str">
            <v>GLOBAL INFOTECH SOLUTION, PT</v>
          </cell>
          <cell r="C46">
            <v>37411200</v>
          </cell>
          <cell r="D46">
            <v>37411200</v>
          </cell>
          <cell r="E46">
            <v>34894941</v>
          </cell>
          <cell r="F46">
            <v>57972000</v>
          </cell>
          <cell r="G46">
            <v>167689341</v>
          </cell>
          <cell r="H46" t="str">
            <v>GA</v>
          </cell>
          <cell r="I46" t="str">
            <v>X</v>
          </cell>
        </row>
        <row r="47">
          <cell r="B47" t="str">
            <v>HARAPAN MULYA</v>
          </cell>
          <cell r="C47">
            <v>1764000</v>
          </cell>
          <cell r="D47">
            <v>2884800</v>
          </cell>
          <cell r="F47">
            <v>161602000</v>
          </cell>
          <cell r="G47">
            <v>166250800</v>
          </cell>
          <cell r="H47" t="str">
            <v>GA</v>
          </cell>
          <cell r="I47" t="str">
            <v>X</v>
          </cell>
        </row>
        <row r="48">
          <cell r="B48" t="str">
            <v>SUMBER REJEKI, CV</v>
          </cell>
          <cell r="C48">
            <v>13946460</v>
          </cell>
          <cell r="D48">
            <v>107565424</v>
          </cell>
          <cell r="E48">
            <v>26426328</v>
          </cell>
          <cell r="F48">
            <v>1993700</v>
          </cell>
          <cell r="G48">
            <v>149931912</v>
          </cell>
          <cell r="H48" t="str">
            <v>GA</v>
          </cell>
          <cell r="I48" t="str">
            <v>X</v>
          </cell>
        </row>
        <row r="49">
          <cell r="B49" t="str">
            <v>KREATIF MANDIRI TEKNOLOGI, PT</v>
          </cell>
          <cell r="D49">
            <v>2200000</v>
          </cell>
          <cell r="E49">
            <v>52700000</v>
          </cell>
          <cell r="F49">
            <v>91450000</v>
          </cell>
          <cell r="G49">
            <v>146350000</v>
          </cell>
          <cell r="H49" t="str">
            <v>GA</v>
          </cell>
          <cell r="I49" t="str">
            <v>X</v>
          </cell>
        </row>
        <row r="50">
          <cell r="B50" t="str">
            <v>MANDIRI JAYA MAKMUR</v>
          </cell>
          <cell r="C50">
            <v>41750000</v>
          </cell>
          <cell r="D50">
            <v>37500000</v>
          </cell>
          <cell r="E50">
            <v>35500000</v>
          </cell>
          <cell r="F50">
            <v>22750000</v>
          </cell>
          <cell r="G50">
            <v>137500000</v>
          </cell>
          <cell r="H50" t="str">
            <v>GA</v>
          </cell>
          <cell r="I50" t="str">
            <v>OFF</v>
          </cell>
        </row>
        <row r="51">
          <cell r="B51" t="str">
            <v>PUTRA PANDAWA ,CV</v>
          </cell>
          <cell r="C51">
            <v>3978340</v>
          </cell>
          <cell r="D51">
            <v>1510000</v>
          </cell>
          <cell r="E51">
            <v>120180804</v>
          </cell>
          <cell r="F51">
            <v>7104804</v>
          </cell>
          <cell r="G51">
            <v>132773948</v>
          </cell>
          <cell r="H51" t="str">
            <v>GA</v>
          </cell>
          <cell r="I51" t="str">
            <v>X</v>
          </cell>
        </row>
        <row r="52">
          <cell r="B52" t="str">
            <v>DJAYA MANDIRI TEHNIK,CV</v>
          </cell>
          <cell r="C52">
            <v>8505000</v>
          </cell>
          <cell r="D52">
            <v>35013680</v>
          </cell>
          <cell r="E52">
            <v>74697590</v>
          </cell>
          <cell r="G52">
            <v>118216270</v>
          </cell>
          <cell r="H52" t="str">
            <v>GA</v>
          </cell>
          <cell r="I52" t="str">
            <v>X</v>
          </cell>
        </row>
        <row r="53">
          <cell r="B53" t="str">
            <v>SIGMA ELECTRINDO, CV</v>
          </cell>
          <cell r="C53">
            <v>36028800</v>
          </cell>
          <cell r="D53">
            <v>42051900</v>
          </cell>
          <cell r="E53">
            <v>20785300</v>
          </cell>
          <cell r="F53">
            <v>13612000</v>
          </cell>
          <cell r="G53">
            <v>112478000</v>
          </cell>
          <cell r="H53" t="str">
            <v>GA</v>
          </cell>
          <cell r="I53" t="str">
            <v>X</v>
          </cell>
        </row>
        <row r="54">
          <cell r="B54" t="str">
            <v>SURYA KUSUMA NUSANTARA, PT</v>
          </cell>
          <cell r="C54">
            <v>51116400</v>
          </cell>
          <cell r="D54">
            <v>16416000</v>
          </cell>
          <cell r="E54">
            <v>31752000</v>
          </cell>
          <cell r="F54">
            <v>7560000</v>
          </cell>
          <cell r="G54">
            <v>106844400</v>
          </cell>
          <cell r="H54" t="str">
            <v>GA</v>
          </cell>
          <cell r="I54" t="str">
            <v>X</v>
          </cell>
        </row>
        <row r="55">
          <cell r="B55" t="str">
            <v>SOLUSI PERIFERAL, PT</v>
          </cell>
          <cell r="C55">
            <v>41195000</v>
          </cell>
          <cell r="E55">
            <v>42510000</v>
          </cell>
          <cell r="F55">
            <v>8100000</v>
          </cell>
          <cell r="G55">
            <v>91805000</v>
          </cell>
          <cell r="H55" t="str">
            <v>GA</v>
          </cell>
          <cell r="I55" t="str">
            <v>X</v>
          </cell>
        </row>
        <row r="56">
          <cell r="B56" t="str">
            <v>SEMARANG TEHNIK ,CV</v>
          </cell>
          <cell r="C56">
            <v>40015000</v>
          </cell>
          <cell r="D56">
            <v>42415000</v>
          </cell>
          <cell r="E56">
            <v>5490000</v>
          </cell>
          <cell r="G56">
            <v>87920000</v>
          </cell>
          <cell r="H56" t="str">
            <v>GA</v>
          </cell>
          <cell r="I56" t="str">
            <v>X</v>
          </cell>
        </row>
        <row r="57">
          <cell r="B57" t="str">
            <v>PRATAMA JAYA ,CV</v>
          </cell>
          <cell r="C57">
            <v>30870000</v>
          </cell>
          <cell r="D57">
            <v>31262000</v>
          </cell>
          <cell r="E57">
            <v>25725000</v>
          </cell>
          <cell r="G57">
            <v>87857000</v>
          </cell>
          <cell r="H57" t="str">
            <v>GA</v>
          </cell>
          <cell r="I57" t="str">
            <v>X</v>
          </cell>
        </row>
        <row r="58">
          <cell r="B58" t="str">
            <v>TRIJAYA SEJAHTERA, CV</v>
          </cell>
          <cell r="C58">
            <v>19186238</v>
          </cell>
          <cell r="D58">
            <v>36882859</v>
          </cell>
          <cell r="E58">
            <v>22453820</v>
          </cell>
          <cell r="F58">
            <v>2620206</v>
          </cell>
          <cell r="G58">
            <v>81143123</v>
          </cell>
          <cell r="H58" t="str">
            <v>GA</v>
          </cell>
          <cell r="I58" t="str">
            <v>X</v>
          </cell>
        </row>
        <row r="59">
          <cell r="B59" t="str">
            <v>KAHAR DUTA SARANA</v>
          </cell>
          <cell r="C59">
            <v>8475000</v>
          </cell>
          <cell r="D59">
            <v>29945000</v>
          </cell>
          <cell r="E59">
            <v>28250000</v>
          </cell>
          <cell r="G59">
            <v>66670000</v>
          </cell>
          <cell r="H59" t="str">
            <v>GA</v>
          </cell>
          <cell r="I59" t="str">
            <v>X</v>
          </cell>
        </row>
        <row r="60">
          <cell r="B60" t="str">
            <v>SURYA ALI BEKEN, CV</v>
          </cell>
          <cell r="C60">
            <v>27500000</v>
          </cell>
          <cell r="D60">
            <v>23375000</v>
          </cell>
          <cell r="E60">
            <v>11000000</v>
          </cell>
          <cell r="G60">
            <v>61875000</v>
          </cell>
          <cell r="H60" t="str">
            <v>GA</v>
          </cell>
          <cell r="I60" t="str">
            <v>OFF</v>
          </cell>
        </row>
        <row r="61">
          <cell r="B61" t="str">
            <v>MEDIA SARANA DATA, PT</v>
          </cell>
          <cell r="C61">
            <v>14600000</v>
          </cell>
          <cell r="D61">
            <v>14600000</v>
          </cell>
          <cell r="E61">
            <v>29200000</v>
          </cell>
          <cell r="G61">
            <v>58400000</v>
          </cell>
          <cell r="H61" t="str">
            <v>GA</v>
          </cell>
          <cell r="I61" t="str">
            <v>X</v>
          </cell>
        </row>
        <row r="62">
          <cell r="B62" t="str">
            <v>PRAMUNEGERI, CV</v>
          </cell>
          <cell r="E62">
            <v>25610000</v>
          </cell>
          <cell r="F62">
            <v>26548000</v>
          </cell>
          <cell r="G62">
            <v>52158000</v>
          </cell>
          <cell r="H62" t="str">
            <v>GA</v>
          </cell>
          <cell r="I62" t="str">
            <v>X</v>
          </cell>
        </row>
        <row r="63">
          <cell r="B63" t="str">
            <v>PERKAKAS KRISBOW</v>
          </cell>
          <cell r="C63">
            <v>1930858</v>
          </cell>
          <cell r="D63">
            <v>15867824</v>
          </cell>
          <cell r="E63">
            <v>15188028</v>
          </cell>
          <cell r="F63">
            <v>16822794</v>
          </cell>
          <cell r="G63">
            <v>49809504</v>
          </cell>
          <cell r="H63" t="str">
            <v>GA</v>
          </cell>
          <cell r="I63" t="str">
            <v>X</v>
          </cell>
        </row>
        <row r="64">
          <cell r="B64" t="str">
            <v>PREMA JAYA STAMP</v>
          </cell>
          <cell r="C64">
            <v>5820155</v>
          </cell>
          <cell r="D64">
            <v>24398450</v>
          </cell>
          <cell r="E64">
            <v>10279910</v>
          </cell>
          <cell r="F64">
            <v>7671675</v>
          </cell>
          <cell r="G64">
            <v>48170190</v>
          </cell>
          <cell r="H64" t="str">
            <v>GA</v>
          </cell>
          <cell r="I64" t="str">
            <v>X</v>
          </cell>
        </row>
        <row r="65">
          <cell r="B65" t="str">
            <v>MANDALA ADHIPERKASA SEJATI,PT</v>
          </cell>
          <cell r="C65">
            <v>12603500</v>
          </cell>
          <cell r="D65">
            <v>11203920</v>
          </cell>
          <cell r="E65">
            <v>9731662</v>
          </cell>
          <cell r="F65">
            <v>4752800</v>
          </cell>
          <cell r="G65">
            <v>38291882</v>
          </cell>
          <cell r="H65" t="str">
            <v>GA</v>
          </cell>
          <cell r="I65" t="str">
            <v>X</v>
          </cell>
        </row>
        <row r="66">
          <cell r="B66" t="str">
            <v>NACHINDO TAPE INDUSTRY, PT</v>
          </cell>
          <cell r="C66">
            <v>5058750</v>
          </cell>
          <cell r="D66">
            <v>9187500</v>
          </cell>
          <cell r="E66">
            <v>13763750</v>
          </cell>
          <cell r="F66">
            <v>9277500</v>
          </cell>
          <cell r="G66">
            <v>37287500</v>
          </cell>
          <cell r="H66" t="str">
            <v>GA</v>
          </cell>
          <cell r="I66" t="str">
            <v>X</v>
          </cell>
        </row>
        <row r="67">
          <cell r="B67" t="str">
            <v>PRIMA ENGINEERING,CV</v>
          </cell>
          <cell r="C67">
            <v>7095000</v>
          </cell>
          <cell r="D67">
            <v>12210000</v>
          </cell>
          <cell r="E67">
            <v>13200000</v>
          </cell>
          <cell r="G67">
            <v>32505000</v>
          </cell>
          <cell r="H67" t="str">
            <v>GA</v>
          </cell>
          <cell r="I67" t="str">
            <v>X</v>
          </cell>
        </row>
        <row r="68">
          <cell r="B68" t="str">
            <v>ANEKA JAYA, CV</v>
          </cell>
          <cell r="D68">
            <v>31999845</v>
          </cell>
          <cell r="G68">
            <v>31999845</v>
          </cell>
          <cell r="H68" t="str">
            <v>GA</v>
          </cell>
          <cell r="I68" t="str">
            <v>X</v>
          </cell>
        </row>
        <row r="69">
          <cell r="B69" t="str">
            <v>KRANINDO TIRTA ABADI, PT</v>
          </cell>
          <cell r="C69">
            <v>19612350</v>
          </cell>
          <cell r="D69">
            <v>1378575</v>
          </cell>
          <cell r="E69">
            <v>2170000</v>
          </cell>
          <cell r="F69">
            <v>6690000</v>
          </cell>
          <cell r="G69">
            <v>29850925</v>
          </cell>
          <cell r="H69" t="str">
            <v>GA</v>
          </cell>
          <cell r="I69" t="str">
            <v>X</v>
          </cell>
        </row>
        <row r="70">
          <cell r="B70" t="str">
            <v>BINA ADIDAYA, PT.</v>
          </cell>
          <cell r="C70">
            <v>26855360</v>
          </cell>
          <cell r="D70">
            <v>2420000</v>
          </cell>
          <cell r="G70">
            <v>29275360</v>
          </cell>
          <cell r="H70" t="str">
            <v>GA</v>
          </cell>
          <cell r="I70" t="str">
            <v>X</v>
          </cell>
        </row>
        <row r="71">
          <cell r="B71" t="str">
            <v>SURYA KUSUMA PUTRA ,PT</v>
          </cell>
          <cell r="C71">
            <v>14148000</v>
          </cell>
          <cell r="E71">
            <v>7560000</v>
          </cell>
          <cell r="F71">
            <v>3780000</v>
          </cell>
          <cell r="G71">
            <v>25488000</v>
          </cell>
          <cell r="H71" t="str">
            <v>GA</v>
          </cell>
          <cell r="I71" t="str">
            <v>X</v>
          </cell>
        </row>
        <row r="72">
          <cell r="B72" t="str">
            <v>CENTRAL PLOTTER INDONESIA,PT</v>
          </cell>
          <cell r="E72">
            <v>12408000</v>
          </cell>
          <cell r="F72">
            <v>12408000</v>
          </cell>
          <cell r="G72">
            <v>24816000</v>
          </cell>
          <cell r="H72" t="str">
            <v>GA</v>
          </cell>
          <cell r="I72" t="str">
            <v>X</v>
          </cell>
        </row>
        <row r="73">
          <cell r="B73" t="str">
            <v>AMAN MULTI INDONESIA, PT</v>
          </cell>
          <cell r="C73">
            <v>1402500</v>
          </cell>
          <cell r="D73">
            <v>18074500</v>
          </cell>
          <cell r="E73">
            <v>4642000</v>
          </cell>
          <cell r="G73">
            <v>24119000</v>
          </cell>
          <cell r="H73" t="str">
            <v>GA</v>
          </cell>
          <cell r="I73" t="str">
            <v>X</v>
          </cell>
        </row>
        <row r="74">
          <cell r="B74" t="str">
            <v>SATO LABEL SOLUTIONS, PT</v>
          </cell>
          <cell r="D74">
            <v>11200000</v>
          </cell>
          <cell r="E74">
            <v>12600000</v>
          </cell>
          <cell r="G74">
            <v>23800000</v>
          </cell>
          <cell r="H74" t="str">
            <v>GA</v>
          </cell>
          <cell r="I74" t="str">
            <v>X</v>
          </cell>
        </row>
        <row r="75">
          <cell r="B75" t="str">
            <v>GLOBAL DEALS ASIA, PT</v>
          </cell>
          <cell r="C75">
            <v>9500000</v>
          </cell>
          <cell r="D75">
            <v>13200000</v>
          </cell>
          <cell r="G75">
            <v>22700000</v>
          </cell>
          <cell r="H75" t="str">
            <v>GA</v>
          </cell>
          <cell r="I75" t="str">
            <v>X</v>
          </cell>
        </row>
        <row r="76">
          <cell r="B76" t="str">
            <v>MANDIRI JAYA ELECTRINDO, CV</v>
          </cell>
          <cell r="D76">
            <v>21870000</v>
          </cell>
          <cell r="G76">
            <v>21870000</v>
          </cell>
          <cell r="H76" t="str">
            <v>GA</v>
          </cell>
          <cell r="I76" t="str">
            <v>X</v>
          </cell>
        </row>
        <row r="77">
          <cell r="B77" t="str">
            <v>AUTOJAYA IDETECH, PT</v>
          </cell>
          <cell r="E77">
            <v>20548000</v>
          </cell>
          <cell r="G77">
            <v>20548000</v>
          </cell>
          <cell r="H77" t="str">
            <v>GA</v>
          </cell>
          <cell r="I77" t="str">
            <v>X</v>
          </cell>
        </row>
        <row r="78">
          <cell r="B78" t="str">
            <v>ANTARA MITRA SEJATI, CV</v>
          </cell>
          <cell r="C78">
            <v>10044000</v>
          </cell>
          <cell r="D78">
            <v>10183500</v>
          </cell>
          <cell r="G78">
            <v>20227500</v>
          </cell>
          <cell r="H78" t="str">
            <v>GA</v>
          </cell>
          <cell r="I78" t="str">
            <v>X</v>
          </cell>
        </row>
        <row r="79">
          <cell r="B79" t="str">
            <v>RHEMA KONEKTIKA WIRATAMA, PT</v>
          </cell>
          <cell r="D79">
            <v>7723900</v>
          </cell>
          <cell r="E79">
            <v>5699000</v>
          </cell>
          <cell r="F79">
            <v>4959500</v>
          </cell>
          <cell r="G79">
            <v>18382400</v>
          </cell>
          <cell r="H79" t="str">
            <v>GA</v>
          </cell>
          <cell r="I79" t="str">
            <v>X</v>
          </cell>
        </row>
        <row r="80">
          <cell r="B80" t="str">
            <v>MITRA TEKNIK,CV</v>
          </cell>
          <cell r="E80">
            <v>15840000</v>
          </cell>
          <cell r="G80">
            <v>15840000</v>
          </cell>
          <cell r="H80" t="str">
            <v>GA</v>
          </cell>
          <cell r="I80" t="str">
            <v>X</v>
          </cell>
        </row>
        <row r="81">
          <cell r="B81" t="str">
            <v>KIOS BUNGA TUNGGAK SEMI</v>
          </cell>
          <cell r="D81">
            <v>7680100</v>
          </cell>
          <cell r="E81">
            <v>7999400</v>
          </cell>
          <cell r="G81">
            <v>15679500</v>
          </cell>
          <cell r="H81" t="str">
            <v>GA</v>
          </cell>
          <cell r="I81" t="str">
            <v>X</v>
          </cell>
        </row>
        <row r="82">
          <cell r="B82" t="str">
            <v>AKIRA DATA PRATAMA,PT</v>
          </cell>
          <cell r="C82">
            <v>12709000</v>
          </cell>
          <cell r="D82">
            <v>374000</v>
          </cell>
          <cell r="G82">
            <v>13083000</v>
          </cell>
          <cell r="H82" t="str">
            <v>GA</v>
          </cell>
          <cell r="I82" t="str">
            <v>X</v>
          </cell>
        </row>
        <row r="83">
          <cell r="B83" t="str">
            <v>JAYA MAKMUR, CV</v>
          </cell>
          <cell r="C83">
            <v>7650000</v>
          </cell>
          <cell r="D83">
            <v>2873000</v>
          </cell>
          <cell r="E83">
            <v>2180000</v>
          </cell>
          <cell r="G83">
            <v>12703000</v>
          </cell>
          <cell r="H83" t="str">
            <v>GA</v>
          </cell>
          <cell r="I83" t="str">
            <v>X</v>
          </cell>
        </row>
        <row r="84">
          <cell r="B84" t="str">
            <v>KOBEXINDO EQUIPMENT</v>
          </cell>
          <cell r="D84">
            <v>12400000</v>
          </cell>
          <cell r="G84">
            <v>12400000</v>
          </cell>
          <cell r="H84" t="str">
            <v>GA</v>
          </cell>
          <cell r="I84" t="str">
            <v>X</v>
          </cell>
        </row>
        <row r="85">
          <cell r="B85" t="str">
            <v>VICTORIA CARE INDONESIA ,PT</v>
          </cell>
          <cell r="C85">
            <v>2475000</v>
          </cell>
          <cell r="E85">
            <v>4950000</v>
          </cell>
          <cell r="F85">
            <v>4950000</v>
          </cell>
          <cell r="G85">
            <v>12375000</v>
          </cell>
          <cell r="H85" t="str">
            <v>GA</v>
          </cell>
          <cell r="I85" t="str">
            <v>X</v>
          </cell>
        </row>
        <row r="86">
          <cell r="B86" t="str">
            <v>AFNA JAYA PRATAMA,PT</v>
          </cell>
          <cell r="E86">
            <v>11500000</v>
          </cell>
          <cell r="G86">
            <v>11500000</v>
          </cell>
          <cell r="H86" t="str">
            <v>GA</v>
          </cell>
          <cell r="I86" t="str">
            <v>X</v>
          </cell>
        </row>
        <row r="87">
          <cell r="B87" t="str">
            <v>SUMBER REJEKI KONVEKSI</v>
          </cell>
          <cell r="C87">
            <v>5226000</v>
          </cell>
          <cell r="D87">
            <v>681000</v>
          </cell>
          <cell r="E87">
            <v>5576000</v>
          </cell>
          <cell r="G87">
            <v>11483000</v>
          </cell>
          <cell r="H87" t="str">
            <v>GA</v>
          </cell>
          <cell r="I87" t="str">
            <v>X</v>
          </cell>
        </row>
        <row r="88">
          <cell r="B88" t="str">
            <v>AKSARA MEDIA PROMOSI, CV</v>
          </cell>
          <cell r="C88">
            <v>1809500</v>
          </cell>
          <cell r="D88">
            <v>4085950</v>
          </cell>
          <cell r="E88">
            <v>3257100</v>
          </cell>
          <cell r="F88">
            <v>1936000</v>
          </cell>
          <cell r="G88">
            <v>11088550</v>
          </cell>
          <cell r="H88" t="str">
            <v>GA</v>
          </cell>
          <cell r="I88" t="str">
            <v>X</v>
          </cell>
        </row>
        <row r="89">
          <cell r="B89" t="str">
            <v>DATA UTAMA DINAMIKA, PT</v>
          </cell>
          <cell r="C89">
            <v>2565000</v>
          </cell>
          <cell r="D89">
            <v>2565000</v>
          </cell>
          <cell r="E89">
            <v>5130000</v>
          </cell>
          <cell r="G89">
            <v>10260000</v>
          </cell>
          <cell r="H89" t="str">
            <v>GA</v>
          </cell>
          <cell r="I89" t="str">
            <v>X</v>
          </cell>
        </row>
        <row r="90">
          <cell r="B90" t="str">
            <v>ENVILAB INDONESIA, PT</v>
          </cell>
          <cell r="C90">
            <v>8640000</v>
          </cell>
          <cell r="G90">
            <v>8640000</v>
          </cell>
          <cell r="H90" t="str">
            <v>GA</v>
          </cell>
          <cell r="I90" t="str">
            <v>X</v>
          </cell>
        </row>
        <row r="91">
          <cell r="B91" t="str">
            <v>TALENTA PRASSIDHA LESTARI, CV</v>
          </cell>
          <cell r="D91">
            <v>7948600</v>
          </cell>
          <cell r="G91">
            <v>7948600</v>
          </cell>
          <cell r="H91" t="str">
            <v>GA</v>
          </cell>
          <cell r="I91" t="str">
            <v>X</v>
          </cell>
        </row>
        <row r="92">
          <cell r="B92" t="str">
            <v>PLASTIK 21,TOKO</v>
          </cell>
          <cell r="C92">
            <v>1144500</v>
          </cell>
          <cell r="D92">
            <v>5121500</v>
          </cell>
          <cell r="E92">
            <v>349500</v>
          </cell>
          <cell r="F92">
            <v>537000</v>
          </cell>
          <cell r="G92">
            <v>7152500</v>
          </cell>
          <cell r="H92" t="str">
            <v>GA</v>
          </cell>
          <cell r="I92" t="str">
            <v>X</v>
          </cell>
        </row>
        <row r="93">
          <cell r="B93" t="str">
            <v>ABADI KREASI UTAMA, CV</v>
          </cell>
          <cell r="D93">
            <v>6430750</v>
          </cell>
          <cell r="G93">
            <v>6430750</v>
          </cell>
          <cell r="H93" t="str">
            <v>GA</v>
          </cell>
          <cell r="I93" t="str">
            <v>X</v>
          </cell>
        </row>
        <row r="94">
          <cell r="B94" t="str">
            <v>MITRA SEJATI</v>
          </cell>
          <cell r="C94">
            <v>3300000</v>
          </cell>
          <cell r="D94">
            <v>2750000</v>
          </cell>
          <cell r="G94">
            <v>6050000</v>
          </cell>
          <cell r="H94" t="str">
            <v>GA</v>
          </cell>
          <cell r="I94" t="str">
            <v>X</v>
          </cell>
        </row>
        <row r="95">
          <cell r="B95" t="str">
            <v>CARITA SEJAHTERA, CV</v>
          </cell>
          <cell r="D95">
            <v>3400000</v>
          </cell>
          <cell r="E95">
            <v>2600000</v>
          </cell>
          <cell r="G95">
            <v>6000000</v>
          </cell>
          <cell r="H95" t="str">
            <v>GA</v>
          </cell>
          <cell r="I95" t="str">
            <v>X</v>
          </cell>
        </row>
        <row r="96">
          <cell r="B96" t="str">
            <v>ASTON SISTEM INDONESIA ,PT</v>
          </cell>
          <cell r="D96">
            <v>5100150</v>
          </cell>
          <cell r="G96">
            <v>5100150</v>
          </cell>
          <cell r="H96" t="str">
            <v>GA</v>
          </cell>
          <cell r="I96" t="str">
            <v>X</v>
          </cell>
        </row>
        <row r="97">
          <cell r="B97" t="str">
            <v>ABDURRAHMANBINAUF, CV</v>
          </cell>
          <cell r="D97">
            <v>4950000</v>
          </cell>
          <cell r="G97">
            <v>4950000</v>
          </cell>
          <cell r="H97" t="str">
            <v>GA</v>
          </cell>
          <cell r="I97" t="str">
            <v>X</v>
          </cell>
        </row>
        <row r="98">
          <cell r="B98" t="str">
            <v>POLY SENTRA, PT</v>
          </cell>
          <cell r="D98">
            <v>2989580</v>
          </cell>
          <cell r="E98">
            <v>597410</v>
          </cell>
          <cell r="F98">
            <v>502480</v>
          </cell>
          <cell r="G98">
            <v>4089470</v>
          </cell>
          <cell r="H98" t="str">
            <v>GA</v>
          </cell>
          <cell r="I98" t="str">
            <v>X</v>
          </cell>
        </row>
        <row r="99">
          <cell r="B99" t="str">
            <v>FILINA</v>
          </cell>
          <cell r="D99">
            <v>1851990</v>
          </cell>
          <cell r="E99">
            <v>577500</v>
          </cell>
          <cell r="F99">
            <v>932820</v>
          </cell>
          <cell r="G99">
            <v>3362310</v>
          </cell>
          <cell r="H99" t="str">
            <v>GA</v>
          </cell>
          <cell r="I99" t="str">
            <v>X</v>
          </cell>
        </row>
        <row r="100">
          <cell r="B100" t="str">
            <v>MULTI INSTRUMENTASI MANDIRI, PT</v>
          </cell>
          <cell r="E100">
            <v>3328290</v>
          </cell>
          <cell r="G100">
            <v>3328290</v>
          </cell>
          <cell r="H100" t="str">
            <v>GA</v>
          </cell>
          <cell r="I100" t="str">
            <v>X</v>
          </cell>
        </row>
        <row r="101">
          <cell r="B101" t="str">
            <v>MILADO,CV</v>
          </cell>
          <cell r="D101">
            <v>2953500</v>
          </cell>
          <cell r="G101">
            <v>2953500</v>
          </cell>
          <cell r="H101" t="str">
            <v>GA</v>
          </cell>
          <cell r="I101" t="str">
            <v>X</v>
          </cell>
        </row>
        <row r="102">
          <cell r="B102" t="str">
            <v>KASHELARA .CV</v>
          </cell>
          <cell r="E102">
            <v>2332800</v>
          </cell>
          <cell r="G102">
            <v>2332800</v>
          </cell>
          <cell r="H102" t="str">
            <v>GA</v>
          </cell>
          <cell r="I102" t="str">
            <v>X</v>
          </cell>
        </row>
        <row r="103">
          <cell r="B103" t="str">
            <v>TOKO RIZQY</v>
          </cell>
          <cell r="D103">
            <v>1450000</v>
          </cell>
          <cell r="E103">
            <v>350000</v>
          </cell>
          <cell r="G103">
            <v>1800000</v>
          </cell>
          <cell r="H103" t="str">
            <v>GA</v>
          </cell>
          <cell r="I103" t="str">
            <v>X</v>
          </cell>
        </row>
        <row r="104">
          <cell r="B104" t="str">
            <v>ASURANSI ASEI INDONESIA ,PT</v>
          </cell>
          <cell r="D104">
            <v>347750</v>
          </cell>
          <cell r="E104">
            <v>665090</v>
          </cell>
          <cell r="F104">
            <v>616585</v>
          </cell>
          <cell r="G104">
            <v>1629425</v>
          </cell>
          <cell r="H104" t="str">
            <v>GA</v>
          </cell>
          <cell r="I104" t="str">
            <v>X</v>
          </cell>
        </row>
        <row r="105">
          <cell r="B105" t="str">
            <v>ZONA COMPUTER</v>
          </cell>
          <cell r="C105">
            <v>1450000</v>
          </cell>
          <cell r="G105">
            <v>1450000</v>
          </cell>
          <cell r="H105" t="str">
            <v>GA</v>
          </cell>
          <cell r="I105" t="str">
            <v>X</v>
          </cell>
        </row>
        <row r="106">
          <cell r="B106" t="str">
            <v>DELTA TEKNIK,CV</v>
          </cell>
          <cell r="D106">
            <v>962500</v>
          </cell>
          <cell r="G106">
            <v>962500</v>
          </cell>
          <cell r="H106" t="str">
            <v>GA</v>
          </cell>
          <cell r="I106" t="str">
            <v>X</v>
          </cell>
        </row>
        <row r="107">
          <cell r="B107" t="str">
            <v>HIBEX INDONESIA, PT</v>
          </cell>
          <cell r="E107">
            <v>762000</v>
          </cell>
          <cell r="G107">
            <v>762000</v>
          </cell>
          <cell r="H107" t="str">
            <v>GA</v>
          </cell>
          <cell r="I107" t="str">
            <v>X</v>
          </cell>
        </row>
        <row r="108">
          <cell r="B108" t="str">
            <v>BINO MITRA SEJATI, PT</v>
          </cell>
          <cell r="D108">
            <v>173580</v>
          </cell>
          <cell r="G108">
            <v>173580</v>
          </cell>
          <cell r="H108" t="str">
            <v>GA</v>
          </cell>
          <cell r="I108" t="str">
            <v>X</v>
          </cell>
        </row>
        <row r="109">
          <cell r="B109" t="str">
            <v>FICI LAUNDRY</v>
          </cell>
          <cell r="C109">
            <v>30000</v>
          </cell>
          <cell r="E109">
            <v>80900</v>
          </cell>
          <cell r="F109">
            <v>28000</v>
          </cell>
          <cell r="G109">
            <v>138900</v>
          </cell>
          <cell r="H109" t="str">
            <v>GA</v>
          </cell>
          <cell r="I109" t="str">
            <v>X</v>
          </cell>
        </row>
        <row r="110">
          <cell r="B110" t="str">
            <v>SAMI-JF ,PT</v>
          </cell>
          <cell r="C110">
            <v>725000</v>
          </cell>
          <cell r="D110">
            <v>1968367688</v>
          </cell>
          <cell r="E110">
            <v>952681840</v>
          </cell>
          <cell r="G110">
            <v>2921774528</v>
          </cell>
          <cell r="H110" t="str">
            <v>GA</v>
          </cell>
          <cell r="I110" t="str">
            <v>X</v>
          </cell>
        </row>
        <row r="111">
          <cell r="B111" t="str">
            <v>SURYA SUDECO, PT</v>
          </cell>
          <cell r="C111">
            <v>129973379</v>
          </cell>
          <cell r="D111">
            <v>68915239</v>
          </cell>
          <cell r="E111">
            <v>187205004</v>
          </cell>
          <cell r="G111">
            <v>386093622</v>
          </cell>
          <cell r="H111" t="str">
            <v>GS</v>
          </cell>
          <cell r="I111" t="str">
            <v>ADA</v>
          </cell>
        </row>
        <row r="112">
          <cell r="B112" t="str">
            <v>MANDIRI CATERING</v>
          </cell>
          <cell r="C112">
            <v>60059405</v>
          </cell>
          <cell r="D112">
            <v>90741000</v>
          </cell>
          <cell r="E112">
            <v>96229000</v>
          </cell>
          <cell r="F112">
            <v>48433000</v>
          </cell>
          <cell r="G112">
            <v>295462405</v>
          </cell>
          <cell r="H112" t="str">
            <v>GS</v>
          </cell>
          <cell r="I112" t="str">
            <v>ADA</v>
          </cell>
        </row>
        <row r="113">
          <cell r="B113" t="str">
            <v>YUKAMA CATERING</v>
          </cell>
          <cell r="C113">
            <v>29991920</v>
          </cell>
          <cell r="D113">
            <v>74650520</v>
          </cell>
          <cell r="E113">
            <v>89612180</v>
          </cell>
          <cell r="F113">
            <v>43423800</v>
          </cell>
          <cell r="G113">
            <v>237678420</v>
          </cell>
          <cell r="H113" t="str">
            <v>GS</v>
          </cell>
          <cell r="I113" t="str">
            <v>ADA</v>
          </cell>
        </row>
        <row r="114">
          <cell r="B114" t="str">
            <v>MELATI CATERING</v>
          </cell>
          <cell r="C114">
            <v>42987980</v>
          </cell>
          <cell r="D114">
            <v>71899695</v>
          </cell>
          <cell r="E114">
            <v>80557190</v>
          </cell>
          <cell r="F114">
            <v>34358345</v>
          </cell>
          <cell r="G114">
            <v>229803210</v>
          </cell>
          <cell r="H114" t="str">
            <v>GS</v>
          </cell>
          <cell r="I114" t="str">
            <v>ADA</v>
          </cell>
        </row>
        <row r="115">
          <cell r="B115" t="str">
            <v>DELOITTE TOUCHE TOHMATSU</v>
          </cell>
          <cell r="E115">
            <v>220770502</v>
          </cell>
          <cell r="G115">
            <v>220770502</v>
          </cell>
          <cell r="H115" t="str">
            <v>FA</v>
          </cell>
          <cell r="I115" t="str">
            <v>ADA</v>
          </cell>
        </row>
        <row r="116">
          <cell r="B116" t="str">
            <v>YULIA CATERING</v>
          </cell>
          <cell r="C116">
            <v>44960440</v>
          </cell>
          <cell r="D116">
            <v>47244820</v>
          </cell>
          <cell r="E116">
            <v>83383300</v>
          </cell>
          <cell r="F116">
            <v>28009380</v>
          </cell>
          <cell r="G116">
            <v>203597940</v>
          </cell>
          <cell r="H116" t="str">
            <v>GS</v>
          </cell>
          <cell r="I116" t="str">
            <v>ADA</v>
          </cell>
        </row>
        <row r="117">
          <cell r="B117" t="str">
            <v>KENANGA CATERING</v>
          </cell>
          <cell r="C117">
            <v>21602000</v>
          </cell>
          <cell r="D117">
            <v>73847900</v>
          </cell>
          <cell r="E117">
            <v>79898000</v>
          </cell>
          <cell r="F117">
            <v>27356000</v>
          </cell>
          <cell r="G117">
            <v>202703900</v>
          </cell>
          <cell r="H117" t="str">
            <v>GS</v>
          </cell>
          <cell r="I117" t="str">
            <v>ADA</v>
          </cell>
        </row>
        <row r="118">
          <cell r="B118" t="str">
            <v>BINTARA MITRA ANDALAN, PT</v>
          </cell>
          <cell r="D118">
            <v>12340732</v>
          </cell>
          <cell r="E118">
            <v>15499232</v>
          </cell>
          <cell r="F118">
            <v>14986313</v>
          </cell>
          <cell r="G118">
            <v>42826277</v>
          </cell>
          <cell r="H118" t="str">
            <v>GS</v>
          </cell>
          <cell r="I118" t="str">
            <v>ADA</v>
          </cell>
        </row>
        <row r="119">
          <cell r="B119" t="str">
            <v>DEA COPIER, CV</v>
          </cell>
          <cell r="C119">
            <v>6015163</v>
          </cell>
          <cell r="D119">
            <v>702000</v>
          </cell>
          <cell r="E119">
            <v>12562079</v>
          </cell>
          <cell r="F119">
            <v>7046569</v>
          </cell>
          <cell r="G119">
            <v>26325811</v>
          </cell>
          <cell r="H119" t="str">
            <v>GS</v>
          </cell>
          <cell r="I119" t="str">
            <v>ADA</v>
          </cell>
        </row>
        <row r="120">
          <cell r="B120" t="str">
            <v>YAKULT INDONESIA PERSADA, PT</v>
          </cell>
          <cell r="C120">
            <v>71910000</v>
          </cell>
          <cell r="D120">
            <v>36720000</v>
          </cell>
          <cell r="E120">
            <v>43605000</v>
          </cell>
          <cell r="G120">
            <v>152235000</v>
          </cell>
          <cell r="H120" t="str">
            <v>GS</v>
          </cell>
          <cell r="I120" t="str">
            <v>X</v>
          </cell>
        </row>
        <row r="121">
          <cell r="B121" t="str">
            <v>KOPERASI KARYAWAN SAMI</v>
          </cell>
          <cell r="D121">
            <v>33915000</v>
          </cell>
          <cell r="E121">
            <v>29015000</v>
          </cell>
          <cell r="G121">
            <v>62930000</v>
          </cell>
          <cell r="H121" t="str">
            <v>GS</v>
          </cell>
          <cell r="I121" t="str">
            <v>X</v>
          </cell>
        </row>
        <row r="122">
          <cell r="B122" t="str">
            <v>FRONT ONE INN SEMARANG</v>
          </cell>
          <cell r="E122">
            <v>58320000</v>
          </cell>
          <cell r="G122">
            <v>58320000</v>
          </cell>
          <cell r="H122" t="str">
            <v>GS</v>
          </cell>
          <cell r="I122" t="str">
            <v>X</v>
          </cell>
        </row>
        <row r="123">
          <cell r="B123" t="str">
            <v>GRAND CANDI HOTEL</v>
          </cell>
          <cell r="C123">
            <v>16345870</v>
          </cell>
          <cell r="D123">
            <v>19546200</v>
          </cell>
          <cell r="E123">
            <v>21769600</v>
          </cell>
          <cell r="G123">
            <v>57661670</v>
          </cell>
          <cell r="H123" t="str">
            <v>GS</v>
          </cell>
          <cell r="I123" t="str">
            <v>X</v>
          </cell>
        </row>
        <row r="124">
          <cell r="B124" t="str">
            <v>IBIS HOTEL</v>
          </cell>
          <cell r="F124">
            <v>44800000</v>
          </cell>
          <cell r="G124">
            <v>44800000</v>
          </cell>
          <cell r="H124" t="str">
            <v>GS</v>
          </cell>
          <cell r="I124" t="str">
            <v>ADA</v>
          </cell>
        </row>
        <row r="125">
          <cell r="B125" t="str">
            <v>BOROBUDUR SILVER</v>
          </cell>
          <cell r="C125">
            <v>1950000</v>
          </cell>
          <cell r="G125">
            <v>1950000</v>
          </cell>
          <cell r="H125" t="str">
            <v>GS</v>
          </cell>
          <cell r="I125" t="str">
            <v>X</v>
          </cell>
        </row>
        <row r="126">
          <cell r="B126" t="str">
            <v>ASOSIASI PENGUSAHA INDONESIA</v>
          </cell>
          <cell r="C126">
            <v>300000</v>
          </cell>
          <cell r="D126">
            <v>300000</v>
          </cell>
          <cell r="E126">
            <v>300000</v>
          </cell>
          <cell r="F126">
            <v>300000</v>
          </cell>
          <cell r="G126">
            <v>1200000</v>
          </cell>
          <cell r="H126" t="str">
            <v>GS</v>
          </cell>
          <cell r="I126" t="str">
            <v>X</v>
          </cell>
        </row>
        <row r="127">
          <cell r="B127" t="str">
            <v>BLUE BIRD PUSAKA, PT</v>
          </cell>
          <cell r="E127">
            <v>645340</v>
          </cell>
          <cell r="G127">
            <v>645340</v>
          </cell>
          <cell r="H127" t="str">
            <v>GS</v>
          </cell>
          <cell r="I127" t="str">
            <v>X</v>
          </cell>
        </row>
        <row r="128">
          <cell r="B128" t="str">
            <v>SUSILOWATI, SH PARTNERS</v>
          </cell>
          <cell r="C128">
            <v>9750000</v>
          </cell>
          <cell r="E128">
            <v>9750000</v>
          </cell>
          <cell r="F128">
            <v>9750000</v>
          </cell>
          <cell r="G128">
            <v>29250000</v>
          </cell>
          <cell r="H128" t="str">
            <v>GS</v>
          </cell>
          <cell r="I128" t="str">
            <v>ADA</v>
          </cell>
        </row>
        <row r="129">
          <cell r="B129" t="str">
            <v>TUNAS MITRA SENTOSA, PT</v>
          </cell>
          <cell r="C129">
            <v>3685000</v>
          </cell>
          <cell r="D129">
            <v>4895000</v>
          </cell>
          <cell r="E129">
            <v>5340000</v>
          </cell>
          <cell r="F129">
            <v>5340000</v>
          </cell>
          <cell r="G129">
            <v>19260000</v>
          </cell>
          <cell r="H129" t="str">
            <v>LD</v>
          </cell>
        </row>
        <row r="130">
          <cell r="B130" t="str">
            <v>FLEXINDO MANDIRI UTAMA, PT</v>
          </cell>
          <cell r="C130">
            <v>2229527</v>
          </cell>
          <cell r="D130">
            <v>1380463</v>
          </cell>
          <cell r="E130">
            <v>1130302</v>
          </cell>
          <cell r="F130">
            <v>956309</v>
          </cell>
          <cell r="G130">
            <v>5696601</v>
          </cell>
          <cell r="H130" t="str">
            <v>GS</v>
          </cell>
          <cell r="I130" t="str">
            <v>X</v>
          </cell>
        </row>
        <row r="131">
          <cell r="B131" t="str">
            <v>SUPARTI</v>
          </cell>
          <cell r="C131">
            <v>1600000</v>
          </cell>
          <cell r="D131">
            <v>1600000</v>
          </cell>
          <cell r="E131">
            <v>1600000</v>
          </cell>
          <cell r="G131">
            <v>4800000</v>
          </cell>
          <cell r="H131" t="str">
            <v>GS</v>
          </cell>
          <cell r="I131" t="str">
            <v>X</v>
          </cell>
        </row>
        <row r="132">
          <cell r="B132" t="str">
            <v>BADAN PENDAPATAN DAERAH KOTA SEMARANG</v>
          </cell>
          <cell r="D132">
            <v>1337040</v>
          </cell>
          <cell r="E132">
            <v>1463400</v>
          </cell>
          <cell r="F132">
            <v>981640</v>
          </cell>
          <cell r="G132">
            <v>3782080</v>
          </cell>
          <cell r="H132" t="str">
            <v>GS</v>
          </cell>
          <cell r="I132" t="str">
            <v>X</v>
          </cell>
        </row>
        <row r="133">
          <cell r="B133" t="str">
            <v>SAKRONI</v>
          </cell>
          <cell r="C133">
            <v>500000</v>
          </cell>
          <cell r="D133">
            <v>500000</v>
          </cell>
          <cell r="E133">
            <v>500000</v>
          </cell>
          <cell r="G133">
            <v>1500000</v>
          </cell>
          <cell r="H133" t="str">
            <v>GS</v>
          </cell>
          <cell r="I133" t="str">
            <v>X</v>
          </cell>
        </row>
        <row r="134">
          <cell r="B134" t="str">
            <v>RS.PANTI WILASA DR.CIPTO</v>
          </cell>
          <cell r="C134">
            <v>9363387</v>
          </cell>
          <cell r="E134">
            <v>3625000</v>
          </cell>
          <cell r="G134">
            <v>12988387</v>
          </cell>
          <cell r="H134" t="str">
            <v>HR</v>
          </cell>
          <cell r="I134" t="str">
            <v>X</v>
          </cell>
        </row>
        <row r="135">
          <cell r="B135" t="str">
            <v>COLUMBIA ASIA, RS</v>
          </cell>
          <cell r="C135">
            <v>916183</v>
          </cell>
          <cell r="D135">
            <v>6691745</v>
          </cell>
          <cell r="E135">
            <v>5179040</v>
          </cell>
          <cell r="G135">
            <v>12786968</v>
          </cell>
          <cell r="H135" t="str">
            <v>HR</v>
          </cell>
          <cell r="I135" t="str">
            <v>X</v>
          </cell>
        </row>
        <row r="136">
          <cell r="B136" t="str">
            <v>NIHON SAMPOERNA PACKINDO, PT</v>
          </cell>
          <cell r="D136">
            <v>25251500</v>
          </cell>
          <cell r="E136">
            <v>35980500</v>
          </cell>
          <cell r="G136">
            <v>61232000</v>
          </cell>
          <cell r="H136" t="str">
            <v>X</v>
          </cell>
          <cell r="I136" t="str">
            <v>X</v>
          </cell>
        </row>
        <row r="137">
          <cell r="B137" t="str">
            <v>ADI SARANA ARMADA, PT</v>
          </cell>
          <cell r="C137">
            <v>14526000</v>
          </cell>
          <cell r="D137">
            <v>14526000</v>
          </cell>
          <cell r="E137">
            <v>14526000</v>
          </cell>
          <cell r="F137">
            <v>14526000</v>
          </cell>
          <cell r="G137">
            <v>58104000</v>
          </cell>
          <cell r="H137" t="str">
            <v>X</v>
          </cell>
          <cell r="I137" t="str">
            <v>X</v>
          </cell>
        </row>
        <row r="138">
          <cell r="B138" t="str">
            <v>ADIJAYA TEKNIK,CV</v>
          </cell>
          <cell r="C138">
            <v>760000</v>
          </cell>
          <cell r="D138">
            <v>48422500</v>
          </cell>
          <cell r="E138">
            <v>7231000</v>
          </cell>
          <cell r="G138">
            <v>56413500</v>
          </cell>
          <cell r="H138" t="str">
            <v>X</v>
          </cell>
          <cell r="I138" t="str">
            <v>X</v>
          </cell>
        </row>
        <row r="139">
          <cell r="B139" t="str">
            <v>AUTOCOMP SYSTEM INDONESIA, PT</v>
          </cell>
          <cell r="C139">
            <v>10936817103</v>
          </cell>
          <cell r="D139">
            <v>10797983044</v>
          </cell>
          <cell r="E139">
            <v>7760657535</v>
          </cell>
          <cell r="G139">
            <v>29495457682</v>
          </cell>
          <cell r="H139" t="str">
            <v>X</v>
          </cell>
        </row>
        <row r="140">
          <cell r="B140" t="str">
            <v>AGILITY INTERNATIONAL, PT</v>
          </cell>
          <cell r="C140">
            <v>1660421440</v>
          </cell>
          <cell r="D140">
            <v>1631616522</v>
          </cell>
          <cell r="E140">
            <v>1781015682</v>
          </cell>
          <cell r="G140">
            <v>5073053644</v>
          </cell>
          <cell r="H140" t="str">
            <v>X</v>
          </cell>
        </row>
        <row r="141">
          <cell r="B141" t="str">
            <v>INDOWIRE PRIMA INDUSTRINDO. PT</v>
          </cell>
          <cell r="C141">
            <v>1161090000</v>
          </cell>
          <cell r="D141">
            <v>1105566050</v>
          </cell>
          <cell r="E141">
            <v>703784250</v>
          </cell>
          <cell r="F141">
            <v>579711200</v>
          </cell>
          <cell r="G141">
            <v>3550151500</v>
          </cell>
          <cell r="H141" t="str">
            <v>X</v>
          </cell>
        </row>
        <row r="142">
          <cell r="B142" t="str">
            <v>ASURANSI JIWA MANULIFE INDONESIA PT</v>
          </cell>
          <cell r="C142">
            <v>686504822</v>
          </cell>
          <cell r="D142">
            <v>687893387</v>
          </cell>
          <cell r="E142">
            <v>686450717</v>
          </cell>
          <cell r="F142">
            <v>686653485</v>
          </cell>
          <cell r="G142">
            <v>2747502411</v>
          </cell>
          <cell r="H142" t="str">
            <v>X</v>
          </cell>
        </row>
        <row r="143">
          <cell r="B143" t="str">
            <v>SINAR TIRTA EMAS, PT</v>
          </cell>
          <cell r="C143">
            <v>1185193001</v>
          </cell>
          <cell r="D143">
            <v>548469214</v>
          </cell>
          <cell r="E143">
            <v>786537620</v>
          </cell>
          <cell r="G143">
            <v>2520199835</v>
          </cell>
          <cell r="H143" t="str">
            <v>X</v>
          </cell>
        </row>
        <row r="144">
          <cell r="B144" t="str">
            <v>SAMI MANDIRI</v>
          </cell>
          <cell r="F144">
            <v>2500000000</v>
          </cell>
          <cell r="G144">
            <v>2500000000</v>
          </cell>
          <cell r="H144" t="str">
            <v>X</v>
          </cell>
        </row>
        <row r="145">
          <cell r="B145" t="str">
            <v>YAMATO INDONESIA, PT</v>
          </cell>
          <cell r="C145">
            <v>350320013</v>
          </cell>
          <cell r="D145">
            <v>403975275</v>
          </cell>
          <cell r="E145">
            <v>873190208</v>
          </cell>
          <cell r="G145">
            <v>1627485496</v>
          </cell>
          <cell r="H145" t="str">
            <v>X</v>
          </cell>
        </row>
        <row r="146">
          <cell r="B146" t="str">
            <v>YUSEN AIR SEA SERVICE, PT</v>
          </cell>
          <cell r="C146">
            <v>246650574</v>
          </cell>
          <cell r="D146">
            <v>223262802</v>
          </cell>
          <cell r="E146">
            <v>280387848</v>
          </cell>
          <cell r="G146">
            <v>750301224</v>
          </cell>
          <cell r="H146" t="str">
            <v>X</v>
          </cell>
        </row>
        <row r="147">
          <cell r="B147" t="str">
            <v>MITRA DUNIA PALETINDO,PT</v>
          </cell>
          <cell r="C147">
            <v>262911231</v>
          </cell>
          <cell r="D147">
            <v>313410436</v>
          </cell>
          <cell r="E147">
            <v>162121954</v>
          </cell>
          <cell r="G147">
            <v>738443621</v>
          </cell>
          <cell r="H147" t="str">
            <v>X</v>
          </cell>
        </row>
        <row r="148">
          <cell r="B148" t="str">
            <v>SEMARANG DAMAI PRINTING DAN PACKING,CV</v>
          </cell>
          <cell r="C148">
            <v>233747343</v>
          </cell>
          <cell r="D148">
            <v>216673243</v>
          </cell>
          <cell r="E148">
            <v>140419433</v>
          </cell>
          <cell r="G148">
            <v>590840019</v>
          </cell>
          <cell r="H148" t="str">
            <v>X</v>
          </cell>
        </row>
        <row r="149">
          <cell r="B149" t="str">
            <v>SAMUDRA ANUGERAH SION,CV</v>
          </cell>
          <cell r="C149">
            <v>233618817</v>
          </cell>
          <cell r="D149">
            <v>216533979</v>
          </cell>
          <cell r="E149">
            <v>140398889</v>
          </cell>
          <cell r="G149">
            <v>590551685</v>
          </cell>
          <cell r="H149" t="str">
            <v>X</v>
          </cell>
        </row>
        <row r="150">
          <cell r="B150" t="str">
            <v>SURYAMAS BOXINDO,CV</v>
          </cell>
          <cell r="C150">
            <v>229398135</v>
          </cell>
          <cell r="D150">
            <v>206923788</v>
          </cell>
          <cell r="E150">
            <v>134627393</v>
          </cell>
          <cell r="G150">
            <v>570949316</v>
          </cell>
          <cell r="H150" t="str">
            <v>X</v>
          </cell>
        </row>
        <row r="151">
          <cell r="B151" t="str">
            <v>PERSEKUTUAN SOEWITO, FAJAR DAN REKAN</v>
          </cell>
          <cell r="D151">
            <v>365612627</v>
          </cell>
          <cell r="E151">
            <v>118800000</v>
          </cell>
          <cell r="G151">
            <v>484412627</v>
          </cell>
          <cell r="H151" t="str">
            <v>X</v>
          </cell>
        </row>
        <row r="152">
          <cell r="B152" t="str">
            <v>TANGI LUHUR,CV</v>
          </cell>
          <cell r="C152">
            <v>129475000</v>
          </cell>
          <cell r="D152">
            <v>129300000</v>
          </cell>
          <cell r="E152">
            <v>128305000</v>
          </cell>
          <cell r="G152">
            <v>387080000</v>
          </cell>
          <cell r="H152" t="str">
            <v>X</v>
          </cell>
        </row>
        <row r="153">
          <cell r="B153" t="str">
            <v>PUTRA MANDIRI TRANSPORT</v>
          </cell>
          <cell r="C153">
            <v>92286250</v>
          </cell>
          <cell r="D153">
            <v>89002750</v>
          </cell>
          <cell r="E153">
            <v>110146500</v>
          </cell>
          <cell r="F153">
            <v>33979250</v>
          </cell>
          <cell r="G153">
            <v>325414750</v>
          </cell>
          <cell r="H153" t="str">
            <v>X</v>
          </cell>
        </row>
        <row r="154">
          <cell r="B154" t="str">
            <v>MCL TRANS INDONESIA, PT</v>
          </cell>
          <cell r="C154">
            <v>17318070</v>
          </cell>
          <cell r="D154">
            <v>44402688</v>
          </cell>
          <cell r="E154">
            <v>46302300</v>
          </cell>
          <cell r="F154">
            <v>152856990</v>
          </cell>
          <cell r="G154">
            <v>260880048</v>
          </cell>
          <cell r="H154" t="str">
            <v>X</v>
          </cell>
        </row>
        <row r="155">
          <cell r="B155" t="str">
            <v>MITRA LESTARI, CV</v>
          </cell>
          <cell r="C155">
            <v>84987000</v>
          </cell>
          <cell r="D155">
            <v>77437690</v>
          </cell>
          <cell r="E155">
            <v>77876930</v>
          </cell>
          <cell r="G155">
            <v>240301620</v>
          </cell>
          <cell r="H155" t="str">
            <v>X</v>
          </cell>
        </row>
        <row r="156">
          <cell r="B156" t="str">
            <v>SEJAHTERA ABADI, PT</v>
          </cell>
          <cell r="C156">
            <v>64425000</v>
          </cell>
          <cell r="D156">
            <v>63080000</v>
          </cell>
          <cell r="E156">
            <v>61900000</v>
          </cell>
          <cell r="G156">
            <v>189405000</v>
          </cell>
          <cell r="H156" t="str">
            <v>X</v>
          </cell>
        </row>
        <row r="157">
          <cell r="B157" t="str">
            <v>PUK SAMI-TF</v>
          </cell>
          <cell r="C157">
            <v>41520420</v>
          </cell>
          <cell r="D157">
            <v>42893075</v>
          </cell>
          <cell r="E157">
            <v>42329420</v>
          </cell>
          <cell r="F157">
            <v>42902730</v>
          </cell>
          <cell r="G157">
            <v>169645645</v>
          </cell>
          <cell r="H157" t="str">
            <v>X</v>
          </cell>
        </row>
        <row r="158">
          <cell r="B158" t="str">
            <v>HARUM INDAH SARI TOURS &amp; TRAVEL, PT</v>
          </cell>
          <cell r="C158">
            <v>4411000</v>
          </cell>
          <cell r="D158">
            <v>103246000</v>
          </cell>
          <cell r="E158">
            <v>55956000</v>
          </cell>
          <cell r="G158">
            <v>163613000</v>
          </cell>
          <cell r="H158" t="str">
            <v>X</v>
          </cell>
          <cell r="I158" t="str">
            <v>X</v>
          </cell>
        </row>
        <row r="159">
          <cell r="B159" t="str">
            <v>SINERGI MULTI CITRAMAS,PT</v>
          </cell>
          <cell r="C159">
            <v>15260974</v>
          </cell>
          <cell r="D159">
            <v>19481843</v>
          </cell>
          <cell r="E159">
            <v>46059521</v>
          </cell>
          <cell r="F159">
            <v>64837029</v>
          </cell>
          <cell r="G159">
            <v>145639367</v>
          </cell>
          <cell r="H159" t="str">
            <v>X</v>
          </cell>
        </row>
        <row r="160">
          <cell r="B160" t="str">
            <v>MISUMI INDONESIA, PT</v>
          </cell>
          <cell r="C160">
            <v>3404793</v>
          </cell>
          <cell r="D160">
            <v>52845292</v>
          </cell>
          <cell r="E160">
            <v>21753454</v>
          </cell>
          <cell r="F160">
            <v>45474138</v>
          </cell>
          <cell r="G160">
            <v>123477677</v>
          </cell>
          <cell r="H160" t="str">
            <v>X</v>
          </cell>
        </row>
        <row r="161">
          <cell r="B161" t="str">
            <v>SAMI - Mandiri 136.0022334459 R</v>
          </cell>
          <cell r="E161">
            <v>120000000</v>
          </cell>
          <cell r="G161">
            <v>120000000</v>
          </cell>
          <cell r="H161" t="str">
            <v>X</v>
          </cell>
        </row>
        <row r="162">
          <cell r="B162" t="str">
            <v>ASIAN BEARINDO PRIMA, PT</v>
          </cell>
          <cell r="C162">
            <v>1612500</v>
          </cell>
          <cell r="D162">
            <v>83760000</v>
          </cell>
          <cell r="E162">
            <v>3265500</v>
          </cell>
          <cell r="F162">
            <v>2867700</v>
          </cell>
          <cell r="G162">
            <v>91505700</v>
          </cell>
          <cell r="H162" t="str">
            <v>X</v>
          </cell>
        </row>
        <row r="163">
          <cell r="B163" t="str">
            <v>GRAHA MULTISARANA MESINDO,PT</v>
          </cell>
          <cell r="C163">
            <v>11647000</v>
          </cell>
          <cell r="D163">
            <v>46169800</v>
          </cell>
          <cell r="E163">
            <v>29412200</v>
          </cell>
          <cell r="F163">
            <v>930000</v>
          </cell>
          <cell r="G163">
            <v>88159000</v>
          </cell>
          <cell r="H163" t="str">
            <v>X</v>
          </cell>
        </row>
        <row r="164">
          <cell r="B164" t="str">
            <v>DUTA KALINGGA PRATAMA,PT</v>
          </cell>
          <cell r="C164">
            <v>20516400</v>
          </cell>
          <cell r="D164">
            <v>20516400</v>
          </cell>
          <cell r="E164">
            <v>22017600</v>
          </cell>
          <cell r="F164">
            <v>23018400</v>
          </cell>
          <cell r="G164">
            <v>86068800</v>
          </cell>
          <cell r="H164" t="str">
            <v>X</v>
          </cell>
        </row>
        <row r="165">
          <cell r="B165" t="str">
            <v>BIROTIKA SEMESTA, PT</v>
          </cell>
          <cell r="C165">
            <v>20974150</v>
          </cell>
          <cell r="D165">
            <v>28172453</v>
          </cell>
          <cell r="E165">
            <v>22024798</v>
          </cell>
          <cell r="F165">
            <v>5711731</v>
          </cell>
          <cell r="G165">
            <v>76883132</v>
          </cell>
          <cell r="H165" t="str">
            <v>X</v>
          </cell>
        </row>
        <row r="166">
          <cell r="B166" t="str">
            <v>ERA PERKASA MAJU CEMERLANG,PT</v>
          </cell>
          <cell r="C166">
            <v>5105165</v>
          </cell>
          <cell r="D166">
            <v>29244200</v>
          </cell>
          <cell r="E166">
            <v>14976100</v>
          </cell>
          <cell r="F166">
            <v>26489720</v>
          </cell>
          <cell r="G166">
            <v>75815185</v>
          </cell>
          <cell r="H166" t="str">
            <v>X</v>
          </cell>
        </row>
        <row r="167">
          <cell r="B167" t="str">
            <v>PLATINUM JAYA LOGISTIC SEMARANG, PT</v>
          </cell>
          <cell r="C167">
            <v>5605974</v>
          </cell>
          <cell r="D167">
            <v>18344205</v>
          </cell>
          <cell r="E167">
            <v>50655528</v>
          </cell>
          <cell r="G167">
            <v>74605707</v>
          </cell>
          <cell r="H167" t="str">
            <v>X</v>
          </cell>
        </row>
        <row r="168">
          <cell r="B168" t="str">
            <v>NITTO MATERIAL INDUSTRY</v>
          </cell>
          <cell r="E168">
            <v>70767863</v>
          </cell>
          <cell r="G168">
            <v>70767863</v>
          </cell>
          <cell r="H168" t="str">
            <v>X</v>
          </cell>
        </row>
        <row r="169">
          <cell r="B169" t="str">
            <v>SURYA SINERGY, CV</v>
          </cell>
          <cell r="C169">
            <v>2875000</v>
          </cell>
          <cell r="D169">
            <v>8696500</v>
          </cell>
          <cell r="E169">
            <v>14010000</v>
          </cell>
          <cell r="F169">
            <v>15521500</v>
          </cell>
          <cell r="G169">
            <v>41103000</v>
          </cell>
          <cell r="H169" t="str">
            <v>X</v>
          </cell>
        </row>
        <row r="170">
          <cell r="B170" t="str">
            <v>SUKAMANGLI MENDO FARM</v>
          </cell>
          <cell r="C170">
            <v>40500000</v>
          </cell>
          <cell r="G170">
            <v>40500000</v>
          </cell>
          <cell r="H170" t="str">
            <v>X</v>
          </cell>
        </row>
        <row r="171">
          <cell r="B171" t="str">
            <v>MOONAIR JAYA ABADI, CV</v>
          </cell>
          <cell r="C171">
            <v>7175000</v>
          </cell>
          <cell r="E171">
            <v>31425000</v>
          </cell>
          <cell r="G171">
            <v>38600000</v>
          </cell>
          <cell r="H171" t="str">
            <v>X</v>
          </cell>
        </row>
        <row r="172">
          <cell r="B172" t="str">
            <v>FPC INDONESIA, PT</v>
          </cell>
          <cell r="C172">
            <v>26838000</v>
          </cell>
          <cell r="D172">
            <v>1620000</v>
          </cell>
          <cell r="E172">
            <v>3132000</v>
          </cell>
          <cell r="G172">
            <v>31590000</v>
          </cell>
          <cell r="H172" t="str">
            <v>X</v>
          </cell>
          <cell r="I172" t="str">
            <v>X</v>
          </cell>
        </row>
        <row r="173">
          <cell r="B173" t="str">
            <v>ASURANSI MSIG INDONESIA,PT</v>
          </cell>
          <cell r="C173">
            <v>480286</v>
          </cell>
          <cell r="E173">
            <v>28562760</v>
          </cell>
          <cell r="G173">
            <v>29043046</v>
          </cell>
          <cell r="H173" t="str">
            <v>X</v>
          </cell>
        </row>
        <row r="174">
          <cell r="B174" t="str">
            <v>ORIENTAL ABADI INDONESIA, PT</v>
          </cell>
          <cell r="C174">
            <v>11110000</v>
          </cell>
          <cell r="D174">
            <v>6550000</v>
          </cell>
          <cell r="E174">
            <v>6550000</v>
          </cell>
          <cell r="F174">
            <v>3600000</v>
          </cell>
          <cell r="G174">
            <v>27810000</v>
          </cell>
          <cell r="H174" t="str">
            <v>X</v>
          </cell>
        </row>
        <row r="175">
          <cell r="B175" t="str">
            <v>KEYENCE INDONESIA, PT</v>
          </cell>
          <cell r="C175">
            <v>21600000</v>
          </cell>
          <cell r="E175">
            <v>3430000</v>
          </cell>
          <cell r="F175">
            <v>900000</v>
          </cell>
          <cell r="G175">
            <v>25930000</v>
          </cell>
          <cell r="H175" t="str">
            <v>X</v>
          </cell>
        </row>
        <row r="176">
          <cell r="B176" t="str">
            <v>TEKADE MITRA INDONESIA, PT</v>
          </cell>
          <cell r="C176">
            <v>5240000</v>
          </cell>
          <cell r="D176">
            <v>17060000</v>
          </cell>
          <cell r="E176">
            <v>2720000</v>
          </cell>
          <cell r="G176">
            <v>25020000</v>
          </cell>
          <cell r="H176" t="str">
            <v>X</v>
          </cell>
        </row>
        <row r="177">
          <cell r="B177" t="str">
            <v>SHARK SURYA DISTRIBUTION, PT</v>
          </cell>
          <cell r="D177">
            <v>24300000</v>
          </cell>
          <cell r="G177">
            <v>24300000</v>
          </cell>
          <cell r="H177" t="str">
            <v>X</v>
          </cell>
        </row>
        <row r="178">
          <cell r="B178" t="str">
            <v>KESAMBI HIJAU, HOTEL</v>
          </cell>
          <cell r="C178">
            <v>9650000</v>
          </cell>
          <cell r="E178">
            <v>11400000</v>
          </cell>
          <cell r="G178">
            <v>21050000</v>
          </cell>
          <cell r="H178" t="str">
            <v>X</v>
          </cell>
        </row>
        <row r="179">
          <cell r="B179" t="str">
            <v>A IRA ANANTA ARMAN</v>
          </cell>
          <cell r="C179">
            <v>5899397</v>
          </cell>
          <cell r="D179">
            <v>6958045</v>
          </cell>
          <cell r="E179">
            <v>6330875</v>
          </cell>
          <cell r="G179">
            <v>19188317</v>
          </cell>
          <cell r="H179" t="str">
            <v>X</v>
          </cell>
        </row>
        <row r="180">
          <cell r="B180" t="str">
            <v>INDONESIA BELTING SOLUTION ,PT</v>
          </cell>
          <cell r="C180">
            <v>8366700</v>
          </cell>
          <cell r="E180">
            <v>10212000</v>
          </cell>
          <cell r="G180">
            <v>18578700</v>
          </cell>
          <cell r="H180" t="str">
            <v>X</v>
          </cell>
        </row>
        <row r="181">
          <cell r="B181" t="str">
            <v>ABADI KEMAS PITADOS, PT</v>
          </cell>
          <cell r="D181">
            <v>18209400</v>
          </cell>
          <cell r="G181">
            <v>18209400</v>
          </cell>
          <cell r="H181" t="str">
            <v>X</v>
          </cell>
        </row>
        <row r="182">
          <cell r="B182" t="str">
            <v>SURYA PRANATA, CV</v>
          </cell>
          <cell r="C182">
            <v>729000</v>
          </cell>
          <cell r="D182">
            <v>12041000</v>
          </cell>
          <cell r="E182">
            <v>3385000</v>
          </cell>
          <cell r="F182">
            <v>1630700</v>
          </cell>
          <cell r="G182">
            <v>17785700</v>
          </cell>
          <cell r="H182" t="str">
            <v>X</v>
          </cell>
        </row>
        <row r="183">
          <cell r="B183" t="str">
            <v>INDOSAT TBK,PT</v>
          </cell>
          <cell r="C183">
            <v>4320000</v>
          </cell>
          <cell r="D183">
            <v>4320000</v>
          </cell>
          <cell r="E183">
            <v>4400000</v>
          </cell>
          <cell r="F183">
            <v>4400000</v>
          </cell>
          <cell r="G183">
            <v>17440000</v>
          </cell>
          <cell r="H183" t="str">
            <v>X</v>
          </cell>
        </row>
        <row r="184">
          <cell r="B184" t="str">
            <v>KURNIA MAKMUR PERKASA ,PT</v>
          </cell>
          <cell r="C184">
            <v>161600</v>
          </cell>
          <cell r="D184">
            <v>3200750</v>
          </cell>
          <cell r="E184">
            <v>3274600</v>
          </cell>
          <cell r="F184">
            <v>4372750</v>
          </cell>
          <cell r="G184">
            <v>11009700</v>
          </cell>
          <cell r="H184" t="str">
            <v>X</v>
          </cell>
        </row>
        <row r="185">
          <cell r="B185" t="str">
            <v>BAMBANG RIANTO</v>
          </cell>
          <cell r="C185">
            <v>3500000</v>
          </cell>
          <cell r="D185">
            <v>3500000</v>
          </cell>
          <cell r="E185">
            <v>3709000</v>
          </cell>
          <cell r="G185">
            <v>10709000</v>
          </cell>
          <cell r="H185" t="str">
            <v>X</v>
          </cell>
        </row>
        <row r="186">
          <cell r="B186" t="str">
            <v>PADMA RADYA AKTUARIA, PT</v>
          </cell>
          <cell r="E186">
            <v>10290000</v>
          </cell>
          <cell r="G186">
            <v>10290000</v>
          </cell>
          <cell r="H186" t="str">
            <v>X</v>
          </cell>
        </row>
        <row r="187">
          <cell r="B187" t="str">
            <v>BUMI RAYA INDONESIA, CV</v>
          </cell>
          <cell r="D187">
            <v>10200000</v>
          </cell>
          <cell r="G187">
            <v>10200000</v>
          </cell>
          <cell r="H187" t="str">
            <v>X</v>
          </cell>
        </row>
        <row r="188">
          <cell r="B188" t="str">
            <v>SOLDER INDONESIA, PT</v>
          </cell>
          <cell r="C188">
            <v>9915000</v>
          </cell>
          <cell r="G188">
            <v>9915000</v>
          </cell>
          <cell r="H188" t="str">
            <v>X</v>
          </cell>
        </row>
        <row r="189">
          <cell r="B189" t="str">
            <v>KARYA TEKNIK MANDIRI, CV</v>
          </cell>
          <cell r="E189">
            <v>8100000</v>
          </cell>
          <cell r="G189">
            <v>8100000</v>
          </cell>
          <cell r="H189" t="str">
            <v>X</v>
          </cell>
        </row>
        <row r="190">
          <cell r="B190" t="str">
            <v>AKURASI SEMARANG TEKNOLOGI INDONESIA, PT</v>
          </cell>
          <cell r="C190">
            <v>4334100</v>
          </cell>
          <cell r="D190">
            <v>1807500</v>
          </cell>
          <cell r="F190">
            <v>1823250</v>
          </cell>
          <cell r="G190">
            <v>7964850</v>
          </cell>
          <cell r="H190" t="str">
            <v>X</v>
          </cell>
        </row>
        <row r="191">
          <cell r="B191" t="str">
            <v>ASIA GROW LOGISTICS</v>
          </cell>
          <cell r="C191">
            <v>1701000</v>
          </cell>
          <cell r="D191">
            <v>2457000</v>
          </cell>
          <cell r="E191">
            <v>1431000</v>
          </cell>
          <cell r="F191">
            <v>2349000</v>
          </cell>
          <cell r="G191">
            <v>7938000</v>
          </cell>
          <cell r="H191" t="str">
            <v>X</v>
          </cell>
        </row>
        <row r="192">
          <cell r="B192" t="str">
            <v>MALACCA TRUST WUWUNGAN INSURANCE, PT</v>
          </cell>
          <cell r="D192">
            <v>3894775</v>
          </cell>
          <cell r="E192">
            <v>3894775</v>
          </cell>
          <cell r="G192">
            <v>7789550</v>
          </cell>
          <cell r="H192" t="str">
            <v>X</v>
          </cell>
        </row>
        <row r="193">
          <cell r="B193" t="str">
            <v>DOU YEE ENTERPRISES, PT</v>
          </cell>
          <cell r="C193">
            <v>3650000</v>
          </cell>
          <cell r="D193">
            <v>2700000</v>
          </cell>
          <cell r="E193">
            <v>1350000</v>
          </cell>
          <cell r="G193">
            <v>7700000</v>
          </cell>
          <cell r="H193" t="str">
            <v>X</v>
          </cell>
        </row>
        <row r="194">
          <cell r="B194" t="str">
            <v>DENKO WAHANA SAKTI, PT</v>
          </cell>
          <cell r="C194">
            <v>180000</v>
          </cell>
          <cell r="D194">
            <v>4736000</v>
          </cell>
          <cell r="E194">
            <v>1936000</v>
          </cell>
          <cell r="G194">
            <v>6852000</v>
          </cell>
          <cell r="H194" t="str">
            <v>X</v>
          </cell>
        </row>
        <row r="195">
          <cell r="B195" t="str">
            <v>BIMA ESTETIKA LESTARI TANGGUH, PT</v>
          </cell>
          <cell r="E195">
            <v>5005000</v>
          </cell>
          <cell r="G195">
            <v>5005000</v>
          </cell>
          <cell r="H195" t="str">
            <v>X</v>
          </cell>
        </row>
        <row r="196">
          <cell r="B196" t="str">
            <v>HEXTA INTEGRAL TECHNOLOGI, PT</v>
          </cell>
          <cell r="D196">
            <v>4840000</v>
          </cell>
          <cell r="G196">
            <v>4840000</v>
          </cell>
          <cell r="H196" t="str">
            <v>X</v>
          </cell>
        </row>
        <row r="197">
          <cell r="B197" t="str">
            <v>SENTRA LUMASINTI NUSANTARA, PT</v>
          </cell>
          <cell r="D197">
            <v>2007500</v>
          </cell>
          <cell r="F197">
            <v>2810500</v>
          </cell>
          <cell r="G197">
            <v>4818000</v>
          </cell>
          <cell r="H197" t="str">
            <v>X</v>
          </cell>
        </row>
        <row r="198">
          <cell r="B198" t="str">
            <v>SEVEN JAYA SENTOSA, CV</v>
          </cell>
          <cell r="F198">
            <v>4200000</v>
          </cell>
          <cell r="G198">
            <v>4200000</v>
          </cell>
          <cell r="H198" t="str">
            <v>X</v>
          </cell>
        </row>
        <row r="199">
          <cell r="B199" t="str">
            <v>NASIONAL MAKMUR SEJAHTERA, PT</v>
          </cell>
          <cell r="C199">
            <v>2964000</v>
          </cell>
          <cell r="E199">
            <v>741000</v>
          </cell>
          <cell r="G199">
            <v>3705000</v>
          </cell>
          <cell r="H199" t="str">
            <v>X</v>
          </cell>
        </row>
        <row r="200">
          <cell r="B200" t="str">
            <v>JAVAPART ELECTRICAL AUTOMATION, CV</v>
          </cell>
          <cell r="D200">
            <v>1150000</v>
          </cell>
          <cell r="E200">
            <v>128250</v>
          </cell>
          <cell r="F200">
            <v>2300000</v>
          </cell>
          <cell r="G200">
            <v>3578250</v>
          </cell>
          <cell r="H200" t="str">
            <v>X</v>
          </cell>
        </row>
        <row r="201">
          <cell r="B201" t="str">
            <v>SMART LAB INDONESIA, PT</v>
          </cell>
          <cell r="D201">
            <v>2295000</v>
          </cell>
          <cell r="F201">
            <v>1147500</v>
          </cell>
          <cell r="G201">
            <v>3442500</v>
          </cell>
          <cell r="H201" t="str">
            <v>X</v>
          </cell>
        </row>
        <row r="202">
          <cell r="B202" t="str">
            <v>SAMARTHA SOLUSI INDONESIA,PT</v>
          </cell>
          <cell r="D202">
            <v>1280321</v>
          </cell>
          <cell r="G202">
            <v>1280321</v>
          </cell>
          <cell r="H202" t="str">
            <v>X</v>
          </cell>
        </row>
        <row r="203">
          <cell r="B203" t="str">
            <v>TIKI JALUR NUGRAHA EKAKURIR,PT</v>
          </cell>
          <cell r="C203">
            <v>250470</v>
          </cell>
          <cell r="D203">
            <v>231660</v>
          </cell>
          <cell r="E203">
            <v>320760</v>
          </cell>
          <cell r="F203">
            <v>355410</v>
          </cell>
          <cell r="G203">
            <v>1158300</v>
          </cell>
          <cell r="H203" t="str">
            <v>X</v>
          </cell>
        </row>
        <row r="204">
          <cell r="B204" t="str">
            <v>LESTARI ENGINEERING CV,</v>
          </cell>
          <cell r="E204">
            <v>650000</v>
          </cell>
          <cell r="F204">
            <v>460000</v>
          </cell>
          <cell r="G204">
            <v>1110000</v>
          </cell>
          <cell r="H204" t="str">
            <v>X</v>
          </cell>
        </row>
        <row r="205">
          <cell r="B205" t="str">
            <v>INDO LOGISTICS</v>
          </cell>
          <cell r="C205">
            <v>861788</v>
          </cell>
          <cell r="G205">
            <v>861788</v>
          </cell>
          <cell r="H205" t="str">
            <v>X</v>
          </cell>
        </row>
        <row r="206">
          <cell r="B206" t="str">
            <v>UPS CARDIG INTERNATIONAL, PT</v>
          </cell>
          <cell r="C206">
            <v>815163</v>
          </cell>
          <cell r="G206">
            <v>815163</v>
          </cell>
          <cell r="H206" t="str">
            <v>X</v>
          </cell>
        </row>
        <row r="207">
          <cell r="B207" t="str">
            <v>BUMI TEKNIK UTAMA,PT</v>
          </cell>
          <cell r="D207">
            <v>648600</v>
          </cell>
          <cell r="G207">
            <v>648600</v>
          </cell>
          <cell r="H207" t="str">
            <v>X</v>
          </cell>
        </row>
        <row r="208">
          <cell r="B208" t="str">
            <v>ANTAREJA PRIMA ANTARAN, PT</v>
          </cell>
          <cell r="E208">
            <v>134640</v>
          </cell>
          <cell r="G208">
            <v>134640</v>
          </cell>
          <cell r="H208" t="str">
            <v>X</v>
          </cell>
        </row>
        <row r="209">
          <cell r="B209" t="str">
            <v>ARI WIJAYANTI</v>
          </cell>
          <cell r="D209">
            <v>2471800</v>
          </cell>
          <cell r="E209">
            <v>2803300</v>
          </cell>
          <cell r="G209">
            <v>5275100</v>
          </cell>
          <cell r="H209" t="str">
            <v>X</v>
          </cell>
        </row>
        <row r="210">
          <cell r="B210" t="str">
            <v>FAST SAMI-TF</v>
          </cell>
          <cell r="D210">
            <v>1740000</v>
          </cell>
          <cell r="E210">
            <v>1710000</v>
          </cell>
          <cell r="F210">
            <v>1710000</v>
          </cell>
          <cell r="G210">
            <v>5160000</v>
          </cell>
          <cell r="H210" t="str">
            <v>X</v>
          </cell>
        </row>
        <row r="211">
          <cell r="B211" t="str">
            <v>SURYA CEMERLANG LOGISTIK</v>
          </cell>
          <cell r="C211">
            <v>3069000</v>
          </cell>
          <cell r="G211">
            <v>3069000</v>
          </cell>
          <cell r="H211" t="str">
            <v>X</v>
          </cell>
        </row>
        <row r="212">
          <cell r="B212" t="str">
            <v>DEWI TRISNAWATI</v>
          </cell>
          <cell r="C212">
            <v>800000</v>
          </cell>
          <cell r="D212">
            <v>800000</v>
          </cell>
          <cell r="E212">
            <v>800000</v>
          </cell>
          <cell r="G212">
            <v>2400000</v>
          </cell>
          <cell r="H212" t="str">
            <v>X</v>
          </cell>
        </row>
        <row r="213">
          <cell r="B213" t="str">
            <v>KRISTIANA PRAMUDITA</v>
          </cell>
          <cell r="C213">
            <v>800000</v>
          </cell>
          <cell r="D213">
            <v>800000</v>
          </cell>
          <cell r="E213">
            <v>800000</v>
          </cell>
          <cell r="G213">
            <v>2400000</v>
          </cell>
          <cell r="H213" t="str">
            <v>X</v>
          </cell>
        </row>
        <row r="214">
          <cell r="B214" t="str">
            <v>YOEN YOEDONO SOEBROTO</v>
          </cell>
          <cell r="E214">
            <v>2362600</v>
          </cell>
          <cell r="G214">
            <v>2362600</v>
          </cell>
          <cell r="H214" t="str">
            <v>X</v>
          </cell>
        </row>
        <row r="215">
          <cell r="B215" t="str">
            <v>HIKMAH JAYA SENTOSA, PT</v>
          </cell>
          <cell r="E215">
            <v>1900000</v>
          </cell>
          <cell r="G215">
            <v>1900000</v>
          </cell>
          <cell r="H215" t="str">
            <v>X</v>
          </cell>
        </row>
        <row r="216">
          <cell r="B216" t="str">
            <v>WENING INDRIYATI</v>
          </cell>
          <cell r="D216">
            <v>1261700</v>
          </cell>
          <cell r="G216">
            <v>1261700</v>
          </cell>
          <cell r="H216" t="str">
            <v>X</v>
          </cell>
        </row>
        <row r="217">
          <cell r="B217" t="str">
            <v>TATSUSYA MATSUSHITA</v>
          </cell>
          <cell r="C217">
            <v>990000</v>
          </cell>
          <cell r="G217">
            <v>990000</v>
          </cell>
          <cell r="H217" t="str">
            <v>X</v>
          </cell>
        </row>
        <row r="218">
          <cell r="B218" t="str">
            <v>TATSUYA MATSUSHITA</v>
          </cell>
          <cell r="D218">
            <v>235475</v>
          </cell>
          <cell r="G218">
            <v>235475</v>
          </cell>
        </row>
        <row r="219">
          <cell r="B219" t="str">
            <v>Grand Total</v>
          </cell>
          <cell r="C219">
            <v>20060488587</v>
          </cell>
          <cell r="D219">
            <v>24124585997</v>
          </cell>
          <cell r="E219">
            <v>21793655136</v>
          </cell>
          <cell r="F219">
            <v>6600547160</v>
          </cell>
          <cell r="G219">
            <v>72579276880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5DACA-37FE-43CC-BB2B-60C565407A13}">
  <sheetPr filterMode="1"/>
  <dimension ref="A2:T48"/>
  <sheetViews>
    <sheetView tabSelected="1" workbookViewId="0">
      <selection activeCell="N21" sqref="N21"/>
    </sheetView>
  </sheetViews>
  <sheetFormatPr defaultRowHeight="15" x14ac:dyDescent="0.25"/>
  <cols>
    <col min="1" max="1" width="6.7109375" customWidth="1"/>
    <col min="2" max="2" width="44.85546875" bestFit="1" customWidth="1"/>
    <col min="3" max="3" width="9.28515625" customWidth="1"/>
    <col min="4" max="8" width="15.7109375" customWidth="1"/>
    <col min="9" max="9" width="11.7109375" customWidth="1"/>
    <col min="10" max="10" width="27.5703125" customWidth="1"/>
    <col min="11" max="11" width="9.140625" customWidth="1"/>
    <col min="12" max="12" width="21.7109375" customWidth="1"/>
    <col min="13" max="13" width="38.28515625" bestFit="1" customWidth="1"/>
    <col min="14" max="14" width="44.42578125" customWidth="1"/>
    <col min="15" max="15" width="10" bestFit="1" customWidth="1"/>
    <col min="19" max="19" width="18" bestFit="1" customWidth="1"/>
  </cols>
  <sheetData>
    <row r="2" spans="1:20" ht="30" x14ac:dyDescent="0.25">
      <c r="A2" s="1" t="s">
        <v>0</v>
      </c>
      <c r="B2" s="1" t="s">
        <v>1</v>
      </c>
      <c r="C2" s="1" t="s">
        <v>2</v>
      </c>
      <c r="D2" s="2">
        <v>44378</v>
      </c>
      <c r="E2" s="2">
        <v>44409</v>
      </c>
      <c r="F2" s="2">
        <v>44440</v>
      </c>
      <c r="G2" s="2">
        <v>44470</v>
      </c>
      <c r="H2" s="1" t="s">
        <v>3</v>
      </c>
      <c r="I2" s="3" t="s">
        <v>4</v>
      </c>
      <c r="J2" s="3" t="s">
        <v>5</v>
      </c>
      <c r="K2" t="s">
        <v>2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</row>
    <row r="3" spans="1:20" ht="30" hidden="1" x14ac:dyDescent="0.25">
      <c r="A3" s="4">
        <v>1</v>
      </c>
      <c r="B3" s="5" t="s">
        <v>15</v>
      </c>
      <c r="C3" s="4" t="s">
        <v>16</v>
      </c>
      <c r="D3" s="6">
        <v>12709000</v>
      </c>
      <c r="E3" s="6">
        <v>374000</v>
      </c>
      <c r="F3" s="6"/>
      <c r="G3" s="6"/>
      <c r="H3" s="6">
        <v>13083000</v>
      </c>
      <c r="I3" s="4" t="s">
        <v>17</v>
      </c>
      <c r="J3" s="7" t="s">
        <v>18</v>
      </c>
      <c r="K3" t="str">
        <f>VLOOKUP(B3,'[1]SUMMARY (2)'!B3:H218,7,0)</f>
        <v>GA</v>
      </c>
      <c r="L3" t="s">
        <v>19</v>
      </c>
    </row>
    <row r="4" spans="1:20" hidden="1" x14ac:dyDescent="0.25">
      <c r="A4" s="4">
        <v>2</v>
      </c>
      <c r="B4" s="5" t="s">
        <v>20</v>
      </c>
      <c r="C4" s="4" t="s">
        <v>16</v>
      </c>
      <c r="D4" s="6">
        <v>1402500</v>
      </c>
      <c r="E4" s="6">
        <v>18074500</v>
      </c>
      <c r="F4" s="6">
        <v>4642000</v>
      </c>
      <c r="G4" s="6"/>
      <c r="H4" s="6">
        <v>24119000</v>
      </c>
      <c r="I4" s="4" t="s">
        <v>17</v>
      </c>
      <c r="J4" s="7" t="s">
        <v>21</v>
      </c>
      <c r="K4" t="str">
        <f>VLOOKUP(B4,'[1]SUMMARY (2)'!B4:H219,7,0)</f>
        <v>GA</v>
      </c>
      <c r="L4" s="8">
        <v>44515</v>
      </c>
      <c r="M4" t="s">
        <v>22</v>
      </c>
      <c r="N4" t="s">
        <v>23</v>
      </c>
    </row>
    <row r="5" spans="1:20" hidden="1" x14ac:dyDescent="0.25">
      <c r="A5" s="4">
        <v>3</v>
      </c>
      <c r="B5" s="5" t="s">
        <v>24</v>
      </c>
      <c r="C5" s="4" t="s">
        <v>25</v>
      </c>
      <c r="D5" s="6">
        <v>1612500</v>
      </c>
      <c r="E5" s="6">
        <v>83760000</v>
      </c>
      <c r="F5" s="6">
        <v>3265500</v>
      </c>
      <c r="G5" s="6">
        <v>2867700</v>
      </c>
      <c r="H5" s="6">
        <v>91505700</v>
      </c>
      <c r="I5" s="4" t="s">
        <v>17</v>
      </c>
      <c r="J5" s="7" t="s">
        <v>21</v>
      </c>
      <c r="K5" t="str">
        <f>VLOOKUP(B5,'[1]SUMMARY (2)'!B5:H220,7,0)</f>
        <v>X</v>
      </c>
      <c r="L5">
        <f>VLOOKUP('summary (3)'!B5,'[1]SUMMARY (2)'!$B$3:$I$218,8,0)</f>
        <v>0</v>
      </c>
    </row>
    <row r="6" spans="1:20" hidden="1" x14ac:dyDescent="0.25">
      <c r="A6" s="4">
        <v>4</v>
      </c>
      <c r="B6" s="5" t="s">
        <v>26</v>
      </c>
      <c r="C6" s="4" t="s">
        <v>16</v>
      </c>
      <c r="D6" s="6">
        <v>26855360</v>
      </c>
      <c r="E6" s="6">
        <v>2420000</v>
      </c>
      <c r="F6" s="6"/>
      <c r="G6" s="6"/>
      <c r="H6" s="6">
        <v>29275360</v>
      </c>
      <c r="I6" s="4" t="s">
        <v>17</v>
      </c>
      <c r="J6" s="7" t="s">
        <v>21</v>
      </c>
      <c r="K6" t="str">
        <f>VLOOKUP(B6,'[1]SUMMARY (2)'!B6:H221,7,0)</f>
        <v>GA</v>
      </c>
      <c r="L6" t="s">
        <v>19</v>
      </c>
    </row>
    <row r="7" spans="1:20" hidden="1" x14ac:dyDescent="0.25">
      <c r="A7" s="4">
        <v>5</v>
      </c>
      <c r="B7" s="5" t="s">
        <v>27</v>
      </c>
      <c r="C7" s="4" t="s">
        <v>28</v>
      </c>
      <c r="D7" s="6">
        <v>20974150</v>
      </c>
      <c r="E7" s="6">
        <v>28172453</v>
      </c>
      <c r="F7" s="6">
        <v>22024798</v>
      </c>
      <c r="G7" s="6">
        <v>5711731</v>
      </c>
      <c r="H7" s="6">
        <v>76883132</v>
      </c>
      <c r="I7" s="4" t="s">
        <v>17</v>
      </c>
      <c r="J7" s="7" t="s">
        <v>21</v>
      </c>
      <c r="K7" t="str">
        <f>VLOOKUP(B7,'[1]SUMMARY (2)'!B7:H222,7,0)</f>
        <v>X</v>
      </c>
      <c r="L7">
        <f>VLOOKUP('summary (3)'!B7,'[1]SUMMARY (2)'!$B$3:$I$218,8,0)</f>
        <v>0</v>
      </c>
    </row>
    <row r="8" spans="1:20" hidden="1" x14ac:dyDescent="0.25">
      <c r="A8" s="4">
        <v>6</v>
      </c>
      <c r="B8" s="5" t="s">
        <v>29</v>
      </c>
      <c r="C8" s="4" t="s">
        <v>16</v>
      </c>
      <c r="D8" s="6">
        <v>6432000</v>
      </c>
      <c r="E8" s="6">
        <v>19488000</v>
      </c>
      <c r="F8" s="6">
        <v>10785600</v>
      </c>
      <c r="G8" s="6">
        <v>9504000</v>
      </c>
      <c r="H8" s="6">
        <v>46209600</v>
      </c>
      <c r="I8" s="4" t="s">
        <v>17</v>
      </c>
      <c r="J8" s="7" t="s">
        <v>30</v>
      </c>
      <c r="K8" t="str">
        <f>VLOOKUP(B8,'[1]SUMMARY (2)'!B8:H223,7,0)</f>
        <v>GA</v>
      </c>
      <c r="L8" t="str">
        <f>VLOOKUP('summary (3)'!B8,'[1]SUMMARY (2)'!$B$3:$I$218,8,0)</f>
        <v>OFF</v>
      </c>
    </row>
    <row r="9" spans="1:20" x14ac:dyDescent="0.25">
      <c r="A9" s="4">
        <v>7</v>
      </c>
      <c r="B9" s="5" t="s">
        <v>31</v>
      </c>
      <c r="C9" s="4" t="s">
        <v>16</v>
      </c>
      <c r="D9" s="6"/>
      <c r="E9" s="6"/>
      <c r="F9" s="6">
        <v>12408000</v>
      </c>
      <c r="G9" s="6">
        <v>12408000</v>
      </c>
      <c r="H9" s="6">
        <v>24816000</v>
      </c>
      <c r="I9" s="4" t="s">
        <v>17</v>
      </c>
      <c r="J9" s="7" t="s">
        <v>21</v>
      </c>
      <c r="K9" t="str">
        <f>VLOOKUP(B9,'[1]SUMMARY (2)'!B9:H224,7,0)</f>
        <v>GA</v>
      </c>
      <c r="L9" s="8">
        <v>44515</v>
      </c>
      <c r="M9" t="s">
        <v>22</v>
      </c>
      <c r="N9" t="s">
        <v>92</v>
      </c>
    </row>
    <row r="10" spans="1:20" ht="45" hidden="1" x14ac:dyDescent="0.25">
      <c r="A10" s="4">
        <v>8</v>
      </c>
      <c r="B10" s="5" t="s">
        <v>32</v>
      </c>
      <c r="C10" s="4" t="s">
        <v>16</v>
      </c>
      <c r="D10" s="6">
        <v>30000</v>
      </c>
      <c r="E10" s="6"/>
      <c r="F10" s="6">
        <v>80900</v>
      </c>
      <c r="G10" s="6">
        <v>28000</v>
      </c>
      <c r="H10" s="6">
        <v>138900</v>
      </c>
      <c r="I10" s="4" t="s">
        <v>17</v>
      </c>
      <c r="J10" s="7" t="s">
        <v>33</v>
      </c>
      <c r="K10" t="str">
        <f>VLOOKUP(B10,'[1]SUMMARY (2)'!B10:H225,7,0)</f>
        <v>GA</v>
      </c>
      <c r="L10" t="s">
        <v>19</v>
      </c>
    </row>
    <row r="11" spans="1:20" hidden="1" x14ac:dyDescent="0.25">
      <c r="A11" s="4">
        <v>9</v>
      </c>
      <c r="B11" s="5" t="s">
        <v>34</v>
      </c>
      <c r="C11" s="4" t="s">
        <v>16</v>
      </c>
      <c r="D11" s="6">
        <v>2229527</v>
      </c>
      <c r="E11" s="6">
        <v>1380463</v>
      </c>
      <c r="F11" s="6">
        <v>1130302</v>
      </c>
      <c r="G11" s="6">
        <v>956309</v>
      </c>
      <c r="H11" s="6">
        <v>5696601</v>
      </c>
      <c r="I11" s="4" t="s">
        <v>17</v>
      </c>
      <c r="J11" s="7" t="s">
        <v>21</v>
      </c>
      <c r="K11" t="str">
        <f>VLOOKUP(B11,'[1]SUMMARY (2)'!B11:H226,7,0)</f>
        <v>GS</v>
      </c>
      <c r="L11" s="8" t="s">
        <v>19</v>
      </c>
      <c r="M11" t="s">
        <v>22</v>
      </c>
      <c r="N11" t="s">
        <v>35</v>
      </c>
    </row>
    <row r="12" spans="1:20" x14ac:dyDescent="0.25">
      <c r="A12" s="4">
        <v>10</v>
      </c>
      <c r="B12" s="5" t="s">
        <v>36</v>
      </c>
      <c r="C12" s="4" t="s">
        <v>16</v>
      </c>
      <c r="D12" s="6">
        <v>26838000</v>
      </c>
      <c r="E12" s="6">
        <v>1620000</v>
      </c>
      <c r="F12" s="6">
        <v>3132000</v>
      </c>
      <c r="G12" s="6"/>
      <c r="H12" s="6">
        <v>31590000</v>
      </c>
      <c r="I12" s="4" t="s">
        <v>17</v>
      </c>
      <c r="J12" s="7" t="s">
        <v>21</v>
      </c>
      <c r="K12" t="s">
        <v>37</v>
      </c>
      <c r="L12" t="s">
        <v>38</v>
      </c>
      <c r="M12" t="s">
        <v>39</v>
      </c>
      <c r="N12" t="s">
        <v>39</v>
      </c>
    </row>
    <row r="13" spans="1:20" x14ac:dyDescent="0.25">
      <c r="A13" s="4">
        <v>11</v>
      </c>
      <c r="B13" s="5" t="s">
        <v>40</v>
      </c>
      <c r="C13" s="4" t="s">
        <v>16</v>
      </c>
      <c r="D13" s="6">
        <v>1764000</v>
      </c>
      <c r="E13" s="6">
        <v>2884800</v>
      </c>
      <c r="F13" s="6"/>
      <c r="G13" s="6">
        <v>161602000</v>
      </c>
      <c r="H13" s="6">
        <v>166250800</v>
      </c>
      <c r="I13" s="4" t="s">
        <v>17</v>
      </c>
      <c r="J13" s="7" t="s">
        <v>21</v>
      </c>
      <c r="K13" t="str">
        <f>VLOOKUP(B13,'[1]SUMMARY (2)'!B13:H227,7,0)</f>
        <v>GA</v>
      </c>
      <c r="L13" t="s">
        <v>38</v>
      </c>
      <c r="N13" t="s">
        <v>39</v>
      </c>
    </row>
    <row r="14" spans="1:20" x14ac:dyDescent="0.25">
      <c r="A14" s="4">
        <v>12</v>
      </c>
      <c r="B14" s="5" t="s">
        <v>41</v>
      </c>
      <c r="C14" s="4" t="s">
        <v>16</v>
      </c>
      <c r="D14" s="6">
        <v>4411000</v>
      </c>
      <c r="E14" s="6">
        <v>103246000</v>
      </c>
      <c r="F14" s="6">
        <v>55956000</v>
      </c>
      <c r="G14" s="6"/>
      <c r="H14" s="6">
        <v>163613000</v>
      </c>
      <c r="I14" s="4" t="s">
        <v>17</v>
      </c>
      <c r="J14" s="7" t="s">
        <v>21</v>
      </c>
      <c r="K14" t="s">
        <v>37</v>
      </c>
      <c r="L14" t="s">
        <v>38</v>
      </c>
      <c r="M14" t="s">
        <v>39</v>
      </c>
      <c r="N14" t="s">
        <v>93</v>
      </c>
    </row>
    <row r="15" spans="1:20" hidden="1" x14ac:dyDescent="0.25">
      <c r="A15" s="4">
        <v>13</v>
      </c>
      <c r="B15" s="5" t="s">
        <v>42</v>
      </c>
      <c r="C15" s="4" t="s">
        <v>25</v>
      </c>
      <c r="D15" s="6">
        <v>8366700</v>
      </c>
      <c r="E15" s="6"/>
      <c r="F15" s="6">
        <v>10212000</v>
      </c>
      <c r="G15" s="6"/>
      <c r="H15" s="6">
        <v>18578700</v>
      </c>
      <c r="I15" s="4" t="s">
        <v>17</v>
      </c>
      <c r="J15" s="7" t="s">
        <v>21</v>
      </c>
      <c r="K15" t="str">
        <f>VLOOKUP(B15,'[1]SUMMARY (2)'!B15:H227,7,0)</f>
        <v>X</v>
      </c>
      <c r="L15">
        <f>VLOOKUP('summary (3)'!B15,'[1]SUMMARY (2)'!$B$3:$I$218,8,0)</f>
        <v>0</v>
      </c>
      <c r="N15" t="s">
        <v>39</v>
      </c>
    </row>
    <row r="16" spans="1:20" hidden="1" x14ac:dyDescent="0.25">
      <c r="A16" s="4">
        <v>14</v>
      </c>
      <c r="B16" s="5" t="s">
        <v>43</v>
      </c>
      <c r="C16" s="4" t="s">
        <v>44</v>
      </c>
      <c r="D16" s="6">
        <v>4320000</v>
      </c>
      <c r="E16" s="6">
        <v>4320000</v>
      </c>
      <c r="F16" s="6">
        <v>4400000</v>
      </c>
      <c r="G16" s="6">
        <v>4400000</v>
      </c>
      <c r="H16" s="6">
        <v>17440000</v>
      </c>
      <c r="I16" s="4" t="s">
        <v>17</v>
      </c>
      <c r="J16" s="7" t="s">
        <v>21</v>
      </c>
      <c r="K16" t="str">
        <f>VLOOKUP(B16,'[1]SUMMARY (2)'!B16:H227,7,0)</f>
        <v>X</v>
      </c>
      <c r="L16">
        <f>VLOOKUP('summary (3)'!B16,'[1]SUMMARY (2)'!$B$3:$I$218,8,0)</f>
        <v>0</v>
      </c>
    </row>
    <row r="17" spans="1:14" hidden="1" x14ac:dyDescent="0.25">
      <c r="A17" s="4">
        <v>15</v>
      </c>
      <c r="B17" s="5" t="s">
        <v>45</v>
      </c>
      <c r="C17" s="4" t="s">
        <v>25</v>
      </c>
      <c r="D17" s="6"/>
      <c r="E17" s="6">
        <v>1150000</v>
      </c>
      <c r="F17" s="6">
        <v>128250</v>
      </c>
      <c r="G17" s="6">
        <v>2300000</v>
      </c>
      <c r="H17" s="6">
        <v>3578250</v>
      </c>
      <c r="I17" s="4" t="s">
        <v>17</v>
      </c>
      <c r="J17" s="7" t="s">
        <v>21</v>
      </c>
      <c r="K17" t="str">
        <f>VLOOKUP(B17,'[1]SUMMARY (2)'!B17:H227,7,0)</f>
        <v>X</v>
      </c>
      <c r="L17">
        <f>VLOOKUP('summary (3)'!B17,'[1]SUMMARY (2)'!$B$3:$I$218,8,0)</f>
        <v>0</v>
      </c>
    </row>
    <row r="18" spans="1:14" hidden="1" x14ac:dyDescent="0.25">
      <c r="A18" s="4">
        <v>16</v>
      </c>
      <c r="B18" s="5" t="s">
        <v>46</v>
      </c>
      <c r="C18" s="4" t="s">
        <v>16</v>
      </c>
      <c r="D18" s="6">
        <v>7650000</v>
      </c>
      <c r="E18" s="6">
        <v>2873000</v>
      </c>
      <c r="F18" s="6">
        <v>2180000</v>
      </c>
      <c r="G18" s="6"/>
      <c r="H18" s="6">
        <v>12703000</v>
      </c>
      <c r="I18" s="4" t="s">
        <v>17</v>
      </c>
      <c r="J18" s="7" t="s">
        <v>21</v>
      </c>
      <c r="K18" t="str">
        <f>VLOOKUP(B18,'[1]SUMMARY (2)'!B18:H227,7,0)</f>
        <v>GA</v>
      </c>
      <c r="L18" s="8">
        <v>44515</v>
      </c>
      <c r="M18" t="s">
        <v>22</v>
      </c>
      <c r="N18" t="s">
        <v>23</v>
      </c>
    </row>
    <row r="19" spans="1:14" hidden="1" x14ac:dyDescent="0.25">
      <c r="A19" s="4">
        <v>17</v>
      </c>
      <c r="B19" s="5" t="s">
        <v>47</v>
      </c>
      <c r="C19" s="4" t="s">
        <v>16</v>
      </c>
      <c r="D19" s="6">
        <v>1697100</v>
      </c>
      <c r="E19" s="6">
        <v>44506000</v>
      </c>
      <c r="F19" s="6">
        <v>2648850</v>
      </c>
      <c r="G19" s="6"/>
      <c r="H19" s="6">
        <v>48851950</v>
      </c>
      <c r="I19" s="4" t="s">
        <v>17</v>
      </c>
      <c r="J19" s="7" t="s">
        <v>21</v>
      </c>
      <c r="K19" t="str">
        <f>VLOOKUP(B19,'[1]SUMMARY (2)'!B19:H227,7,0)</f>
        <v>GA</v>
      </c>
      <c r="L19" s="8">
        <v>44515</v>
      </c>
      <c r="M19" t="s">
        <v>22</v>
      </c>
      <c r="N19" t="s">
        <v>23</v>
      </c>
    </row>
    <row r="20" spans="1:14" hidden="1" x14ac:dyDescent="0.25">
      <c r="A20" s="4">
        <v>18</v>
      </c>
      <c r="B20" s="5" t="s">
        <v>48</v>
      </c>
      <c r="C20" s="4" t="s">
        <v>16</v>
      </c>
      <c r="D20" s="6"/>
      <c r="E20" s="6">
        <v>7680100</v>
      </c>
      <c r="F20" s="6">
        <v>7999400</v>
      </c>
      <c r="G20" s="6"/>
      <c r="H20" s="6">
        <v>15679500</v>
      </c>
      <c r="I20" s="4" t="s">
        <v>17</v>
      </c>
      <c r="J20" s="7" t="s">
        <v>21</v>
      </c>
      <c r="K20" t="str">
        <f>VLOOKUP(B20,'[1]SUMMARY (2)'!B20:H227,7,0)</f>
        <v>GA</v>
      </c>
      <c r="L20" s="8">
        <v>44515</v>
      </c>
      <c r="M20" t="s">
        <v>22</v>
      </c>
      <c r="N20" t="s">
        <v>23</v>
      </c>
    </row>
    <row r="21" spans="1:14" ht="45" x14ac:dyDescent="0.25">
      <c r="A21" s="4">
        <v>19</v>
      </c>
      <c r="B21" s="5" t="s">
        <v>49</v>
      </c>
      <c r="C21" s="4" t="s">
        <v>16</v>
      </c>
      <c r="D21" s="6"/>
      <c r="E21" s="6">
        <v>33915000</v>
      </c>
      <c r="F21" s="6">
        <v>29015000</v>
      </c>
      <c r="G21" s="6"/>
      <c r="H21" s="6">
        <v>62930000</v>
      </c>
      <c r="I21" s="4" t="s">
        <v>17</v>
      </c>
      <c r="J21" s="7" t="s">
        <v>50</v>
      </c>
      <c r="K21" t="str">
        <f>VLOOKUP(B21,'[1]SUMMARY (2)'!B21:H227,7,0)</f>
        <v>GS</v>
      </c>
      <c r="L21" s="8">
        <v>44515</v>
      </c>
      <c r="M21" t="s">
        <v>22</v>
      </c>
      <c r="N21" t="s">
        <v>94</v>
      </c>
    </row>
    <row r="22" spans="1:14" x14ac:dyDescent="0.25">
      <c r="A22" s="4">
        <v>20</v>
      </c>
      <c r="B22" s="5" t="s">
        <v>51</v>
      </c>
      <c r="C22" s="4" t="s">
        <v>52</v>
      </c>
      <c r="D22" s="6">
        <v>19612350</v>
      </c>
      <c r="E22" s="6">
        <v>1378575</v>
      </c>
      <c r="F22" s="6">
        <v>2170000</v>
      </c>
      <c r="G22" s="6">
        <v>6690000</v>
      </c>
      <c r="H22" s="6">
        <v>29850925</v>
      </c>
      <c r="I22" s="4" t="s">
        <v>17</v>
      </c>
      <c r="J22" s="7" t="s">
        <v>21</v>
      </c>
      <c r="K22" t="str">
        <f>VLOOKUP(B22,'[1]SUMMARY (2)'!B22:H227,7,0)</f>
        <v>GA</v>
      </c>
      <c r="L22" s="8">
        <v>44515</v>
      </c>
      <c r="M22" t="s">
        <v>22</v>
      </c>
      <c r="N22" t="s">
        <v>91</v>
      </c>
    </row>
    <row r="23" spans="1:14" hidden="1" x14ac:dyDescent="0.25">
      <c r="A23" s="4">
        <v>21</v>
      </c>
      <c r="B23" s="5" t="s">
        <v>54</v>
      </c>
      <c r="C23" s="4" t="s">
        <v>25</v>
      </c>
      <c r="D23" s="6"/>
      <c r="E23" s="6"/>
      <c r="F23" s="6">
        <v>650000</v>
      </c>
      <c r="G23" s="6">
        <v>460000</v>
      </c>
      <c r="H23" s="6">
        <v>1110000</v>
      </c>
      <c r="I23" s="4" t="s">
        <v>17</v>
      </c>
      <c r="J23" s="7" t="s">
        <v>21</v>
      </c>
      <c r="K23" t="str">
        <f>VLOOKUP(B23,'[1]SUMMARY (2)'!B23:H227,7,0)</f>
        <v>X</v>
      </c>
      <c r="L23">
        <f>VLOOKUP('summary (3)'!B23,'[1]SUMMARY (2)'!$B$3:$I$218,8,0)</f>
        <v>0</v>
      </c>
    </row>
    <row r="24" spans="1:14" hidden="1" x14ac:dyDescent="0.25">
      <c r="A24" s="4">
        <v>22</v>
      </c>
      <c r="B24" s="5" t="s">
        <v>55</v>
      </c>
      <c r="C24" s="4" t="s">
        <v>16</v>
      </c>
      <c r="D24" s="6">
        <v>41750000</v>
      </c>
      <c r="E24" s="6">
        <v>37500000</v>
      </c>
      <c r="F24" s="6">
        <v>35500000</v>
      </c>
      <c r="G24" s="6">
        <v>22750000</v>
      </c>
      <c r="H24" s="6">
        <v>137500000</v>
      </c>
      <c r="I24" s="4" t="s">
        <v>17</v>
      </c>
      <c r="J24" s="7" t="s">
        <v>30</v>
      </c>
      <c r="K24" t="str">
        <f>VLOOKUP(B24,'[1]SUMMARY (2)'!B24:H227,7,0)</f>
        <v>GA</v>
      </c>
      <c r="L24" t="str">
        <f>VLOOKUP('summary (3)'!B24,'[1]SUMMARY (2)'!$B$3:$I$218,8,0)</f>
        <v>OFF</v>
      </c>
    </row>
    <row r="25" spans="1:14" x14ac:dyDescent="0.25">
      <c r="A25" s="4">
        <v>23</v>
      </c>
      <c r="B25" s="5" t="s">
        <v>56</v>
      </c>
      <c r="C25" s="4" t="s">
        <v>16</v>
      </c>
      <c r="D25" s="6"/>
      <c r="E25" s="6"/>
      <c r="F25" s="6">
        <v>28125000</v>
      </c>
      <c r="G25" s="6">
        <v>37500000</v>
      </c>
      <c r="H25" s="6">
        <v>65625000</v>
      </c>
      <c r="I25" s="4" t="s">
        <v>17</v>
      </c>
      <c r="J25" s="7" t="s">
        <v>21</v>
      </c>
      <c r="K25" t="s">
        <v>16</v>
      </c>
      <c r="L25" t="str">
        <f>VLOOKUP('summary (3)'!B25,'[1]SUMMARY (2)'!$B$3:$I$218,8,0)</f>
        <v>ADA</v>
      </c>
      <c r="M25" t="s">
        <v>57</v>
      </c>
    </row>
    <row r="26" spans="1:14" hidden="1" x14ac:dyDescent="0.25">
      <c r="A26" s="4">
        <v>24</v>
      </c>
      <c r="B26" s="5" t="s">
        <v>58</v>
      </c>
      <c r="C26" s="4" t="s">
        <v>28</v>
      </c>
      <c r="D26" s="6">
        <v>17318070</v>
      </c>
      <c r="E26" s="6">
        <v>44402688</v>
      </c>
      <c r="F26" s="6">
        <v>46302300</v>
      </c>
      <c r="G26" s="6">
        <v>152856990</v>
      </c>
      <c r="H26" s="6">
        <v>260880048</v>
      </c>
      <c r="I26" s="4" t="s">
        <v>17</v>
      </c>
      <c r="J26" s="7" t="s">
        <v>21</v>
      </c>
      <c r="K26" t="str">
        <f>VLOOKUP(B26,'[1]SUMMARY (2)'!B26:H227,7,0)</f>
        <v>X</v>
      </c>
      <c r="L26">
        <f>VLOOKUP('summary (3)'!B26,'[1]SUMMARY (2)'!$B$3:$I$218,8,0)</f>
        <v>0</v>
      </c>
    </row>
    <row r="27" spans="1:14" ht="30" hidden="1" x14ac:dyDescent="0.25">
      <c r="A27" s="4">
        <v>25</v>
      </c>
      <c r="B27" s="5" t="s">
        <v>59</v>
      </c>
      <c r="C27" s="4" t="s">
        <v>16</v>
      </c>
      <c r="D27" s="6">
        <v>3300000</v>
      </c>
      <c r="E27" s="6">
        <v>2750000</v>
      </c>
      <c r="F27" s="6"/>
      <c r="G27" s="6"/>
      <c r="H27" s="6">
        <v>6050000</v>
      </c>
      <c r="I27" s="4" t="s">
        <v>17</v>
      </c>
      <c r="J27" s="7" t="s">
        <v>60</v>
      </c>
      <c r="K27" t="str">
        <f>VLOOKUP(B27,'[1]SUMMARY (2)'!B27:H227,7,0)</f>
        <v>GA</v>
      </c>
      <c r="L27" t="str">
        <f>VLOOKUP('summary (3)'!B27,'[1]SUMMARY (2)'!$B$3:$I$218,8,0)</f>
        <v>X</v>
      </c>
    </row>
    <row r="28" spans="1:14" hidden="1" x14ac:dyDescent="0.25">
      <c r="A28" s="4">
        <v>26</v>
      </c>
      <c r="B28" s="5" t="s">
        <v>61</v>
      </c>
      <c r="C28" s="4" t="s">
        <v>25</v>
      </c>
      <c r="D28" s="6">
        <v>7175000</v>
      </c>
      <c r="E28" s="6"/>
      <c r="F28" s="6">
        <v>31425000</v>
      </c>
      <c r="G28" s="6"/>
      <c r="H28" s="6">
        <v>38600000</v>
      </c>
      <c r="I28" s="4" t="s">
        <v>17</v>
      </c>
      <c r="J28" s="7" t="s">
        <v>21</v>
      </c>
      <c r="K28" t="str">
        <f>VLOOKUP(B28,'[1]SUMMARY (2)'!B28:H227,7,0)</f>
        <v>X</v>
      </c>
      <c r="L28">
        <f>VLOOKUP('summary (3)'!B28,'[1]SUMMARY (2)'!$B$3:$I$218,8,0)</f>
        <v>0</v>
      </c>
    </row>
    <row r="29" spans="1:14" hidden="1" x14ac:dyDescent="0.25">
      <c r="A29" s="4">
        <v>27</v>
      </c>
      <c r="B29" s="5" t="s">
        <v>62</v>
      </c>
      <c r="C29" s="4" t="s">
        <v>25</v>
      </c>
      <c r="D29" s="6">
        <v>2964000</v>
      </c>
      <c r="E29" s="6"/>
      <c r="F29" s="6">
        <v>741000</v>
      </c>
      <c r="G29" s="6"/>
      <c r="H29" s="6">
        <v>3705000</v>
      </c>
      <c r="I29" s="4" t="s">
        <v>17</v>
      </c>
      <c r="J29" s="7" t="s">
        <v>21</v>
      </c>
      <c r="K29" t="str">
        <f>VLOOKUP(B29,'[1]SUMMARY (2)'!B29:H227,7,0)</f>
        <v>X</v>
      </c>
      <c r="L29">
        <f>VLOOKUP('summary (3)'!B29,'[1]SUMMARY (2)'!$B$3:$I$218,8,0)</f>
        <v>0</v>
      </c>
    </row>
    <row r="30" spans="1:14" hidden="1" x14ac:dyDescent="0.25">
      <c r="A30" s="4">
        <v>28</v>
      </c>
      <c r="B30" s="5" t="s">
        <v>63</v>
      </c>
      <c r="C30" s="4" t="s">
        <v>64</v>
      </c>
      <c r="D30" s="6"/>
      <c r="E30" s="6">
        <v>25251500</v>
      </c>
      <c r="F30" s="6">
        <v>35980500</v>
      </c>
      <c r="G30" s="6"/>
      <c r="H30" s="6">
        <v>61232000</v>
      </c>
      <c r="I30" s="4" t="s">
        <v>17</v>
      </c>
      <c r="J30" s="7" t="s">
        <v>21</v>
      </c>
      <c r="K30" t="str">
        <f>VLOOKUP(B30,'[1]SUMMARY (2)'!B30:H227,7,0)</f>
        <v>X</v>
      </c>
      <c r="L30" t="str">
        <f>VLOOKUP('summary (3)'!B30,'[1]SUMMARY (2)'!$B$3:$I$218,8,0)</f>
        <v>X</v>
      </c>
    </row>
    <row r="31" spans="1:14" hidden="1" x14ac:dyDescent="0.25">
      <c r="A31" s="4">
        <v>29</v>
      </c>
      <c r="B31" s="5" t="s">
        <v>65</v>
      </c>
      <c r="C31" s="4" t="s">
        <v>28</v>
      </c>
      <c r="D31" s="6">
        <v>5605974</v>
      </c>
      <c r="E31" s="6">
        <v>18344205</v>
      </c>
      <c r="F31" s="6">
        <v>50655528</v>
      </c>
      <c r="G31" s="6"/>
      <c r="H31" s="6">
        <v>74605707</v>
      </c>
      <c r="I31" s="4" t="s">
        <v>17</v>
      </c>
      <c r="J31" s="7" t="s">
        <v>21</v>
      </c>
      <c r="K31" t="str">
        <f>VLOOKUP(B31,'[1]SUMMARY (2)'!B31:H227,7,0)</f>
        <v>X</v>
      </c>
      <c r="L31">
        <f>VLOOKUP('summary (3)'!B31,'[1]SUMMARY (2)'!$B$3:$I$218,8,0)</f>
        <v>0</v>
      </c>
    </row>
    <row r="32" spans="1:14" hidden="1" x14ac:dyDescent="0.25">
      <c r="A32" s="4">
        <v>30</v>
      </c>
      <c r="B32" s="5" t="s">
        <v>66</v>
      </c>
      <c r="C32" s="4" t="s">
        <v>67</v>
      </c>
      <c r="D32" s="6"/>
      <c r="E32" s="6">
        <v>2989580</v>
      </c>
      <c r="F32" s="6">
        <v>597410</v>
      </c>
      <c r="G32" s="6">
        <v>502480</v>
      </c>
      <c r="H32" s="6">
        <v>4089470</v>
      </c>
      <c r="I32" s="4" t="s">
        <v>17</v>
      </c>
      <c r="J32" s="7" t="s">
        <v>21</v>
      </c>
      <c r="K32" t="str">
        <f>VLOOKUP(B32,'[1]SUMMARY (2)'!B32:H227,7,0)</f>
        <v>GA</v>
      </c>
      <c r="L32" s="8">
        <v>44515</v>
      </c>
      <c r="M32" t="s">
        <v>22</v>
      </c>
      <c r="N32" t="s">
        <v>23</v>
      </c>
    </row>
    <row r="33" spans="1:14" x14ac:dyDescent="0.25">
      <c r="A33" s="4">
        <v>31</v>
      </c>
      <c r="B33" s="5" t="s">
        <v>68</v>
      </c>
      <c r="C33" s="4" t="s">
        <v>16</v>
      </c>
      <c r="D33" s="6">
        <v>3978340</v>
      </c>
      <c r="E33" s="6">
        <v>1510000</v>
      </c>
      <c r="F33" s="6">
        <v>120180804</v>
      </c>
      <c r="G33" s="6">
        <v>7104804</v>
      </c>
      <c r="H33" s="6">
        <v>132773948</v>
      </c>
      <c r="I33" s="4" t="s">
        <v>17</v>
      </c>
      <c r="J33" s="7" t="s">
        <v>21</v>
      </c>
      <c r="K33" t="str">
        <f>VLOOKUP(B33,'[1]SUMMARY (2)'!B33:H227,7,0)</f>
        <v>GA</v>
      </c>
      <c r="L33" t="s">
        <v>38</v>
      </c>
      <c r="N33" t="s">
        <v>91</v>
      </c>
    </row>
    <row r="34" spans="1:14" hidden="1" x14ac:dyDescent="0.25">
      <c r="A34" s="4">
        <v>32</v>
      </c>
      <c r="B34" s="5" t="s">
        <v>69</v>
      </c>
      <c r="C34" s="4" t="s">
        <v>16</v>
      </c>
      <c r="D34" s="6">
        <v>42500000</v>
      </c>
      <c r="E34" s="6">
        <v>42500000</v>
      </c>
      <c r="F34" s="6">
        <v>54000000</v>
      </c>
      <c r="G34" s="6">
        <v>47000000</v>
      </c>
      <c r="H34" s="6">
        <v>186000000</v>
      </c>
      <c r="I34" s="4" t="s">
        <v>17</v>
      </c>
      <c r="J34" s="7" t="s">
        <v>30</v>
      </c>
      <c r="K34" t="str">
        <f>VLOOKUP(B34,'[1]SUMMARY (2)'!B34:H227,7,0)</f>
        <v>GA</v>
      </c>
      <c r="L34" t="str">
        <f>VLOOKUP('summary (3)'!B34,'[1]SUMMARY (2)'!$B$3:$I$218,8,0)</f>
        <v>OFF</v>
      </c>
    </row>
    <row r="35" spans="1:14" ht="45.75" hidden="1" customHeight="1" x14ac:dyDescent="0.25">
      <c r="A35" s="4">
        <v>33</v>
      </c>
      <c r="B35" s="5" t="s">
        <v>70</v>
      </c>
      <c r="C35" s="4" t="s">
        <v>16</v>
      </c>
      <c r="D35" s="6"/>
      <c r="E35" s="6">
        <v>11200000</v>
      </c>
      <c r="F35" s="6">
        <v>12600000</v>
      </c>
      <c r="G35" s="6"/>
      <c r="H35" s="6">
        <v>23800000</v>
      </c>
      <c r="I35" s="4" t="s">
        <v>17</v>
      </c>
      <c r="J35" s="7" t="s">
        <v>71</v>
      </c>
      <c r="K35" t="str">
        <f>VLOOKUP(B35,'[1]SUMMARY (2)'!B35:H227,7,0)</f>
        <v>GA</v>
      </c>
      <c r="L35" s="8">
        <v>44515</v>
      </c>
      <c r="M35" t="s">
        <v>22</v>
      </c>
      <c r="N35" t="s">
        <v>23</v>
      </c>
    </row>
    <row r="36" spans="1:14" x14ac:dyDescent="0.25">
      <c r="A36" s="4">
        <v>34</v>
      </c>
      <c r="B36" s="5" t="s">
        <v>72</v>
      </c>
      <c r="C36" s="4" t="s">
        <v>16</v>
      </c>
      <c r="D36" s="6">
        <v>40015000</v>
      </c>
      <c r="E36" s="6">
        <v>42415000</v>
      </c>
      <c r="F36" s="6">
        <v>5490000</v>
      </c>
      <c r="G36" s="6"/>
      <c r="H36" s="6">
        <v>87920000</v>
      </c>
      <c r="I36" s="4" t="s">
        <v>17</v>
      </c>
      <c r="J36" s="7" t="s">
        <v>21</v>
      </c>
      <c r="K36" t="str">
        <f>VLOOKUP(B36,'[1]SUMMARY (2)'!B36:H227,7,0)</f>
        <v>GA</v>
      </c>
      <c r="L36" t="s">
        <v>38</v>
      </c>
      <c r="N36" t="s">
        <v>73</v>
      </c>
    </row>
    <row r="37" spans="1:14" hidden="1" x14ac:dyDescent="0.25">
      <c r="A37" s="4">
        <v>35</v>
      </c>
      <c r="B37" s="5" t="s">
        <v>74</v>
      </c>
      <c r="C37" s="4" t="s">
        <v>25</v>
      </c>
      <c r="D37" s="6"/>
      <c r="E37" s="6">
        <v>2007500</v>
      </c>
      <c r="F37" s="6"/>
      <c r="G37" s="6">
        <v>2810500</v>
      </c>
      <c r="H37" s="6">
        <v>4818000</v>
      </c>
      <c r="I37" s="4" t="s">
        <v>17</v>
      </c>
      <c r="J37" s="7" t="s">
        <v>21</v>
      </c>
      <c r="K37" t="str">
        <f>VLOOKUP(B37,'[1]SUMMARY (2)'!B37:H228,7,0)</f>
        <v>X</v>
      </c>
      <c r="L37">
        <f>VLOOKUP('summary (3)'!B37,'[1]SUMMARY (2)'!$B$3:$I$218,8,0)</f>
        <v>0</v>
      </c>
    </row>
    <row r="38" spans="1:14" x14ac:dyDescent="0.25">
      <c r="A38" s="4">
        <v>36</v>
      </c>
      <c r="B38" s="5" t="s">
        <v>75</v>
      </c>
      <c r="C38" s="4" t="s">
        <v>52</v>
      </c>
      <c r="D38" s="6">
        <v>36028800</v>
      </c>
      <c r="E38" s="6">
        <v>42051900</v>
      </c>
      <c r="F38" s="6">
        <v>20785300</v>
      </c>
      <c r="G38" s="6">
        <v>13612000</v>
      </c>
      <c r="H38" s="6">
        <v>112478000</v>
      </c>
      <c r="I38" s="4" t="s">
        <v>17</v>
      </c>
      <c r="J38" s="7" t="s">
        <v>21</v>
      </c>
      <c r="K38" t="str">
        <f>VLOOKUP(B38,'[1]SUMMARY (2)'!B38:H229,7,0)</f>
        <v>GA</v>
      </c>
      <c r="L38" s="8">
        <v>44515</v>
      </c>
      <c r="M38" t="s">
        <v>22</v>
      </c>
      <c r="N38" t="s">
        <v>76</v>
      </c>
    </row>
    <row r="39" spans="1:14" hidden="1" x14ac:dyDescent="0.25">
      <c r="A39" s="4">
        <v>37</v>
      </c>
      <c r="B39" s="5" t="s">
        <v>77</v>
      </c>
      <c r="C39" s="4" t="s">
        <v>25</v>
      </c>
      <c r="D39" s="6"/>
      <c r="E39" s="6">
        <v>2295000</v>
      </c>
      <c r="F39" s="6"/>
      <c r="G39" s="6">
        <v>1147500</v>
      </c>
      <c r="H39" s="6">
        <v>3442500</v>
      </c>
      <c r="I39" s="4" t="s">
        <v>17</v>
      </c>
      <c r="J39" s="7" t="s">
        <v>21</v>
      </c>
      <c r="K39" t="str">
        <f>VLOOKUP(B39,'[1]SUMMARY (2)'!B39:H230,7,0)</f>
        <v>X</v>
      </c>
      <c r="L39">
        <f>VLOOKUP('summary (3)'!B39,'[1]SUMMARY (2)'!$B$3:$I$218,8,0)</f>
        <v>0</v>
      </c>
    </row>
    <row r="40" spans="1:14" x14ac:dyDescent="0.25">
      <c r="A40" s="4">
        <v>38</v>
      </c>
      <c r="B40" s="5" t="s">
        <v>78</v>
      </c>
      <c r="C40" s="4" t="s">
        <v>16</v>
      </c>
      <c r="D40" s="6">
        <v>5226000</v>
      </c>
      <c r="E40" s="6">
        <v>681000</v>
      </c>
      <c r="F40" s="6">
        <v>5576000</v>
      </c>
      <c r="G40" s="6"/>
      <c r="H40" s="6">
        <v>11483000</v>
      </c>
      <c r="I40" s="4" t="s">
        <v>17</v>
      </c>
      <c r="J40" s="7" t="s">
        <v>21</v>
      </c>
      <c r="K40" t="str">
        <f>VLOOKUP(B40,'[1]SUMMARY (2)'!B40:H231,7,0)</f>
        <v>GA</v>
      </c>
      <c r="L40" t="s">
        <v>38</v>
      </c>
      <c r="N40" t="s">
        <v>79</v>
      </c>
    </row>
    <row r="41" spans="1:14" hidden="1" x14ac:dyDescent="0.25">
      <c r="A41" s="4">
        <v>39</v>
      </c>
      <c r="B41" s="5" t="s">
        <v>80</v>
      </c>
      <c r="C41" s="4" t="s">
        <v>16</v>
      </c>
      <c r="D41" s="6">
        <v>27500000</v>
      </c>
      <c r="E41" s="6">
        <v>23375000</v>
      </c>
      <c r="F41" s="6">
        <v>11000000</v>
      </c>
      <c r="G41" s="6"/>
      <c r="H41" s="6">
        <v>61875000</v>
      </c>
      <c r="I41" s="4" t="s">
        <v>17</v>
      </c>
      <c r="J41" s="7" t="s">
        <v>30</v>
      </c>
      <c r="K41" t="str">
        <f>VLOOKUP(B41,'[1]SUMMARY (2)'!B41:H232,7,0)</f>
        <v>GA</v>
      </c>
      <c r="L41" t="str">
        <f>VLOOKUP('summary (3)'!B41,'[1]SUMMARY (2)'!$B$3:$I$218,8,0)</f>
        <v>OFF</v>
      </c>
    </row>
    <row r="42" spans="1:14" x14ac:dyDescent="0.25">
      <c r="A42" s="4">
        <v>40</v>
      </c>
      <c r="B42" s="5" t="s">
        <v>81</v>
      </c>
      <c r="C42" s="4" t="s">
        <v>16</v>
      </c>
      <c r="D42" s="6">
        <v>51116400</v>
      </c>
      <c r="E42" s="6">
        <v>16416000</v>
      </c>
      <c r="F42" s="6">
        <v>31752000</v>
      </c>
      <c r="G42" s="6">
        <v>7560000</v>
      </c>
      <c r="H42" s="6">
        <v>106844400</v>
      </c>
      <c r="I42" s="4" t="s">
        <v>17</v>
      </c>
      <c r="J42" s="7" t="s">
        <v>21</v>
      </c>
      <c r="K42" t="str">
        <f>VLOOKUP(B42,'[1]SUMMARY (2)'!B42:H233,7,0)</f>
        <v>GA</v>
      </c>
      <c r="L42" t="s">
        <v>38</v>
      </c>
      <c r="N42" t="s">
        <v>82</v>
      </c>
    </row>
    <row r="43" spans="1:14" x14ac:dyDescent="0.25">
      <c r="A43" s="4">
        <v>41</v>
      </c>
      <c r="B43" s="5" t="s">
        <v>83</v>
      </c>
      <c r="C43" s="4" t="s">
        <v>16</v>
      </c>
      <c r="D43" s="6">
        <v>14148000</v>
      </c>
      <c r="E43" s="6"/>
      <c r="F43" s="6">
        <v>7560000</v>
      </c>
      <c r="G43" s="6">
        <v>3780000</v>
      </c>
      <c r="H43" s="6">
        <v>25488000</v>
      </c>
      <c r="I43" s="4" t="s">
        <v>17</v>
      </c>
      <c r="J43" s="7" t="s">
        <v>21</v>
      </c>
      <c r="K43" t="str">
        <f>VLOOKUP(B43,'[1]SUMMARY (2)'!B43:H234,7,0)</f>
        <v>GA</v>
      </c>
      <c r="L43" t="s">
        <v>38</v>
      </c>
      <c r="N43" t="s">
        <v>82</v>
      </c>
    </row>
    <row r="44" spans="1:14" hidden="1" x14ac:dyDescent="0.25">
      <c r="A44" s="4">
        <v>42</v>
      </c>
      <c r="B44" s="5" t="s">
        <v>84</v>
      </c>
      <c r="C44" s="4" t="s">
        <v>25</v>
      </c>
      <c r="D44" s="6">
        <v>5240000</v>
      </c>
      <c r="E44" s="6">
        <v>17060000</v>
      </c>
      <c r="F44" s="6">
        <v>2720000</v>
      </c>
      <c r="G44" s="6"/>
      <c r="H44" s="6">
        <v>25020000</v>
      </c>
      <c r="I44" s="4" t="s">
        <v>17</v>
      </c>
      <c r="J44" s="7" t="s">
        <v>21</v>
      </c>
      <c r="K44" t="str">
        <f>VLOOKUP(B44,'[1]SUMMARY (2)'!B44:H235,7,0)</f>
        <v>X</v>
      </c>
      <c r="L44">
        <f>VLOOKUP('summary (3)'!B44,'[1]SUMMARY (2)'!$B$3:$I$218,8,0)</f>
        <v>0</v>
      </c>
    </row>
    <row r="45" spans="1:14" hidden="1" x14ac:dyDescent="0.25">
      <c r="A45" s="4">
        <v>43</v>
      </c>
      <c r="B45" s="5" t="s">
        <v>85</v>
      </c>
      <c r="C45" s="4" t="s">
        <v>28</v>
      </c>
      <c r="D45" s="6">
        <v>250470</v>
      </c>
      <c r="E45" s="6">
        <v>231660</v>
      </c>
      <c r="F45" s="6">
        <v>320760</v>
      </c>
      <c r="G45" s="6">
        <v>355410</v>
      </c>
      <c r="H45" s="6">
        <v>1158300</v>
      </c>
      <c r="I45" s="4" t="s">
        <v>17</v>
      </c>
      <c r="J45" s="7" t="s">
        <v>21</v>
      </c>
      <c r="K45" t="str">
        <f>VLOOKUP(B45,'[1]SUMMARY (2)'!B45:H236,7,0)</f>
        <v>X</v>
      </c>
      <c r="L45">
        <f>VLOOKUP('summary (3)'!B45,'[1]SUMMARY (2)'!$B$3:$I$218,8,0)</f>
        <v>0</v>
      </c>
    </row>
    <row r="46" spans="1:14" hidden="1" x14ac:dyDescent="0.25">
      <c r="A46" s="4">
        <v>44</v>
      </c>
      <c r="B46" s="5" t="s">
        <v>86</v>
      </c>
      <c r="C46" s="4" t="s">
        <v>16</v>
      </c>
      <c r="D46" s="6"/>
      <c r="E46" s="6">
        <v>1450000</v>
      </c>
      <c r="F46" s="6">
        <v>350000</v>
      </c>
      <c r="G46" s="6"/>
      <c r="H46" s="6">
        <v>1800000</v>
      </c>
      <c r="I46" s="4" t="s">
        <v>17</v>
      </c>
      <c r="J46" s="7" t="s">
        <v>21</v>
      </c>
      <c r="K46" t="str">
        <f>VLOOKUP(B46,'[1]SUMMARY (2)'!B46:H237,7,0)</f>
        <v>GA</v>
      </c>
      <c r="L46" s="8" t="s">
        <v>19</v>
      </c>
      <c r="M46" t="s">
        <v>87</v>
      </c>
      <c r="N46" t="s">
        <v>53</v>
      </c>
    </row>
    <row r="47" spans="1:14" hidden="1" x14ac:dyDescent="0.25">
      <c r="A47" s="4">
        <v>45</v>
      </c>
      <c r="B47" s="5" t="s">
        <v>88</v>
      </c>
      <c r="C47" s="4" t="s">
        <v>16</v>
      </c>
      <c r="D47" s="6">
        <v>2475000</v>
      </c>
      <c r="E47" s="6"/>
      <c r="F47" s="6">
        <v>4950000</v>
      </c>
      <c r="G47" s="6">
        <v>4950000</v>
      </c>
      <c r="H47" s="6">
        <v>12375000</v>
      </c>
      <c r="I47" s="4" t="s">
        <v>17</v>
      </c>
      <c r="J47" s="7" t="s">
        <v>21</v>
      </c>
      <c r="K47" t="str">
        <f>VLOOKUP(B47,'[1]SUMMARY (2)'!B47:H238,7,0)</f>
        <v>GA</v>
      </c>
      <c r="L47" s="8" t="s">
        <v>19</v>
      </c>
      <c r="M47" t="s">
        <v>22</v>
      </c>
      <c r="N47" t="s">
        <v>53</v>
      </c>
    </row>
    <row r="48" spans="1:14" x14ac:dyDescent="0.25">
      <c r="A48" s="4">
        <v>46</v>
      </c>
      <c r="B48" s="5" t="s">
        <v>89</v>
      </c>
      <c r="C48" s="4" t="s">
        <v>16</v>
      </c>
      <c r="D48" s="6">
        <v>71910000</v>
      </c>
      <c r="E48" s="6">
        <v>36720000</v>
      </c>
      <c r="F48" s="6">
        <v>43605000</v>
      </c>
      <c r="G48" s="6"/>
      <c r="H48" s="6">
        <v>152235000</v>
      </c>
      <c r="I48" s="4" t="s">
        <v>17</v>
      </c>
      <c r="J48" s="7" t="s">
        <v>21</v>
      </c>
      <c r="K48" t="str">
        <f>VLOOKUP(B48,'[1]SUMMARY (2)'!B48:H239,7,0)</f>
        <v>GS</v>
      </c>
      <c r="L48" s="8">
        <v>44515</v>
      </c>
      <c r="M48" t="s">
        <v>22</v>
      </c>
      <c r="N48" t="s">
        <v>90</v>
      </c>
    </row>
  </sheetData>
  <autoFilter ref="A2:T48" xr:uid="{5FDC23AD-CD20-43A8-A7DC-A8C719BAB25C}">
    <filterColumn colId="2">
      <filters>
        <filter val="GA"/>
        <filter val="LD/GA"/>
        <filter val="MTP/GA"/>
      </filters>
    </filterColumn>
    <filterColumn colId="11">
      <filters>
        <filter val="ADA"/>
        <filter val="Wajib"/>
        <dateGroupItem year="2021" dateTimeGrouping="year"/>
      </filters>
    </filterColumn>
    <filterColumn colId="13">
      <filters blank="1">
        <filter val="belum mbalik dari central"/>
        <filter val="bukan kontrak pembelian(jadi draft berbeda)"/>
        <filter val="draft akan langsung ttd dari vendor isi sama dengan cipta cemerlang"/>
        <filter val="draft dari vendor dikirim hari ini 30 nov 2021"/>
        <filter val="draft nanti untuk pekerjan"/>
        <filter val="Kontrak"/>
        <filter val="minta draft disamakan dengan jepara"/>
        <filter val="pak sulis belumbalas"/>
        <filter val="proses masih di cek vendor karena pembelian oleh mtp dan ga"/>
        <filter val="sudah ada dari pasi untuk all avilia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GA-06</dc:creator>
  <cp:lastModifiedBy>GA-06</cp:lastModifiedBy>
  <dcterms:created xsi:type="dcterms:W3CDTF">2021-11-30T05:20:15Z</dcterms:created>
  <dcterms:modified xsi:type="dcterms:W3CDTF">2021-11-30T09:36:23Z</dcterms:modified>
</cp:coreProperties>
</file>