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E DATA\PUTRI MEI E\3. TERM 83\2. DATA SCAN\4. SCAN PERJALANAN DINAS\2. AGUSTUS\PEMI\"/>
    </mc:Choice>
  </mc:AlternateContent>
  <xr:revisionPtr revIDLastSave="0" documentId="13_ncr:1_{1F2DDE9A-69AE-4732-A5B8-32F2B9F50F15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BUDGET PR" sheetId="27" r:id="rId1"/>
    <sheet name="HOTEL" sheetId="2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C210343">'[1]DIRECT EFFICIENCY'!#REF!</definedName>
    <definedName name="______C210343">'[2]DIRECT EFFICIENCY'!#REF!</definedName>
    <definedName name="_____C210343">'[3]DIRECT EFFICIENCY'!#REF!</definedName>
    <definedName name="____C210343">'[3]DIRECT EFFICIENCY'!#REF!</definedName>
    <definedName name="___C210343">'[4]DIRECT EFFICIENCY'!#REF!</definedName>
    <definedName name="__123Graph_A" hidden="1">[5]MOTO!#REF!</definedName>
    <definedName name="__123Graph_ANEONﾚｰﾀﾞｰ" hidden="1">[6]集計ﾘｽﾄ!#REF!</definedName>
    <definedName name="__123Graph_B" hidden="1">[7]ﾀﾘﾌ!#REF!</definedName>
    <definedName name="__123Graph_C" hidden="1">[7]ﾀﾘﾌ!#REF!</definedName>
    <definedName name="__123Graph_E" hidden="1">'[8]schedule - 08'!#REF!</definedName>
    <definedName name="__123Graph_LBL_A" hidden="1">[9]静ﾊﾟﾀﾝ分析!$AA$37:$AG$37</definedName>
    <definedName name="__123Graph_X" hidden="1">[5]MOTO!#REF!</definedName>
    <definedName name="__1Excel_BuiltIn__FilterDatabase_1_1">#REF!</definedName>
    <definedName name="__1Excel_BuiltIn__FilterDatabase_1_1_9">#REF!</definedName>
    <definedName name="__C210343">'[3]DIRECT EFFICIENCY'!#REF!</definedName>
    <definedName name="__IntlFixup" hidden="1">TRUE</definedName>
    <definedName name="__PL1" hidden="1">'[10]S-PLAN'!$I$582:$P$582</definedName>
    <definedName name="_1__123Graph_Aｸﾞﾗﾌ_10" hidden="1">[11]報告№②ー１!$AF$36:$AT$36</definedName>
    <definedName name="_10__123Graph_Cｸﾞﾗﾌ_2" hidden="1">[11]報告№②ー１!#REF!</definedName>
    <definedName name="_108__123Graph_Aｸﾞﾗﾌ_12" hidden="1">[11]報告№②ー１!#REF!</definedName>
    <definedName name="_109__123Graph_Bｸﾞﾗﾌ_1" hidden="1">#REF!</definedName>
    <definedName name="_11__123Graph_Cｸﾞﾗﾌ_4" hidden="1">[11]報告№②ー１!$AF$38:$AT$38</definedName>
    <definedName name="_110__123Graph_Bｸﾞﾗﾌ_10" hidden="1">[11]報告№②ー１!$AF$37:$AT$37</definedName>
    <definedName name="_111__123Graph_Bｸﾞﾗﾌ_11" hidden="1">[11]報告№②ー１!$AF$59:$AT$59</definedName>
    <definedName name="_12__123Graph_Cｸﾞﾗﾌ_5" hidden="1">[11]報告№②ー１!#REF!</definedName>
    <definedName name="_120__123Graph_Bｸﾞﾗﾌ_12" hidden="1">[11]報告№②ー１!#REF!</definedName>
    <definedName name="_124__123Graph_Bｸﾞﾗﾌ_13" hidden="1">#REF!</definedName>
    <definedName name="_125__123Graph_Cｸﾞﾗﾌ_1" hidden="1">[11]報告№②ー１!$AF$38:$AT$38</definedName>
    <definedName name="_126__123Graph_Cｸﾞﾗﾌ_10" hidden="1">[11]報告№②ー１!$AF$38:$AT$38</definedName>
    <definedName name="_13__123Graph_Cｸﾞﾗﾌ_7" hidden="1">[11]報告№②ー１!$AF$38:$AT$38</definedName>
    <definedName name="_135__123Graph_Cｸﾞﾗﾌ_2" hidden="1">[11]報告№②ー１!#REF!</definedName>
    <definedName name="_136__123Graph_Cｸﾞﾗﾌ_4" hidden="1">[11]報告№②ー１!$AF$38:$AT$38</definedName>
    <definedName name="_14__123Graph_Cｸﾞﾗﾌ_8" hidden="1">[11]報告№②ー１!#REF!</definedName>
    <definedName name="_145__123Graph_Cｸﾞﾗﾌ_5" hidden="1">[11]報告№②ー１!#REF!</definedName>
    <definedName name="_146__123Graph_Cｸﾞﾗﾌ_7" hidden="1">[11]報告№②ー１!$AF$38:$AT$38</definedName>
    <definedName name="_15__123Graph_AC04C_ALL_L1" hidden="1">[5]MOTO!#REF!</definedName>
    <definedName name="_15__123Graph_Dｸﾞﾗﾌ_1" hidden="1">[11]報告№②ー１!$AF$39:$AT$39</definedName>
    <definedName name="_155__123Graph_Cｸﾞﾗﾌ_8" hidden="1">[11]報告№②ー１!#REF!</definedName>
    <definedName name="_156__123Graph_Dｸﾞﾗﾌ_1" hidden="1">[11]報告№②ー１!$AF$39:$AT$39</definedName>
    <definedName name="_157__123Graph_Dｸﾞﾗﾌ_10" hidden="1">[11]報告№②ー１!$AF$39:$AT$39</definedName>
    <definedName name="_16__123Graph_Dｸﾞﾗﾌ_10" hidden="1">[11]報告№②ー１!$AF$39:$AT$39</definedName>
    <definedName name="_166__123Graph_Dｸﾞﾗﾌ_2" hidden="1">[11]報告№②ー１!#REF!</definedName>
    <definedName name="_167__123Graph_Dｸﾞﾗﾌ_4" hidden="1">[11]報告№②ー１!$AF$39:$AT$39</definedName>
    <definedName name="_17__123Graph_Dｸﾞﾗﾌ_2" hidden="1">[11]報告№②ー１!#REF!</definedName>
    <definedName name="_176__123Graph_Dｸﾞﾗﾌ_5" hidden="1">[11]報告№②ー１!#REF!</definedName>
    <definedName name="_177__123Graph_Dｸﾞﾗﾌ_7" hidden="1">[11]報告№②ー１!$AF$39:$AT$39</definedName>
    <definedName name="_18__123Graph_Dｸﾞﾗﾌ_4" hidden="1">[11]報告№②ー１!$AF$39:$AT$39</definedName>
    <definedName name="_186__123Graph_Dｸﾞﾗﾌ_8" hidden="1">[11]報告№②ー１!#REF!</definedName>
    <definedName name="_187__123Graph_Eｸﾞﾗﾌ_1" hidden="1">#REF!</definedName>
    <definedName name="_188__123Graph_Eｸﾞﾗﾌ_10" hidden="1">[11]報告№②ー１!$AF$40:$AT$40</definedName>
    <definedName name="_189__123Graph_Fｸﾞﾗﾌ_10" hidden="1">[11]報告№②ー１!$AF$41:$AT$41</definedName>
    <definedName name="_19__123Graph_Dｸﾞﾗﾌ_5" hidden="1">[11]報告№②ー１!#REF!</definedName>
    <definedName name="_198__123Graph_LBL_AC04C_FF_L" hidden="1">[5]MOTO!#REF!</definedName>
    <definedName name="_1Excel_BuiltIn__FilterDatabase_1_1">#REF!</definedName>
    <definedName name="_1Excel_BuiltIn_Print_Area_1_1_1">#REF!</definedName>
    <definedName name="_2__123Graph_Aｸﾞﾗﾌ_11" hidden="1">[11]報告№②ー１!$AF$58:$AT$58</definedName>
    <definedName name="_20__123Graph_Dｸﾞﾗﾌ_7" hidden="1">[11]報告№②ー１!$AF$39:$AT$39</definedName>
    <definedName name="_207__123Graph_LBL_AC04C_FF_T" hidden="1">[5]MOTO!#REF!</definedName>
    <definedName name="_21__123Graph_Dｸﾞﾗﾌ_8" hidden="1">[11]報告№②ー１!#REF!</definedName>
    <definedName name="_216__123Graph_LBL_AC04C_FR_L1" hidden="1">[5]MOTO!#REF!</definedName>
    <definedName name="_22__123Graph_Eｸﾞﾗﾌ_10" hidden="1">[11]報告№②ー１!$AF$40:$AT$40</definedName>
    <definedName name="_225__123Graph_LBL_AC04C_FR_L2" hidden="1">[5]MOTO!#REF!</definedName>
    <definedName name="_23__123Graph_Fｸﾞﾗﾌ_10" hidden="1">[11]報告№②ー１!$AF$41:$AT$41</definedName>
    <definedName name="_234__123Graph_LBL_AC04C_FR_T1" hidden="1">[5]MOTO!#REF!</definedName>
    <definedName name="_24__123Graph_AC04C_ALL_L2" hidden="1">[5]MOTO!#REF!</definedName>
    <definedName name="_24__123Graph_Xｸﾞﾗﾌ_10" hidden="1">[11]報告№②ー１!$AF$35:$AT$35</definedName>
    <definedName name="_2428DS2_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3__123Graph_LBL_AC04C_FR_T2" hidden="1">[5]MOTO!#REF!</definedName>
    <definedName name="_252__123Graph_XC04C_ALL_T1" hidden="1">[5]MOTO!#REF!</definedName>
    <definedName name="_261__123Graph_XC04C_ALL_T2" hidden="1">[5]MOTO!#REF!</definedName>
    <definedName name="_270__123Graph_XC04C_FF_L" hidden="1">[5]MOTO!#REF!</definedName>
    <definedName name="_279__123Graph_XC04C_FF_T" hidden="1">[5]MOTO!#REF!</definedName>
    <definedName name="_288__123Graph_XC04C_FR_L1" hidden="1">[5]MOTO!#REF!</definedName>
    <definedName name="_297__123Graph_XC04C_FR_L2" hidden="1">[5]MOTO!#REF!</definedName>
    <definedName name="_2Excel_BuiltIn__FilterDatabase_1_1">#REF!</definedName>
    <definedName name="_2Excel_BuiltIn__FilterDatabase_1_1_1">#REF!</definedName>
    <definedName name="_2Excel_BuiltIn__FilterDatabase_1_1_1_9">#REF!</definedName>
    <definedName name="_2Excel_BuiltIn__FilterDatabase_1_1_9">#REF!</definedName>
    <definedName name="_3__123Graph_Aｸﾞﾗﾌ_12" hidden="1">[11]報告№②ー１!#REF!</definedName>
    <definedName name="_306__123Graph_XC04C_FR_T1" hidden="1">[5]MOTO!#REF!</definedName>
    <definedName name="_315__123Graph_XC04C_FR_T2" hidden="1">[5]MOTO!#REF!</definedName>
    <definedName name="_316__123Graph_Xｸﾞﾗﾌ_10" hidden="1">[11]報告№②ー１!$AF$35:$AT$35</definedName>
    <definedName name="_33__123Graph_AC04C_ALL_T1" hidden="1">[5]MOTO!#REF!</definedName>
    <definedName name="_3Excel_BuiltIn__FilterDatabase_2_1">#REF!</definedName>
    <definedName name="_3Excel_BuiltIn__FilterDatabase_2_1_9">#REF!</definedName>
    <definedName name="_4__123Graph_Bｸﾞﾗﾌ_10" hidden="1">[11]報告№②ー１!$AF$37:$AT$37</definedName>
    <definedName name="_42__123Graph_AC04C_ALL_T2" hidden="1">[5]MOTO!#REF!</definedName>
    <definedName name="_4Excel_BuiltIn__FilterDatabase_1_1_1">#REF!</definedName>
    <definedName name="_4Excel_BuiltIn__FilterDatabase_1_1_1_9">#REF!</definedName>
    <definedName name="_5__123Graph_Bｸﾞﾗﾌ_11" hidden="1">[11]報告№②ー１!$AF$59:$AT$59</definedName>
    <definedName name="_51__123Graph_AC04C_FF_L" hidden="1">[5]MOTO!#REF!</definedName>
    <definedName name="_6__123Graph_Bｸﾞﾗﾌ_12" hidden="1">[11]報告№②ー１!#REF!</definedName>
    <definedName name="_60__123Graph_AC04C_FF_T" hidden="1">[5]MOTO!#REF!</definedName>
    <definedName name="_69__123Graph_AC04C_FR_L1" hidden="1">[5]MOTO!#REF!</definedName>
    <definedName name="_6Excel_BuiltIn__FilterDatabase_2_1">#REF!</definedName>
    <definedName name="_6Excel_BuiltIn__FilterDatabase_2_1_9">#REF!</definedName>
    <definedName name="_7__123Graph_Bｸﾞﾗﾌ_13" hidden="1">#REF!</definedName>
    <definedName name="_78__123Graph_AC04C_FR_L2" hidden="1">[5]MOTO!#REF!</definedName>
    <definedName name="_8__123Graph_Cｸﾞﾗﾌ_1" hidden="1">[11]報告№②ー１!$AF$38:$AT$38</definedName>
    <definedName name="_87__123Graph_AC04C_FR_T1" hidden="1">[5]MOTO!#REF!</definedName>
    <definedName name="_9__123Graph_Cｸﾞﾗﾌ_10" hidden="1">[11]報告№②ー１!$AF$38:$AT$38</definedName>
    <definedName name="_96__123Graph_AC04C_FR_T2" hidden="1">[5]MOTO!#REF!</definedName>
    <definedName name="_97__123Graph_Aｸﾞﾗﾌ_1" hidden="1">#REF!</definedName>
    <definedName name="_98__123Graph_Aｸﾞﾗﾌ_10" hidden="1">[11]報告№②ー１!$AF$36:$AT$36</definedName>
    <definedName name="_99__123Graph_Aｸﾞﾗﾌ_11" hidden="1">[11]報告№②ー１!$AF$58:$AT$58</definedName>
    <definedName name="_b1" hidden="1">'[10]S-PLAN'!$I$1293:$P$1293</definedName>
    <definedName name="_b1_" hidden="1">'[10]S-PLAN'!$I$1293:$P$1293</definedName>
    <definedName name="_b3" hidden="1">'[10]S-PLAN'!$I$1293:$P$1293</definedName>
    <definedName name="_C210343">'[2]DIRECT EFFICIENCY'!#REF!</definedName>
    <definedName name="_DS2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Fill" hidden="1">#REF!</definedName>
    <definedName name="_Key1" hidden="1">#REF!</definedName>
    <definedName name="_Key2" hidden="1">[12]原単位表!#REF!</definedName>
    <definedName name="_Order1" hidden="1">255</definedName>
    <definedName name="_Order2" hidden="1">0</definedName>
    <definedName name="_PL1" hidden="1">'[10]S-PLAN'!$I$582:$P$582</definedName>
    <definedName name="_Sort" hidden="1">#REF!</definedName>
    <definedName name="⑤2" localSheetId="1" hidden="1">{"'TOYOTA'!$A$1:$R$26"}</definedName>
    <definedName name="⑤2" hidden="1">{"'TOYOTA'!$A$1:$R$26"}</definedName>
    <definedName name="⑤3" localSheetId="1" hidden="1">{"'TOYOTA'!$A$1:$R$26"}</definedName>
    <definedName name="⑤3" hidden="1">{"'TOYOTA'!$A$1:$R$26"}</definedName>
    <definedName name="a" localSheetId="1">HOTEL!a</definedName>
    <definedName name="a">[0]!a</definedName>
    <definedName name="aaa">#REF!</definedName>
    <definedName name="AccessDatabase" hidden="1">"C:\WINDOWS\Personal\COMMODITY  GROUP  FOR   VX - 133  &amp;   149.mdb"</definedName>
    <definedName name="ad" hidden="1">[13]MYZK02!$I$554:$P$554</definedName>
    <definedName name="ada" hidden="1">[13]MYZK02!$I$531:$P$531</definedName>
    <definedName name="aew" hidden="1">#REF!</definedName>
    <definedName name="AKA" localSheetId="1" hidden="1">{"'受発行文書'!$A$4:$D$28"}</definedName>
    <definedName name="AKA" hidden="1">{"'受発行文書'!$A$4:$D$28"}</definedName>
    <definedName name="AMSBPS">#REF!</definedName>
    <definedName name="AMSBPS_1">#REF!</definedName>
    <definedName name="ARC">#REF!</definedName>
    <definedName name="ARC_1">#REF!</definedName>
    <definedName name="ARCNic">#REF!</definedName>
    <definedName name="ARCNic_1">#REF!</definedName>
    <definedName name="ARCNicaragua">#REF!</definedName>
    <definedName name="ARCNicaragua_1">#REF!</definedName>
    <definedName name="AS2DocOpenMode" hidden="1">"AS2DocumentEdit"</definedName>
    <definedName name="ase" hidden="1">[13]MYZK02!$I$811:$P$811</definedName>
    <definedName name="asew" hidden="1">[13]MYZK02!$I$1259:$P$1259</definedName>
    <definedName name="ASSD">#REF!</definedName>
    <definedName name="ate" hidden="1">#REF!</definedName>
    <definedName name="aw" hidden="1">[13]MYZK02!$I$1302:$P$1302</definedName>
    <definedName name="awa" hidden="1">[13]MYZK02!$I$1307:$P$1307</definedName>
    <definedName name="awae" hidden="1">[13]MYZK02!$I$1129:$P$1129</definedName>
    <definedName name="awew" hidden="1">[13]MYZK02!$I$1293:$P$1293</definedName>
    <definedName name="awf" hidden="1">'[10]S-PLAN'!$I$1293:$P$1293</definedName>
    <definedName name="awse" hidden="1">[13]MYZK02!$I$1306:$P$1306</definedName>
    <definedName name="CAR">#REF!</definedName>
    <definedName name="CARA">#REF!</definedName>
    <definedName name="cd" hidden="1">#REF!</definedName>
    <definedName name="ce" hidden="1">#REF!</definedName>
    <definedName name="cfe" hidden="1">#REF!</definedName>
    <definedName name="CPNMB">"1"</definedName>
    <definedName name="CS000021_DAT">'[14]797T輸入部品リスト'!#REF!</definedName>
    <definedName name="da" localSheetId="1" hidden="1">{#N/A,#N/A,FALSE,"第１紙";#N/A,#N/A,FALSE,"第２紙以降"}</definedName>
    <definedName name="da" hidden="1">{#N/A,#N/A,FALSE,"第１紙";#N/A,#N/A,FALSE,"第２紙以降"}</definedName>
    <definedName name="dad" hidden="1">#REF!</definedName>
    <definedName name="dadf" hidden="1">#REF!</definedName>
    <definedName name="_xlnm.Database">#REF!</definedName>
    <definedName name="dav" hidden="1">#REF!</definedName>
    <definedName name="dc" hidden="1">#REF!</definedName>
    <definedName name="de" hidden="1">#REF!</definedName>
    <definedName name="dead" hidden="1">#REF!</definedName>
    <definedName name="deaw" hidden="1">#REF!</definedName>
    <definedName name="deca" hidden="1">#REF!</definedName>
    <definedName name="des" hidden="1">[13]MYZK02!$I$1305:$P$1305</definedName>
    <definedName name="desad" hidden="1">#REF!</definedName>
    <definedName name="dew" hidden="1">[13]MYZK02!$I$1293:$P$1293</definedName>
    <definedName name="dewq" hidden="1">#REF!</definedName>
    <definedName name="dews" hidden="1">#REF!</definedName>
    <definedName name="dfe" hidden="1">#REF!</definedName>
    <definedName name="dg" hidden="1">#REF!</definedName>
    <definedName name="ds" hidden="1">#REF!</definedName>
    <definedName name="DVNAM">""</definedName>
    <definedName name="DVTYP">"PRINTER"</definedName>
    <definedName name="dwa" hidden="1">[13]MYZK02!$I$828:$P$828</definedName>
    <definedName name="e" hidden="1">#REF!</definedName>
    <definedName name="eate" hidden="1">#REF!</definedName>
    <definedName name="eats" hidden="1">#REF!</definedName>
    <definedName name="ed" hidden="1">#REF!</definedName>
    <definedName name="EDIX" hidden="1">#REF!</definedName>
    <definedName name="edr" hidden="1">#REF!</definedName>
    <definedName name="EMI">#REF!</definedName>
    <definedName name="EMI_1">#REF!</definedName>
    <definedName name="ENG">[15]当初年計!#REF!</definedName>
    <definedName name="er" hidden="1">#REF!</definedName>
    <definedName name="ew" hidden="1">[13]MYZK02!$I$809:$P$809</definedName>
    <definedName name="ewa" hidden="1">[13]MYZK02!$I$1304:$P$1304</definedName>
    <definedName name="ewaw" hidden="1">[13]MYZK02!$I$1293:$P$1293</definedName>
    <definedName name="ewf" hidden="1">#REF!</definedName>
    <definedName name="ewg" hidden="1">[13]MYZK02!$I$1308:$P$1308</definedName>
    <definedName name="ewq" hidden="1">[13]MYZK02!$K$75:$P$75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'[16]SAMI 201107'!$A$1:$AG$544</definedName>
    <definedName name="Excel_BuiltIn__FilterDatabase_1_1_1_1_1_1_1">'[16]SAMI 201107'!$A$1:$AG$544</definedName>
    <definedName name="Excel_BuiltIn__FilterDatabase_1_9">#REF!</definedName>
    <definedName name="Excel_BuiltIn__FilterDatabase_15">#REF!</definedName>
    <definedName name="Excel_BuiltIn__FilterDatabase_15_1">#REF!</definedName>
    <definedName name="Excel_BuiltIn__FilterDatabase_2">#REF!</definedName>
    <definedName name="Excel_BuiltIn__FilterDatabase_2_1">#REF!</definedName>
    <definedName name="Excel_BuiltIn__FilterDatabase_2_1_1">[17]RESIGN!#REF!</definedName>
    <definedName name="Excel_BuiltIn__FilterDatabase_2_1_1_1">'[16]SAMI 201107'!$A$1:$AG$544</definedName>
    <definedName name="Excel_BuiltIn__FilterDatabase_2_1_9">[17]RESIGN!#REF!</definedName>
    <definedName name="Excel_BuiltIn__FilterDatabase_2_3">#REF!</definedName>
    <definedName name="Excel_BuiltIn__FilterDatabase_2_3_9">#REF!</definedName>
    <definedName name="Excel_BuiltIn__FilterDatabase_3">#REF!</definedName>
    <definedName name="Excel_BuiltIn__FilterDatabase_3_1">'[2]FINAL ASSY EFFICIENCY'!#REF!</definedName>
    <definedName name="Excel_BuiltIn__FilterDatabase_3_1_1">"$'FINAL ASSY EFFICIENCY'.$#REF!$#REF!:#REF!#REF!"</definedName>
    <definedName name="Excel_BuiltIn__FilterDatabase_3_1_9">#REF!</definedName>
    <definedName name="Excel_BuiltIn__FilterDatabase_3_32">'[18]FINAL ASSY EFFICIENCY'!#REF!</definedName>
    <definedName name="Excel_BuiltIn__FilterDatabase_3_35">'[2]FINAL ASSY EFFICIENCY'!#REF!</definedName>
    <definedName name="Excel_BuiltIn__FilterDatabase_3_36">'[19]FINAL ASSY EFFICIENCY'!#REF!</definedName>
    <definedName name="Excel_BuiltIn__FilterDatabase_3_4">#REF!</definedName>
    <definedName name="Excel_BuiltIn__FilterDatabase_3_8">'[19]FINAL ASSY EFFICIENCY'!#REF!</definedName>
    <definedName name="Excel_BuiltIn__FilterDatabase_3_9">#REF!</definedName>
    <definedName name="Excel_BuiltIn__FilterDatabase_4">#REF!</definedName>
    <definedName name="Excel_BuiltIn__FilterDatabase_5">#REF!</definedName>
    <definedName name="Excel_BuiltIn_Database">#REF!</definedName>
    <definedName name="Excel_BuiltIn_Print_Area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3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9">#REF!</definedName>
    <definedName name="Excel_BuiltIn_Print_Area_12_1_1_9">#REF!</definedName>
    <definedName name="Excel_BuiltIn_Print_Area_13_1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2">#REF!</definedName>
    <definedName name="Excel_BuiltIn_Print_Area_2_1">#REF!</definedName>
    <definedName name="Excel_BuiltIn_Print_Area_2_1_1_1_1_1_1_1_1_1">"$'PRE ASSY EFFICIENCY'.$#REF!$#REF!:$#REF!$#REF!"</definedName>
    <definedName name="Excel_BuiltIn_Print_Area_2_1_1_1_1_1_32">'[2]DIRECT EFFICIENCY'!#REF!</definedName>
    <definedName name="Excel_BuiltIn_Print_Area_2_1_1_1_1_32">'[2]DIRECT EFFICIENCY'!#REF!</definedName>
    <definedName name="Excel_BuiltIn_Print_Area_3_1">#REF!</definedName>
    <definedName name="Excel_BuiltIn_Print_Area_3_1_1_1_1">'[2]FINAL ASSY EFFICIENCY'!#REF!</definedName>
    <definedName name="Excel_BuiltIn_Print_Area_3_1_1_1_1_1_1_1">'[2]FINAL ASSY EFFICIENCY'!#REF!</definedName>
    <definedName name="Excel_BuiltIn_Print_Area_3_1_1_1_1_1_1_1_1">'[2]FINAL ASSY EFFICIENCY'!#REF!</definedName>
    <definedName name="Excel_BuiltIn_Print_Area_3_1_1_1_1_1_1_1_1_1">'[2]FINAL ASSY EFFICIENCY'!#REF!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9">#REF!</definedName>
    <definedName name="Excel_BuiltIn_Print_Area_3_1_1_1_1_1_1_1_1_1_1_9">#REF!</definedName>
    <definedName name="Excel_BuiltIn_Print_Area_3_1_1_1_1_1_1_1_1_1_9">#REF!</definedName>
    <definedName name="Excel_BuiltIn_Print_Area_3_1_1_1_1_1_1_1_1_35">'[2]FINAL ASSY EFFICIENCY'!#REF!</definedName>
    <definedName name="Excel_BuiltIn_Print_Area_3_1_1_1_1_1_1_1_1_9">'[20]FINAL ASSY EFFICIENCY'!#REF!</definedName>
    <definedName name="Excel_BuiltIn_Print_Area_3_1_1_1_35">'[2]FINAL ASSY EFFICIENCY'!#REF!</definedName>
    <definedName name="Excel_BuiltIn_Print_Area_3_1_1_1_9">'[20]FINAL ASSY EFFICIENCY'!#REF!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_1">#REF!</definedName>
    <definedName name="Excel_BuiltIn_Print_Area_4_1_1_1_1_1_1">'[2]FINAL ASSY EFFICIENCY'!#REF!</definedName>
    <definedName name="Excel_BuiltIn_Print_Area_4_1_1_1_1_1_1_32">'[18]FINAL ASSY EFFICIENCY'!#REF!</definedName>
    <definedName name="Excel_BuiltIn_Print_Area_4_1_1_1_1_1_1_35">'[2]FINAL ASSY EFFICIENCY'!#REF!</definedName>
    <definedName name="Excel_BuiltIn_Print_Area_4_1_1_1_1_1_1_36">'[19]FINAL ASSY EFFICIENCY'!#REF!</definedName>
    <definedName name="Excel_BuiltIn_Print_Area_4_1_1_1_1_1_1_8">'[19]FINAL ASSY EFFICIENCY'!#REF!</definedName>
    <definedName name="Excel_BuiltIn_Print_Area_4_1_1_1_1_1_1_9">'[20]FINAL ASSY EFFICIENCY'!#REF!</definedName>
    <definedName name="Excel_BuiltIn_Print_Area_4_1_1_1_1_1_9">#REF!</definedName>
    <definedName name="Excel_BuiltIn_Print_Area_4_1_1_1_9">#REF!</definedName>
    <definedName name="Excel_BuiltIn_Print_Area_4_1_9">#REF!</definedName>
    <definedName name="Excel_BuiltIn_Print_Area_5_1">#REF!</definedName>
    <definedName name="Excel_BuiltIn_Print_Area_5_1_9">#REF!</definedName>
    <definedName name="Excel_BuiltIn_Print_Area_6_1">'[21]Breakdown Atokotei (1)'!#REF!</definedName>
    <definedName name="Excel_BuiltIn_Print_Area_6_1_1">'[21]Breakdown Atokotei (1)'!#REF!</definedName>
    <definedName name="Excel_BuiltIn_Print_Area_7_1">"$#REF!.$A$1:$S$38"</definedName>
    <definedName name="Excel_BuiltIn_Print_Area_7_1_1">#REF!</definedName>
    <definedName name="Excel_BuiltIn_Print_Area_7_1_1_9">#REF!</definedName>
    <definedName name="Excel_BuiltIn_Print_Area_8">#REF!</definedName>
    <definedName name="Excel_BuiltIn_Print_Area_8_1">'[22]Breakdown Mae'!#REF!</definedName>
    <definedName name="Excel_BuiltIn_Print_Area_8_1_9">#REF!</definedName>
    <definedName name="Excel_BuiltIn_Print_Area_9">'[21]Breakdown Ato'!#REF!</definedName>
    <definedName name="Excel_BuiltIn_Print_Area_9_1">#REF!</definedName>
    <definedName name="Eパーセル用配分案子供作成" localSheetId="1">HOTEL!Eパーセル用配分案子供作成</definedName>
    <definedName name="Eパーセル用配分案子供作成">[0]!Eパーセル用配分案子供作成</definedName>
    <definedName name="F">#REF!</definedName>
    <definedName name="FC">#REF!</definedName>
    <definedName name="fd" hidden="1">#REF!</definedName>
    <definedName name="fea" hidden="1">[13]MYZK02!$K$1259:$P$1259</definedName>
    <definedName name="feaw" hidden="1">[13]MYZK02!$I$601:$P$601</definedName>
    <definedName name="FEJT5">#REF!</definedName>
    <definedName name="fes" hidden="1">[13]MYZK02!$I$811:$P$811</definedName>
    <definedName name="fesa" hidden="1">[13]MYZK02!$I$812:$P$812</definedName>
    <definedName name="few" hidden="1">#REF!</definedName>
    <definedName name="ｆｆｆｆｆｆｆｒｒｒｒ" localSheetId="1" hidden="1">{"'TOYOTA'!$A$1:$R$26"}</definedName>
    <definedName name="ｆｆｆｆｆｆｆｒｒｒｒ" hidden="1">{"'TOYOTA'!$A$1:$R$26"}</definedName>
    <definedName name="ffffffrrrrrr2" localSheetId="1" hidden="1">{"'TOYOTA'!$A$1:$R$26"}</definedName>
    <definedName name="ffffffrrrrrr2" hidden="1">{"'TOYOTA'!$A$1:$R$26"}</definedName>
    <definedName name="ｆｆｆｆｆっふぇ" localSheetId="1" hidden="1">{"'TOYOTA'!$A$1:$R$26"}</definedName>
    <definedName name="ｆｆｆｆｆっふぇ" hidden="1">{"'TOYOTA'!$A$1:$R$26"}</definedName>
    <definedName name="fffffっふぇ２" localSheetId="1" hidden="1">{"'TOYOTA'!$A$1:$R$26"}</definedName>
    <definedName name="fffffっふぇ２" hidden="1">{"'TOYOTA'!$A$1:$R$26"}</definedName>
    <definedName name="fg" hidden="1">#REF!</definedName>
    <definedName name="FMTYP">"*STD"</definedName>
    <definedName name="FSY">#REF!</definedName>
    <definedName name="FSY_1">#REF!</definedName>
    <definedName name="ｇｄｓ" localSheetId="1" hidden="1">{"'TOYOTA'!$A$1:$R$26"}</definedName>
    <definedName name="ｇｄｓ" hidden="1">{"'TOYOTA'!$A$1:$R$26"}</definedName>
    <definedName name="ges" hidden="1">[13]MYZK02!$I$595:$P$595</definedName>
    <definedName name="gf" hidden="1">#REF!</definedName>
    <definedName name="HNY">#REF!</definedName>
    <definedName name="HNY_1">#REF!</definedName>
    <definedName name="HSK3055U_DAT">#REF!</definedName>
    <definedName name="ht" hidden="1">#REF!</definedName>
    <definedName name="HTML_CodePage" hidden="1">932</definedName>
    <definedName name="HTML_Control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Description" hidden="1">""</definedName>
    <definedName name="HTML_Email" hidden="1">""</definedName>
    <definedName name="HTML_Header" hidden="1">"新車販売台数（概況・確報）"</definedName>
    <definedName name="HTML_LastUpdate" hidden="1">"03/01/24"</definedName>
    <definedName name="HTML_LineAfter" hidden="1">FALSE</definedName>
    <definedName name="HTML_LineBefore" hidden="1">FALSE</definedName>
    <definedName name="HTML_Name" hidden="1">"NEC-PCuser"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"\\ADIDS0\eigi\015M\ＰＪ管理\hakko.htm"</definedName>
    <definedName name="HTML_Title" hidden="1">"新車（概況・確報）"</definedName>
    <definedName name="HTML1_1" hidden="1">"[HS_PS管理工程図.xls]ＦＭＥＡ原紙!$E$15:$F$17"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"HS_PS管理工程図.xls"</definedName>
    <definedName name="HTML1_4" hidden="1">"ＦＭＥＡ原紙"</definedName>
    <definedName name="HTML1_5" hidden="1">""</definedName>
    <definedName name="HTML1_6" hidden="1">-4146</definedName>
    <definedName name="HTML1_7" hidden="1">-4146</definedName>
    <definedName name="HTML1_8" hidden="1">"97/04/07"</definedName>
    <definedName name="HTML1_9" hidden="1">"佐々木圭"</definedName>
    <definedName name="HTML2_1" hidden="1">"[HS_PS管理工程図.xls]ＦＭＥＡ原紙!$G$14:$L$19"</definedName>
    <definedName name="HTML2_10" hidden="1">""</definedName>
    <definedName name="HTML2_11" hidden="1">1</definedName>
    <definedName name="HTML2_12" hidden="1">"C:\WINDOWS\ﾃﾞｽｸﾄｯﾌﾟ\FFF.htm"</definedName>
    <definedName name="HTML2_2" hidden="1">-4146</definedName>
    <definedName name="HTML2_3" hidden="1">"C:\WINDOWS\ﾃﾞｽｸﾄｯﾌﾟ\ffz.htm"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4_1" hidden="1">"[電話帳検.XLS]参照用情ｼ本!$A$1:$E$5"</definedName>
    <definedName name="HTML4_10" hidden="1">""</definedName>
    <definedName name="HTML4_11" hidden="1">1</definedName>
    <definedName name="HTML4_12" hidden="1">"C:\WINDOWS\ﾃﾞｽｸﾄｯﾌﾟ\情シ本.htm"</definedName>
    <definedName name="HTML4_2" hidden="1">1</definedName>
    <definedName name="HTML4_3" hidden="1">""</definedName>
    <definedName name="HTML4_4" hidden="1">"情シ本(９７．４．１)"</definedName>
    <definedName name="HTML4_5" hidden="1">""</definedName>
    <definedName name="HTML4_6" hidden="1">-4146</definedName>
    <definedName name="HTML4_7" hidden="1">-4146</definedName>
    <definedName name="HTML4_8" hidden="1">"98/01/06"</definedName>
    <definedName name="HTML4_9" hidden="1">""</definedName>
    <definedName name="HTML5_1" hidden="1">"[電話帳検.XLS]管シ部0!$A$1:$E$74"</definedName>
    <definedName name="HTML5_10" hidden="1">""</definedName>
    <definedName name="HTML5_11" hidden="1">1</definedName>
    <definedName name="HTML5_12" hidden="1">"D:\tamachi\管シ部.HTM"</definedName>
    <definedName name="HTML5_2" hidden="1">1</definedName>
    <definedName name="HTML5_3" hidden="1">"管理システム部"</definedName>
    <definedName name="HTML5_4" hidden="1">"管理システム部（９７．４．１）"</definedName>
    <definedName name="HTML5_5" hidden="1">""</definedName>
    <definedName name="HTML5_6" hidden="1">-4146</definedName>
    <definedName name="HTML5_7" hidden="1">-4146</definedName>
    <definedName name="HTML5_8" hidden="1">"98/01/07"</definedName>
    <definedName name="HTML5_9" hidden="1">""</definedName>
    <definedName name="HTMLCount" hidden="1">2</definedName>
    <definedName name="hty" hidden="1">#REF!</definedName>
    <definedName name="JAI">#REF!</definedName>
    <definedName name="JAI_1">#REF!</definedName>
    <definedName name="JBNAM">"BCHDAYSM"</definedName>
    <definedName name="JBNMB">"346288"</definedName>
    <definedName name="jud" hidden="1">#REF!</definedName>
    <definedName name="kore" localSheetId="1" hidden="1">{#N/A,#N/A,FALSE,"第１紙";#N/A,#N/A,FALSE,"第２紙以降"}</definedName>
    <definedName name="kore" hidden="1">{#N/A,#N/A,FALSE,"第１紙";#N/A,#N/A,FALSE,"第２紙以降"}</definedName>
    <definedName name="LIG" hidden="1">[23]原単位表!#REF!</definedName>
    <definedName name="mato" localSheetId="1" hidden="1">{#N/A,#N/A,FALSE,"第１紙";#N/A,#N/A,FALSE,"第２紙以降"}</definedName>
    <definedName name="mato" hidden="1">{#N/A,#N/A,FALSE,"第１紙";#N/A,#N/A,FALSE,"第２紙以降"}</definedName>
    <definedName name="mdl_sht反騰法.btnイベントメモ修正_Action" localSheetId="0">[24]!mdl_sht反騰法.btnイベントメモ修正_Action</definedName>
    <definedName name="mdl_sht反騰法.btnイベントメモ修正_Action" localSheetId="1">[24]!mdl_sht反騰法.btnイベントメモ修正_Action</definedName>
    <definedName name="mdl_sht反騰法.btnイベントメモ修正_Action">[24]!mdl_sht反騰法.btnイベントメモ修正_Action</definedName>
    <definedName name="mdl_sht反騰法.btn実績デｰタ修正_Action" localSheetId="0">[24]!mdl_sht反騰法.btn実績デｰタ修正_Action</definedName>
    <definedName name="mdl_sht反騰法.btn実績デｰタ修正_Action" localSheetId="1">[24]!mdl_sht反騰法.btn実績デｰタ修正_Action</definedName>
    <definedName name="mdl_sht反騰法.btn実績デｰタ修正_Action">[24]!mdl_sht反騰法.btn実績デｰタ修正_Action</definedName>
    <definedName name="mdl_sht反騰法.btn対象年月変更_Action" localSheetId="0">[24]!mdl_sht反騰法.btn対象年月変更_Action</definedName>
    <definedName name="mdl_sht反騰法.btn対象年月変更_Action" localSheetId="1">[24]!mdl_sht反騰法.btn対象年月変更_Action</definedName>
    <definedName name="mdl_sht反騰法.btn対象年月変更_Action">[24]!mdl_sht反騰法.btn対象年月変更_Action</definedName>
    <definedName name="mdl_sht反騰法.btn対象車種変更_Action" localSheetId="0">[24]!mdl_sht反騰法.btn対象車種変更_Action</definedName>
    <definedName name="mdl_sht反騰法.btn対象車種変更_Action" localSheetId="1">[24]!mdl_sht反騰法.btn対象車種変更_Action</definedName>
    <definedName name="mdl_sht反騰法.btn対象車種変更_Action">[24]!mdl_sht反騰法.btn対象車種変更_Action</definedName>
    <definedName name="mdl_sht反騰法.btn月別構成_Action" localSheetId="0">[24]!mdl_sht反騰法.btn月別構成_Action</definedName>
    <definedName name="mdl_sht反騰法.btn月別構成_Action" localSheetId="1">[24]!mdl_sht反騰法.btn月別構成_Action</definedName>
    <definedName name="mdl_sht反騰法.btn月別構成_Action">[24]!mdl_sht反騰法.btn月別構成_Action</definedName>
    <definedName name="mdl_sht反騰法.drp任意反騰_Action" localSheetId="0">'[24]表紙(代表者)'!mdl_sht反騰法.drp任意反騰_Action</definedName>
    <definedName name="mdl_sht反騰法.drp任意反騰_Action" localSheetId="1">'[24]表紙(代表者)'!mdl_sht反騰法.drp任意反騰_Action</definedName>
    <definedName name="mdl_sht反騰法.drp任意反騰_Action">'[24]表紙(代表者)'!mdl_sht反騰法.drp任意反騰_Action</definedName>
    <definedName name="mdl_sht反騰法.drp単月反騰_Action" localSheetId="0">[24]!mdl_sht反騰法.drp単月反騰_Action</definedName>
    <definedName name="mdl_sht反騰法.drp単月反騰_Action" localSheetId="1">[24]!mdl_sht反騰法.drp単月反騰_Action</definedName>
    <definedName name="mdl_sht反騰法.drp単月反騰_Action">[24]!mdl_sht反騰法.drp単月反騰_Action</definedName>
    <definedName name="MINORITY">#REF!</definedName>
    <definedName name="MINORITY_1">#REF!</definedName>
    <definedName name="ＭＭＯ一覧表データ">#REF!</definedName>
    <definedName name="N2月以降内示差OR年計差切替え" localSheetId="1">HOTEL!N2月以降内示差OR年計差切替え</definedName>
    <definedName name="N2月以降内示差OR年計差切替え">[0]!N2月以降内示差OR年計差切替え</definedName>
    <definedName name="nnnn" localSheetId="1">HOTEL!nnnn</definedName>
    <definedName name="nnnn">[0]!nnnn</definedName>
    <definedName name="okkk" hidden="1">'[10]S-PLAN'!$I$1306:$P$1306</definedName>
    <definedName name="OQLIB">"V35ENV2"</definedName>
    <definedName name="OQNAM">"SMBATCHQ1"</definedName>
    <definedName name="PCDAT">"10/8/2004"</definedName>
    <definedName name="PCDT2">"20041008"</definedName>
    <definedName name="PCTIM">"8:27:13 AM"</definedName>
    <definedName name="PEMI">#REF!</definedName>
    <definedName name="PEMI_1">#REF!</definedName>
    <definedName name="_xlnm.Print_Area" localSheetId="1">HOTEL!$A$1:$N$38</definedName>
    <definedName name="Print_Area_MI">#REF!</definedName>
    <definedName name="Print_Area_MI_1">#REF!</definedName>
    <definedName name="_xlnm.Print_Titles">[25]車両仕様!$A:$C,[25]車両仕様!$3:$4</definedName>
    <definedName name="Print_Titles_MI_1">#REF!</definedName>
    <definedName name="Q_naiji_tuika">#REF!</definedName>
    <definedName name="Q_両端">#REF!</definedName>
    <definedName name="qaw" hidden="1">[13]MYZK02!$I$1304:$P$1304</definedName>
    <definedName name="QQ">#REF!</definedName>
    <definedName name="ｑｑっくぁあ" localSheetId="1" hidden="1">{"'TOYOTA'!$A$1:$R$26"}</definedName>
    <definedName name="ｑｑっくぁあ" hidden="1">{"'TOYOTA'!$A$1:$R$26"}</definedName>
    <definedName name="ｑｗ" localSheetId="1" hidden="1">{"'TOYOTA'!$A$1:$R$26"}</definedName>
    <definedName name="ｑｗ" hidden="1">{"'TOYOTA'!$A$1:$R$26"}</definedName>
    <definedName name="re" hidden="1">#REF!</definedName>
    <definedName name="red" hidden="1">[13]MYZK02!$K$1293:$P$1293</definedName>
    <definedName name="redw" hidden="1">[13]MYZK02!$I$1293:$P$1293</definedName>
    <definedName name="refresh" hidden="1">#REF!</definedName>
    <definedName name="reg" hidden="1">'[10]S-PLAN'!$I$1293:$P$1293</definedName>
    <definedName name="ret" hidden="1">#REF!</definedName>
    <definedName name="rew" hidden="1">#REF!</definedName>
    <definedName name="rewq" hidden="1">'[10]S-PLAN'!$I$1293:$P$1293</definedName>
    <definedName name="rt" hidden="1">#REF!</definedName>
    <definedName name="S">#REF!</definedName>
    <definedName name="sa" hidden="1">#REF!</definedName>
    <definedName name="saa" hidden="1">[13]MYZK02!$I$582:$P$582</definedName>
    <definedName name="sad" hidden="1">#REF!</definedName>
    <definedName name="sade" hidden="1">'[10]S-PLAN'!$I$1306:$P$1306</definedName>
    <definedName name="sae" hidden="1">#REF!</definedName>
    <definedName name="SAI">#REF!</definedName>
    <definedName name="SAI_1">#REF!</definedName>
    <definedName name="SAMI">#REF!</definedName>
    <definedName name="SAMI_1">#REF!</definedName>
    <definedName name="SAPBEXdnldView" hidden="1">"AR2UQ0SQG0X5A7D6EPJI3IAMD"</definedName>
    <definedName name="SAPBEXsysID" hidden="1">"JAB"</definedName>
    <definedName name="saw" hidden="1">#REF!</definedName>
    <definedName name="SD">#REF!</definedName>
    <definedName name="sdw" hidden="1">#REF!</definedName>
    <definedName name="sea" hidden="1">[13]MYZK02!$I$859:$P$859</definedName>
    <definedName name="sead" hidden="1">#REF!</definedName>
    <definedName name="sear" hidden="1">#REF!</definedName>
    <definedName name="seaw" hidden="1">'[10]S-PLAN'!$I$582:$P$582</definedName>
    <definedName name="sed" hidden="1">[13]MYZK02!$I$812:$P$812</definedName>
    <definedName name="sencount" hidden="1">2</definedName>
    <definedName name="seq" hidden="1">#REF!</definedName>
    <definedName name="SHUTTLE" hidden="1">#REF!</definedName>
    <definedName name="SOTO">#REF!</definedName>
    <definedName name="SPDAT">"10/7/2004"</definedName>
    <definedName name="SPDT2">"20041007"</definedName>
    <definedName name="SPNAM">"VGAP19P"</definedName>
    <definedName name="SPNMB">"61"</definedName>
    <definedName name="SPTIM">"235621"</definedName>
    <definedName name="ｓｒ５００">#REF!</definedName>
    <definedName name="STATE">"*READY"</definedName>
    <definedName name="sw" hidden="1">#REF!</definedName>
    <definedName name="SYA">#REF!</definedName>
    <definedName name="SYA_1">#REF!</definedName>
    <definedName name="t" hidden="1">#REF!</definedName>
    <definedName name="T_DB_加工費">#REF!</definedName>
    <definedName name="T_回路DB_片端">#REF!</definedName>
    <definedName name="T_片端DB_改">#REF!</definedName>
    <definedName name="TAP">#REF!</definedName>
    <definedName name="TAP_1">#REF!</definedName>
    <definedName name="taw" hidden="1">#REF!</definedName>
    <definedName name="tblDispPlanProcess">#REF!</definedName>
    <definedName name="tera" hidden="1">#REF!</definedName>
    <definedName name="TextRefCopyRangeCount" hidden="1">2</definedName>
    <definedName name="TJY">#REF!</definedName>
    <definedName name="TJY_1">#REF!</definedName>
    <definedName name="TOTAL">#REF!</definedName>
    <definedName name="TOTPG">"57"</definedName>
    <definedName name="tr" hidden="1">#REF!</definedName>
    <definedName name="trae" hidden="1">#REF!</definedName>
    <definedName name="tre" hidden="1">#REF!</definedName>
    <definedName name="TYA">#REF!</definedName>
    <definedName name="TYA_1">#REF!</definedName>
    <definedName name="TYC">#REF!</definedName>
    <definedName name="TYC_1">#REF!</definedName>
    <definedName name="USDAT">"VGAP19"</definedName>
    <definedName name="USNAM">"SMBATCH"</definedName>
    <definedName name="vf" hidden="1">#REF!</definedName>
    <definedName name="volvo採算" localSheetId="1" hidden="1">{#N/A,#N/A,FALSE,"第１紙";#N/A,#N/A,FALSE,"第２紙以降"}</definedName>
    <definedName name="volvo採算" hidden="1">{#N/A,#N/A,FALSE,"第１紙";#N/A,#N/A,FALSE,"第２紙以降"}</definedName>
    <definedName name="waa" hidden="1">[13]MYZK02!$I$828:$P$828</definedName>
    <definedName name="wad" hidden="1">#REF!</definedName>
    <definedName name="waw" hidden="1">#REF!</definedName>
    <definedName name="wd" hidden="1">#REF!</definedName>
    <definedName name="wde" hidden="1">[13]MYZK02!$I$879:$P$879</definedName>
    <definedName name="wdw" hidden="1">[13]MYZK02!$I$1293:$P$1293</definedName>
    <definedName name="we" hidden="1">[13]MYZK02!$I$809:$P$809</definedName>
    <definedName name="WIP" localSheetId="1" hidden="1">{"'受発行文書'!$A$4:$D$28"}</definedName>
    <definedName name="WIP" hidden="1">{"'受発行文書'!$A$4:$D$28"}</definedName>
    <definedName name="wrn.３ヶ月生産計画連絡書.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DOM." localSheetId="1" hidden="1">{"DOM",#N/A,FALSE,"A8CONTENT"}</definedName>
    <definedName name="wrn.DOM." hidden="1">{"DOM",#N/A,FALSE,"A8CONTENT"}</definedName>
    <definedName name="wrn.EXPORT." localSheetId="1" hidden="1">{"EXPORT",#N/A,FALSE,"A8CONTENT"}</definedName>
    <definedName name="wrn.EXPORT." hidden="1">{"EXPORT",#N/A,FALSE,"A8CONTENT"}</definedName>
    <definedName name="wrn.ＧＬ用." localSheetId="1" hidden="1">{"GL用",#N/A,FALSE,"97年度上期計画 (TAL見込み)"}</definedName>
    <definedName name="wrn.ＧＬ用." hidden="1">{"GL用",#N/A,FALSE,"97年度上期計画 (TAL見込み)"}</definedName>
    <definedName name="wrn.企画台数." localSheetId="1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国別." localSheetId="1" hidden="1">{"国別",#N/A,FALSE,"96下期"}</definedName>
    <definedName name="wrn.国別." hidden="1">{"国別",#N/A,FALSE,"96下期"}</definedName>
    <definedName name="wrn.当月生産計画連絡書." localSheetId="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機種." localSheetId="1" hidden="1">{#N/A,#N/A,FALSE,"96下期"}</definedName>
    <definedName name="wrn.機種." hidden="1">{#N/A,#N/A,FALSE,"96下期"}</definedName>
    <definedName name="wrn.生産計画サマリー." localSheetId="1" hidden="1">{"生産計画サマリー",#N/A,FALSE,"ｻﾏﾘｰ"}</definedName>
    <definedName name="wrn.生産計画サマリー." hidden="1">{"生産計画サマリー",#N/A,FALSE,"ｻﾏﾘｰ"}</definedName>
    <definedName name="wrn.部品表." localSheetId="1" hidden="1">{#N/A,#N/A,FALSE,"第１紙";#N/A,#N/A,FALSE,"第２紙以降"}</definedName>
    <definedName name="wrn.部品表." hidden="1">{#N/A,#N/A,FALSE,"第１紙";#N/A,#N/A,FALSE,"第２紙以降"}</definedName>
    <definedName name="ws" hidden="1">#REF!</definedName>
    <definedName name="www" hidden="1">#REF!</definedName>
    <definedName name="ｘ" hidden="1">#REF!</definedName>
    <definedName name="xf" hidden="1">#REF!</definedName>
    <definedName name="YARMEX">#REF!</definedName>
    <definedName name="YARMEX_1">#REF!</definedName>
    <definedName name="YAS">#REF!</definedName>
    <definedName name="YAS_1">#REF!</definedName>
    <definedName name="YBL">#REF!</definedName>
    <definedName name="YBL_1">#REF!</definedName>
    <definedName name="YCSA">#REF!</definedName>
    <definedName name="YCSA_1">#REF!</definedName>
    <definedName name="YES">#REF!</definedName>
    <definedName name="YES_1">#REF!</definedName>
    <definedName name="YEV">#REF!</definedName>
    <definedName name="YEV_1">#REF!</definedName>
    <definedName name="YHV">#REF!</definedName>
    <definedName name="YHV_1">#REF!</definedName>
    <definedName name="YMO">#REF!</definedName>
    <definedName name="YMO_1">#REF!</definedName>
    <definedName name="YOT">#REF!</definedName>
    <definedName name="YOT_1">#REF!</definedName>
    <definedName name="YRL">#REF!</definedName>
    <definedName name="YRL_1">#REF!</definedName>
    <definedName name="YSK">#REF!</definedName>
    <definedName name="YSK_1">#REF!</definedName>
    <definedName name="YSP">#REF!</definedName>
    <definedName name="YSP_1">#REF!</definedName>
    <definedName name="yt" hidden="1">#REF!</definedName>
    <definedName name="YTM">#REF!</definedName>
    <definedName name="YTM_1">#REF!</definedName>
    <definedName name="YUL">#REF!</definedName>
    <definedName name="YUL_1">#REF!</definedName>
    <definedName name="YYA">#REF!</definedName>
    <definedName name="YYA_1">#REF!</definedName>
    <definedName name="Z_8247C79C_515D_4AD2_AA93_EF971B55936A_.wvu.Cols" hidden="1">#REF!</definedName>
    <definedName name="ｚｚ" localSheetId="1" hidden="1">{"GL用",#N/A,FALSE,"97年度上期計画 (TAL見込み)"}</definedName>
    <definedName name="ｚｚ" hidden="1">{"GL用",#N/A,FALSE,"97年度上期計画 (TAL見込み)"}</definedName>
    <definedName name="ｚｚｚ" hidden="1">[26]集計ﾘｽﾄ!#REF!</definedName>
    <definedName name="ｚｚｚ２" hidden="1">[26]集計ﾘｽﾄ!#REF!</definedName>
    <definedName name="あ" localSheetId="0">[24]!mdl_sht反騰法.btn月別構成_Action</definedName>
    <definedName name="あ" localSheetId="1">[24]!mdl_sht反騰法.btn月別構成_Action</definedName>
    <definedName name="あ">[24]!mdl_sht反騰法.btn月別構成_Action</definedName>
    <definedName name="あｗ" localSheetId="1" hidden="1">{"'TOYOTA'!$A$1:$R$26"}</definedName>
    <definedName name="あｗ" hidden="1">{"'TOYOTA'!$A$1:$R$26"}</definedName>
    <definedName name="ああ" localSheetId="0">[24]!mdl_sht反騰法.btn対象車種変更_Action</definedName>
    <definedName name="ああ" localSheetId="1">[24]!mdl_sht反騰法.btn対象車種変更_Action</definedName>
    <definedName name="ああ">[24]!mdl_sht反騰法.btn対象車種変更_Action</definedName>
    <definedName name="ああああ" localSheetId="0">[24]!mdl_sht反騰法.btn実績デｰタ修正_Action</definedName>
    <definedName name="ああああ" localSheetId="1">[24]!mdl_sht反騰法.btn実績デｰタ修正_Action</definedName>
    <definedName name="ああああ">[24]!mdl_sht反騰法.btn実績デｰタ修正_Action</definedName>
    <definedName name="あああああｑ" localSheetId="1" hidden="1">{"'TOYOTA'!$A$1:$R$26"}</definedName>
    <definedName name="あああああｑ" hidden="1">{"'TOYOTA'!$A$1:$R$26"}</definedName>
    <definedName name="ああああああｑ" localSheetId="1" hidden="1">{"'TOYOTA'!$A$1:$R$26"}</definedName>
    <definedName name="ああああああｑ" hidden="1">{"'TOYOTA'!$A$1:$R$26"}</definedName>
    <definedName name="あああああああああああ" localSheetId="1" hidden="1">{"'TOYOTA'!$A$1:$R$26"}</definedName>
    <definedName name="あああああああああああ" hidden="1">{"'TOYOTA'!$A$1:$R$26"}</definedName>
    <definedName name="あああああくぁあっくぁ" localSheetId="1" hidden="1">{"'TOYOTA'!$A$1:$R$26"}</definedName>
    <definedName name="あああああくぁあっくぁ" hidden="1">{"'TOYOTA'!$A$1:$R$26"}</definedName>
    <definedName name="うああ" localSheetId="1" hidden="1">{"'TOYOTA'!$A$1:$R$26"}</definedName>
    <definedName name="うああ" hidden="1">{"'TOYOTA'!$A$1:$R$26"}</definedName>
    <definedName name="え" hidden="1">#REF!</definedName>
    <definedName name="オーダ1取込" localSheetId="1">HOTEL!オーダ1取込</definedName>
    <definedName name="オーダ1取込">[0]!オーダ1取込</definedName>
    <definedName name="がえあ" localSheetId="1" hidden="1">{"'TOYOTA'!$A$1:$R$26"}</definedName>
    <definedName name="がえあ" hidden="1">{"'TOYOTA'!$A$1:$R$26"}</definedName>
    <definedName name="がげあｇ" localSheetId="1" hidden="1">{"'TOYOTA'!$A$1:$R$26"}</definedName>
    <definedName name="がげあｇ" hidden="1">{"'TOYOTA'!$A$1:$R$26"}</definedName>
    <definedName name="ｶﾞｿﾘﾝ" localSheetId="1" hidden="1">{"GL用",#N/A,FALSE,"97年度上期計画 (TAL見込み)"}</definedName>
    <definedName name="ｶﾞｿﾘﾝ" hidden="1">{"GL用",#N/A,FALSE,"97年度上期計画 (TAL見込み)"}</definedName>
    <definedName name="かり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クエリ1">#REF!</definedName>
    <definedName name="クエリ2">#REF!</definedName>
    <definedName name="コード">#REF!</definedName>
    <definedName name="コード２">#REF!</definedName>
    <definedName name="コメントなし">#REF!</definedName>
    <definedName name="だ" hidden="1">#REF!</definedName>
    <definedName name="っっｒ" localSheetId="1" hidden="1">{#N/A,#N/A,FALSE,"第１紙";#N/A,#N/A,FALSE,"第２紙以降"}</definedName>
    <definedName name="っっｒ" hidden="1">{#N/A,#N/A,FALSE,"第１紙";#N/A,#N/A,FALSE,"第２紙以降"}</definedName>
    <definedName name="で" localSheetId="1" hidden="1">{"'TOYOTA'!$A$1:$R$26"}</definedName>
    <definedName name="で" hidden="1">{"'TOYOTA'!$A$1:$R$26"}</definedName>
    <definedName name="ディーゼル" localSheetId="1" hidden="1">{"GL用",#N/A,FALSE,"97年度上期計画 (TAL見込み)"}</definedName>
    <definedName name="ディーゼル" hidden="1">{"GL用",#N/A,FALSE,"97年度上期計画 (TAL見込み)"}</definedName>
    <definedName name="ﾊﾟｰﾂ正方形グラフ" localSheetId="1" hidden="1">{#N/A,#N/A,FALSE,"96下期"}</definedName>
    <definedName name="ﾊﾟｰﾂ正方形グラフ" hidden="1">{#N/A,#N/A,FALSE,"96下期"}</definedName>
    <definedName name="ぴ" localSheetId="1" hidden="1">{"'TOYOTA'!$A$1:$R$26"}</definedName>
    <definedName name="ぴ" hidden="1">{"'TOYOTA'!$A$1:$R$26"}</definedName>
    <definedName name="ﾌｨﾙ" hidden="1">#REF!</definedName>
    <definedName name="ﾏｸﾛ.子供→ライン別へ直数" localSheetId="1">HOTEL!ﾏｸﾛ.子供→ライン別へ直数</definedName>
    <definedName name="ﾏｸﾛ.子供→ライン別へ直数">[0]!ﾏｸﾛ.子供→ライン別へ直数</definedName>
    <definedName name="ﾏｸﾛ.子供→ライン別へ配分案稼働" localSheetId="1">HOTEL!ﾏｸﾛ.子供→ライン別へ配分案稼働</definedName>
    <definedName name="ﾏｸﾛ.子供→ライン別へ配分案稼働">[0]!ﾏｸﾛ.子供→ライン別へ配分案稼働</definedName>
    <definedName name="ライン別をオーダー差を閉じる" localSheetId="1">HOTEL!ライン別をオーダー差を閉じる</definedName>
    <definedName name="ライン別をオーダー差を閉じる">[0]!ライン別をオーダー差を閉じる</definedName>
    <definedName name="わ" localSheetId="1" hidden="1">{"'TOYOTA'!$A$1:$R$26"}</definedName>
    <definedName name="わ" hidden="1">{"'TOYOTA'!$A$1:$R$26"}</definedName>
    <definedName name="ん" localSheetId="1" hidden="1">{"国別",#N/A,FALSE,"96下期"}</definedName>
    <definedName name="ん" hidden="1">{"国別",#N/A,FALSE,"96下期"}</definedName>
    <definedName name="一覧" localSheetId="1" hidden="1">{#N/A,#N/A,FALSE,"第１紙";#N/A,#N/A,FALSE,"第２紙以降"}</definedName>
    <definedName name="一覧" hidden="1">{#N/A,#N/A,FALSE,"第１紙";#N/A,#N/A,FALSE,"第２紙以降"}</definedName>
    <definedName name="仮" localSheetId="1" hidden="1">{"生産計画サマリー",#N/A,FALSE,"ｻﾏﾘｰ"}</definedName>
    <definedName name="仮" hidden="1">{"生産計画サマリー",#N/A,FALSE,"ｻﾏﾘｰ"}</definedName>
    <definedName name="仮１" localSheetId="1" hidden="1">{"生産計画サマリー",#N/A,FALSE,"ｻﾏﾘｰ"}</definedName>
    <definedName name="仮１" hidden="1">{"生産計画サマリー",#N/A,FALSE,"ｻﾏﾘｰ"}</definedName>
    <definedName name="切り" localSheetId="1" hidden="1">{"生産計画サマリー",#N/A,FALSE,"ｻﾏﾘｰ"}</definedName>
    <definedName name="切り" hidden="1">{"生産計画サマリー",#N/A,FALSE,"ｻﾏﾘｰ"}</definedName>
    <definedName name="切り1" localSheetId="1" hidden="1">{"生産計画サマリー",#N/A,FALSE,"ｻﾏﾘｰ"}</definedName>
    <definedName name="切り1" hidden="1">{"生産計画サマリー",#N/A,FALSE,"ｻﾏﾘｰ"}</definedName>
    <definedName name="単線共通分析ﾃｰﾌﾞﾙ">#REF!</definedName>
    <definedName name="印刷" localSheetId="0">[27]!印刷</definedName>
    <definedName name="印刷" localSheetId="1">[27]!印刷</definedName>
    <definedName name="印刷">[27]!印刷</definedName>
    <definedName name="印刷1" localSheetId="0">[28]!印刷1</definedName>
    <definedName name="印刷1" localSheetId="1">[28]!印刷1</definedName>
    <definedName name="印刷1">[28]!印刷1</definedName>
    <definedName name="合計">#REF!</definedName>
    <definedName name="名称ｔｂｌ">#REF!</definedName>
    <definedName name="国ＴＢＬ">#REF!</definedName>
    <definedName name="子供→ライン別へフォロｰ平日パタｰン" localSheetId="1">HOTEL!子供→ライン別へフォロｰ平日パタｰン</definedName>
    <definedName name="子供→ライン別へフォロｰ平日パタｰン">[0]!子供→ライン別へフォロｰ平日パタｰン</definedName>
    <definedName name="子供→ライン別へフォロｰ稼働" localSheetId="1">HOTEL!子供→ライン別へフォロｰ稼働</definedName>
    <definedName name="子供→ライン別へフォロｰ稼働">[0]!子供→ライン別へフォロｰ稼働</definedName>
    <definedName name="子供→ライン別へ直数" localSheetId="1">HOTEL!子供→ライン別へ直数</definedName>
    <definedName name="子供→ライン別へ直数">[0]!子供→ライン別へ直数</definedName>
    <definedName name="子供→ライン別へ確定平日パタｰン" localSheetId="1">HOTEL!子供→ライン別へ確定平日パタｰン</definedName>
    <definedName name="子供→ライン別へ確定平日パタｰン">[0]!子供→ライン別へ確定平日パタｰン</definedName>
    <definedName name="子供→ライン別へ確定稼働" localSheetId="1">HOTEL!子供→ライン別へ確定稼働</definedName>
    <definedName name="子供→ライン別へ確定稼働">[0]!子供→ライン別へ確定稼働</definedName>
    <definedName name="子供→ライン別へ配分案平日パタｰン" localSheetId="1">HOTEL!子供→ライン別へ配分案平日パタｰン</definedName>
    <definedName name="子供→ライン別へ配分案平日パタｰン">[0]!子供→ライン別へ配分案平日パタｰン</definedName>
    <definedName name="子供→ライン別へ配分案稼働" localSheetId="1">HOTEL!子供→ライン別へ配分案稼働</definedName>
    <definedName name="子供→ライン別へ配分案稼働">[0]!子供→ライン別へ配分案稼働</definedName>
    <definedName name="工務部長会議">[29]生産!$AA$12:$AG$93</definedName>
    <definedName name="悲観値" localSheetId="1" hidden="1">{#N/A,#N/A,FALSE,"第１紙";#N/A,#N/A,FALSE,"第２紙以降"}</definedName>
    <definedName name="悲観値" hidden="1">{#N/A,#N/A,FALSE,"第１紙";#N/A,#N/A,FALSE,"第２紙以降"}</definedName>
    <definedName name="投入の狙い" hidden="1">#REF!</definedName>
    <definedName name="桁TBL">#REF!</definedName>
    <definedName name="桁記号TBL">#REF!</definedName>
    <definedName name="楽観値" localSheetId="1" hidden="1">{#N/A,#N/A,FALSE,"第１紙";#N/A,#N/A,FALSE,"第２紙以降"}</definedName>
    <definedName name="楽観値" hidden="1">{#N/A,#N/A,FALSE,"第１紙";#N/A,#N/A,FALSE,"第２紙以降"}</definedName>
    <definedName name="細目ｔｂｌ">#REF!</definedName>
    <definedName name="翌月準備" localSheetId="1">HOTEL!翌月準備</definedName>
    <definedName name="翌月準備">[0]!翌月準備</definedName>
    <definedName name="表紙へ" localSheetId="0">[30]!表紙へ</definedName>
    <definedName name="表紙へ" localSheetId="1">[30]!表紙へ</definedName>
    <definedName name="表紙へ">[30]!表紙へ</definedName>
    <definedName name="設備･工数" localSheetId="1" hidden="1">{#N/A,#N/A,FALSE,"第１紙";#N/A,#N/A,FALSE,"第２紙以降"}</definedName>
    <definedName name="設備･工数" hidden="1">{#N/A,#N/A,FALSE,"第１紙";#N/A,#N/A,FALSE,"第２紙以降"}</definedName>
    <definedName name="設備･工数２" localSheetId="1" hidden="1">{#N/A,#N/A,FALSE,"第１紙";#N/A,#N/A,FALSE,"第２紙以降"}</definedName>
    <definedName name="設備･工数２" hidden="1">{#N/A,#N/A,FALSE,"第１紙";#N/A,#N/A,FALSE,"第２紙以降"}</definedName>
    <definedName name="試乗車マップ" hidden="1">#REF!</definedName>
    <definedName name="部品">#REF!</definedName>
    <definedName name="配分会議用">#REF!</definedName>
    <definedName name="開く目次" localSheetId="0">[28]!開く目次</definedName>
    <definedName name="開く目次" localSheetId="1">[28]!開く目次</definedName>
    <definedName name="開く目次">[28]!開く目次</definedName>
    <definedName name="開発工数" localSheetId="1" hidden="1">{"GL用",#N/A,FALSE,"97年度上期計画 (TAL見込み)"}</definedName>
    <definedName name="開発工数" hidden="1">{"GL用",#N/A,FALSE,"97年度上期計画 (TAL見込み)"}</definedName>
    <definedName name="類別選択" localSheetId="1">HOTEL!類別選択</definedName>
    <definedName name="類別選択">[0]!類別選択</definedName>
  </definedNames>
  <calcPr calcId="181029"/>
</workbook>
</file>

<file path=xl/calcChain.xml><?xml version="1.0" encoding="utf-8"?>
<calcChain xmlns="http://schemas.openxmlformats.org/spreadsheetml/2006/main">
  <c r="E34" i="27" l="1"/>
  <c r="I26" i="27"/>
  <c r="I6" i="27"/>
  <c r="J20" i="27"/>
  <c r="I27" i="27"/>
  <c r="I25" i="27"/>
  <c r="J19" i="27"/>
  <c r="J18" i="27"/>
  <c r="H19" i="27"/>
  <c r="H18" i="27"/>
  <c r="T16" i="26"/>
  <c r="S14" i="26"/>
  <c r="S11" i="26"/>
  <c r="T12" i="26"/>
  <c r="S10" i="26"/>
  <c r="S12" i="26" s="1"/>
  <c r="K28" i="26"/>
  <c r="K10" i="26"/>
  <c r="K7" i="26"/>
  <c r="K16" i="26"/>
  <c r="K18" i="26"/>
  <c r="K20" i="26"/>
  <c r="K22" i="26"/>
  <c r="K24" i="26"/>
  <c r="K26" i="26"/>
  <c r="K14" i="26"/>
  <c r="K12" i="26"/>
  <c r="M34" i="26"/>
  <c r="M36" i="26"/>
  <c r="M33" i="26"/>
  <c r="M32" i="26"/>
  <c r="M7" i="26"/>
  <c r="M6" i="26"/>
  <c r="I5" i="27"/>
  <c r="I7" i="27"/>
  <c r="H7" i="27"/>
  <c r="M7" i="27"/>
  <c r="M6" i="27"/>
  <c r="M5" i="27"/>
  <c r="H8" i="27"/>
  <c r="H5" i="27"/>
  <c r="L36" i="26"/>
  <c r="H36" i="26"/>
</calcChain>
</file>

<file path=xl/sharedStrings.xml><?xml version="1.0" encoding="utf-8"?>
<sst xmlns="http://schemas.openxmlformats.org/spreadsheetml/2006/main" count="147" uniqueCount="92">
  <si>
    <t>NO</t>
  </si>
  <si>
    <t>NIK</t>
  </si>
  <si>
    <t>NAMA</t>
  </si>
  <si>
    <t>TOTAL</t>
  </si>
  <si>
    <t>HOTEL</t>
  </si>
  <si>
    <t>JABATAN</t>
  </si>
  <si>
    <t>I</t>
  </si>
  <si>
    <t>II</t>
  </si>
  <si>
    <t>III</t>
  </si>
  <si>
    <t>IV</t>
  </si>
  <si>
    <t>A</t>
  </si>
  <si>
    <t>WHO</t>
  </si>
  <si>
    <t>GOL</t>
  </si>
  <si>
    <t>QA</t>
  </si>
  <si>
    <t>MTC</t>
  </si>
  <si>
    <t>PP</t>
  </si>
  <si>
    <t xml:space="preserve">SPV </t>
  </si>
  <si>
    <t xml:space="preserve">LL </t>
  </si>
  <si>
    <t>Sub linecho</t>
  </si>
  <si>
    <t>WARTI</t>
  </si>
  <si>
    <t>KHOLIS FATKHIYATUR ROHMANIYAH</t>
  </si>
  <si>
    <t>LQC</t>
  </si>
  <si>
    <t>MARGARETA PUJI RAHAYU</t>
  </si>
  <si>
    <t>SITI ANJARWATI</t>
  </si>
  <si>
    <t>DYNA SEPTIANI</t>
  </si>
  <si>
    <t>NUR FATMAWATI</t>
  </si>
  <si>
    <t>GL</t>
  </si>
  <si>
    <t>MUKHASANAH</t>
  </si>
  <si>
    <t>SITI NELI ROHMAH</t>
  </si>
  <si>
    <t>WULANDARI</t>
  </si>
  <si>
    <t>ZAINAL KAFIDZIN</t>
  </si>
  <si>
    <t>TRI RUMIYATI</t>
  </si>
  <si>
    <t>JANATUN</t>
  </si>
  <si>
    <t>WAHYUNI</t>
  </si>
  <si>
    <t>B01176</t>
  </si>
  <si>
    <t>ANDRIYONO</t>
  </si>
  <si>
    <t>SITI KHAIZAH</t>
  </si>
  <si>
    <t>AGUS WIDODO</t>
  </si>
  <si>
    <t>SUTRISNO</t>
  </si>
  <si>
    <t>PRD 
CPA</t>
  </si>
  <si>
    <t>MEI DWI ASTUTI</t>
  </si>
  <si>
    <t>IKA SULISTYOWATI</t>
  </si>
  <si>
    <t>NUR KHOLIS</t>
  </si>
  <si>
    <t>PE</t>
  </si>
  <si>
    <t>GIYARNA</t>
  </si>
  <si>
    <t>SUROKO</t>
  </si>
  <si>
    <t>ZAINAL ARIFIN</t>
  </si>
  <si>
    <t>M.HUSNUL MUBAROK</t>
  </si>
  <si>
    <t>UMI SOLICHATUN</t>
  </si>
  <si>
    <t>SURYANI</t>
  </si>
  <si>
    <t>HERLAMBANG DIAN INDRA S</t>
  </si>
  <si>
    <t>RETNO BUDIARSIH</t>
  </si>
  <si>
    <t>Check in</t>
  </si>
  <si>
    <t>Check out</t>
  </si>
  <si>
    <t>DEPT.</t>
  </si>
  <si>
    <t>QTY KAMAR</t>
  </si>
  <si>
    <t>PRD</t>
  </si>
  <si>
    <t>SUSANTO</t>
  </si>
  <si>
    <t>HENDRIA AYUNITA SAPUTRA</t>
  </si>
  <si>
    <t>ITEM</t>
  </si>
  <si>
    <t>PLOT KAMAR TRAINING KE PEMI TANGGAL 7 - 11 AGUSTUS 2023</t>
  </si>
  <si>
    <t>KET</t>
  </si>
  <si>
    <t>Hotel - PEMI (Pulang Pergi)</t>
  </si>
  <si>
    <t>TOTAL BIAYA</t>
  </si>
  <si>
    <t>B</t>
  </si>
  <si>
    <t>C = B / A</t>
  </si>
  <si>
    <t>TICKET PESAWAT</t>
  </si>
  <si>
    <t>CKG - SRG tgl 9 Agustus 2023</t>
  </si>
  <si>
    <t>RUTE</t>
  </si>
  <si>
    <t xml:space="preserve">All member </t>
  </si>
  <si>
    <t>MHM, HAS, Koko, Zainal</t>
  </si>
  <si>
    <t>YARIS KLOTER 2</t>
  </si>
  <si>
    <t>PER-ORANG</t>
  </si>
  <si>
    <t>BUS Medium</t>
  </si>
  <si>
    <t>BUS Besar</t>
  </si>
  <si>
    <t>(BIAYA) TAGIHAN</t>
  </si>
  <si>
    <t>Semarang Jakarta</t>
  </si>
  <si>
    <t>Jakarta Semarang</t>
  </si>
  <si>
    <t>PART NO.</t>
  </si>
  <si>
    <t>JUMLAH
ORANG</t>
  </si>
  <si>
    <t>PEMBAGIAN</t>
  </si>
  <si>
    <t>RENT031</t>
  </si>
  <si>
    <t>RENT032</t>
  </si>
  <si>
    <t>RENT033</t>
  </si>
  <si>
    <t xml:space="preserve"> / hari</t>
  </si>
  <si>
    <t>OK</t>
  </si>
  <si>
    <t>GOL I-II</t>
  </si>
  <si>
    <t>GOL III</t>
  </si>
  <si>
    <t>ORANG</t>
  </si>
  <si>
    <t>KAMAR</t>
  </si>
  <si>
    <t>GL IV</t>
  </si>
  <si>
    <t>TOTAL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</si>
</sst>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d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Meiryo UI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b/>
      <sz val="22"/>
      <color theme="1"/>
      <name val="Cambria"/>
      <family val="2"/>
      <scheme val="major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b/>
      <u val="double"/>
      <sz val="14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b/>
      <sz val="14"/>
      <color rgb="FF0000CC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6"/>
      <color rgb="FF0000CC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22">
    <xf numFmtId="0" fontId="0" fillId="0" borderId="0" xfId="0"/>
    <xf numFmtId="0" fontId="3" fillId="0" borderId="0" xfId="0" applyFont="1" applyAlignment="1">
      <alignment horizontal="center" vertical="top"/>
    </xf>
    <xf numFmtId="0" fontId="8" fillId="3" borderId="0" xfId="0" applyFont="1" applyFill="1"/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wrapText="1"/>
    </xf>
    <xf numFmtId="0" fontId="12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7" fontId="8" fillId="3" borderId="0" xfId="0" applyNumberFormat="1" applyFont="1" applyFill="1"/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0" xfId="0" applyAlignment="1">
      <alignment horizontal="center" vertical="top"/>
    </xf>
    <xf numFmtId="166" fontId="0" fillId="0" borderId="0" xfId="1" applyNumberFormat="1" applyFont="1" applyAlignment="1">
      <alignment vertical="top"/>
    </xf>
    <xf numFmtId="166" fontId="0" fillId="0" borderId="1" xfId="1" applyNumberFormat="1" applyFont="1" applyBorder="1" applyAlignment="1">
      <alignment vertical="top"/>
    </xf>
    <xf numFmtId="166" fontId="0" fillId="0" borderId="5" xfId="1" applyNumberFormat="1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166" fontId="16" fillId="0" borderId="1" xfId="1" applyNumberFormat="1" applyFont="1" applyBorder="1" applyAlignment="1">
      <alignment vertical="top"/>
    </xf>
    <xf numFmtId="166" fontId="16" fillId="0" borderId="5" xfId="1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166" fontId="17" fillId="0" borderId="0" xfId="1" applyNumberFormat="1" applyFont="1" applyAlignment="1">
      <alignment vertical="top"/>
    </xf>
    <xf numFmtId="0" fontId="17" fillId="0" borderId="0" xfId="0" applyFont="1" applyAlignment="1">
      <alignment vertical="top"/>
    </xf>
    <xf numFmtId="166" fontId="18" fillId="0" borderId="0" xfId="1" applyNumberFormat="1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66" fontId="17" fillId="0" borderId="0" xfId="1" applyNumberFormat="1" applyFont="1" applyAlignment="1">
      <alignment horizontal="center" vertical="top"/>
    </xf>
    <xf numFmtId="166" fontId="2" fillId="3" borderId="0" xfId="1" applyNumberFormat="1" applyFont="1" applyFill="1" applyAlignment="1">
      <alignment horizontal="left" vertical="center"/>
    </xf>
    <xf numFmtId="166" fontId="6" fillId="3" borderId="0" xfId="1" applyNumberFormat="1" applyFont="1" applyFill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166" fontId="4" fillId="2" borderId="5" xfId="1" applyNumberFormat="1" applyFont="1" applyFill="1" applyBorder="1" applyAlignment="1">
      <alignment horizontal="left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166" fontId="19" fillId="3" borderId="0" xfId="1" applyNumberFormat="1" applyFont="1" applyFill="1" applyAlignment="1">
      <alignment horizontal="left" vertical="center"/>
    </xf>
    <xf numFmtId="166" fontId="20" fillId="3" borderId="0" xfId="1" applyNumberFormat="1" applyFont="1" applyFill="1" applyAlignment="1">
      <alignment horizontal="left" vertical="center" wrapText="1"/>
    </xf>
    <xf numFmtId="166" fontId="20" fillId="2" borderId="1" xfId="1" applyNumberFormat="1" applyFont="1" applyFill="1" applyBorder="1" applyAlignment="1">
      <alignment vertical="center" wrapText="1"/>
    </xf>
    <xf numFmtId="166" fontId="20" fillId="2" borderId="5" xfId="1" applyNumberFormat="1" applyFont="1" applyFill="1" applyBorder="1" applyAlignment="1">
      <alignment vertical="center" wrapText="1"/>
    </xf>
    <xf numFmtId="166" fontId="22" fillId="2" borderId="5" xfId="1" applyNumberFormat="1" applyFont="1" applyFill="1" applyBorder="1" applyAlignment="1">
      <alignment horizontal="left" vertical="center" wrapText="1"/>
    </xf>
    <xf numFmtId="166" fontId="16" fillId="0" borderId="5" xfId="1" applyNumberFormat="1" applyFont="1" applyBorder="1" applyAlignment="1">
      <alignment horizontal="center" vertical="top"/>
    </xf>
    <xf numFmtId="166" fontId="16" fillId="0" borderId="1" xfId="1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0" fontId="21" fillId="0" borderId="1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166" fontId="0" fillId="0" borderId="12" xfId="1" applyNumberFormat="1" applyFont="1" applyBorder="1" applyAlignment="1">
      <alignment horizontal="center" vertical="top"/>
    </xf>
    <xf numFmtId="166" fontId="0" fillId="0" borderId="5" xfId="1" applyNumberFormat="1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3" fillId="3" borderId="9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167" fontId="12" fillId="3" borderId="9" xfId="0" applyNumberFormat="1" applyFont="1" applyFill="1" applyBorder="1" applyAlignment="1">
      <alignment horizontal="center"/>
    </xf>
    <xf numFmtId="167" fontId="12" fillId="3" borderId="11" xfId="0" applyNumberFormat="1" applyFont="1" applyFill="1" applyBorder="1" applyAlignment="1">
      <alignment horizontal="center"/>
    </xf>
    <xf numFmtId="167" fontId="12" fillId="3" borderId="10" xfId="0" applyNumberFormat="1" applyFont="1" applyFill="1" applyBorder="1" applyAlignment="1">
      <alignment horizontal="center"/>
    </xf>
    <xf numFmtId="166" fontId="6" fillId="2" borderId="4" xfId="1" applyNumberFormat="1" applyFont="1" applyFill="1" applyBorder="1" applyAlignment="1">
      <alignment horizontal="left" vertical="center" wrapText="1"/>
    </xf>
    <xf numFmtId="166" fontId="6" fillId="2" borderId="7" xfId="1" applyNumberFormat="1" applyFont="1" applyFill="1" applyBorder="1" applyAlignment="1">
      <alignment horizontal="left" vertical="center" wrapText="1"/>
    </xf>
    <xf numFmtId="166" fontId="6" fillId="2" borderId="5" xfId="1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167" fontId="7" fillId="3" borderId="4" xfId="0" applyNumberFormat="1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167" fontId="11" fillId="5" borderId="1" xfId="0" applyNumberFormat="1" applyFont="1" applyFill="1" applyBorder="1" applyAlignment="1">
      <alignment horizontal="center" vertical="center"/>
    </xf>
    <xf numFmtId="167" fontId="11" fillId="5" borderId="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6" fontId="20" fillId="2" borderId="4" xfId="1" applyNumberFormat="1" applyFont="1" applyFill="1" applyBorder="1" applyAlignment="1">
      <alignment horizontal="left" vertical="center" wrapText="1"/>
    </xf>
    <xf numFmtId="166" fontId="20" fillId="2" borderId="5" xfId="1" applyNumberFormat="1" applyFont="1" applyFill="1" applyBorder="1" applyAlignment="1">
      <alignment horizontal="left" vertical="center" wrapText="1"/>
    </xf>
    <xf numFmtId="166" fontId="20" fillId="2" borderId="4" xfId="1" applyNumberFormat="1" applyFont="1" applyFill="1" applyBorder="1" applyAlignment="1">
      <alignment horizontal="center" vertical="center" wrapText="1"/>
    </xf>
    <xf numFmtId="166" fontId="20" fillId="2" borderId="7" xfId="1" applyNumberFormat="1" applyFont="1" applyFill="1" applyBorder="1" applyAlignment="1">
      <alignment horizontal="center" vertical="center" wrapText="1"/>
    </xf>
    <xf numFmtId="166" fontId="21" fillId="2" borderId="4" xfId="1" applyNumberFormat="1" applyFont="1" applyFill="1" applyBorder="1" applyAlignment="1">
      <alignment horizontal="center" vertical="center" wrapText="1"/>
    </xf>
    <xf numFmtId="166" fontId="21" fillId="2" borderId="5" xfId="1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166" fontId="12" fillId="3" borderId="0" xfId="0" applyNumberFormat="1" applyFont="1" applyFill="1"/>
    <xf numFmtId="166" fontId="12" fillId="3" borderId="0" xfId="1" applyNumberFormat="1" applyFont="1" applyFill="1"/>
    <xf numFmtId="166" fontId="11" fillId="3" borderId="4" xfId="1" applyNumberFormat="1" applyFont="1" applyFill="1" applyBorder="1" applyAlignment="1">
      <alignment vertical="center" wrapText="1"/>
    </xf>
    <xf numFmtId="166" fontId="24" fillId="3" borderId="4" xfId="1" applyNumberFormat="1" applyFont="1" applyFill="1" applyBorder="1" applyAlignment="1">
      <alignment horizontal="left" wrapText="1"/>
    </xf>
    <xf numFmtId="166" fontId="24" fillId="0" borderId="4" xfId="1" applyNumberFormat="1" applyFont="1" applyBorder="1" applyAlignment="1">
      <alignment horizontal="center" vertical="center" wrapText="1"/>
    </xf>
    <xf numFmtId="166" fontId="24" fillId="0" borderId="5" xfId="1" applyNumberFormat="1" applyFont="1" applyBorder="1" applyAlignment="1">
      <alignment horizontal="center" vertical="center" wrapText="1"/>
    </xf>
    <xf numFmtId="166" fontId="24" fillId="3" borderId="4" xfId="1" applyNumberFormat="1" applyFont="1" applyFill="1" applyBorder="1" applyAlignment="1">
      <alignment horizontal="left" vertical="center" wrapText="1"/>
    </xf>
    <xf numFmtId="166" fontId="24" fillId="3" borderId="5" xfId="1" applyNumberFormat="1" applyFont="1" applyFill="1" applyBorder="1" applyAlignment="1">
      <alignment horizontal="left" vertical="center" wrapText="1"/>
    </xf>
    <xf numFmtId="166" fontId="24" fillId="3" borderId="7" xfId="1" applyNumberFormat="1" applyFont="1" applyFill="1" applyBorder="1" applyAlignment="1">
      <alignment horizontal="left" wrapText="1"/>
    </xf>
    <xf numFmtId="166" fontId="11" fillId="3" borderId="4" xfId="1" applyNumberFormat="1" applyFont="1" applyFill="1" applyBorder="1" applyAlignment="1">
      <alignment horizontal="left" wrapText="1"/>
    </xf>
    <xf numFmtId="166" fontId="11" fillId="3" borderId="5" xfId="1" applyNumberFormat="1" applyFont="1" applyFill="1" applyBorder="1" applyAlignment="1">
      <alignment horizontal="left" wrapText="1"/>
    </xf>
    <xf numFmtId="0" fontId="7" fillId="3" borderId="1" xfId="0" quotePrefix="1" applyFont="1" applyFill="1" applyBorder="1" applyAlignment="1">
      <alignment horizontal="center" vertical="center" wrapText="1"/>
    </xf>
    <xf numFmtId="166" fontId="11" fillId="6" borderId="5" xfId="1" applyNumberFormat="1" applyFont="1" applyFill="1" applyBorder="1" applyAlignment="1">
      <alignment vertical="center" wrapText="1"/>
    </xf>
    <xf numFmtId="166" fontId="11" fillId="6" borderId="4" xfId="1" applyNumberFormat="1" applyFont="1" applyFill="1" applyBorder="1" applyAlignment="1">
      <alignment horizontal="center" vertical="center" wrapText="1"/>
    </xf>
    <xf numFmtId="166" fontId="11" fillId="6" borderId="5" xfId="1" applyNumberFormat="1" applyFont="1" applyFill="1" applyBorder="1" applyAlignment="1">
      <alignment horizontal="center" vertical="center" wrapText="1"/>
    </xf>
    <xf numFmtId="166" fontId="24" fillId="6" borderId="4" xfId="1" applyNumberFormat="1" applyFont="1" applyFill="1" applyBorder="1" applyAlignment="1">
      <alignment horizontal="left" wrapText="1"/>
    </xf>
    <xf numFmtId="166" fontId="24" fillId="6" borderId="5" xfId="1" applyNumberFormat="1" applyFont="1" applyFill="1" applyBorder="1" applyAlignment="1">
      <alignment horizontal="left" wrapText="1"/>
    </xf>
    <xf numFmtId="0" fontId="12" fillId="3" borderId="0" xfId="0" applyFont="1" applyFill="1" applyAlignment="1">
      <alignment horizontal="center" vertical="center"/>
    </xf>
    <xf numFmtId="0" fontId="12" fillId="3" borderId="0" xfId="1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 vertical="center"/>
    </xf>
    <xf numFmtId="165" fontId="0" fillId="0" borderId="0" xfId="1" applyFont="1" applyAlignment="1">
      <alignment horizontal="center" vertical="top"/>
    </xf>
    <xf numFmtId="165" fontId="0" fillId="0" borderId="0" xfId="0" applyNumberFormat="1" applyAlignment="1">
      <alignment horizontal="center" vertical="top"/>
    </xf>
  </cellXfs>
  <cellStyles count="4">
    <cellStyle name="Comma" xfId="1" builtinId="3"/>
    <cellStyle name="Comma [0]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d\Documents%20and%20Settings\PRD-BBF\Local%20Settings\Temporary%20Internet%20Files\Content.IE5\ZX0K4ZBN\Master%20Data%20Produksi\A.%20Data%20Bulanan\9.%20Tahun%202011\10.%20Oktober%202011\Efficiency\1.%20Efficiency%20Oktober%20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30DC20\1.%20Efficiency%20Oktober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7.%20Data%20Sementara\November%202011\Efficiency\1.%20Efficiency%20November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Summary%20Efficiency%20November%2020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Local%20Settings\Temporary%20Internet%20Files\OLK2\data\&#65336;&#65315;&#65297;&#26989;&#21209;\&#65404;&#65433;&#65418;&#65438;&#65392;&#65405;&#65412;&#65392;&#65437;\B15-4&#38598;&#35336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Core/Shared/Groups/Oof/fin/workarea/LEASSC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HGP-QAD\&#24444;&#25105;\&#24863;&#24615;&#35413;&#20385;&#27861;\&#65393;&#65395;&#65408;&#65392;&#65418;&#65437;&#65412;&#65438;&#65433;&#25805;&#20316;&#33655;&#37325;\&#65393;&#65395;&#65408;&#65392;&#65418;&#65437;&#65412;&#65438;&#65433;&#35413;&#20385;&#65297;&#27425;&#65423;&#65412;&#6542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1.100\Inetpub\&#29983;&#35336;&#23460;&#65298;&#65319;&#65418;&#65394;&#65431;&#65391;&#65400;&#65405;\&#36664;&#20837;&#37096;&#21697;\&#36664;&#20837;&#37096;&#21697;&#20250;&#356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40.95\s02_&#24037;&#21209;&#37096;\&#31227;&#31649;&#20250;&#35696;\2013\&#9679;2013&#24180;8&#26376;&#32013;&#20837;&#20998;&#65374;&#12288;&#12463;&#12521;&#12454;&#12531;&#12497;&#12488;&#12459;&#12540;%2082132-&#12288;&#65288;TJY&#8658;&#20061;&#24030;&#12495;&#12540;&#12493;&#12473;&#65289;\&#20061;&#24030;&#22320;&#21306;&#20986;&#24373;\&#40575;&#20816;&#23798;&#20986;&#24373;\&#20877;&#32232;&#31227;&#31649;&#20250;&#35696;\&#20877;&#32232;&#31227;&#31649;&#20250;&#35696;\&#20877;&#32232;&#31227;&#31649;&#20250;&#35696;\&#23696;&#38428;&#8658;PEMI&#65288;IMV&#12456;&#12531;&#12472;&#12531;&#65289;\IMV&#12456;&#12531;&#12472;&#12531;WH&#65288;&#23696;&#38428;&#8658;PEMI&#65289;_2&#26376;29&#260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IT\Local%20Settings\Temporary%20Internet%20Files\Content.IE5\5M4XJW6J\MH%20AUG%20%20'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Documents%20and%20Settings\SAMI%2016\My%20Documents\1.%20Efficiency%20Januari%202010%20NEW%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Master%20Data%20Produksi\A.%20Data%20Bulanan\7.%20Tahun%202009\12.%20Desember%202009\Efficiency\1.%20Efficiency%20Bulan%20Desember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user\My%20Documents\Mansur's%20Documents\Dokumen%20Term%2069%20th\Production%20Report\january\1.%20Efficiency%20Januari%202010%20NE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2.%20Pareto%20defect%20HLD%20Juli-10%20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4.%20Pareto%20defect%20HDA%20Oktober-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554;&#20001;&#20181;&#27096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&#12487;&#12473;&#12463;&#12488;&#12483;&#12503;\&#37096;&#21697;&#31278;&#39006;\'02\data\&#65336;&#65315;&#65297;&#26989;&#21209;\&#65404;&#65433;&#65418;&#65438;&#65392;&#65405;&#65412;&#65392;&#65437;\B15-4&#38598;&#35336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29983;&#29987;&#31649;&#29702;&#12471;&#12473;&#12486;&#12512;\&#30446;&#27425;&#23567;&#23798;.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999\cockpit_iwate-plant$\121_&#24180;&#35336;&#65288;&#12521;&#12452;&#12531;&#25285;&#65289;\03&#20462;&#27491;&#24180;&#35336;\&#24180;&#35336;&#23376;&#20379;\03&#20462;&#27491;&#12467;&#12531;&#12497;&#12463;&#12488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sankikakubu\&#29983;&#28310;&#31649;&#29702;\&#12471;&#12473;&#12486;&#12512;\&#65423;&#65414;&#65389;&#65393;&#65433;\&#37096;&#21697;&#65319;\&#31435;&#19978;&#12426;&#38306;&#20418;\&#38306;&#20418;&#37096;&#32626;&#26696;&#208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  <sheetName val="QCC Level Identification Ch (2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TUBE"/>
      <sheetName val="PRE ASSY EFFICIENCY"/>
      <sheetName val="FINAL ASSY EFFICIENCY"/>
      <sheetName val="FA EFF BY CONVEYOR"/>
      <sheetName val="DIRECT EFFICIENCY"/>
      <sheetName val="COOPER BASE cum 1 bul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972低減 10月"/>
      <sheetName val="48810真"/>
      <sheetName val="設計通知"/>
      <sheetName val="過不足ﾏﾄﾒ"/>
      <sheetName val="14mmQfup"/>
      <sheetName val="ﾊﾞﾙﾌﾞﾘｰｸ"/>
      <sheetName val="事務所引越見積書"/>
      <sheetName val="計算ｼｰﾄ"/>
      <sheetName val="MPL 技連"/>
      <sheetName val="342E BLOCK"/>
      <sheetName val="MI項目一覧"/>
      <sheetName val="工数"/>
      <sheetName val="#REF"/>
      <sheetName val="att 1.2 NMUK REQUIREMENTS"/>
      <sheetName val="P1；依頼書"/>
      <sheetName val="dongia (2)"/>
      <sheetName val="日産ｺﾓﾝR"/>
      <sheetName val="総合B"/>
      <sheetName val="車体構成"/>
      <sheetName val="V1+V2"/>
      <sheetName val="代表部番リスト（票時）"/>
      <sheetName val="M5A0_01-01-22"/>
      <sheetName val="Constants"/>
      <sheetName val="P.2_VAR組合せ表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集計結果"/>
      <sheetName val="間接員勤務"/>
      <sheetName val="ﾕｰｻﾞｰ設定"/>
      <sheetName val="Note記入方法"/>
      <sheetName val="90檢討稿_實際"/>
      <sheetName val="tZR_39區分(案)0226"/>
      <sheetName val="PRO1"/>
      <sheetName val="material"/>
      <sheetName val="pro"/>
      <sheetName val="Sheet1"/>
      <sheetName val="ﾏｯﾁﾝｸﾞ"/>
      <sheetName val="Messwerte"/>
      <sheetName val="aux 2004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CY01"/>
      <sheetName val="CY02"/>
      <sheetName val="ｴﾝｼﾞﾝﾃﾞｰﾀ"/>
      <sheetName val="New全DataNA"/>
      <sheetName val="Profile EUR OUTPUT"/>
      <sheetName val="Profile UK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{Ref} Hitachi report Q-Us "/>
      <sheetName val="Europe PU-1"/>
      <sheetName val="DB"/>
      <sheetName val="PCAT"/>
      <sheetName val="【FY15】計画_実績まとめ"/>
      <sheetName val="RABPLEM"/>
      <sheetName val="FOREX"/>
      <sheetName val="車会集約"/>
      <sheetName val="aA32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IP仕様一覧表"/>
      <sheetName val="094_APP別"/>
      <sheetName val="採用時期"/>
      <sheetName val="参照条件"/>
      <sheetName val="sheet17"/>
      <sheetName val="手順書ﾌﾟﾛｸﾞﾗﾑ説明"/>
      <sheetName val="新目標"/>
      <sheetName val="G"/>
      <sheetName val="一覧"/>
      <sheetName val="Cover &amp; list"/>
      <sheetName val="カテゴリ"/>
      <sheetName val="1３年度品質メモ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Update 6.01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Sheet1 (2)"/>
      <sheetName val="SELECT"/>
      <sheetName val="試作DPロット日程"/>
      <sheetName val="参考１．Hardware"/>
      <sheetName val="基準ﾘｽﾄ"/>
      <sheetName val="MOTOc _ _ご__x0012___x0012___    _ご_ __x0012_____ "/>
      <sheetName val="MOTOc _ _ご__x0012___x0012___ _ご_ __x0012_____ _ _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リスト"/>
      <sheetName val="３ドア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欧州 構想書集約"/>
      <sheetName val="プルダウンリスト"/>
      <sheetName val="現行PN61G耐力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IRR比較"/>
      <sheetName val="プルダウン設定"/>
      <sheetName val="Lista"/>
      <sheetName val="プルダウン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UU1 memo"/>
      <sheetName val="Dictionary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Fuel gauge data (V-up)"/>
      <sheetName val="RS"/>
      <sheetName val="SPEC NOTE BLOCK(3)"/>
      <sheetName val="TF仕様比較"/>
      <sheetName val="詳細図2（車体）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Sheet5"/>
      <sheetName val="MPC"/>
      <sheetName val="IRR1"/>
      <sheetName val="Invest"/>
      <sheetName val="TB P12"/>
      <sheetName val="プルダウン内容"/>
      <sheetName val="オリジナル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ﾚﾝｼﾞ AC=ON"/>
      <sheetName val="Item"/>
      <sheetName val="ｶｯﾄ角調査"/>
      <sheetName val="MOTOc?ࠀ?笰ごꒈ_x0012_ꐸ뵓뜝瞮????猰ごࠀ?ꒀ_x0012_嘻瞦咚瞦?"/>
      <sheetName val="カメラ"/>
      <sheetName val="Notes"/>
      <sheetName val="Oracle領域見積り用"/>
      <sheetName val="分科会構成"/>
      <sheetName val="ﾊﾞｯｸﾃﾞｰﾀ"/>
      <sheetName val="grafdata"/>
      <sheetName val="TXTデータ"/>
      <sheetName val="N-T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分项统计"/>
      <sheetName val="基本情報"/>
      <sheetName val="マスターシート"/>
      <sheetName val="Topics"/>
      <sheetName val="SupplierNoveltyLevel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Method of supply and picking"/>
      <sheetName val="9003"/>
      <sheetName val="TOEIC"/>
      <sheetName val="Category Code "/>
      <sheetName val="details"/>
      <sheetName val="FNFRコード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静ﾊﾟﾀﾝ分析"/>
      <sheetName val="S-PLAN"/>
      <sheetName val="[48810真.xl"/>
      <sheetName val="[48810真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MOTO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第１紙原紙KGC"/>
      <sheetName val="表紙"/>
      <sheetName val="MOTO"/>
      <sheetName val="投資･工数推移"/>
      <sheetName val="見積130923最終"/>
      <sheetName val="ｻﾝﾌﾟﾙ取出日程"/>
      <sheetName val="正式配布用991025"/>
      <sheetName val="生産台数"/>
      <sheetName val="SAMI現地調達価格"/>
      <sheetName val="物流費 (見直し前) "/>
      <sheetName val="まとめ (2)"/>
      <sheetName val="別紙５（仕上げ１２０Ｌ山積）"/>
      <sheetName val="VQS⑦-⑭"/>
      <sheetName val="VQS⑮"/>
      <sheetName val="#REF"/>
      <sheetName val="Sheet1"/>
      <sheetName val="DATA_HEAD"/>
      <sheetName val="元データー"/>
      <sheetName val="DATA_HISTORY"/>
      <sheetName val="隠し"/>
      <sheetName val="月度報告書"/>
      <sheetName val="Table1"/>
      <sheetName val="DAILYPACE"/>
      <sheetName val="部門"/>
      <sheetName val="６２３Ｔ"/>
      <sheetName val="CP LH"/>
      <sheetName val="投資ﾌｫﾛｰ"/>
      <sheetName val="生涯利益計画ｼｰﾄ"/>
      <sheetName val="Budget "/>
      <sheetName val="データー"/>
      <sheetName val="伝票"/>
      <sheetName val="神奈川生産部"/>
      <sheetName val="Sum"/>
      <sheetName val="可動率低下要因"/>
      <sheetName val="生産能力表"/>
      <sheetName val="O.A. declination factor"/>
      <sheetName val="Monthly August"/>
      <sheetName val="MM利益・原価企画方針書ｶｸ１"/>
      <sheetName val="ﾀﾘﾌﾏ積集計・向事"/>
      <sheetName val="395WW売価見積"/>
      <sheetName val="FOOK"/>
      <sheetName val="3ｶ月比A"/>
      <sheetName val="対象ライン"/>
      <sheetName val="ﾎｲ-ﾙ"/>
      <sheetName val="シェル台ｾﾂﾄ流し改 (2)"/>
      <sheetName val="材質ﾃﾞｰﾀ"/>
      <sheetName val="ドア①グラフ"/>
      <sheetName val="849E15(20010)"/>
      <sheetName val="マスタデータ"/>
      <sheetName val="PS549"/>
      <sheetName val="ｲﾝﾄﾞﾈｼｱ"/>
      <sheetName val="SCH"/>
      <sheetName val="集計（CKD+海生）"/>
      <sheetName val="数量"/>
      <sheetName val="見積"/>
      <sheetName val="ﾏｯﾄ計画"/>
      <sheetName val="差の解析"/>
      <sheetName val="部品"/>
      <sheetName val="Monthly July 2015"/>
      <sheetName val="Competency"/>
      <sheetName val="製造数量"/>
      <sheetName val="Monthly November"/>
      <sheetName val="Monthly March"/>
      <sheetName val="Monthly xxx"/>
      <sheetName val="硬度测量结果"/>
      <sheetName val="Definition2"/>
      <sheetName val="Definition"/>
      <sheetName val="部品表"/>
      <sheetName val="Sheet2"/>
      <sheetName val="Transpose volume"/>
      <sheetName val="リスト　"/>
      <sheetName val="別パレ対応品 (2)"/>
      <sheetName val="Para"/>
      <sheetName val="現状比較"/>
      <sheetName val="部品仕様"/>
      <sheetName val="規定教育項目"/>
      <sheetName val="各担当者"/>
      <sheetName val="等级判定基准"/>
      <sheetName val="PP area"/>
      <sheetName val="Summary"/>
      <sheetName val="Table"/>
      <sheetName val="Code"/>
      <sheetName val="LIST"/>
      <sheetName val="テンプレート"/>
      <sheetName val="改善アイテムマスタ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01"/>
      <sheetName val="schedule - 97-02"/>
      <sheetName val="schedule - 08"/>
      <sheetName val="May Rent"/>
      <sheetName val="June Rent"/>
      <sheetName val="July Rent"/>
      <sheetName val="August Rent"/>
      <sheetName val="September Rent"/>
      <sheetName val="October Rent"/>
      <sheetName val="November Rent"/>
      <sheetName val="Closed Leases"/>
      <sheetName val="Current - Graph"/>
      <sheetName val="Sheet1"/>
      <sheetName val="payment (2)"/>
      <sheetName val="ﾀﾘ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次ﾏﾄﾒ"/>
      <sheetName val="ｶﾛｰﾗ"/>
      <sheetName val="ｼﾋﾞｯｸ"/>
      <sheetName val="ﾗｳﾑ"/>
      <sheetName val="ﾚｼﾞｪﾝﾄﾞ"/>
      <sheetName val="ｼﾋﾞｯｸ再測"/>
      <sheetName val="ｱｺｰﾄﾞ"/>
      <sheetName val="ｸﾞﾗﾌ"/>
      <sheetName val="Sheet9"/>
      <sheetName val="Sheet4"/>
      <sheetName val="Sheet1"/>
      <sheetName val="荷重評点相関"/>
      <sheetName val="静ﾊﾟﾀﾝ分析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月　売上"/>
      <sheetName val="MOTO"/>
      <sheetName val="ｱｳﾀｰﾊﾝﾄﾞﾙ評価１次ﾏﾄﾒ"/>
      <sheetName val="リスト内容"/>
      <sheetName val="M側ﾌﾟﾚｰﾄ改修②"/>
      <sheetName val="04年度長期操業予測_金額_0408月3発反映_長計修正"/>
      <sheetName val="FAV"/>
      <sheetName val="投資利益率計算"/>
      <sheetName val="Unit req list QIP-Dan"/>
      <sheetName val="定量化結果"/>
      <sheetName val="To_Do_ﾘｽﾄ_11年6月～"/>
      <sheetName val="schedule - 08"/>
      <sheetName val="データベース"/>
      <sheetName val="CHHS AVSS6"/>
      <sheetName val="計算DATA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静ﾊﾟﾀﾝ分析 _x0000__x0000__x0000__x0000__x0000_@_x0000__x0000__x0000__x0000__x0000__x0000__x0000__x0000__x0000__x0000__x0000_"/>
      <sheetName val="Process Score"/>
      <sheetName val="System Sheet"/>
      <sheetName val="Product Audit"/>
      <sheetName val="J21KPL"/>
      <sheetName val="Do not Deleate"/>
      <sheetName val="Event"/>
      <sheetName val="マスタ"/>
      <sheetName val="BOLT強度計算"/>
      <sheetName val="達成729"/>
      <sheetName val="MAP Bumper Capacity Conditions"/>
      <sheetName val="SGM"/>
      <sheetName val="1-2-1"/>
      <sheetName val="締め代と荷重"/>
      <sheetName val="燃費計算 "/>
      <sheetName val="選択肢マスタ"/>
      <sheetName val="RUN SCREEN"/>
      <sheetName val="URData"/>
      <sheetName val="プルダウンリスト"/>
      <sheetName val="LIST"/>
      <sheetName val="SRP FH"/>
      <sheetName val="Profit"/>
      <sheetName val="初期03"/>
      <sheetName val="ＬⅠ 1X従来加工①"/>
      <sheetName val="単価98"/>
      <sheetName val="メカ油圧（リスト）"/>
      <sheetName val="K-8(1086)"/>
      <sheetName val="③委研費総額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Unit_req_list_QIP-Dan"/>
      <sheetName val="静ﾊﾟﾀﾝ分析_@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Unit_req_list_QIP-Dan1"/>
      <sheetName val="静ﾊﾟﾀﾝ分析 ?????@???????????"/>
      <sheetName val="静ﾊﾟﾀﾝ分析 "/>
      <sheetName val="INVESTMENT WKSHT"/>
      <sheetName val="各BLのD開発工数レベル分類"/>
      <sheetName val="静ﾊﾟﾀﾝ分析 _x005f_x0000__x005f_x0000__x005f_x0000__x"/>
      <sheetName val="静ﾊﾟﾀﾝ分析 _x0000__x0000__x0000__x0000__x0000_@_x0000__x0000__x0000__x0000__x0000__x0000__x0000__x0000__x0000__x0000__x0000_ _x0000_?*_x0000_"/>
      <sheetName val="静ﾊﾟﾀﾝ分析 _x005f_x005f_x005f_x0000__x005f_x005f_x00"/>
      <sheetName val="静ﾊﾟﾀﾝ分析 _x005f_x005f_x005f_x005f_x005f_x005f_x000"/>
      <sheetName val="静ﾊﾟﾀﾝ分析 _____@___________"/>
      <sheetName val="静ﾊﾟﾀﾝ分析 _x005f_x005f_x005f_x005f_x005f_x005f_x005"/>
      <sheetName val="手順"/>
      <sheetName val="▲4　J78用制御基板"/>
      <sheetName val="プルダウン"/>
      <sheetName val="Sheet13"/>
      <sheetName val="ＭⅢ"/>
      <sheetName val="ＣＡＭＹ　ＭⅢ"/>
      <sheetName val="総括"/>
      <sheetName val="数据库"/>
      <sheetName val="ｺｰﾄﾞﾏｽﾀ"/>
      <sheetName val="県別ﾏﾙﾁ"/>
      <sheetName val="ZAIKO SUII"/>
      <sheetName val="SCH"/>
      <sheetName val="リスト・集計"/>
      <sheetName val="カメラ"/>
      <sheetName val="BRIO ALL"/>
      <sheetName val="Table"/>
      <sheetName val="車両仕様"/>
      <sheetName val="静ﾊﾟﾀﾝ分析 _x0000__x0000__x0000__x"/>
      <sheetName val="静ﾊﾟﾀﾝ分析 _x005f_x0000__x00"/>
      <sheetName val="静ﾊﾟﾀﾝ分析 _x005f_x005f_x000"/>
      <sheetName val="静ﾊﾟﾀﾝ分析 _x005f_x005f_x005"/>
      <sheetName val=""/>
      <sheetName val="Mex+GPP"/>
      <sheetName val="リンク先②"/>
      <sheetName val="1課(PC誘導）"/>
      <sheetName val="ｓａｍ"/>
      <sheetName val="工数集計"/>
      <sheetName val="PCT4(日) (2)"/>
      <sheetName val="３発デ－タ"/>
      <sheetName val="aaa"/>
      <sheetName val="SBC部品在庫"/>
      <sheetName val="Shift B"/>
      <sheetName val="Shift A"/>
      <sheetName val="週報 "/>
      <sheetName val="Ｆコスト"/>
      <sheetName val="Sou"/>
      <sheetName val="相互干渉線図"/>
      <sheetName val="Drop Down List"/>
      <sheetName val="Hoja3"/>
      <sheetName val="選択リスト"/>
      <sheetName val="選択肢マスター"/>
      <sheetName val="表紙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7">
          <cell r="AA37" t="str">
            <v>COROLLA FR/R</v>
          </cell>
          <cell r="AB37" t="str">
            <v>COROLLA FR/L</v>
          </cell>
          <cell r="AC37" t="str">
            <v>COROLLA RR/L</v>
          </cell>
          <cell r="AD37" t="str">
            <v>ACCORD FR/R</v>
          </cell>
          <cell r="AE37" t="str">
            <v>ACCORD FR/L</v>
          </cell>
          <cell r="AF37" t="str">
            <v>ACCORD RR/R</v>
          </cell>
          <cell r="AG37" t="str">
            <v>ACCORD RR/R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14mmQfup"/>
      <sheetName val="過不足ﾏﾄﾒ"/>
      <sheetName val="ﾊﾞﾙﾌﾞﾘｰｸ"/>
      <sheetName val="89"/>
      <sheetName val="設備"/>
      <sheetName val="sheet17"/>
      <sheetName val="总切断数据"/>
      <sheetName val="穿栓"/>
      <sheetName val="497W熔着线"/>
      <sheetName val="447W熔着线"/>
      <sheetName val="ボンダー仕掛けデータ line 1"/>
      <sheetName val="Policy Target &amp; Result 1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"/>
      <sheetName val="SRP FH"/>
      <sheetName val="Profit"/>
      <sheetName val="後工程分析"/>
      <sheetName val="M"/>
      <sheetName val="９月２６日対応"/>
      <sheetName val="UK allocations"/>
      <sheetName val="PRE"/>
      <sheetName val="【Input】見積基礎情報（海外生産分)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基準ｲﾝﾌﾟｯﾄ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週金額資料庫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機能リスト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採否比較金額"/>
      <sheetName val="評価比較件数"/>
      <sheetName val="アルミ防食コスト試算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Macro1"/>
      <sheetName val="1-2.グラフ"/>
      <sheetName val="4-1.グラフ 19まで完成版"/>
      <sheetName val="_061Wｶｲｼｭ_XLSꁝ덮㐁ཤ表2"/>
      <sheetName val="外観検査員の調査 (金森)"/>
      <sheetName val="AlbPrint"/>
      <sheetName val="条件表"/>
      <sheetName val="CONTRACT NOTE"/>
      <sheetName val="検索･参照"/>
      <sheetName val="Production Database 399"/>
      <sheetName val="3.４Ｒ損益"/>
      <sheetName val="MIA2"/>
      <sheetName val="141-1"/>
      <sheetName val="SH_ENTITY"/>
      <sheetName val="SH_GROUP"/>
      <sheetName val="SH_ICP"/>
      <sheetName val="SH_PROFILE"/>
      <sheetName val="SH_PRODUCTS"/>
      <sheetName val="MYZK02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54">
          <cell r="I554">
            <v>774596.16999999993</v>
          </cell>
          <cell r="J554">
            <v>557709.2723999999</v>
          </cell>
          <cell r="K554">
            <v>828817.93189999997</v>
          </cell>
          <cell r="L554">
            <v>681644.65960000001</v>
          </cell>
          <cell r="M554">
            <v>720374.46809999994</v>
          </cell>
          <cell r="N554">
            <v>1045704.8594999998</v>
          </cell>
          <cell r="O554">
            <v>906277.54889999982</v>
          </cell>
          <cell r="P554">
            <v>890785.62550000008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97T輸入部品リスト"/>
      <sheetName val="方針"/>
      <sheetName val="2･16会議通知"/>
      <sheetName val="70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移管調整議事"/>
      <sheetName val="品番情報"/>
      <sheetName val="製造部署移管日程（82121-）差替計画"/>
      <sheetName val="製造部署変更スケジュール（82121-）差替計画"/>
      <sheetName val="単線共通分析"/>
      <sheetName val="材料分析"/>
      <sheetName val="長期計画"/>
      <sheetName val="当初年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GN"/>
      <sheetName val="MH AUG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DIRECT EFFICIENCY"/>
      <sheetName val="RESIGN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STATUS LOSS TIME Per Section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REPORT"/>
      <sheetName val="EFFICIENCY REPORT"/>
      <sheetName val="CUTTING TUBE"/>
      <sheetName val="PRE ASSY EFFICIENCY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DIRECT EFFICIENCY"/>
      <sheetName val="DIRECT EFFICIENCY CONVEYOR"/>
      <sheetName val="DIRECT  EFF BY CONVEYOR"/>
      <sheetName val="GRAFIK"/>
      <sheetName val="PA EFF"/>
      <sheetName val="FA EFF BY CONVEYOR"/>
      <sheetName val="R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D ALL"/>
      <sheetName val="MAE"/>
      <sheetName val="ATO"/>
      <sheetName val="DEL"/>
      <sheetName val="Breakdown Mae"/>
      <sheetName val="Breakdown Ato"/>
      <sheetName val="Breakdown Atokotei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ND ALL"/>
      <sheetName val="Ato"/>
      <sheetName val="Ato Dom"/>
      <sheetName val="Ato Japan"/>
      <sheetName val="Ato Japan 1"/>
      <sheetName val="Ato Japan 2"/>
      <sheetName val="Del"/>
      <sheetName val="Del Dom"/>
      <sheetName val="Del Japan"/>
      <sheetName val="Del Japan 1"/>
      <sheetName val="Del Japan 2"/>
      <sheetName val="DC Japan"/>
      <sheetName val="DC Japan 1"/>
      <sheetName val="DC Japan 2"/>
      <sheetName val="Breakdown Mae"/>
      <sheetName val="Breakdown Atokotei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Links"/>
      <sheetName val="KonSSPL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khung ten TD"/>
      <sheetName val="SH_CARLINE"/>
      <sheetName val="SH_MAKER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月次データ"/>
      <sheetName val="選択リスト"/>
      <sheetName val="ARA37"/>
      <sheetName val="１．InfoCube (YKCH0010)案１"/>
      <sheetName val="１．InfoCube (YKCH0010) 案２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Transportation"/>
      <sheetName val="SRMil"/>
      <sheetName val="SupplierInfo"/>
      <sheetName val="038W本革"/>
      <sheetName val="RACK (CB)new"/>
      <sheetName val="C3_N DC改造投資"/>
      <sheetName val="CAMPURAN"/>
      <sheetName val="Summary"/>
      <sheetName val="mat list "/>
      <sheetName val="クエリ10"/>
      <sheetName val="FOOK"/>
      <sheetName val="６２３Ｔ"/>
      <sheetName val="MPL 技連"/>
      <sheetName val="342E BLOCK"/>
      <sheetName val="TMMK Vehicle Data"/>
      <sheetName val="TMMC Vehicle Data"/>
      <sheetName val="Comparison data"/>
      <sheetName val="IMV"/>
      <sheetName val="797T輸入部品リスト"/>
      <sheetName val="Inpanel"/>
      <sheetName val="Interior Trim"/>
      <sheetName val="社品質會議表紙"/>
      <sheetName val="Part No."/>
      <sheetName val="ｽﾀｰﾚｯﾄ.xls"/>
      <sheetName val="%EF%BD%BD%EF%BE%80%EF%BD%B0%EF%"/>
      <sheetName val="Master Updated(517)"/>
      <sheetName val="ＦＣ～FT"/>
      <sheetName val="CRITERIA2"/>
      <sheetName val="全件"/>
      <sheetName val="% Allocate - AB Labor"/>
      <sheetName val="DATA"/>
      <sheetName val="drop down List"/>
      <sheetName val="Material"/>
      <sheetName val="Process"/>
      <sheetName val="Purchase"/>
      <sheetName val="Tooling"/>
      <sheetName val="?????"/>
      <sheetName val="社員リスト"/>
      <sheetName val="SAMPLE"/>
      <sheetName val="ckd"/>
      <sheetName val="opn"/>
      <sheetName val="list"/>
      <sheetName val="Master (692N)"/>
      <sheetName val="Models"/>
      <sheetName val="IM-P-L12-5 '03 "/>
      <sheetName val="datamonth"/>
      <sheetName val="98.10"/>
      <sheetName val="98.11"/>
      <sheetName val="TRJ金具物量"/>
      <sheetName val="メーカー"/>
      <sheetName val="config_07"/>
      <sheetName val="Ｂ．财务课部門別週間管理表 (2)"/>
      <sheetName val="ass'y 06-11'05"/>
      <sheetName val="ass'y 06-11'05 (2)"/>
      <sheetName val="BUYERS"/>
      <sheetName val="Status"/>
      <sheetName val="1"/>
      <sheetName val="397"/>
      <sheetName val="５頁最新データ"/>
      <sheetName val="デンソー"/>
      <sheetName val="硫化"/>
      <sheetName val="押出"/>
      <sheetName val="Process_Mech"/>
      <sheetName val="config_03"/>
      <sheetName val="Bajaj OS"/>
      <sheetName val="BOM - Engineering"/>
      <sheetName val="CC"/>
      <sheetName val="SALES"/>
      <sheetName val="ASSUMPTIONS"/>
      <sheetName val="量産品番"/>
      <sheetName val="【⑦】Direct Consumables"/>
      <sheetName val="ﾎﾞﾙﾎﾞ"/>
      <sheetName val="ﾙﾉｰ"/>
      <sheetName val="MAZDA"/>
      <sheetName val="編集"/>
      <sheetName val="TMC Remaining ECI"/>
      <sheetName val="PARAMETER"/>
      <sheetName val="Links"/>
      <sheetName val="raw data"/>
      <sheetName val="XL4Poppy"/>
      <sheetName val="34HK&gt;_x0000__x0000__x0000__x0000__x0000_"/>
      <sheetName val="_x0008_"/>
      <sheetName val="Europe PU-1"/>
      <sheetName val="SH_ENTITY"/>
      <sheetName val="SH_ICP"/>
      <sheetName val="SH_MAKER"/>
      <sheetName val="SH_PROFILE"/>
      <sheetName val="SH_PRODUCTS"/>
      <sheetName val="国"/>
      <sheetName val="海"/>
      <sheetName val="MOTO"/>
      <sheetName val="장적산출"/>
      <sheetName val="Iron Pivot"/>
      <sheetName val=" D2"/>
      <sheetName val="#REF"/>
      <sheetName val="ExportSales"/>
      <sheetName val="Nov.'02"/>
      <sheetName val="MC3(main)"/>
      <sheetName val="MC1"/>
      <sheetName val="ELF"/>
      <sheetName val="ＦＣ～ＧＸ"/>
      <sheetName val="May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SPT"/>
      <sheetName val="선반OPT"/>
      <sheetName val="MM利益・原価企画方針書ｶｸ１"/>
      <sheetName val="限界利益表(半期別)"/>
      <sheetName val="機種マスタ"/>
      <sheetName val="Matrix Bom ใช้งาน"/>
      <sheetName val="_____"/>
      <sheetName val="System"/>
      <sheetName val="Mst"/>
      <sheetName val="EXP"/>
      <sheetName val="PMM-Mar"/>
      <sheetName val="ﾀﾞｲﾊﾂ"/>
      <sheetName val="Maker Dist"/>
      <sheetName val="plastic"/>
      <sheetName val="SIZE-A"/>
      <sheetName val="HE BASE"/>
      <sheetName val="STANDARD"/>
      <sheetName val="M026"/>
      <sheetName val="Macro2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FLRSYPAR"/>
      <sheetName val="QC"/>
      <sheetName val="Çalışma Bilgisi"/>
      <sheetName val="【①】Precondition"/>
      <sheetName val="【③】Material"/>
      <sheetName val="選択肢"/>
      <sheetName val="List_data"/>
      <sheetName val="Average per Katashiki"/>
      <sheetName val="ヘッダ"/>
      <sheetName val="SYSFEB-RTE"/>
      <sheetName val="Price Increase Monitoring"/>
      <sheetName val="原単位表"/>
      <sheetName val="SN計"/>
      <sheetName val="_車種_ｽﾀｰﾚｯﾄ_受注予測_ｽﾀｰﾚｯﾄ.xls"/>
      <sheetName val="Splr Info"/>
      <sheetName val="選択肢リスト"/>
      <sheetName val="094W原紙 "/>
      <sheetName val="config_06"/>
      <sheetName val="DB(A)"/>
      <sheetName val="元デ_タ"/>
      <sheetName val="LTC 4W"/>
      <sheetName val="ESR_2W"/>
      <sheetName val="Budget"/>
      <sheetName val="In_Data"/>
      <sheetName val="号車仕様"/>
      <sheetName val="配分案"/>
      <sheetName val="DATA "/>
      <sheetName val="Ongoing"/>
      <sheetName val="Variables"/>
      <sheetName val="N(02a)"/>
      <sheetName val="top"/>
      <sheetName val="デ－タ"/>
      <sheetName val="SH_GROUP"/>
      <sheetName val="Maker_Dist"/>
      <sheetName val="98_10"/>
      <sheetName val="98_11"/>
      <sheetName val="Europe_PU-1"/>
      <sheetName val="Quotation"/>
      <sheetName val="Macro1"/>
      <sheetName val="組立"/>
      <sheetName val="WE0144 LIST"/>
      <sheetName val="原紙"/>
      <sheetName val="74上"/>
      <sheetName val="master"/>
      <sheetName val="99年度原単位"/>
      <sheetName val="List2-1_ModelCode-Local"/>
      <sheetName val="ミツワ 最終"/>
      <sheetName val="\\CP013\Documents accounting an"/>
      <sheetName val="__CP013_Documents accounting an"/>
      <sheetName val="CR产品流程"/>
      <sheetName val="TBP350A"/>
      <sheetName val="FO-USD"/>
      <sheetName val="SH_CARLINE"/>
      <sheetName val="Name"/>
      <sheetName val="NHÓM HÀNG"/>
      <sheetName val="DỮ LIỆU"/>
      <sheetName val="M1"/>
      <sheetName val="gvl"/>
      <sheetName val="R-M Inventory"/>
      <sheetName val="CRIMP"/>
      <sheetName val="VBOM"/>
      <sheetName val="LOCATION UPDATE 8-56"/>
      <sheetName val="全品番DETAILS-LOT"/>
      <sheetName val="khung ten TD"/>
      <sheetName val="E2"/>
      <sheetName val="M1A"/>
      <sheetName val="Hscong"/>
      <sheetName val="Theo Doi Si So"/>
      <sheetName val="CODES"/>
      <sheetName val="i1a"/>
      <sheetName val="INVOICE"/>
      <sheetName val="Người TĐ"/>
      <sheetName val="ﾄﾖﾀUNIT"/>
      <sheetName val="Chuyen 590L"/>
      <sheetName val="QuyUoc"/>
      <sheetName val="CTdongia"/>
      <sheetName val="3"/>
      <sheetName val="表示リスト"/>
      <sheetName val="一般線数"/>
      <sheetName val="Paint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分析結果"/>
      <sheetName val="sum_gtm"/>
      <sheetName val="&lt;P工程&gt;見積内製原価比較表"/>
      <sheetName val="PCD"/>
      <sheetName val="基準TBL"/>
      <sheetName val="見出し"/>
      <sheetName val="ＶＡＦ"/>
      <sheetName val="Transaction"/>
      <sheetName val="原価条件"/>
      <sheetName val="34HK&gt;?????"/>
      <sheetName val="237W DATA"/>
      <sheetName val="ｶﾑ"/>
      <sheetName val="凡例"/>
      <sheetName val="分類"/>
      <sheetName val="May'15"/>
      <sheetName val="Model Price"/>
      <sheetName val="2"/>
      <sheetName val="Plant Monthly Actuals"/>
      <sheetName val="K Auth System #1"/>
      <sheetName val="071207_HN単独DB"/>
      <sheetName val="Features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県別ﾏﾙﾁ"/>
      <sheetName val="inc. claim 97"/>
      <sheetName val="Future Act"/>
      <sheetName val="Menu"/>
      <sheetName val="EDO"/>
      <sheetName val="Leasing Calculator"/>
      <sheetName val="FR管理工程図"/>
      <sheetName val="組立140西村さんから"/>
      <sheetName val="153W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定数"/>
      <sheetName val="Transportatio_x0002_"/>
      <sheetName val="新川"/>
      <sheetName val="Setup"/>
      <sheetName val="34HK&gt;_x005f_x0000__x005f_x0000__x005f_x0000__x000"/>
      <sheetName val="_x005f_x0008_"/>
      <sheetName val="Material Price Adj ANP Final2"/>
      <sheetName val="Material Price Adj RVP Final"/>
      <sheetName val="ANP PR Saving"/>
      <sheetName val="RVP PR Saving"/>
      <sheetName val="Part No_"/>
      <sheetName val="汎用設備調達日程表"/>
      <sheetName val="T-VAN-DM"/>
      <sheetName val="75"/>
      <sheetName val="ﾃﾞｰﾀ読込"/>
      <sheetName val="可動時間"/>
      <sheetName val="GM"/>
      <sheetName val="起亞"/>
      <sheetName val="大宇"/>
      <sheetName val="[ｽﾀｰﾚｯﾄ.xls][ｽﾀｰﾚｯﾄ.xls]\車種\ｽﾀｰ"/>
      <sheetName val="[ｽﾀｰﾚｯﾄ.xls][ｽﾀｰﾚｯﾄ.xls]\\CP013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ﾏﾄﾘｯｸｽ"/>
      <sheetName val="SFX TỔNG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物料消耗分析"/>
      <sheetName val="34HK&gt;_____"/>
      <sheetName val="[ｽﾀｰﾚｯﾄ.xls]__172_18_67_25__256"/>
      <sheetName val="VSP - NUMMI Assembly"/>
      <sheetName val="DAILYPACE"/>
      <sheetName val="MAX-MIN พี่บุษ NIssan old"/>
      <sheetName val="定義ファイル流れ"/>
      <sheetName val="1999.4"/>
      <sheetName val="1999.10"/>
      <sheetName val="ANIjan'99"/>
      <sheetName val="消さない(回答書に利用)"/>
      <sheetName val="TMS Data"/>
      <sheetName val="段ﾎﾞｰﾙ箱図番･荷姿ｺｰﾄﾞ"/>
      <sheetName val="TKBN_TKBNA"/>
      <sheetName val="入力シート data sheet sep (2)"/>
      <sheetName val="PROFILE"/>
      <sheetName val="Premissas"/>
      <sheetName val="mau (2)"/>
      <sheetName val="ﾃｽﾄﾃﾞｰﾀ一覧"/>
      <sheetName val="34HK&gt;_x0000__x0000__x0000__x000"/>
      <sheetName val="销售收入A4"/>
      <sheetName val="ｉ１１９"/>
      <sheetName val="SR3-SR4"/>
      <sheetName val="34HK&gt;_x005f_x005f_x005f_x0000__x005f_x005f_x005f_x0000_"/>
      <sheetName val="_x005f_x005f_x005f_x0008_"/>
      <sheetName val="__172.18.67.25_Compras_Users_is"/>
      <sheetName val="TMMK Camry Gas"/>
      <sheetName val="[ｽﾀｰﾚｯﾄ.xls]\\172.18.67.25\Comp"/>
      <sheetName val="計数編"/>
      <sheetName val="MIK_Name"/>
      <sheetName val="849E15(20010)"/>
      <sheetName val="GRAPH 4軸 径Φ120 (2)"/>
      <sheetName val="Transportatio_x005f_x0002_"/>
      <sheetName val="[ｽﾀｰﾚｯﾄ.xls][ｽﾀｰﾚｯﾄ.xls]\\172.1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_ｽﾀｰﾚｯﾄ.xls__ｽﾀｰﾚｯﾄ.xls__ｽﾀｰﾚｯﾄ"/>
      <sheetName val="_ｽﾀｰﾚｯﾄ.xls___172.18.67.25_Comp"/>
      <sheetName val="_ｽﾀｰﾚｯﾄ.xls__ｽﾀｰﾚｯﾄ.xls___172.1"/>
      <sheetName val="投資（参）"/>
      <sheetName val="課題一覧"/>
      <sheetName val="仕掛回数"/>
      <sheetName val="ｽｽﾞｷL4S2"/>
      <sheetName val="Base MDL_08CR to 09CR"/>
      <sheetName val="設変１"/>
      <sheetName val="L4設備ﾃﾞｰﾀ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MAINT_FINAL_MACROS_LINE_DEFECT"/>
      <sheetName val="MAINT_FINAL_MACROS_LINE_KTGR_FR"/>
      <sheetName val="MAINT_FINAL_MACROS_LINE_KTGR_ME"/>
      <sheetName val="MAINT_FINAL_MACROS_LINE_SEBAB_F"/>
      <sheetName val="Mar"/>
      <sheetName val="AT部品管理台帳  (2)"/>
      <sheetName val="資料1"/>
      <sheetName val="MAINT_FINAL_MACROS_LINE_SEBAB_M"/>
      <sheetName val="07"/>
      <sheetName val="00"/>
      <sheetName val="4"/>
      <sheetName val="5"/>
      <sheetName val="6"/>
      <sheetName val="Royalty"/>
      <sheetName val="MAINT_FINAL_MACROS_MESIN_FREKST"/>
      <sheetName val="MAINT_FINAL_MACROS_MESIN_LINEST"/>
      <sheetName val="MAINT_FINAL_MACROS_MESIN_MCSTOP"/>
      <sheetName val="DANHMUC_DV"/>
      <sheetName val="DANHMUC_HH"/>
      <sheetName val="KHM"/>
      <sheetName val="DANHMUC_NVL"/>
      <sheetName val="DANHMUC_NPL"/>
      <sheetName val="前工程の能率実績(NS)"/>
      <sheetName val="Leave"/>
      <sheetName val="シェル台ｾﾂﾄ流し改_(2)2"/>
      <sheetName val="P1_(2)2"/>
      <sheetName val="mat_list_2"/>
      <sheetName val="RACK_(CB)new2"/>
      <sheetName val="C3_N_DC改造投資2"/>
      <sheetName val="MPL_技連2"/>
      <sheetName val="342E_BLOCK2"/>
      <sheetName val="Interior_Trim2"/>
      <sheetName val="TMMK_Vehicle_Data2"/>
      <sheetName val="TMMC_Vehicle_Data2"/>
      <sheetName val="Comparison_data2"/>
      <sheetName val="Part_No_2"/>
      <sheetName val="Master_Updated(517)2"/>
      <sheetName val="%_Allocate_-_AB_Labor2"/>
      <sheetName val="drop_down_List2"/>
      <sheetName val="Master_(692N)2"/>
      <sheetName val="ass'y_06-11'051"/>
      <sheetName val="ass'y_06-11'05_(2)1"/>
      <sheetName val="IM-P-L12-5_'03_2"/>
      <sheetName val="Ｂ．财务课部門別週間管理表_(2)2"/>
      <sheetName val="ｽﾀｰﾚｯﾄ_xls2"/>
      <sheetName val="98_102"/>
      <sheetName val="98_112"/>
      <sheetName val="Bajaj_OS2"/>
      <sheetName val="BOM_-_Engineering2"/>
      <sheetName val="Iron_Pivot1"/>
      <sheetName val="TMC_Remaining_ECI2"/>
      <sheetName val="raw_data2"/>
      <sheetName val="【⑦】Direct_Consumables1"/>
      <sheetName val="Europe_PU-12"/>
      <sheetName val="_D21"/>
      <sheetName val="Nov_'021"/>
      <sheetName val="Matrix_Bom_ใช้งาน1"/>
      <sheetName val="Maker_Dist2"/>
      <sheetName val="HE_BASE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Average_per_Katashiki1"/>
      <sheetName val="Price_Increase_Monitoring1"/>
      <sheetName val="Çalışma_Bilgisi1"/>
      <sheetName val="\車種\ｽﾀｰﾚｯﾄ\受注予測\ｽﾀｰﾚｯﾄ_xls1"/>
      <sheetName val="_車種_ｽﾀｰﾚｯﾄ_受注予測_ｽﾀｰﾚｯﾄ_xls1"/>
      <sheetName val="Splr_Info1"/>
      <sheetName val="094W原紙_1"/>
      <sheetName val="NHÓM_HÀNG1"/>
      <sheetName val="Theo_Doi_Si_So1"/>
      <sheetName val="DỮ_LIỆU1"/>
      <sheetName val="R-M_Inventory1"/>
      <sheetName val="LOCATION_UPDATE_8-561"/>
      <sheetName val="Người_TĐ1"/>
      <sheetName val="khung_ten_TD1"/>
      <sheetName val="LTC_4W1"/>
      <sheetName val="Chuyen_590L1"/>
      <sheetName val="WE0144_LIST1"/>
      <sheetName val="DATA_1"/>
      <sheetName val="ミツワ_最終1"/>
      <sheetName val="Toggle_Duplicate_Highlighting1"/>
      <sheetName val="Supp_List1"/>
      <sheetName val="\\CP013\Documents_accounting_an"/>
      <sheetName val="__CP013_Documents_accounting_an"/>
      <sheetName val="237W_DATA"/>
      <sheetName val="input_mst"/>
      <sheetName val="01_-_Jan00"/>
      <sheetName val="AM_6M_94"/>
      <sheetName val="Model_Price"/>
      <sheetName val="Plant_Monthly_Actuals"/>
      <sheetName val="K_Auth_System_#1"/>
      <sheetName val="SFX_TỔNG"/>
      <sheetName val="Future_Act"/>
      <sheetName val="Leasing_Calculator"/>
      <sheetName val="[ｽﾀｰﾚｯﾄ_xls]\車種\ｽﾀｰﾚｯﾄ\受注予測\ｽﾀｰ"/>
      <sheetName val="[ｽﾀｰﾚｯﾄ_xls][ｽﾀｰﾚｯﾄ_xls][ｽﾀｰﾚｯﾄ"/>
      <sheetName val="[ｽﾀｰﾚｯﾄ_xls][ｽﾀｰﾚｯﾄ_xls]\車種\ｽﾀｰ"/>
      <sheetName val="inc__claim_97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Transportatio"/>
      <sheetName val="Material_Price_Adj_ANP_Final2"/>
      <sheetName val="Material_Price_Adj_RVP_Final"/>
      <sheetName val="ANP_PR_Saving"/>
      <sheetName val="RVP_PR_Saving"/>
      <sheetName val="Part_No_3"/>
      <sheetName val="[ｽﾀｰﾚｯﾄ_xls][ｽﾀｰﾚｯﾄ_xls]\\CP013"/>
      <sheetName val="[ｽﾀｰﾚｯﾄ_xls]\\CP013\Documents_a"/>
      <sheetName val="Gas_1"/>
      <sheetName val="TMS_Data"/>
      <sheetName val="入力シート_data_sheet_sep_(2)"/>
      <sheetName val="Loss_Time"/>
      <sheetName val="\\172_18_67_25\Compras\Users\is"/>
      <sheetName val="VSP_-_NUMMI_Assembly"/>
      <sheetName val="[ｽﾀｰﾚｯﾄ.xls]__________________2"/>
      <sheetName val="シェル台ｾﾂﾄ流し改_(2)3"/>
      <sheetName val="P1_(2)3"/>
      <sheetName val="mat_list_3"/>
      <sheetName val="RACK_(CB)new3"/>
      <sheetName val="C3_N_DC改造投資3"/>
      <sheetName val="MPL_技連3"/>
      <sheetName val="342E_BLOCK3"/>
      <sheetName val="Interior_Trim3"/>
      <sheetName val="TMMK_Vehicle_Data3"/>
      <sheetName val="TMMC_Vehicle_Data3"/>
      <sheetName val="Comparison_data3"/>
      <sheetName val="Part_No_4"/>
      <sheetName val="Master_Updated(517)3"/>
      <sheetName val="%_Allocate_-_AB_Labor3"/>
      <sheetName val="drop_down_List3"/>
      <sheetName val="Master_(692N)3"/>
      <sheetName val="ass'y_06-11'052"/>
      <sheetName val="ass'y_06-11'05_(2)2"/>
      <sheetName val="IM-P-L12-5_'03_3"/>
      <sheetName val="Ｂ．财务课部門別週間管理表_(2)3"/>
      <sheetName val="ｽﾀｰﾚｯﾄ_xls3"/>
      <sheetName val="98_103"/>
      <sheetName val="98_113"/>
      <sheetName val="Bajaj_OS3"/>
      <sheetName val="BOM_-_Engineering3"/>
      <sheetName val="Iron_Pivot2"/>
      <sheetName val="TMC_Remaining_ECI3"/>
      <sheetName val="raw_data3"/>
      <sheetName val="【⑦】Direct_Consumables2"/>
      <sheetName val="Europe_PU-13"/>
      <sheetName val="_D22"/>
      <sheetName val="Nov_'022"/>
      <sheetName val="Matrix_Bom_ใช้งาน2"/>
      <sheetName val="Maker_Dist3"/>
      <sheetName val="HE_BASE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Average_per_Katashiki2"/>
      <sheetName val="Price_Increase_Monitoring2"/>
      <sheetName val="Çalışma_Bilgisi2"/>
      <sheetName val="\車種\ｽﾀｰﾚｯﾄ\受注予測\ｽﾀｰﾚｯﾄ_xls2"/>
      <sheetName val="_車種_ｽﾀｰﾚｯﾄ_受注予測_ｽﾀｰﾚｯﾄ_xls2"/>
      <sheetName val="Splr_Info2"/>
      <sheetName val="094W原紙_2"/>
      <sheetName val="NHÓM_HÀNG2"/>
      <sheetName val="R-M_Inventory2"/>
      <sheetName val="DỮ_LIỆU2"/>
      <sheetName val="Theo_Doi_Si_So2"/>
      <sheetName val="LOCATION_UPDATE_8-562"/>
      <sheetName val="khung_ten_TD2"/>
      <sheetName val="Người_TĐ2"/>
      <sheetName val="LTC_4W2"/>
      <sheetName val="Chuyen_590L2"/>
      <sheetName val="WE0144_LIST2"/>
      <sheetName val="DATA_2"/>
      <sheetName val="ミツワ_最終2"/>
      <sheetName val="Toggle_Duplicate_Highlighting2"/>
      <sheetName val="Supp_List2"/>
      <sheetName val="\\CP013\Documents_accounting_a1"/>
      <sheetName val="__CP013_Documents_accounting_a1"/>
      <sheetName val="237W_DATA1"/>
      <sheetName val="Model_Price1"/>
      <sheetName val="Plant_Monthly_Actuals1"/>
      <sheetName val="K_Auth_System_#11"/>
      <sheetName val="input_mst1"/>
      <sheetName val="01_-_Jan001"/>
      <sheetName val="AM_6M_941"/>
      <sheetName val="inc__claim_971"/>
      <sheetName val="Future_Act1"/>
      <sheetName val="Leasing_Calculator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SFX_TỔNG1"/>
      <sheetName val="[ｽﾀｰﾚｯﾄ_xls]\車種\ｽﾀｰﾚｯﾄ\受注予測\ｽﾀ1"/>
      <sheetName val="[ｽﾀｰﾚｯﾄ_xls][ｽﾀｰﾚｯﾄ_xls][ｽﾀｰﾚｯ1"/>
      <sheetName val="[ｽﾀｰﾚｯﾄ_xls][ｽﾀｰﾚｯﾄ_xls]\車種\ｽﾀ1"/>
      <sheetName val="Material_Price_Adj_ANP_Final21"/>
      <sheetName val="Material_Price_Adj_RVP_Final1"/>
      <sheetName val="ANP_PR_Saving1"/>
      <sheetName val="RVP_PR_Saving1"/>
      <sheetName val="Part_No_5"/>
      <sheetName val="[ｽﾀｰﾚｯﾄ_xls][ｽﾀｰﾚｯﾄ_xls]\\CP011"/>
      <sheetName val="[ｽﾀｰﾚｯﾄ_xls]\\CP013\Documents_1"/>
      <sheetName val="入力シート_data_sheet_sep_(2)1"/>
      <sheetName val="Gas_11"/>
      <sheetName val="TMS_Data1"/>
      <sheetName val="Loss_Time1"/>
      <sheetName val="\\172_18_67_25\Compras\Users\i1"/>
      <sheetName val="VSP_-_NUMMI_Assembly1"/>
      <sheetName val="mau_(2)"/>
      <sheetName val="MAX-MIN_พี่บุษ_NIssan_old"/>
      <sheetName val="1999_4"/>
      <sheetName val="1999_10"/>
      <sheetName val="Base_MDL_08CR_to_09CR"/>
      <sheetName val="__172_18_67_25_Compras_Users_is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AT部品管理台帳__(2)"/>
      <sheetName val="シェル台ｾﾂﾄ流し改_(2)4"/>
      <sheetName val="P1_(2)4"/>
      <sheetName val="mat_list_4"/>
      <sheetName val="RACK_(CB)new4"/>
      <sheetName val="C3_N_DC改造投資4"/>
      <sheetName val="MPL_技連4"/>
      <sheetName val="342E_BLOCK4"/>
      <sheetName val="Interior_Trim4"/>
      <sheetName val="TMMK_Vehicle_Data4"/>
      <sheetName val="TMMC_Vehicle_Data4"/>
      <sheetName val="Comparison_data4"/>
      <sheetName val="Part_No_6"/>
      <sheetName val="Master_Updated(517)4"/>
      <sheetName val="%_Allocate_-_AB_Labor4"/>
      <sheetName val="drop_down_List4"/>
      <sheetName val="Master_(692N)4"/>
      <sheetName val="ass'y_06-11'053"/>
      <sheetName val="ass'y_06-11'05_(2)3"/>
      <sheetName val="IM-P-L12-5_'03_4"/>
      <sheetName val="Ｂ．财务课部門別週間管理表_(2)4"/>
      <sheetName val="ｽﾀｰﾚｯﾄ_xls4"/>
      <sheetName val="98_104"/>
      <sheetName val="98_114"/>
      <sheetName val="Bajaj_OS4"/>
      <sheetName val="BOM_-_Engineering4"/>
      <sheetName val="Iron_Pivot3"/>
      <sheetName val="TMC_Remaining_ECI4"/>
      <sheetName val="raw_data4"/>
      <sheetName val="【⑦】Direct_Consumables3"/>
      <sheetName val="Europe_PU-14"/>
      <sheetName val="_D23"/>
      <sheetName val="Nov_'023"/>
      <sheetName val="Matrix_Bom_ใช้งาน3"/>
      <sheetName val="Maker_Dist4"/>
      <sheetName val="HE_BASE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Average_per_Katashiki3"/>
      <sheetName val="Price_Increase_Monitoring3"/>
      <sheetName val="Çalışma_Bilgisi3"/>
      <sheetName val="\車種\ｽﾀｰﾚｯﾄ\受注予測\ｽﾀｰﾚｯﾄ_xls3"/>
      <sheetName val="_車種_ｽﾀｰﾚｯﾄ_受注予測_ｽﾀｰﾚｯﾄ_xls3"/>
      <sheetName val="Splr_Info3"/>
      <sheetName val="094W原紙_3"/>
      <sheetName val="NHÓM_HÀNG3"/>
      <sheetName val="R-M_Inventory3"/>
      <sheetName val="DỮ_LIỆU3"/>
      <sheetName val="Theo_Doi_Si_So3"/>
      <sheetName val="LOCATION_UPDATE_8-563"/>
      <sheetName val="khung_ten_TD3"/>
      <sheetName val="Người_TĐ3"/>
      <sheetName val="LTC_4W3"/>
      <sheetName val="Chuyen_590L3"/>
      <sheetName val="WE0144_LIST3"/>
      <sheetName val="DATA_3"/>
      <sheetName val="ミツワ_最終3"/>
      <sheetName val="Toggle_Duplicate_Highlighting3"/>
      <sheetName val="Supp_List3"/>
      <sheetName val="\\CP013\Documents_accounting_a2"/>
      <sheetName val="__CP013_Documents_accounting_a2"/>
      <sheetName val="237W_DATA2"/>
      <sheetName val="Model_Price2"/>
      <sheetName val="Plant_Monthly_Actuals2"/>
      <sheetName val="K_Auth_System_#12"/>
      <sheetName val="input_mst2"/>
      <sheetName val="01_-_Jan002"/>
      <sheetName val="AM_6M_942"/>
      <sheetName val="inc__claim_972"/>
      <sheetName val="Future_Act2"/>
      <sheetName val="Leasing_Calculator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SFX_TỔNG2"/>
      <sheetName val="[ｽﾀｰﾚｯﾄ_xls]\車種\ｽﾀｰﾚｯﾄ\受注予測\ｽﾀ2"/>
      <sheetName val="[ｽﾀｰﾚｯﾄ_xls][ｽﾀｰﾚｯﾄ_xls][ｽﾀｰﾚｯ2"/>
      <sheetName val="[ｽﾀｰﾚｯﾄ_xls][ｽﾀｰﾚｯﾄ_xls]\車種\ｽﾀ2"/>
      <sheetName val="Material_Price_Adj_ANP_Final22"/>
      <sheetName val="Material_Price_Adj_RVP_Final2"/>
      <sheetName val="ANP_PR_Saving2"/>
      <sheetName val="RVP_PR_Saving2"/>
      <sheetName val="Part_No_7"/>
      <sheetName val="[ｽﾀｰﾚｯﾄ_xls][ｽﾀｰﾚｯﾄ_xls]\\CP012"/>
      <sheetName val="[ｽﾀｰﾚｯﾄ_xls]\\CP013\Documents_2"/>
      <sheetName val="入力シート_data_sheet_sep_(2)2"/>
      <sheetName val="Gas_12"/>
      <sheetName val="TMS_Data2"/>
      <sheetName val="Loss_Time2"/>
      <sheetName val="\\172_18_67_25\Compras\Users\i2"/>
      <sheetName val="VSP_-_NUMMI_Assembly2"/>
      <sheetName val="mau_(2)1"/>
      <sheetName val="MAX-MIN_พี่บุษ_NIssan_old1"/>
      <sheetName val="1999_41"/>
      <sheetName val="1999_101"/>
      <sheetName val="Base_MDL_08CR_to_09CR1"/>
      <sheetName val="__172_18_67_25_Compras_Users_i1"/>
      <sheetName val="TMMK_Camry_Gas1"/>
      <sheetName val="[ｽﾀｰﾚｯﾄ_xls]\\172_18_67_25\Com1"/>
      <sheetName val="GRAPH_4軸_径Φ120_(2)1"/>
      <sheetName val="[ｽﾀｰﾚｯﾄ_xls][ｽﾀｰﾚｯﾄ_xls]\\172_2"/>
      <sheetName val="_ｽﾀｰﾚｯﾄ_xls__車種_ｽﾀｰﾚｯﾄ_受注予測_ｽﾀ1"/>
      <sheetName val="_ｽﾀｰﾚｯﾄ_xls___CP013_Documents_1"/>
      <sheetName val="_ｽﾀｰﾚｯﾄ_xls__ｽﾀｰﾚｯﾄ_xls__車種_ｽﾀ1"/>
      <sheetName val="_ｽﾀｰﾚｯﾄ_xls__ｽﾀｰﾚｯﾄ_xls___CP011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AT部品管理台帳__(2)1"/>
      <sheetName val="[ｽﾀｰﾚｯﾄ.xls]_車___ﾀｰﾚｯﾄ_受_予____2"/>
      <sheetName val="[ｽﾀｰﾚｯﾄ.xls]__________________3"/>
      <sheetName val="[ｽﾀｰﾚｯﾄ.xls]__________________4"/>
      <sheetName val="[ｽﾀｰﾚｯﾄ.xls]__________________6"/>
      <sheetName val="[ｽﾀｰﾚｯﾄ.xls]__________________5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MAX-MIN_พี่บุษ_NIssan_old2"/>
      <sheetName val="1999_42"/>
      <sheetName val="1999_102"/>
      <sheetName val="Base_MDL_08CR_to_09CR2"/>
      <sheetName val="__172_18_67_25_Compras_Users_i2"/>
      <sheetName val="TMMK_Camry_Gas2"/>
      <sheetName val="[ｽﾀｰﾚｯﾄ_xls]\\172_18_67_25\Com2"/>
      <sheetName val="GRAPH_4軸_径Φ120_(2)2"/>
      <sheetName val="[ｽﾀｰﾚｯﾄ_xls][ｽﾀｰﾚｯﾄ_xls]\\172_3"/>
      <sheetName val="_ｽﾀｰﾚｯﾄ_xls__車種_ｽﾀｰﾚｯﾄ_受注予測_ｽﾀ2"/>
      <sheetName val="_ｽﾀｰﾚｯﾄ_xls___CP013_Documents_2"/>
      <sheetName val="_ｽﾀｰﾚｯﾄ_xls__ｽﾀｰﾚｯﾄ_xls__車種_ｽﾀ2"/>
      <sheetName val="_ｽﾀｰﾚｯﾄ_xls__ｽﾀｰﾚｯﾄ_xls___CP012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AT部品管理台帳__(2)2"/>
      <sheetName val="[ｽﾀｰﾚｯﾄ_xls]__________________2"/>
      <sheetName val="[ｽﾀｰﾚｯﾄ_xls]_車___ﾀｰﾚｯﾄ_受_予____2"/>
      <sheetName val="[ｽﾀｰﾚｯﾄ_xls]__________________3"/>
      <sheetName val="[ｽﾀｰﾚｯﾄ_xls]__________________4"/>
      <sheetName val="[ｽﾀｰﾚｯﾄ_xls]__________________6"/>
      <sheetName val="[ｽﾀｰﾚｯﾄ_xls]__________________5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_________________1"/>
      <sheetName val="[ｽﾀｰﾚｯﾄ_xls]_車___ﾀｰﾚｯﾄ_受_予____1"/>
      <sheetName val="[ｽﾀｰﾚｯﾄ_xls]__________________7"/>
      <sheetName val="[ｽﾀｰﾚｯﾄ_xls]__________________8"/>
      <sheetName val="[ｽﾀｰﾚｯﾄ_xls]__________________9"/>
      <sheetName val="[ｽﾀｰﾚｯﾄ_xls]_________________10"/>
      <sheetName val="34HK&gt;_x005f_x005f_x005f_x005f_x005f_x005f_x005f_x0000__"/>
      <sheetName val="_x005f_x005f_x005f_x005f_x005f_x005f_x005f_x0008_"/>
      <sheetName val="34HK&gt;_x005f_x005f_x005f_x005f_x005f_x005f_x005f_x005f_x"/>
      <sheetName val="_x005f_x005f_x005f_x005f_x005f_x005f_x005f_x005f_x005f_x005f_"/>
      <sheetName val="115円ﾍﾞｰｽ"/>
      <sheetName val="PAGE1"/>
      <sheetName val="34HK&gt;_x005f_x0000__x005f_x0000_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Daily WSD"/>
      <sheetName val="ｱｲﾃﾑ"/>
      <sheetName val="台数"/>
      <sheetName val="\車種\ｽﾀｰ"/>
      <sheetName val="\\CP013"/>
      <sheetName val="q_for_r_04_20_in_source"/>
      <sheetName val="A"/>
      <sheetName val="B"/>
      <sheetName val="C"/>
      <sheetName val="[ｽﾀｰﾚｯﾄ.xls]__172_18_67_25_Co_2"/>
      <sheetName val="ListParts"/>
      <sheetName val="0C-COVER"/>
      <sheetName val="[ｽﾀｰﾚｯﾄ.xls]__172_18_67_25_Co_3"/>
      <sheetName val="[ｽﾀｰﾚｯﾄ.xls]_車種_ｽﾀｰﾚｯﾄ_受注予測_ｽ_2"/>
      <sheetName val="[ｽﾀｰﾚｯﾄ.xls]__________________7"/>
      <sheetName val="[ｽﾀｰﾚｯﾄ.xls]__172_18_67_25_Co_7"/>
      <sheetName val="[ｽﾀｰﾚｯﾄ.xls]__172_18_67_25_Co_6"/>
      <sheetName val="[ｽﾀｰﾚｯﾄ.xls]__172_18_67_25_Co_5"/>
      <sheetName val="[ｽﾀｰﾚｯﾄ.xls]__172_18_67_25_Co_4"/>
      <sheetName val="[ｽﾀｰﾚｯﾄ.xls]_車__ｽﾀ_ﾚｯﾄ_受注_測_ｽ_2"/>
      <sheetName val="B1～B8新会議議事録（N0_B00表紙）改04"/>
      <sheetName val="荷量変動分"/>
      <sheetName val="[ｽﾀｰﾚｯﾄ.xls]__172_18_67_25_Co_8"/>
      <sheetName val="[ｽﾀｰﾚｯﾄ.xls]__172_18_67_25_Co_9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DATA SEAT"/>
      <sheetName val="DATA GARNISH"/>
      <sheetName val="③LH"/>
      <sheetName val="(4)"/>
      <sheetName val="戦略売3"/>
      <sheetName val="Detail"/>
      <sheetName val="[ｽﾀｰﾚｯﾄ.xls]__________________8"/>
      <sheetName val="[ｽﾀｰﾚｯﾄ.xls]__________________9"/>
      <sheetName val="[ｽﾀｰﾚｯﾄ.xls]__172_18_67_25_C_10"/>
      <sheetName val="[ｽﾀｰﾚｯﾄ.xls]_________________10"/>
      <sheetName val="[ｽﾀｰﾚｯﾄ.xls]_________________11"/>
      <sheetName val="[ｽﾀｰﾚｯﾄ.xls]__172_18_67_25_C_11"/>
      <sheetName val="[ｽﾀｰﾚｯﾄ.xls]_________________13"/>
      <sheetName val="[ｽﾀｰﾚｯﾄ.xls]__172_18_67_25_C_13"/>
      <sheetName val="[ｽﾀｰﾚｯﾄ.xls]_________________12"/>
      <sheetName val="[ｽﾀｰﾚｯﾄ.xls]__172_18_67_25_C_12"/>
      <sheetName val="[ｽﾀｰﾚｯﾄ.xls]_________________14"/>
      <sheetName val="unitprice"/>
      <sheetName val="Leasing Cal紁홠/_x0000_퀀_x0000_"/>
      <sheetName val="損益(473)"/>
      <sheetName val="各種マスタ"/>
      <sheetName val="(13) 71752-X1455"/>
      <sheetName val="[ｽﾀｰﾚｯﾄ.xls]____ｽﾀｰﾚｯﾄ_受注予測_ｽ_4"/>
      <sheetName val="[ｽﾀｰﾚｯﾄ.xls]____ｽﾀｰﾚｯﾄ_受注予測_ｽ_3"/>
      <sheetName val="[ｽﾀｰﾚｯﾄ.xls]____ｽﾀｰﾚｯﾄ_受注予測_ｽ_2"/>
      <sheetName val="Master Data輸入區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________________11"/>
      <sheetName val="[ｽﾀｰﾚｯﾄ_xls]_車___ﾀｰﾚｯﾄ_受_予____3"/>
      <sheetName val="[ｽﾀｰﾚｯﾄ_xls]_________________12"/>
      <sheetName val="[ｽﾀｰﾚｯﾄ_xls]_________________13"/>
      <sheetName val="[ｽﾀｰﾚｯﾄ_xls]_________________14"/>
      <sheetName val="[ｽﾀｰﾚｯﾄ_xls]_________________15"/>
      <sheetName val="社内原価"/>
      <sheetName val="[ｽﾀｰﾚｯﾄ.xls]______ｰ_ｯ_________2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ﾘｽﾄ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34HK&gt;_x005f_x0000__x005f_x0000__x㑸S͈୼楋〚_x0000__x0000__x0000_"/>
      <sheetName val="[ｽﾀｰﾚｯﾄ.xls]____ｽﾀｰﾚｯﾄ_受注予測_ｽ_5"/>
      <sheetName val="[ｽﾀｰﾚｯﾄ.xls]__172_18_67_25_C_16"/>
      <sheetName val="[ｽﾀｰﾚｯﾄ.xls]__172_18_67_25_C_14"/>
      <sheetName val="[ｽﾀｰﾚｯﾄ.xls]__172_18_67_25_C_15"/>
      <sheetName val="[ｽﾀｰﾚｯﾄ.xls]__172_18_67_25_C_18"/>
      <sheetName val="[ｽﾀｰﾚｯﾄ.xls]__172_18_67_25_C_17"/>
      <sheetName val="[ｽﾀｰﾚｯﾄ.xls]__172_18_67_25_C_19"/>
      <sheetName val="[ｽﾀｰﾚｯﾄ.xls]__172_18_67_25_C_20"/>
      <sheetName val="[ｽﾀｰﾚｯﾄ.xls]__172_18_67_25_C_21"/>
      <sheetName val="[ｽﾀｰﾚｯﾄ.xls]__172_18_67_25_C_22"/>
      <sheetName val="[ｽﾀｰﾚｯﾄ.xls]__172_18_67_25_C_23"/>
      <sheetName val="[ｽﾀｰﾚｯﾄ.xls]__172_18_67_25_C_25"/>
      <sheetName val="[ｽﾀｰﾚｯﾄ.xls]__172_18_67_25_C_24"/>
      <sheetName val="距離ﾏｽﾀｰ &amp;換算係数"/>
      <sheetName val="グラフ作成用データ"/>
      <sheetName val="他データ"/>
      <sheetName val="[ｽﾀｰﾚｯﾄ.xls]__172_18_67_25_C_79"/>
      <sheetName val="[ｽﾀｰﾚｯﾄ.xls]_________________40"/>
      <sheetName val="[ｽﾀｰﾚｯﾄ.xls]__172_18_67_25_C_77"/>
      <sheetName val="[ｽﾀｰﾚｯﾄ.xls]_________________16"/>
      <sheetName val="[ｽﾀｰﾚｯﾄ.xls]_________________15"/>
      <sheetName val="[ｽﾀｰﾚｯﾄ.xls]_________________17"/>
      <sheetName val="[ｽﾀｰﾚｯﾄ.xls]_________________18"/>
      <sheetName val="D21Aｶｰｺﾞ_材料ﾃﾞｰﾀ"/>
      <sheetName val="引当型式確認画面"/>
      <sheetName val="処理機能記述"/>
      <sheetName val="[ｽﾀｰﾚｯﾄ.xls]_________________19"/>
      <sheetName val="[ｽﾀｰﾚｯﾄ.xls]_________________20"/>
      <sheetName val="[ｽﾀｰﾚｯﾄ.xls]_________________21"/>
      <sheetName val="[ｽﾀｰﾚｯﾄ.xls]_________________23"/>
      <sheetName val="[ｽﾀｰﾚｯﾄ.xls]_________________22"/>
      <sheetName val="[ｽﾀｰﾚｯﾄ.xls]_________________25"/>
      <sheetName val="[ｽﾀｰﾚｯﾄ.xls]_________________24"/>
      <sheetName val="[ｽﾀｰﾚｯﾄ.xls]_________________26"/>
      <sheetName val="[ｽﾀｰﾚｯﾄ.xls]_________________27"/>
      <sheetName val="[ｽﾀｰﾚｯﾄ.xls]_________________32"/>
      <sheetName val="[ｽﾀｰﾚｯﾄ.xls]_________________28"/>
      <sheetName val="[ｽﾀｰﾚｯﾄ.xls]_________________29"/>
      <sheetName val="[ｽﾀｰﾚｯﾄ.xls]_________________31"/>
      <sheetName val="[ｽﾀｰﾚｯﾄ.xls]_________________30"/>
      <sheetName val="[ｽﾀｰﾚｯﾄ.xls]_________________33"/>
      <sheetName val="[ｽﾀｰﾚｯﾄ.xls]_________________34"/>
      <sheetName val="[ｽﾀｰﾚｯﾄ.xls]_________________36"/>
      <sheetName val="[ｽﾀｰﾚｯﾄ.xls]_________________35"/>
      <sheetName val="[ｽﾀｰﾚｯﾄ.xls]_________________37"/>
      <sheetName val="[ｽﾀｰﾚｯﾄ.xls]__172_18_67_25_C_31"/>
      <sheetName val="[ｽﾀｰﾚｯﾄ.xls]__172_18_67_25_C_26"/>
      <sheetName val="[ｽﾀｰﾚｯﾄ.xls]__172_18_67_25_C_30"/>
      <sheetName val="[ｽﾀｰﾚｯﾄ.xls]__172_18_67_25_C_28"/>
      <sheetName val="[ｽﾀｰﾚｯﾄ.xls]__172_18_67_25_C_27"/>
      <sheetName val="[ｽﾀｰﾚｯﾄ.xls]__172_18_67_25_C_29"/>
      <sheetName val="[ｽﾀｰﾚｯﾄ.xls]__172_18_67_25_C_32"/>
      <sheetName val="[ｽﾀｰﾚｯﾄ.xls]__172_18_67_25_C_70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[ｽﾀｰﾚｯﾄ.xls]_車__ｽﾀｰﾚｯﾄ__注予___30"/>
      <sheetName val="[ｽﾀｰﾚｯﾄ.xls]_車__ｽﾀｰﾚｯﾄ__注予___31"/>
      <sheetName val="[ｽﾀｰﾚｯﾄ.xls]__172_18_67_25_C_33"/>
      <sheetName val="[ｽﾀｰﾚｯﾄ.xls]_車__ｽﾀｰﾚｯﾄ__注予___32"/>
      <sheetName val="[ｽﾀｰﾚｯﾄ.xls]_車__ｽﾀｰﾚｯﾄ__注予___33"/>
      <sheetName val="[ｽﾀｰﾚｯﾄ.xls]__172_18_67_25_C_36"/>
      <sheetName val="[ｽﾀｰﾚｯﾄ.xls]__172_18_67_25_C_35"/>
      <sheetName val="[ｽﾀｰﾚｯﾄ.xls]__172_18_67_25_C_34"/>
      <sheetName val="[ｽﾀｰﾚｯﾄ.xls]__172_18_67_25_C_40"/>
      <sheetName val="[ｽﾀｰﾚｯﾄ.xls]__172_18_67_25_C_37"/>
      <sheetName val="[ｽﾀｰﾚｯﾄ.xls]__172_18_67_25_C_38"/>
      <sheetName val="[ｽﾀｰﾚｯﾄ.xls]__172_18_67_25_C_39"/>
      <sheetName val="[ｽﾀｰﾚｯﾄ.xls]__172_18_67_25_C_41"/>
      <sheetName val="[ｽﾀｰﾚｯﾄ.xls]__172_18_67_25_C_44"/>
      <sheetName val="[ｽﾀｰﾚｯﾄ.xls]__172_18_67_25_C_42"/>
      <sheetName val="[ｽﾀｰﾚｯﾄ.xls]__172_18_67_25_C_43"/>
      <sheetName val="[ｽﾀｰﾚｯﾄ.xls]__172_18_67_25_C_46"/>
      <sheetName val="[ｽﾀｰﾚｯﾄ.xls]__172_18_67_25_C_45"/>
      <sheetName val="[ｽﾀｰﾚｯﾄ.xls]__172_18_67_25_C_55"/>
      <sheetName val="[ｽﾀｰﾚｯﾄ.xls]__172_18_67_25_C_47"/>
      <sheetName val="[ｽﾀｰﾚｯﾄ.xls]__172_18_67_25_C_48"/>
      <sheetName val="[ｽﾀｰﾚｯﾄ.xls]__172_18_67_25_C_49"/>
      <sheetName val="[ｽﾀｰﾚｯﾄ.xls]__172_18_67_25_C_51"/>
      <sheetName val="[ｽﾀｰﾚｯﾄ.xls]__172_18_67_25_C_50"/>
      <sheetName val="[ｽﾀｰﾚｯﾄ.xls]__172_18_67_25_C_54"/>
      <sheetName val="[ｽﾀｰﾚｯﾄ.xls]__172_18_67_25_C_52"/>
      <sheetName val="[ｽﾀｰﾚｯﾄ.xls]__172_18_67_25_C_53"/>
      <sheetName val="[ｽﾀｰﾚｯﾄ.xls]__172_18_67_25_C_57"/>
      <sheetName val="[ｽﾀｰﾚｯﾄ.xls]__172_18_67_25_C_56"/>
      <sheetName val="[ｽﾀｰﾚｯﾄ.xls]__172_18_67_25_C_58"/>
      <sheetName val="[ｽﾀｰﾚｯﾄ.xls]__172_18_67_25_C_65"/>
      <sheetName val="[ｽﾀｰﾚｯﾄ.xls]__172_18_67_25_C_59"/>
      <sheetName val="[ｽﾀｰﾚｯﾄ.xls]__172_18_67_25_C_61"/>
      <sheetName val="[ｽﾀｰﾚｯﾄ.xls]__172_18_67_25_C_60"/>
      <sheetName val="[ｽﾀｰﾚｯﾄ.xls]__172_18_67_25_C_62"/>
      <sheetName val="[ｽﾀｰﾚｯﾄ.xls]__172_18_67_25_C_63"/>
      <sheetName val="[ｽﾀｰﾚｯﾄ.xls]__172_18_67_25_C_64"/>
      <sheetName val="[ｽﾀｰﾚｯﾄ.xls]__172_18_67_25_C_66"/>
      <sheetName val="SV"/>
      <sheetName val="[ｽﾀｰﾚｯﾄ.xls]__172_18_67_25_C_67"/>
      <sheetName val="[ｽﾀｰﾚｯﾄ.xls]__172_18_67_25_C_68"/>
      <sheetName val="[ｽﾀｰﾚｯﾄ.xls]__172_18_67_25_C_69"/>
      <sheetName val="approval"/>
      <sheetName val="[ｽﾀｰﾚｯﾄ.xls]__172_18_67_25_C_73"/>
      <sheetName val="[ｽﾀｰﾚｯﾄ.xls]__172_18_67_25_C_71"/>
      <sheetName val="[ｽﾀｰﾚｯﾄ.xls]__172_18_67_25_C_72"/>
      <sheetName val="[ｽﾀｰﾚｯﾄ.xls]_________________38"/>
      <sheetName val="[ｽﾀｰﾚｯﾄ.xls]__172_18_67_25_C_75"/>
      <sheetName val="[ｽﾀｰﾚｯﾄ.xls]__172_18_67_25_C_74"/>
      <sheetName val="[ｽﾀｰﾚｯﾄ.xls]_________________39"/>
      <sheetName val="[ｽﾀｰﾚｯﾄ.xls]__172_18_67_25_C_76"/>
      <sheetName val="[ｽﾀｰﾚｯﾄ.xls]__172_18_67_25_C_78"/>
      <sheetName val="balance"/>
      <sheetName val="見積一覧（１案）"/>
      <sheetName val="[ｽﾀｰﾚｯﾄ.xls]_________________45"/>
      <sheetName val="個別計画書"/>
      <sheetName val="[ｽﾀｰﾚｯﾄ.xls]_________________43"/>
      <sheetName val="[ｽﾀｰﾚｯﾄ.xls]_________________41"/>
      <sheetName val="[ｽﾀｰﾚｯﾄ.xls]_________________42"/>
      <sheetName val="[ｽﾀｰﾚｯﾄ.xls]_________________44"/>
      <sheetName val="[ｽﾀｰﾚｯﾄ.xls]_________________46"/>
      <sheetName val="[ｽﾀｰﾚｯﾄ.xls]_________________50"/>
      <sheetName val="[ｽﾀｰﾚｯﾄ.xls]_車__ｽ_ｰﾚｯﾄ_受_予測_ｽ_2"/>
      <sheetName val="[ｽﾀｰﾚｯﾄ.xls]_車__ｽ_ｰﾚｯﾄ_受_予測_ｽ_4"/>
      <sheetName val="_車種_ｽﾀｰ"/>
      <sheetName val="__CP013"/>
      <sheetName val="生産能力"/>
      <sheetName val="[ｽﾀｰﾚｯﾄ.xls]_車__ｽ_ｰﾚｯﾄ_受_予測_ｽ_3"/>
      <sheetName val="[ｽﾀｰﾚｯﾄ.xls]_________________48"/>
      <sheetName val="[ｽﾀｰﾚｯﾄ.xls]_________________47"/>
      <sheetName val="[ｽﾀｰﾚｯﾄ.xls]_________________49"/>
      <sheetName val="[ｽﾀｰﾚｯﾄ.xls]_________________54"/>
      <sheetName val="[ｽﾀｰﾚｯﾄ.xls]_________________51"/>
      <sheetName val="[ｽﾀｰﾚｯﾄ.xls]_________________52"/>
      <sheetName val="[ｽﾀｰﾚｯﾄ.xls]_________________53"/>
      <sheetName val="[ｽﾀｰﾚｯﾄ.xls]_________________55"/>
      <sheetName val="[ｽﾀｰﾚｯﾄ.xls]_________________56"/>
      <sheetName val="Order"/>
      <sheetName val="[ｽﾀｰﾚｯﾄ.xls]_________________58"/>
      <sheetName val="[ｽﾀｰﾚｯﾄ.xls]_________________57"/>
      <sheetName val="[ｽﾀｰﾚｯﾄ.xls]_車__ｽ_ｰﾚ_ﾄ_受_予__ｽ_2"/>
      <sheetName val="[ｽﾀｰﾚｯﾄ.xls]_________________59"/>
      <sheetName val="[ｽﾀｰﾚｯﾄ.xls]__172_18_67_25_C_80"/>
      <sheetName val="[ｽﾀｰﾚｯﾄ.xls]_________________60"/>
      <sheetName val="[ｽﾀｰﾚｯﾄ.xls]__172_18_67_25_C_81"/>
      <sheetName val="[ｽﾀｰﾚｯﾄ.xls]_________________61"/>
      <sheetName val="[ｽﾀｰﾚｯﾄ.xls]__172_18_67_25_C_82"/>
      <sheetName val="[ｽﾀｰﾚｯﾄ.xls]_________________75"/>
      <sheetName val="[ｽﾀｰﾚｯﾄ.xls]__172_18_67_25_C_92"/>
      <sheetName val="[ｽﾀｰﾚｯﾄ.xls]_________________74"/>
      <sheetName val="[ｽﾀｰﾚｯﾄ.xls]_________________63"/>
      <sheetName val="[ｽﾀｰﾚｯﾄ.xls]_________________62"/>
      <sheetName val="[ｽﾀｰﾚｯﾄ.xls]_________________64"/>
      <sheetName val="[ｽﾀｰﾚｯﾄ.xls]_________________72"/>
      <sheetName val="[ｽﾀｰﾚｯﾄ.xls]_________________65"/>
      <sheetName val="Mas_Factory"/>
      <sheetName val="Mas_User"/>
      <sheetName val="FormatOrg"/>
      <sheetName val="T_List_BC01_Mas_ProductionLine"/>
      <sheetName val="係数"/>
      <sheetName val="[ｽﾀｰﾚｯﾄ.xls]_________________66"/>
      <sheetName val="[ｽﾀｰﾚｯﾄ.xls]_________________67"/>
      <sheetName val="[ｽﾀｰﾚｯﾄ.xls]_車__ｽ_ｰﾚ_ﾄ_受_予__ｽ_3"/>
      <sheetName val="[ｽﾀｰﾚｯﾄ.xls]_________________68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EGCOST FOR S-91 SERIES"/>
      <sheetName val="[ｽﾀｰﾚｯﾄ.xls]_車__ｽ_ｰﾚ_ﾄ_受_予__ｽ_4"/>
      <sheetName val="[ｽﾀｰﾚｯﾄ.xls]_________________69"/>
      <sheetName val="[ｽﾀｰﾚｯﾄ.xls]_________________70"/>
      <sheetName val="[ｽﾀｰﾚｯﾄ.xls]_________________71"/>
      <sheetName val="[ｽﾀｰﾚｯﾄ.xls]_________________73"/>
      <sheetName val="[ｽﾀｰﾚｯﾄ.xls]__172_18_67_25_C_83"/>
      <sheetName val="[ｽﾀｰﾚｯﾄ.xls]__172_18_67_25_C_86"/>
      <sheetName val="[ｽﾀｰﾚｯﾄ.xls]__172_18_67_25_C_84"/>
      <sheetName val="[ｽﾀｰﾚｯﾄ.xls]__172_18_67_25_C_85"/>
      <sheetName val="[ｽﾀｰﾚｯﾄ.xls]__172_18_67_25_C_87"/>
      <sheetName val="[ｽﾀｰﾚｯﾄ.xls]__172_18_67_25_C_89"/>
      <sheetName val="[ｽﾀｰﾚｯﾄ.xls]__172_18_67_25_C_88"/>
      <sheetName val="[ｽﾀｰﾚｯﾄ.xls]__172_18_67_25_C_90"/>
      <sheetName val="[ｽﾀｰﾚｯﾄ.xls]__172_18_67_25_C_91"/>
      <sheetName val="[ｽﾀｰﾚｯﾄ.xls]__172_18_67_25__144"/>
      <sheetName val="[ｽﾀｰﾚｯﾄ.xls]________________230"/>
      <sheetName val="[ｽﾀｰﾚｯﾄ.xls]__172_18_67_25__143"/>
      <sheetName val="[ｽﾀｰﾚｯﾄ.xls]________________229"/>
      <sheetName val="[ｽﾀｰﾚｯﾄ.xls]_________________76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[ｽﾀｰﾚｯﾄ.xls]_________________84"/>
      <sheetName val="[ｽﾀｰﾚｯﾄ.xls]_________________79"/>
      <sheetName val="[ｽﾀｰﾚｯﾄ.xls]_________________77"/>
      <sheetName val="[ｽﾀｰﾚｯﾄ.xls]_________________78"/>
      <sheetName val="[ｽﾀｰﾚｯﾄ.xls]_________________82"/>
      <sheetName val="[ｽﾀｰﾚｯﾄ.xls]_________________80"/>
      <sheetName val="[ｽﾀｰﾚｯﾄ.xls]_________________81"/>
      <sheetName val="[ｽﾀｰﾚｯﾄ.xls]_________________83"/>
      <sheetName val="[ｽﾀｰﾚｯﾄ.xls]_________________86"/>
      <sheetName val="[ｽﾀｰﾚｯﾄ.xls]_________________85"/>
      <sheetName val="nang suat TONG"/>
      <sheetName val="[ｽﾀｰﾚｯﾄ.xls]_________________87"/>
      <sheetName val="[ｽﾀｰﾚｯﾄ.xls]_________________89"/>
      <sheetName val="[ｽﾀｰﾚｯﾄ.xls]_________________88"/>
      <sheetName val="[ｽﾀｰﾚｯﾄ.xls]_________________90"/>
      <sheetName val="[ｽﾀｰﾚｯﾄ.xls]_________________91"/>
      <sheetName val="[ｽﾀｰﾚｯﾄ.xls]_________________92"/>
      <sheetName val="[ｽﾀｰﾚｯﾄ.xls]________________101"/>
      <sheetName val="[ｽﾀｰﾚｯﾄ.xls]_________________97"/>
      <sheetName val="[ｽﾀｰﾚｯﾄ.xls]_________________93"/>
      <sheetName val="[ｽﾀｰﾚｯﾄ.xls]_________________94"/>
      <sheetName val="[ｽﾀｰﾚｯﾄ.xls]_________________95"/>
      <sheetName val="[ｽﾀｰﾚｯﾄ.xls]_________________96"/>
      <sheetName val="[ｽﾀｰﾚｯﾄ.xls]________________100"/>
      <sheetName val="[ｽﾀｰﾚｯﾄ.xls]_________________98"/>
      <sheetName val="[ｽﾀｰﾚｯﾄ.xls]_________________99"/>
      <sheetName val="[ｽﾀｰﾚｯﾄ.xls]________________102"/>
      <sheetName val="[ｽﾀｰﾚｯﾄ.xls]________________103"/>
      <sheetName val="[ｽﾀｰﾚｯﾄ.xls]________________104"/>
      <sheetName val="[ｽﾀｰﾚｯﾄ.xls]________________110"/>
      <sheetName val="[ｽﾀｰﾚｯﾄ.xls]________________109"/>
      <sheetName val="[ｽﾀｰﾚｯﾄ.xls]________________105"/>
      <sheetName val="[ｽﾀｰﾚｯﾄ.xls]________________107"/>
      <sheetName val="[ｽﾀｰﾚｯﾄ.xls]________________106"/>
      <sheetName val="[ｽﾀｰﾚｯﾄ.xls]________________108"/>
      <sheetName val="[ｽﾀｰﾚｯﾄ.xls]________________113"/>
      <sheetName val="[ｽﾀｰﾚｯﾄ.xls]________________111"/>
      <sheetName val="[ｽﾀｰﾚｯﾄ.xls]________________112"/>
      <sheetName val="[ｽﾀｰﾚｯﾄ.xls]________________114"/>
      <sheetName val="[ｽﾀｰﾚｯﾄ.xls]________________119"/>
      <sheetName val="[ｽﾀｰﾚｯﾄ.xls]________________115"/>
      <sheetName val="[ｽﾀｰﾚｯﾄ.xls]________________116"/>
      <sheetName val="[ｽﾀｰﾚｯﾄ.xls]________________117"/>
      <sheetName val="[ｽﾀｰﾚｯﾄ.xls]________________118"/>
      <sheetName val="[ｽﾀｰﾚｯﾄ.xls]________________121"/>
      <sheetName val="[ｽﾀｰﾚｯﾄ.xls]________________120"/>
      <sheetName val="_ｽﾀｰﾚｯﾄ.xls__________________70"/>
      <sheetName val="_ｽﾀｰﾚｯﾄ.xls__________________84"/>
      <sheetName val="[ｽﾀｰﾚｯﾄ.xls]________________122"/>
      <sheetName val="[ｽﾀｰﾚｯﾄ.xls]________________130"/>
      <sheetName val="[ｽﾀｰﾚｯﾄ.xls]________________127"/>
      <sheetName val="[ｽﾀｰﾚｯﾄ.xls]________________123"/>
      <sheetName val="[ｽﾀｰﾚｯﾄ.xls]________________125"/>
      <sheetName val="[ｽﾀｰﾚｯﾄ.xls]________________124"/>
      <sheetName val="[ｽﾀｰﾚｯﾄ.xls]________________126"/>
      <sheetName val="[ｽﾀｰﾚｯﾄ.xls]________________128"/>
      <sheetName val="[ｽﾀｰﾚｯﾄ.xls]________________129"/>
      <sheetName val="Leasing Cal紁홠/"/>
      <sheetName val="[ｽﾀｰﾚｯﾄ.xls]________________131"/>
      <sheetName val="[ｽﾀｰﾚｯﾄ.xls]________________136"/>
      <sheetName val="[ｽﾀｰﾚｯﾄ.xls]________________132"/>
      <sheetName val="[ｽﾀｰﾚｯﾄ.xls]________________133"/>
      <sheetName val="[ｽﾀｰﾚｯﾄ.xls]________________134"/>
      <sheetName val="[ｽﾀｰﾚｯﾄ.xls]________________135"/>
      <sheetName val="[ｽﾀｰﾚｯﾄ.xls]________________137"/>
      <sheetName val="square1"/>
      <sheetName val="Languages"/>
      <sheetName val="[ｽﾀｰﾚｯﾄ.xls]_車種_ｽﾀｰﾚｯﾄ_受注予測_ｽ_3"/>
      <sheetName val="[ｽﾀｰﾚｯﾄ.xls]________________148"/>
      <sheetName val="[ｽﾀｰﾚｯﾄ.xls]________________147"/>
      <sheetName val="[ｽﾀｰﾚｯﾄ.xls]________________144"/>
      <sheetName val="[ｽﾀｰﾚｯﾄ.xls]________________142"/>
      <sheetName val="[ｽﾀｰﾚｯﾄ.xls]________________141"/>
      <sheetName val="[ｽﾀｰﾚｯﾄ.xls]________________140"/>
      <sheetName val="[ｽﾀｰﾚｯﾄ.xls]________________139"/>
      <sheetName val="[ｽﾀｰﾚｯﾄ.xls]________________138"/>
      <sheetName val="[ｽﾀｰﾚｯﾄ.xls]________________143"/>
      <sheetName val="[ｽﾀｰﾚｯﾄ.xls]________________146"/>
      <sheetName val="[ｽﾀｰﾚｯﾄ.xls]________________145"/>
      <sheetName val="[ｽﾀｰﾚｯﾄ.xls]________________153"/>
      <sheetName val="[ｽﾀｰﾚｯﾄ.xls]________________150"/>
      <sheetName val="[ｽﾀｰﾚｯﾄ.xls]________________149"/>
      <sheetName val="[ｽﾀｰﾚｯﾄ.xls]________________151"/>
      <sheetName val="[ｽﾀｰﾚｯﾄ.xls]________________152"/>
      <sheetName val="[ｽﾀｰﾚｯﾄ.xls]________________154"/>
      <sheetName val="[ｽﾀｰﾚｯﾄ.xls]________________155"/>
      <sheetName val="[ｽﾀｰﾚｯﾄ.xls]________________167"/>
      <sheetName val="[ｽﾀｰﾚｯﾄ.xls]________________158"/>
      <sheetName val="[ｽﾀｰﾚｯﾄ.xls]________________156"/>
      <sheetName val="[ｽﾀｰﾚｯﾄ.xls]________________157"/>
      <sheetName val="[ｽﾀｰﾚｯﾄ.xls]________________165"/>
      <sheetName val="[ｽﾀｰﾚｯﾄ.xls]________________159"/>
      <sheetName val="[ｽﾀｰﾚｯﾄ.xls]________________160"/>
      <sheetName val="[ｽﾀｰﾚｯﾄ.xls]________________161"/>
      <sheetName val="[ｽﾀｰﾚｯﾄ.xls]________________162"/>
      <sheetName val="[ｽﾀｰﾚｯﾄ.xls]________________163"/>
      <sheetName val="[ｽﾀｰﾚｯﾄ.xls]________________164"/>
      <sheetName val="[ｽﾀｰﾚｯﾄ.xls]________________166"/>
      <sheetName val="[ｽﾀｰﾚｯﾄ.xls]________________168"/>
      <sheetName val="[ｽﾀｰﾚｯﾄ.xls]________________170"/>
      <sheetName val="[ｽﾀｰﾚｯﾄ.xls]________________169"/>
      <sheetName val="[ｽﾀｰﾚｯﾄ.xls]________________172"/>
      <sheetName val="[ｽﾀｰﾚｯﾄ.xls]________________171"/>
      <sheetName val="[ｽﾀｰﾚｯﾄ.xls]________________173"/>
      <sheetName val="[ｽﾀｰﾚｯﾄ.xls]________________174"/>
      <sheetName val="[ｽﾀｰﾚｯﾄ.xls]________________175"/>
      <sheetName val="[ｽﾀｰﾚｯﾄ.xls]________________178"/>
      <sheetName val="[ｽﾀｰﾚｯﾄ.xls]________________176"/>
      <sheetName val="[ｽﾀｰﾚｯﾄ.xls]________________177"/>
      <sheetName val="[ｽﾀｰﾚｯﾄ.xls]________________179"/>
      <sheetName val="[ｽﾀｰﾚｯﾄ.xls]________________181"/>
      <sheetName val="[ｽﾀｰﾚｯﾄ.xls]________________180"/>
      <sheetName val="[ｽﾀｰﾚｯﾄ.xls]________________182"/>
      <sheetName val="[ｽﾀｰﾚｯﾄ.xls]________________183"/>
      <sheetName val="[ｽﾀｰﾚｯﾄ.xls]________________184"/>
      <sheetName val="SC+CC_PIST"/>
      <sheetName val="[ｽﾀｰﾚｯﾄ.xls]\車種\ｽﾀｰﾚｯﾄ\受注予測\ｽ_x0000__x0000_"/>
      <sheetName val="[ｽﾀｰﾚｯﾄ.xls]__172_18_67_25__100"/>
      <sheetName val="[ｽﾀｰﾚｯﾄ.xls]_車___ﾀ_ﾚ_ﾄ__注予____2"/>
      <sheetName val="[ｽﾀｰﾚｯﾄ.xls]__172_18_67_25_C_96"/>
      <sheetName val="[ｽﾀｰﾚｯﾄ.xls]__172_18_67_25_C_93"/>
      <sheetName val="[ｽﾀｰﾚｯﾄ.xls]__172_18_67_25_C_94"/>
      <sheetName val="[ｽﾀｰﾚｯﾄ.xls]__172_18_67_25_C_95"/>
      <sheetName val="[ｽﾀｰﾚｯﾄ.xls]__172_18_67_25_C_97"/>
      <sheetName val="[ｽﾀｰﾚｯﾄ.xls]__172_18_67_25_C_98"/>
      <sheetName val="[ｽﾀｰﾚｯﾄ.xls]__172_18_67_25_C_99"/>
      <sheetName val="[ｽﾀｰﾚｯﾄ.xls]__172_18_67_25__102"/>
      <sheetName val="[ｽﾀｰﾚｯﾄ.xls]__172_18_67_25__101"/>
      <sheetName val="[ｽﾀｰﾚｯﾄ.xls]__172_18_67_25__104"/>
      <sheetName val="[ｽﾀｰﾚｯﾄ.xls]__172_18_67_25__103"/>
      <sheetName val="[ｽﾀｰﾚｯﾄ.xls]__172_18_67_25__109"/>
      <sheetName val="[ｽﾀｰﾚｯﾄ.xls]_車___ﾀ_ﾚ_ﾄ__注予____3"/>
      <sheetName val="[ｽﾀｰﾚｯﾄ.xls]__172_18_67_25__105"/>
      <sheetName val="[ｽﾀｰﾚｯﾄ.xls]__172_18_67_25__106"/>
      <sheetName val="[ｽﾀｰﾚｯﾄ.xls]__172_18_67_25__108"/>
      <sheetName val="[ｽﾀｰﾚｯﾄ.xls]__172_18_67_25__107"/>
      <sheetName val="[ｽﾀｰﾚｯﾄ.xls]__172_18_67_25__110"/>
      <sheetName val="[ｽﾀｰﾚｯﾄ.xls]__172_18_67_25__112"/>
      <sheetName val="[ｽﾀｰﾚｯﾄ.xls]__172_18_67_25__111"/>
      <sheetName val="[ｽﾀｰﾚｯﾄ.xls]__172_18_67_25__113"/>
      <sheetName val="[ｽﾀｰﾚｯﾄ.xls]__172_18_67_25__114"/>
      <sheetName val="[ｽﾀｰﾚｯﾄ.xls]__172_18_67_25__115"/>
      <sheetName val="[ｽﾀｰﾚｯﾄ.xls]__172_18_67_25__116"/>
      <sheetName val="[ｽﾀｰﾚｯﾄ.xls]__172_18_67_25__122"/>
      <sheetName val="[ｽﾀｰﾚｯﾄ.xls]__172_18_67_25__120"/>
      <sheetName val="[ｽﾀｰﾚｯﾄ.xls]__172_18_67_25__117"/>
      <sheetName val="[ｽﾀｰﾚｯﾄ.xls]__172_18_67_25__118"/>
      <sheetName val="[ｽﾀｰﾚｯﾄ.xls]__172_18_67_25__119"/>
      <sheetName val="[ｽﾀｰﾚｯﾄ.xls]__172_18_67_25__121"/>
      <sheetName val="[ｽﾀｰﾚｯﾄ.xls]__172_18_67_25__123"/>
      <sheetName val="[ｽﾀｰﾚｯﾄ.xls]__172_18_67_25__124"/>
      <sheetName val="[ｽﾀｰﾚｯﾄ.xls]__172_18_67_25__125"/>
      <sheetName val="[ｽﾀｰﾚｯﾄ.xls]__172_18_67_25__127"/>
      <sheetName val="[ｽﾀｰﾚｯﾄ.xls]__172_18_67_25__126"/>
      <sheetName val="[ｽﾀｰﾚｯﾄ.xls]__172_18_67_25__131"/>
      <sheetName val="[ｽﾀｰﾚｯﾄ.xls]__172_18_67_25__128"/>
      <sheetName val="[ｽﾀｰﾚｯﾄ.xls]__172_18_67_25__129"/>
      <sheetName val="[ｽﾀｰﾚｯﾄ.xls]__172_18_67_25__130"/>
      <sheetName val="[ｽﾀｰﾚｯﾄ.xls]__172_18_67_25__135"/>
      <sheetName val="[ｽﾀｰﾚｯﾄ.xls]__172_18_67_25__132"/>
      <sheetName val="[ｽﾀｰﾚｯﾄ.xls]__172_18_67_25__133"/>
      <sheetName val="[ｽﾀｰﾚｯﾄ.xls]__172_18_67_25__134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85"/>
      <sheetName val="[ｽﾀｰﾚｯﾄ.xls]________________186"/>
      <sheetName val="[ｽﾀｰﾚｯﾄ.xls]________________187"/>
      <sheetName val="[ｽﾀｰﾚｯﾄ.xls]________________198"/>
      <sheetName val="[ｽﾀｰﾚｯﾄ.xls]________________192"/>
      <sheetName val="[ｽﾀｰﾚｯﾄ.xls]________________188"/>
      <sheetName val="[ｽﾀｰﾚｯﾄ.xls]________________190"/>
      <sheetName val="[ｽﾀｰﾚｯﾄ.xls]________________189"/>
      <sheetName val="[ｽﾀｰﾚｯﾄ.xls]________________191"/>
      <sheetName val="[ｽﾀｰﾚｯﾄ.xls]________________193"/>
      <sheetName val="[ｽﾀｰﾚｯﾄ.xls]________________194"/>
      <sheetName val="[ｽﾀｰﾚｯﾄ.xls]________________195"/>
      <sheetName val="[ｽﾀｰﾚｯﾄ.xls]________________197"/>
      <sheetName val="[ｽﾀｰﾚｯﾄ.xls]________________196"/>
      <sheetName val="_ｽﾀｰﾚｯﾄ.xls_________________149"/>
      <sheetName val="[ｽﾀｰﾚｯﾄ.xls]________________199"/>
      <sheetName val="[ｽﾀｰﾚｯﾄ.xls]________________200"/>
      <sheetName val="[ｽﾀｰﾚｯﾄ.xls]________________201"/>
      <sheetName val="[ｽﾀｰﾚｯﾄ.xls]__172_18_67_25__136"/>
      <sheetName val="[ｽﾀｰﾚｯﾄ.xls]________________202"/>
      <sheetName val="[ｽﾀｰﾚｯﾄ.xls]________________205"/>
      <sheetName val="[ｽﾀｰﾚｯﾄ.xls]________________204"/>
      <sheetName val="[ｽﾀｰﾚｯﾄ.xls]________________203"/>
      <sheetName val="[ｽﾀｰﾚｯﾄ.xls]________________207"/>
      <sheetName val="[ｽﾀｰﾚｯﾄ.xls]________________206"/>
      <sheetName val="[ｽﾀｰﾚｯﾄ.xls]________________209"/>
      <sheetName val="[ｽﾀｰﾚｯﾄ.xls]________________208"/>
      <sheetName val="[ｽﾀｰﾚｯﾄ.xls]________________210"/>
      <sheetName val="[ｽﾀｰﾚｯﾄ.xls]________________212"/>
      <sheetName val="[ｽﾀｰﾚｯﾄ.xls]________________211"/>
      <sheetName val="[ｽﾀｰﾚｯﾄ.xls]________________213"/>
      <sheetName val="[ｽﾀｰﾚｯﾄ.xls]________________215"/>
      <sheetName val="[ｽﾀｰﾚｯﾄ.xls]________________214"/>
      <sheetName val="[ｽﾀｰﾚｯﾄ.xls]________________218"/>
      <sheetName val="[ｽﾀｰﾚｯﾄ.xls]________________217"/>
      <sheetName val="[ｽﾀｰﾚｯﾄ.xls]________________216"/>
      <sheetName val="[ｽﾀｰﾚｯﾄ.xls]__172_18_67_25__137"/>
      <sheetName val="[ｽﾀｰﾚｯﾄ.xls]________________222"/>
      <sheetName val="[ｽﾀｰﾚｯﾄ.xls]________________219"/>
      <sheetName val="[ｽﾀｰﾚｯﾄ.xls]________________220"/>
      <sheetName val="[ｽﾀｰﾚｯﾄ.xls]________________221"/>
      <sheetName val="[ｽﾀｰﾚｯﾄ.xls]________________223"/>
      <sheetName val="[ｽﾀｰﾚｯﾄ.xls]________________224"/>
      <sheetName val="[ｽﾀｰﾚｯﾄ.xls]________________225"/>
      <sheetName val="シェル台ｾﾂﾄ流し改_(2)8"/>
      <sheetName val="P1_(2)8"/>
      <sheetName val="mat_list_8"/>
      <sheetName val="RACK_(CB)new8"/>
      <sheetName val="C3_N_DC改造投資8"/>
      <sheetName val="MPL_技連8"/>
      <sheetName val="342E_BLOCK8"/>
      <sheetName val="Interior_Trim8"/>
      <sheetName val="TMMK_Vehicle_Data8"/>
      <sheetName val="TMMC_Vehicle_Data8"/>
      <sheetName val="Comparison_data8"/>
      <sheetName val="Part_No_14"/>
      <sheetName val="Master_Updated(517)8"/>
      <sheetName val="%_Allocate_-_AB_Labor8"/>
      <sheetName val="drop_down_List8"/>
      <sheetName val="Master_(692N)8"/>
      <sheetName val="ass'y_06-11'057"/>
      <sheetName val="ass'y_06-11'05_(2)7"/>
      <sheetName val="IM-P-L12-5_'03_8"/>
      <sheetName val="Ｂ．财务课部門別週間管理表_(2)8"/>
      <sheetName val="ｽﾀｰﾚｯﾄ_xls8"/>
      <sheetName val="98_108"/>
      <sheetName val="98_118"/>
      <sheetName val="Bajaj_OS8"/>
      <sheetName val="BOM_-_Engineering8"/>
      <sheetName val="Iron_Pivot7"/>
      <sheetName val="TMC_Remaining_ECI8"/>
      <sheetName val="raw_data8"/>
      <sheetName val="【⑦】Direct_Consumables7"/>
      <sheetName val="Europe_PU-18"/>
      <sheetName val="_D27"/>
      <sheetName val="Nov_'027"/>
      <sheetName val="Matrix_Bom_ใช้งาน7"/>
      <sheetName val="Maker_Dist8"/>
      <sheetName val="HE_BASE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Average_per_Katashiki7"/>
      <sheetName val="Price_Increase_Monitoring7"/>
      <sheetName val="Çalışma_Bilgisi7"/>
      <sheetName val="[ｽﾀｰﾚｯﾄ_xls]________________187"/>
      <sheetName val="_車種_ｽﾀｰﾚｯﾄ_受注予測_ｽﾀｰﾚｯﾄ_xls7"/>
      <sheetName val="Splr_Info7"/>
      <sheetName val="094W原紙_7"/>
      <sheetName val="NHÓM_HÀNG7"/>
      <sheetName val="R-M_Inventory7"/>
      <sheetName val="DỮ_LIỆU7"/>
      <sheetName val="Theo_Doi_Si_So7"/>
      <sheetName val="LOCATION_UPDATE_8-567"/>
      <sheetName val="khung_ten_TD7"/>
      <sheetName val="Người_TĐ7"/>
      <sheetName val="LTC_4W7"/>
      <sheetName val="Chuyen_590L7"/>
      <sheetName val="WE0144_LIST7"/>
      <sheetName val="DATA_7"/>
      <sheetName val="ミツワ_最終7"/>
      <sheetName val="Toggle_Duplicate_Highlighting7"/>
      <sheetName val="Supp_List7"/>
      <sheetName val="\\CP013\Documents_accounting_a6"/>
      <sheetName val="__CP013_Documents_accounting_a6"/>
      <sheetName val="237W_DATA6"/>
      <sheetName val="input_mst6"/>
      <sheetName val="01_-_Jan006"/>
      <sheetName val="AM_6M_946"/>
      <sheetName val="Model_Price6"/>
      <sheetName val="Plant_Monthly_Actuals6"/>
      <sheetName val="K_Auth_System_#16"/>
      <sheetName val="SFX_TỔNG6"/>
      <sheetName val="Future_Act6"/>
      <sheetName val="Leasing_Calculator6"/>
      <sheetName val="[ｽﾀｰﾚｯﾄ_xls]\車種\ｽﾀｰﾚｯﾄ\受注予測\ｽﾀ6"/>
      <sheetName val="[ｽﾀｰﾚｯﾄ_xls][ｽﾀｰﾚｯﾄ_xls][ｽﾀｰﾚｯ6"/>
      <sheetName val="[ｽﾀｰﾚｯﾄ_xls][ｽﾀｰﾚｯﾄ_xls]\車種\ｽﾀ6"/>
      <sheetName val="inc__claim_976"/>
      <sheetName val="Price_range_IT6"/>
      <sheetName val="FY04_budget_vol6"/>
      <sheetName val="Avensis+d_seg__in_&amp;_out_of_UK+6"/>
      <sheetName val="เงินกู้_MGC6"/>
      <sheetName val="Sheet1_(3)6"/>
      <sheetName val="_IBPL00016"/>
      <sheetName val="Material_Price_Adj_ANP_Final26"/>
      <sheetName val="Material_Price_Adj_RVP_Final6"/>
      <sheetName val="ANP_PR_Saving6"/>
      <sheetName val="RVP_PR_Saving6"/>
      <sheetName val="Part_No_15"/>
      <sheetName val="[ｽﾀｰﾚｯﾄ_xls][ｽﾀｰﾚｯﾄ_xls]\\CP017"/>
      <sheetName val="[ｽﾀｰﾚｯﾄ_xls]\\CP013\Documents_6"/>
      <sheetName val="Gas_16"/>
      <sheetName val="TMS_Data6"/>
      <sheetName val="入力シート_data_sheet_sep_(2)6"/>
      <sheetName val="Loss_Time6"/>
      <sheetName val="\\172_18_67_25\Compras\Users\i6"/>
      <sheetName val="VSP_-_NUMMI_Assembly6"/>
      <sheetName val="mau_(2)5"/>
      <sheetName val="MAX-MIN_พี่บุษ_NIssan_old5"/>
      <sheetName val="1999_45"/>
      <sheetName val="1999_105"/>
      <sheetName val="Base_MDL_08CR_to_09CR5"/>
      <sheetName val="__172_18_67_25_Compras_Users_i5"/>
      <sheetName val="TMMK_Camry_Gas5"/>
      <sheetName val="[ｽﾀｰﾚｯﾄ_xls]\\172_18_67_25\Com5"/>
      <sheetName val="GRAPH_4軸_径Φ120_(2)5"/>
      <sheetName val="[ｽﾀｰﾚｯﾄ_xls][ｽﾀｰﾚｯﾄ_xls]\\172_6"/>
      <sheetName val="_ｽﾀｰﾚｯﾄ_xls__車種_ｽﾀｰﾚｯﾄ_受注予測_ｽﾀ5"/>
      <sheetName val="_ｽﾀｰﾚｯﾄ_xls___CP013_Documents_5"/>
      <sheetName val="_ｽﾀｰﾚｯﾄ_xls__ｽﾀｰﾚｯﾄ_xls__車種_ｽﾀ5"/>
      <sheetName val="_ｽﾀｰﾚｯﾄ_xls__ｽﾀｰﾚｯﾄ_xls___CP016"/>
      <sheetName val="_ｽﾀｰﾚｯﾄ_xls__ｽﾀｰﾚｯﾄ_xls__ｽﾀｰﾚｯ5"/>
      <sheetName val="_ｽﾀｰﾚｯﾄ_xls___172_18_67_25_Com5"/>
      <sheetName val="_ｽﾀｰﾚｯﾄ_xls__ｽﾀｰﾚｯﾄ_xls___172_6"/>
      <sheetName val="三星_5"/>
      <sheetName val="AT部品管理台帳__(2)5"/>
      <sheetName val="[ｽﾀｰﾚｯﾄ_xls]_________________16"/>
      <sheetName val="[ｽﾀｰﾚｯﾄ_xls]_車___ﾀｰﾚｯﾄ_受_予____4"/>
      <sheetName val="[ｽﾀｰﾚｯﾄ_xls]_________________17"/>
      <sheetName val="[ｽﾀｰﾚｯﾄ_xls]_________________18"/>
      <sheetName val="[ｽﾀｰﾚｯﾄ_xls]_________________19"/>
      <sheetName val="[ｽﾀｰﾚｯﾄ_xls]_________________20"/>
      <sheetName val="[ｽﾀｰﾚｯﾄ_xls]_________________21"/>
      <sheetName val="[ｽﾀｰﾚｯﾄ_xls]__172_18_67_25_Co_3"/>
      <sheetName val="[ｽﾀｰﾚｯﾄ_xls]__172_18_67_25_Co_2"/>
      <sheetName val="[ｽﾀｰﾚｯﾄ_xls]_________________22"/>
      <sheetName val="[ｽﾀｰﾚｯﾄ_xls]__172_18_67_25_Co_4"/>
      <sheetName val="[ｽﾀｰﾚｯﾄ_xls]______ｰ_ｯ_________2"/>
      <sheetName val="[ｽﾀｰﾚｯﾄ_xls]_________________23"/>
      <sheetName val="[ｽﾀｰﾚｯﾄ_xls]__172_18_67_25_Co_5"/>
      <sheetName val="[ｽﾀｰﾚｯﾄ_xls]_________________24"/>
      <sheetName val="[ｽﾀｰﾚｯﾄ_xls]__172_18_67_25_Co_6"/>
      <sheetName val="[ｽﾀｰﾚｯﾄ_xls]_________________25"/>
      <sheetName val="[ｽﾀｰﾚｯﾄ_xls]__172_18_67_25_Co_7"/>
      <sheetName val="[ｽﾀｰﾚｯﾄ_xls]_________________26"/>
      <sheetName val="[ｽﾀｰﾚｯﾄ_xls]_________________27"/>
      <sheetName val="[ｽﾀｰﾚｯﾄ_xls]__172_18_67_25_Co_8"/>
      <sheetName val="[ｽﾀｰﾚｯﾄ_xls]_________________28"/>
      <sheetName val="[ｽﾀｰﾚｯﾄ_xls]__172_18_67_25_Co_9"/>
      <sheetName val="[ｽﾀｰﾚｯﾄ_xls]_________________29"/>
      <sheetName val="[ｽﾀｰﾚｯﾄ_xls]__172_18_67_25_C_10"/>
      <sheetName val="[ｽﾀｰﾚｯﾄ_xls]_________________30"/>
      <sheetName val="[ｽﾀｰﾚｯﾄ_xls]__172_18_67_25_C_11"/>
      <sheetName val="[ｽﾀｰﾚｯﾄ_xls]_________________31"/>
      <sheetName val="[ｽﾀｰﾚｯﾄ_xls]_________________32"/>
      <sheetName val="[ｽﾀｰﾚｯﾄ_xls]_________________33"/>
      <sheetName val="[ｽﾀｰﾚｯﾄ_xls]_________________34"/>
      <sheetName val="[ｽﾀｰﾚｯﾄ_xls]_________________35"/>
      <sheetName val="[ｽﾀｰﾚｯﾄ_xls]_________________36"/>
      <sheetName val="[ｽﾀｰﾚｯﾄ_xls]_________________37"/>
      <sheetName val="[ｽﾀｰﾚｯﾄ_xls]_________________38"/>
      <sheetName val="[ｽﾀｰﾚｯﾄ_xls]_________________39"/>
      <sheetName val="[ｽﾀｰﾚｯﾄ_xls]_________________40"/>
      <sheetName val="[ｽﾀｰﾚｯﾄ_xls]_________________41"/>
      <sheetName val="[ｽﾀｰﾚｯﾄ_xls]__172_18_67_25_C_13"/>
      <sheetName val="[ｽﾀｰﾚｯﾄ_xls]__172_18_67_25_C_12"/>
      <sheetName val="[ｽﾀｰﾚｯﾄ_xls]__172_18_67_25_C_14"/>
      <sheetName val="[ｽﾀｰﾚｯﾄ_xls]_________________42"/>
      <sheetName val="[ｽﾀｰﾚｯﾄ_xls]_________________43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[ｽﾀｰﾚｯﾄ_xls]_________________48"/>
      <sheetName val="Daily_WSD"/>
      <sheetName val="[ｽﾀｰﾚｯﾄ_xls]_________________49"/>
      <sheetName val="[ｽﾀｰﾚｯﾄ_xls]_________________50"/>
      <sheetName val="[ｽﾀｰﾚｯﾄ_xls]_________________51"/>
      <sheetName val="[ｽﾀｰﾚｯﾄ_xls]_________________52"/>
      <sheetName val="[ｽﾀｰﾚｯﾄ_xls]_________________53"/>
      <sheetName val="[ｽﾀｰﾚｯﾄ_xls]_________________54"/>
      <sheetName val="[ｽﾀｰﾚｯﾄ_xls]_________________55"/>
      <sheetName val="[ｽﾀｰﾚｯﾄ_xls]_________________56"/>
      <sheetName val="[ｽﾀｰﾚｯﾄ_xls]_________________57"/>
      <sheetName val="[ｽﾀｰﾚｯﾄ_xls]_________________58"/>
      <sheetName val="[ｽﾀｰﾚｯﾄ_xls]_________________59"/>
      <sheetName val="[ｽﾀｰﾚｯﾄ_xls]_________________6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Leasing_Cal紁홠/퀀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_______________71"/>
      <sheetName val="[ｽﾀｰﾚｯﾄ_xls]_________________72"/>
      <sheetName val="[ｽﾀｰﾚｯﾄ_xls]_________________73"/>
      <sheetName val="[ｽﾀｰﾚｯﾄ_xls]__172_18_67_25_C_15"/>
      <sheetName val="[ｽﾀｰﾚｯﾄ_xls]_________________74"/>
      <sheetName val="[ｽﾀｰﾚｯﾄ_xls]_________________75"/>
      <sheetName val="[ｽﾀｰﾚｯﾄ_xls]_________________76"/>
      <sheetName val="[ｽﾀｰﾚｯﾄ_xls]_________________77"/>
      <sheetName val="[ｽﾀｰﾚｯﾄ_xls]_________________78"/>
      <sheetName val="[ｽﾀｰﾚｯﾄ_xls]_________________79"/>
      <sheetName val="[ｽﾀｰﾚｯﾄ_xls]_________________80"/>
      <sheetName val="[ｽﾀｰﾚｯﾄ_xls]_________________81"/>
      <sheetName val="[ｽﾀｰﾚｯﾄ_xls]_________________82"/>
      <sheetName val="[ｽﾀｰﾚｯﾄ_xls]_________________83"/>
      <sheetName val="[ｽﾀｰﾚｯﾄ_xls]_________________84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______________101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[ｽﾀｰﾚｯﾄ_xls]________________108"/>
      <sheetName val="[ｽﾀｰﾚｯﾄ_xls]__172_18_67_25_C_16"/>
      <sheetName val="[ｽﾀｰﾚｯﾄ_xls]________________109"/>
      <sheetName val="[ｽﾀｰﾚｯﾄ_xls]________________110"/>
      <sheetName val="[ｽﾀｰﾚｯﾄ_xls]________________111"/>
      <sheetName val="[ｽﾀｰﾚｯﾄ_xls]________________112"/>
      <sheetName val="[ｽﾀｰﾚｯﾄ_xls]________________113"/>
      <sheetName val="[ｽﾀｰﾚｯﾄ_xls]________________114"/>
      <sheetName val="[ｽﾀｰﾚｯﾄ_xls]________________115"/>
      <sheetName val="nang_suat_TONG"/>
      <sheetName val="[ｽﾀｰﾚｯﾄ_xls]________________116"/>
      <sheetName val="[ｽﾀｰﾚｯﾄ_xls]________________117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6"/>
      <sheetName val="_ｽﾀｰﾚｯﾄ_xls__________________84"/>
      <sheetName val="_ｽﾀｰﾚｯﾄ_xls__________________70"/>
      <sheetName val="[ｽﾀｰﾚｯﾄ_xls]__172_18_67_25_C_17"/>
      <sheetName val="Leasing_Cal紁홠/"/>
      <sheetName val="[ｽﾀｰﾚｯﾄ_xls]________________134"/>
      <sheetName val="[ｽﾀｰﾚｯﾄ_xls]________________135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[ｽﾀｰﾚｯﾄ_xls]________________143"/>
      <sheetName val="[ｽﾀｰﾚｯﾄ_xls]________________144"/>
      <sheetName val="[ｽﾀｰﾚｯﾄ_xls]________________145"/>
      <sheetName val="[ｽﾀｰﾚｯﾄ_xls]________________146"/>
      <sheetName val="[ｽﾀｰﾚｯﾄ_xls]________________147"/>
      <sheetName val="[ｽﾀｰﾚｯﾄ_xls]________________148"/>
      <sheetName val="[ｽﾀｰﾚｯﾄ_xls]________________149"/>
      <sheetName val="[ｽﾀｰﾚｯﾄ_xls]________________150"/>
      <sheetName val="[ｽﾀｰﾚｯﾄ_xls]________________151"/>
      <sheetName val="[ｽﾀｰﾚｯﾄ_xls]________________152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172_18_67_25_C_18"/>
      <sheetName val="(13)_71752-X1455"/>
      <sheetName val="DATA_SEAT"/>
      <sheetName val="DATA_GARNISH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9"/>
      <sheetName val="[ｽﾀｰﾚｯﾄ_xls]_車__ｽﾀｰﾚｯﾄ__注予___30"/>
      <sheetName val="[ｽﾀｰﾚｯﾄ_xls]__172_18_67_25_C_22"/>
      <sheetName val="[ｽﾀｰﾚｯﾄ_xls]_車__ｽﾀｰﾚｯﾄ__注予___31"/>
      <sheetName val="[ｽﾀｰﾚｯﾄ_xls]__172_18_67_25_C_20"/>
      <sheetName val="[ｽﾀｰﾚｯﾄ_xls]__172_18_67_25_C_21"/>
      <sheetName val="[ｽﾀｰﾚｯﾄ_xls]__172_18_67_25_C_24"/>
      <sheetName val="[ｽﾀｰﾚｯﾄ_xls]__172_18_67_25_C_23"/>
      <sheetName val="[ｽﾀｰﾚｯﾄ_xls]__172_18_67_25_C_29"/>
      <sheetName val="[ｽﾀｰﾚｯﾄ_xls]__172_18_67_25_C_25"/>
      <sheetName val="[ｽﾀｰﾚｯﾄ_xls]__172_18_67_25_C_26"/>
      <sheetName val="[ｽﾀｰﾚｯﾄ_xls]__172_18_67_25_C_27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[ｽﾀｰﾚｯﾄ_xls]_車__ｽﾀｰﾚｯﾄ__注予___32"/>
      <sheetName val="[ｽﾀｰﾚｯﾄ_xls]_車__ｽﾀｰﾚｯﾄ__注予___33"/>
      <sheetName val="[ｽﾀｰﾚｯﾄ_xls]__172_18_67_25_C_36"/>
      <sheetName val="[ｽﾀｰﾚｯﾄ_xls]__172_18_67_25_C_35"/>
      <sheetName val="[ｽﾀｰﾚｯﾄ_xls]__172_18_67_25_C_34"/>
      <sheetName val="[ｽﾀｰﾚｯﾄ_xls]__172_18_67_25_C_40"/>
      <sheetName val="[ｽﾀｰﾚｯﾄ_xls]__172_18_67_25_C_37"/>
      <sheetName val="[ｽﾀｰﾚｯﾄ_xls]__172_18_67_25_C_38"/>
      <sheetName val="[ｽﾀｰﾚｯﾄ_xls]__172_18_67_25_C_39"/>
      <sheetName val="[ｽﾀｰﾚｯﾄ_xls]__172_18_67_25_C_41"/>
      <sheetName val="[ｽﾀｰﾚｯﾄ_xls]__172_18_67_25_C_44"/>
      <sheetName val="[ｽﾀｰﾚｯﾄ_xls]__172_18_67_25_C_42"/>
      <sheetName val="[ｽﾀｰﾚｯﾄ_xls]__172_18_67_25_C_43"/>
      <sheetName val="[ｽﾀｰﾚｯﾄ_xls]__172_18_67_25_C_46"/>
      <sheetName val="[ｽﾀｰﾚｯﾄ_xls]__172_18_67_25_C_45"/>
      <sheetName val="[ｽﾀｰﾚｯﾄ_xls]__172_18_67_25_C_55"/>
      <sheetName val="[ｽﾀｰﾚｯﾄ_xls]__172_18_67_25_C_47"/>
      <sheetName val="[ｽﾀｰﾚｯﾄ_xls]__172_18_67_25_C_48"/>
      <sheetName val="[ｽﾀｰﾚｯﾄ_xls]__172_18_67_25_C_49"/>
      <sheetName val="[ｽﾀｰﾚｯﾄ_xls]__172_18_67_25_C_51"/>
      <sheetName val="[ｽﾀｰﾚｯﾄ_xls]__172_18_67_25_C_50"/>
      <sheetName val="[ｽﾀｰﾚｯﾄ_xls]__172_18_67_25_C_54"/>
      <sheetName val="[ｽﾀｰﾚｯﾄ_xls]__172_18_67_25_C_52"/>
      <sheetName val="[ｽﾀｰﾚｯﾄ_xls]__172_18_67_25_C_53"/>
      <sheetName val="[ｽﾀｰﾚｯﾄ_xls]__172_18_67_25_C_57"/>
      <sheetName val="[ｽﾀｰﾚｯﾄ_xls]__172_18_67_25_C_56"/>
      <sheetName val="[ｽﾀｰﾚｯﾄ_xls]__172_18_67_25_C_58"/>
      <sheetName val="[ｽﾀｰﾚｯﾄ_xls]__172_18_67_25_C_65"/>
      <sheetName val="[ｽﾀｰﾚｯﾄ_xls]__172_18_67_25_C_59"/>
      <sheetName val="[ｽﾀｰﾚｯﾄ_xls]__172_18_67_25_C_61"/>
      <sheetName val="[ｽﾀｰﾚｯﾄ_xls]__172_18_67_25_C_60"/>
      <sheetName val="[ｽﾀｰﾚｯﾄ_xls]__172_18_67_25_C_62"/>
      <sheetName val="[ｽﾀｰﾚｯﾄ_xls]__172_18_67_25_C_63"/>
      <sheetName val="[ｽﾀｰﾚｯﾄ_xls]__172_18_67_25_C_64"/>
      <sheetName val="[ｽﾀｰﾚｯﾄ_xls]__172_18_67_25_C_66"/>
      <sheetName val="[ｽﾀｰﾚｯﾄ_xls]__172_18_67_25_C_67"/>
      <sheetName val="[ｽﾀｰﾚｯﾄ_xls]__172_18_67_25_C_68"/>
      <sheetName val="[ｽﾀｰﾚｯﾄ_xls]__172_18_67_25_C_69"/>
      <sheetName val="[ｽﾀｰﾚｯﾄ_xls]__172_18_67_25_C_70"/>
      <sheetName val="[ｽﾀｰﾚｯﾄ_xls]_車種_ｽﾀｰﾚｯﾄ_受注予測_ｽ_2"/>
      <sheetName val="[ｽﾀｰﾚｯﾄ_xls]_車種_ｽﾀｰﾚｯﾄ_受注予測_ｽ_3"/>
      <sheetName val="Master_Data輸入區"/>
      <sheetName val="[ｽﾀｰﾚｯﾄ_xls]________________162"/>
      <sheetName val="[ｽﾀｰﾚｯﾄ_xls]________________163"/>
      <sheetName val="[ｽﾀｰﾚｯﾄ_xls]________________16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__172_18_67_25_C_75"/>
      <sheetName val="[ｽﾀｰﾚｯﾄ_xls]__172_18_67_25_C_71"/>
      <sheetName val="[ｽﾀｰﾚｯﾄ_xls]__172_18_67_25_C_72"/>
      <sheetName val="[ｽﾀｰﾚｯﾄ_xls]__172_18_67_25_C_73"/>
      <sheetName val="[ｽﾀｰﾚｯﾄ_xls]__172_18_67_25_C_74"/>
      <sheetName val="[ｽﾀｰﾚｯﾄ_xls]_車__ｽ_ｰﾚｯﾄ_受_予測_ｽ_2"/>
      <sheetName val="[ｽﾀｰﾚｯﾄ_xls]_車__ｽ_ｰﾚｯﾄ_受_予測_ｽ_3"/>
      <sheetName val="[ｽﾀｰﾚｯﾄ_xls]\車種\ｽﾀｰﾚｯﾄ\受注予測\ｽ"/>
      <sheetName val="[ｽﾀｰﾚｯﾄ_xls]__172_18_67_25__100"/>
      <sheetName val="[ｽﾀｰﾚｯﾄ_xls]__172_18_67_25_C_77"/>
      <sheetName val="[ｽﾀｰﾚｯﾄ_xls]__172_18_67_25_C_76"/>
      <sheetName val="[ｽﾀｰﾚｯﾄ_xls]__172_18_67_25_C_78"/>
      <sheetName val="[ｽﾀｰﾚｯﾄ_xls]__172_18_67_25_C_84"/>
      <sheetName val="[ｽﾀｰﾚｯﾄ_xls]__172_18_67_25_C_79"/>
      <sheetName val="[ｽﾀｰﾚｯﾄ_xls]_車___ﾀ_ﾚ_ﾄ__注予____2"/>
      <sheetName val="[ｽﾀｰﾚｯﾄ_xls]__172_18_67_25_C_80"/>
      <sheetName val="[ｽﾀｰﾚｯﾄ_xls]__172_18_67_25_C_81"/>
      <sheetName val="[ｽﾀｰﾚｯﾄ_xls]__172_18_67_25_C_83"/>
      <sheetName val="[ｽﾀｰﾚｯﾄ_xls]__172_18_67_25_C_82"/>
      <sheetName val="[ｽﾀｰﾚｯﾄ_xls]__172_18_67_25_C_85"/>
      <sheetName val="[ｽﾀｰﾚｯﾄ_xls]__172_18_67_25_C_86"/>
      <sheetName val="[ｽﾀｰﾚｯﾄ_xls]__172_18_67_25_C_88"/>
      <sheetName val="[ｽﾀｰﾚｯﾄ_xls]__172_18_67_25_C_87"/>
      <sheetName val="[ｽﾀｰﾚｯﾄ_xls]__172_18_67_25_C_89"/>
      <sheetName val="[ｽﾀｰﾚｯﾄ_xls]__172_18_67_25_C_92"/>
      <sheetName val="[ｽﾀｰﾚｯﾄ_xls]__172_18_67_25_C_90"/>
      <sheetName val="[ｽﾀｰﾚｯﾄ_xls]__172_18_67_25_C_91"/>
      <sheetName val="[ｽﾀｰﾚｯﾄ_xls]__172_18_67_25_C_96"/>
      <sheetName val="[ｽﾀｰﾚｯﾄ_xls]__172_18_67_25_C_93"/>
      <sheetName val="[ｽﾀｰﾚｯﾄ_xls]__172_18_67_25_C_94"/>
      <sheetName val="[ｽﾀｰﾚｯﾄ_xls]__172_18_67_25_C_95"/>
      <sheetName val="[ｽﾀｰﾚｯﾄ_xls]__172_18_67_25_C_97"/>
      <sheetName val="[ｽﾀｰﾚｯﾄ_xls]__172_18_67_25_C_98"/>
      <sheetName val="[ｽﾀｰﾚｯﾄ_xls]__172_18_67_25_C_99"/>
      <sheetName val="[ｽﾀｰﾚｯﾄ_xls]__172_18_67_25__102"/>
      <sheetName val="[ｽﾀｰﾚｯﾄ_xls]__172_18_67_25__101"/>
      <sheetName val="[ｽﾀｰﾚｯﾄ_xls]__172_18_67_25__104"/>
      <sheetName val="[ｽﾀｰﾚｯﾄ_xls]__172_18_67_25__103"/>
      <sheetName val="[ｽﾀｰﾚｯﾄ_xls]__172_18_67_25__109"/>
      <sheetName val="[ｽﾀｰﾚｯﾄ_xls]_車___ﾀ_ﾚ_ﾄ__注予____3"/>
      <sheetName val="[ｽﾀｰﾚｯﾄ_xls]__172_18_67_25__105"/>
      <sheetName val="[ｽﾀｰﾚｯﾄ_xls]__172_18_67_25__106"/>
      <sheetName val="[ｽﾀｰﾚｯﾄ_xls]__172_18_67_25__108"/>
      <sheetName val="[ｽﾀｰﾚｯﾄ_xls]__172_18_67_25__107"/>
      <sheetName val="[ｽﾀｰﾚｯﾄ_xls]__172_18_67_25__110"/>
      <sheetName val="[ｽﾀｰﾚｯﾄ_xls]__172_18_67_25__112"/>
      <sheetName val="[ｽﾀｰﾚｯﾄ_xls]__172_18_67_25__111"/>
      <sheetName val="[ｽﾀｰﾚｯﾄ_xls]__172_18_67_25__113"/>
      <sheetName val="[ｽﾀｰﾚｯﾄ_xls]__172_18_67_25__114"/>
      <sheetName val="[ｽﾀｰﾚｯﾄ_xls]__172_18_67_25__115"/>
      <sheetName val="[ｽﾀｰﾚｯﾄ_xls]__172_18_67_25__116"/>
      <sheetName val="[ｽﾀｰﾚｯﾄ_xls]__172_18_67_25__122"/>
      <sheetName val="[ｽﾀｰﾚｯﾄ_xls]__172_18_67_25__120"/>
      <sheetName val="[ｽﾀｰﾚｯﾄ_xls]__172_18_67_25__117"/>
      <sheetName val="[ｽﾀｰﾚｯﾄ_xls]__172_18_67_25__118"/>
      <sheetName val="[ｽﾀｰﾚｯﾄ_xls]__172_18_67_25__119"/>
      <sheetName val="[ｽﾀｰﾚｯﾄ_xls]__172_18_67_25__121"/>
      <sheetName val="[ｽﾀｰﾚｯﾄ_xls]__172_18_67_25__123"/>
      <sheetName val="[ｽﾀｰﾚｯﾄ_xls]__172_18_67_25__124"/>
      <sheetName val="[ｽﾀｰﾚｯﾄ_xls]__172_18_67_25__125"/>
      <sheetName val="[ｽﾀｰﾚｯﾄ_xls]__172_18_67_25__127"/>
      <sheetName val="[ｽﾀｰﾚｯﾄ_xls]__172_18_67_25__126"/>
      <sheetName val="[ｽﾀｰﾚｯﾄ_xls]__172_18_67_25__131"/>
      <sheetName val="[ｽﾀｰﾚｯﾄ_xls]__172_18_67_25__128"/>
      <sheetName val="[ｽﾀｰﾚｯﾄ_xls]__172_18_67_25__129"/>
      <sheetName val="[ｽﾀｰﾚｯﾄ_xls]__172_18_67_25__130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車__ｽ_ｰﾚｯﾄ_受_予測_ｽ_4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Investment_Back_Data"/>
      <sheetName val="Ratio_Salary_and_Tax"/>
      <sheetName val="Comparison_Assumption"/>
      <sheetName val="Database_Actual"/>
      <sheetName val="PL_Summary_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172_18_67_25__139"/>
      <sheetName val="[ｽﾀｰﾚｯﾄ.xls]__172_18_67_25__138"/>
      <sheetName val="[ｽﾀｰﾚｯﾄ.xls]________________226"/>
      <sheetName val="[ｽﾀｰﾚｯﾄ.xls]__172_18_67_25__142"/>
      <sheetName val="[ｽﾀｰﾚｯﾄ.xls]__172_18_67_25__140"/>
      <sheetName val="[ｽﾀｰﾚｯﾄ.xls]__172_18_67_25__141"/>
      <sheetName val="[ｽﾀｰﾚｯﾄ.xls]________________227"/>
      <sheetName val="[ｽﾀｰﾚｯﾄ.xls]________________228"/>
      <sheetName val="[ｽﾀｰﾚｯﾄ.xls]__172_18_67_25__146"/>
      <sheetName val="[ｽﾀｰﾚｯﾄ.xls]________________232"/>
      <sheetName val="[ｽﾀｰﾚｯﾄ.xls]__172_18_67_25__145"/>
      <sheetName val="[ｽﾀｰﾚｯﾄ.xls]________________231"/>
      <sheetName val="[ｽﾀｰﾚｯﾄ.xls]__172_18_67_25__147"/>
      <sheetName val="[ｽﾀｰﾚｯﾄ.xls]________________233"/>
      <sheetName val="[ｽﾀｰﾚｯﾄ.xls]__172_18_67_25__148"/>
      <sheetName val="[ｽﾀｰﾚｯﾄ.xls]________________234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[ｽﾀｰﾚｯﾄ.xls]____ｽﾀｰﾚｯﾄ_受注_測__13"/>
      <sheetName val="PRODUCTION"/>
      <sheetName val="CPU"/>
      <sheetName val="FEB99"/>
      <sheetName val="OCT98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4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車種_ｽﾀｰﾚ_ﾄ_受注_測_ｽ_2"/>
      <sheetName val="[ｽﾀｰﾚｯﾄ.xls]__172_18_67_25__149"/>
      <sheetName val="[ｽﾀｰﾚｯﾄ.xls]__172_18_67_25__150"/>
      <sheetName val="[ｽﾀｰﾚｯﾄ.xls]__172_18_67_25__151"/>
      <sheetName val="[ｽﾀｰﾚｯﾄ.xls]__172_18_67_25__165"/>
      <sheetName val="[ｽﾀｰﾚｯﾄ.xls]__172_18_67_25__154"/>
      <sheetName val="[ｽﾀｰﾚｯﾄ.xls]__172_18_67_25__152"/>
      <sheetName val="[ｽﾀｰﾚｯﾄ.xls]__172_18_67_25__153"/>
      <sheetName val="[ｽﾀｰﾚｯﾄ.xls]__172_18_67_25__155"/>
      <sheetName val="[ｽﾀｰﾚｯﾄ.xls]________________235"/>
      <sheetName val="[ｽﾀｰﾚｯﾄ.xls]__172_18_67_25__156"/>
      <sheetName val="[ｽﾀｰﾚｯﾄ.xls]________________236"/>
      <sheetName val="[ｽﾀｰﾚｯﾄ.xls]__172_18_67_25__157"/>
      <sheetName val="[ｽﾀｰﾚｯﾄ.xls]__172_18_67_25__158"/>
      <sheetName val="[ｽﾀｰﾚｯﾄ.xls]________________237"/>
      <sheetName val="[ｽﾀｰﾚｯﾄ.xls]________________238"/>
      <sheetName val="[ｽﾀｰﾚｯﾄ.xls]________________239"/>
      <sheetName val="[ｽﾀｰﾚｯﾄ.xls]__172_18_67_25__159"/>
      <sheetName val="[ｽﾀｰﾚｯﾄ.xls]__172_18_67_25__160"/>
      <sheetName val="[ｽﾀｰﾚｯﾄ.xls]________________240"/>
      <sheetName val="[ｽﾀｰﾚｯﾄ.xls]________________242"/>
      <sheetName val="[ｽﾀｰﾚｯﾄ.xls]__172_18_67_25__162"/>
      <sheetName val="[ｽﾀｰﾚｯﾄ.xls]__172_18_67_25__161"/>
      <sheetName val="[ｽﾀｰﾚｯﾄ.xls]________________241"/>
      <sheetName val="[ｽﾀｰﾚｯﾄ.xls]________________243"/>
      <sheetName val="[ｽﾀｰﾚｯﾄ.xls]__172_18_67_25__163"/>
      <sheetName val="[ｽﾀｰﾚｯﾄ.xls]__172_18_67_25__164"/>
      <sheetName val="[ｽﾀｰﾚｯﾄ.xls]________________244"/>
      <sheetName val="[ｽﾀｰﾚｯﾄ.xls]________________245"/>
      <sheetName val="[ｽﾀｰﾚｯﾄ.xls]__172_18_67_25__167"/>
      <sheetName val="[ｽﾀｰﾚｯﾄ.xls]________________248"/>
      <sheetName val="[ｽﾀｰﾚｯﾄ.xls]________________246"/>
      <sheetName val="[ｽﾀｰﾚｯﾄ.xls]________________247"/>
      <sheetName val="[ｽﾀｰﾚｯﾄ.xls]__172_18_67_25__166"/>
      <sheetName val="[ｽﾀｰﾚｯﾄ.xls]__172_18_67_25__197"/>
      <sheetName val="[ｽﾀｰﾚｯﾄ.xls]________________278"/>
      <sheetName val="[ｽﾀｰﾚｯﾄ.xls]________________250"/>
      <sheetName val="[ｽﾀｰﾚｯﾄ.xls]__172_18_67_25__169"/>
      <sheetName val="[ｽﾀｰﾚｯﾄ.xls]________________249"/>
      <sheetName val="[ｽﾀｰﾚｯﾄ.xls]__172_18_67_25__168"/>
      <sheetName val="[ｽﾀｰﾚｯﾄ.xls]________________251"/>
      <sheetName val="[ｽﾀｰﾚｯﾄ.xls]__172_18_67_25__170"/>
      <sheetName val="[ｽﾀｰﾚｯﾄ.xls]________________252"/>
      <sheetName val="[ｽﾀｰﾚｯﾄ.xls]__172_18_67_25__172"/>
      <sheetName val="[ｽﾀｰﾚｯﾄ.xls]__172_18_67_25__171"/>
      <sheetName val="[ｽﾀｰﾚｯﾄ.xls]________________253"/>
      <sheetName val="[ｽﾀｰﾚｯﾄ.xls]__172_18_67_25__173"/>
      <sheetName val="[ｽﾀｰﾚｯﾄ.xls]__172_18_67_25__174"/>
      <sheetName val="[ｽﾀｰﾚｯﾄ.xls]________________254"/>
      <sheetName val="[ｽﾀｰﾚｯﾄ.xls]________________256"/>
      <sheetName val="[ｽﾀｰﾚｯﾄ.xls]__172_18_67_25__176"/>
      <sheetName val="[ｽﾀｰﾚｯﾄ.xls]________________255"/>
      <sheetName val="[ｽﾀｰﾚｯﾄ.xls]__172_18_67_25__175"/>
      <sheetName val="[ｽﾀｰﾚｯﾄ.xls]__172_18_67_25__177"/>
      <sheetName val="[ｽﾀｰﾚｯﾄ.xls]________________257"/>
      <sheetName val="[ｽﾀｰﾚｯﾄ.xls]__172_18_67_25__178"/>
      <sheetName val="[ｽﾀｰﾚｯﾄ.xls]________________258"/>
      <sheetName val="[ｽﾀｰﾚｯﾄ.xls]__172_18_67_25__179"/>
      <sheetName val="[ｽﾀｰﾚｯﾄ.xls]________________259"/>
      <sheetName val="[ｽﾀｰﾚｯﾄ.xls]________________270"/>
      <sheetName val="[ｽﾀｰﾚｯﾄ.xls]__172_18_67_25__190"/>
      <sheetName val="[ｽﾀｰﾚｯﾄ.xls]________________267"/>
      <sheetName val="[ｽﾀｰﾚｯﾄ.xls]__172_18_67_25__187"/>
      <sheetName val="[ｽﾀｰﾚｯﾄ.xls]________________261"/>
      <sheetName val="[ｽﾀｰﾚｯﾄ.xls]__172_18_67_25__181"/>
      <sheetName val="[ｽﾀｰﾚｯﾄ.xls]________________260"/>
      <sheetName val="[ｽﾀｰﾚｯﾄ.xls]__172_18_67_25__180"/>
      <sheetName val="[ｽﾀｰﾚｯﾄ.xls]________________264"/>
      <sheetName val="[ｽﾀｰﾚｯﾄ.xls]__172_18_67_25__184"/>
      <sheetName val="[ｽﾀｰﾚｯﾄ.xls]________________262"/>
      <sheetName val="[ｽﾀｰﾚｯﾄ.xls]__172_18_67_25__182"/>
      <sheetName val="[ｽﾀｰﾚｯﾄ.xls]________________263"/>
      <sheetName val="[ｽﾀｰﾚｯﾄ.xls]__172_18_67_25__183"/>
      <sheetName val="[ｽﾀｰﾚｯﾄ.xls]________________265"/>
      <sheetName val="[ｽﾀｰﾚｯﾄ.xls]__172_18_67_25__185"/>
      <sheetName val="[ｽﾀｰﾚｯﾄ.xls]________________266"/>
      <sheetName val="[ｽﾀｰﾚｯﾄ.xls]__172_18_67_25__186"/>
      <sheetName val="[ｽﾀｰﾚｯﾄ.xls]________________269"/>
      <sheetName val="[ｽﾀｰﾚｯﾄ.xls]__172_18_67_25__189"/>
      <sheetName val="[ｽﾀｰﾚｯﾄ.xls]________________268"/>
      <sheetName val="[ｽﾀｰﾚｯﾄ.xls]__172_18_67_25__188"/>
      <sheetName val="[ｽﾀｰﾚｯﾄ.xls]__172_18_67_25__192"/>
      <sheetName val="[ｽﾀｰﾚｯﾄ.xls]________________272"/>
      <sheetName val="[ｽﾀｰﾚｯﾄ.xls]__172_18_67_25__191"/>
      <sheetName val="[ｽﾀｰﾚｯﾄ.xls]________________271"/>
      <sheetName val="人員管理ー日(t) "/>
      <sheetName val="[ｽﾀｰﾚｯﾄ.xls]__172_18_67_25__193"/>
      <sheetName val="[ｽﾀｰﾚｯﾄ.xls]________________273"/>
      <sheetName val="[ｽﾀｰﾚｯﾄ.xls]________________274"/>
      <sheetName val="[ｽﾀｰﾚｯﾄ.xls]________________276"/>
      <sheetName val="[ｽﾀｰﾚｯﾄ.xls]__172_18_67_25__194"/>
      <sheetName val="[ｽﾀｰﾚｯﾄ.xls]________________275"/>
      <sheetName val="[ｽﾀｰﾚｯﾄ.xls]__172_18_67_25__195"/>
      <sheetName val="[ｽﾀｰﾚｯﾄ.xls]__172_18_67_25__196"/>
      <sheetName val="[ｽﾀｰﾚｯﾄ.xls]________________277"/>
      <sheetName val="[ｽﾀｰﾚｯﾄ.xls]__172_18_67_25__198"/>
      <sheetName val="[ｽﾀｰﾚｯﾄ.xls]__172_18_67_25__204"/>
      <sheetName val="[ｽﾀｰﾚｯﾄ.xls]________________289"/>
      <sheetName val="[ｽﾀｰﾚｯﾄ.xls]________________283"/>
      <sheetName val="[ｽﾀｰﾚｯﾄ.xls]__172_18_67_25__202"/>
      <sheetName val="[ｽﾀｰﾚｯﾄ.xls]________________281"/>
      <sheetName val="[ｽﾀｰﾚｯﾄ.xls]__172_18_67_25__199"/>
      <sheetName val="[ｽﾀｰﾚｯﾄ.xls]________________280"/>
      <sheetName val="[ｽﾀｰﾚｯﾄ.xls]________________279"/>
      <sheetName val="[ｽﾀｰﾚｯﾄ.xls]__172_18_67_25__200"/>
      <sheetName val="[ｽﾀｰﾚｯﾄ.xls]________________282"/>
      <sheetName val="[ｽﾀｰﾚｯﾄ.xls]__172_18_67_25__201"/>
      <sheetName val="[ｽﾀｰﾚｯﾄ.xls]________________284"/>
      <sheetName val="[ｽﾀｰﾚｯﾄ.xls]________________285"/>
      <sheetName val="[ｽﾀｰﾚｯﾄ.xls]________________286"/>
      <sheetName val="[ｽﾀｰﾚｯﾄ.xls]__172_18_67_25__203"/>
      <sheetName val="[ｽﾀｰﾚｯﾄ.xls]________________287"/>
      <sheetName val="[ｽﾀｰﾚｯﾄ.xls]________________288"/>
      <sheetName val="[ｽﾀｰﾚｯﾄ.xls]________________292"/>
      <sheetName val="[ｽﾀｰﾚｯﾄ.xls]__172_18_67_25__207"/>
      <sheetName val="[ｽﾀｰﾚｯﾄ.xls]__172_18_67_25__206"/>
      <sheetName val="[ｽﾀｰﾚｯﾄ.xls]________________291"/>
      <sheetName val="[ｽﾀｰﾚｯﾄ.xls]__172_18_67_25__205"/>
      <sheetName val="[ｽﾀｰﾚｯﾄ.xls]________________290"/>
      <sheetName val="[ｽﾀｰﾚｯﾄ.xls]__種_ｽﾀｰ_ｯﾄ_受__測_ｽ_2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June 07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車種_ｽﾀｰﾚｯﾄ_受注予測__19"/>
      <sheetName val="[ｽﾀｰﾚｯﾄ.xls]_車種_ｽﾀｰﾚｯﾄ_受注予測__20"/>
      <sheetName val="[ｽﾀｰﾚｯﾄ.xls]__172_18_67_25__208"/>
      <sheetName val="[ｽﾀｰﾚｯﾄ.xls]__172_18_67_25__210"/>
      <sheetName val="[ｽﾀｰﾚｯﾄ.xls]__172_18_67_25__209"/>
      <sheetName val="[ｽﾀｰﾚｯﾄ.xls]__172_18_67_25__212"/>
      <sheetName val="[ｽﾀｰﾚｯﾄ.xls]__172_18_67_25__211"/>
      <sheetName val="[ｽﾀｰﾚｯﾄ.xls]__172_18_67_25__213"/>
      <sheetName val="[ｽﾀｰﾚｯﾄ.xls]__種_ｽ_ｰﾚｯﾄ_受注予測_ｽ_2"/>
      <sheetName val="[ｽﾀｰﾚｯﾄ.xls]_車____ｰ_ｯ__受______2"/>
      <sheetName val="[ｽﾀｰﾚｯﾄ.xls]_車__ｽ_ｰﾚ_ﾄ_受_予__ｽ_5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010109"/>
      <sheetName val="[ｽﾀｰﾚｯﾄ.xls]_車種_ｽﾀｰﾚｯﾄ_受_予測__12"/>
      <sheetName val="[ｽﾀｰﾚｯﾄ.xls]__172_18_67_25__215"/>
      <sheetName val="[ｽﾀｰﾚｯﾄ.xls]__172_18_67_25__214"/>
      <sheetName val="[ｽﾀｰﾚｯﾄ.xls]__172_18_67_25__216"/>
      <sheetName val="[ｽﾀｰﾚｯﾄ.xls]__172_18_67_25__217"/>
      <sheetName val="[ｽﾀｰﾚｯﾄ.xls]________________303"/>
      <sheetName val="[ｽﾀｰﾚｯﾄ.xls]__172_18_67_25__228"/>
      <sheetName val="数据链接"/>
      <sheetName val="[ｽﾀｰﾚｯﾄ.xls]\車種\ｽﾀｰﾚｯﾄ\受注予測\ｽﾀĆ"/>
      <sheetName val="[ｽﾀｰﾚｯﾄ.xls]________________296"/>
      <sheetName val="[ｽﾀｰﾚｯﾄ.xls]________________295"/>
      <sheetName val="[ｽﾀｰﾚｯﾄ.xls]________________293"/>
      <sheetName val="[ｽﾀｰﾚｯﾄ.xls]________________294"/>
      <sheetName val="[ｽﾀｰﾚｯﾄ.xls]__172_18_67_25__218"/>
      <sheetName val="[ｽﾀｰﾚｯﾄ.xls]________________297"/>
      <sheetName val="[ｽﾀｰﾚｯﾄ.xls]__172_18_67_25__219"/>
      <sheetName val="[ｽﾀｰﾚｯﾄ.xls]__172_18_67_25__226"/>
      <sheetName val="[ｽﾀｰﾚｯﾄ.xls]__172_18_67_25__220"/>
      <sheetName val="[ｽﾀｰﾚｯﾄ.xls]________________298"/>
      <sheetName val="[ｽﾀｰﾚｯﾄ.xls]________________301"/>
      <sheetName val="[ｽﾀｰﾚｯﾄ.xls]__172_18_67_25__223"/>
      <sheetName val="[ｽﾀｰﾚｯﾄ.xls]________________299"/>
      <sheetName val="[ｽﾀｰﾚｯﾄ.xls]__172_18_67_25__221"/>
      <sheetName val="[ｽﾀｰﾚｯﾄ.xls]________________300"/>
      <sheetName val="[ｽﾀｰﾚｯﾄ.xls]__172_18_67_25__222"/>
      <sheetName val="[ｽﾀｰﾚｯﾄ.xls]__172_18_67_25__224"/>
      <sheetName val="[ｽﾀｰﾚｯﾄ.xls]__172_18_67_25__225"/>
      <sheetName val="[ｽﾀｰﾚｯﾄ.xls]________________302"/>
      <sheetName val="[ｽﾀｰﾚｯﾄ.xls]__172_18_67_25__227"/>
      <sheetName val="[ｽﾀｰﾚｯﾄ.xls]________________304"/>
      <sheetName val="[ｽﾀｰﾚｯﾄ.xls]__172_18_67_25__229"/>
      <sheetName val="[ｽﾀｰﾚｯﾄ.xls]________________309"/>
      <sheetName val="[ｽﾀｰﾚｯﾄ.xls]__172_18_67_25__234"/>
      <sheetName val="[ｽﾀｰﾚｯﾄ.xls]________________307"/>
      <sheetName val="[ｽﾀｰﾚｯﾄ.xls]__172_18_67_25__232"/>
      <sheetName val="[ｽﾀｰﾚｯﾄ.xls]________________306"/>
      <sheetName val="[ｽﾀｰﾚｯﾄ.xls]__172_18_67_25__231"/>
      <sheetName val="[ｽﾀｰﾚｯﾄ.xls]________________305"/>
      <sheetName val="[ｽﾀｰﾚｯﾄ.xls]__172_18_67_25__230"/>
      <sheetName val="[ｽﾀｰﾚｯﾄ.xls]________________308"/>
      <sheetName val="[ｽﾀｰﾚｯﾄ.xls]__172_18_67_25__233"/>
      <sheetName val="[ｽﾀｰﾚｯﾄ.xls]________________312"/>
      <sheetName val="[ｽﾀｰﾚｯﾄ.xls]__172_18_67_25__237"/>
      <sheetName val="[ｽﾀｰﾚｯﾄ.xls]________________311"/>
      <sheetName val="[ｽﾀｰﾚｯﾄ.xls]__172_18_67_25__236"/>
      <sheetName val="[ｽﾀｰﾚｯﾄ.xls]________________310"/>
      <sheetName val="[ｽﾀｰﾚｯﾄ.xls]__172_18_67_25__235"/>
      <sheetName val="[ｽﾀｰﾚｯﾄ.xls]________________313"/>
      <sheetName val="[ｽﾀｰﾚｯﾄ.xls]__172_18_67_25__238"/>
      <sheetName val="[ｽﾀｰﾚｯﾄ.xls]________________314"/>
      <sheetName val="[ｽﾀｰﾚｯﾄ.xls]__172_18_67_25__239"/>
      <sheetName val="[ｽﾀｰﾚｯﾄ.xls]________________315"/>
      <sheetName val="[ｽﾀｰﾚｯﾄ.xls]__172_18_67_25__240"/>
      <sheetName val="[ｽﾀｰﾚｯﾄ.xls]________________316"/>
      <sheetName val="[ｽﾀｰﾚｯﾄ.xls]__172_18_67_25__241"/>
      <sheetName val="[ｽﾀｰﾚｯﾄ.xls]________________317"/>
      <sheetName val="[ｽﾀｰﾚｯﾄ.xls]__172_18_67_25__242"/>
      <sheetName val="[ｽﾀｰﾚｯﾄ.xls]________________318"/>
      <sheetName val="[ｽﾀｰﾚｯﾄ.xls]__172_18_67_25__243"/>
      <sheetName val="[ｽﾀｰﾚｯﾄ.xls]________________319"/>
      <sheetName val="[ｽﾀｰﾚｯﾄ.xls]__172_18_67_25__244"/>
      <sheetName val="[ｽﾀｰﾚｯﾄ.xls]________________320"/>
      <sheetName val="[ｽﾀｰﾚｯﾄ.xls]__172_18_67_25__245"/>
      <sheetName val="[ｽﾀｰﾚｯﾄ.xls]________________322"/>
      <sheetName val="[ｽﾀｰﾚｯﾄ.xls]__172_18_67_25__247"/>
      <sheetName val="[ｽﾀｰﾚｯﾄ.xls]________________321"/>
      <sheetName val="[ｽﾀｰﾚｯﾄ.xls]__172_18_67_25__246"/>
      <sheetName val="[ｽﾀｰﾚｯﾄ.xls]________________328"/>
      <sheetName val="[ｽﾀｰﾚｯﾄ.xls]__172_18_67_25__253"/>
      <sheetName val="[ｽﾀｰﾚｯﾄ.xls]________________327"/>
      <sheetName val="[ｽﾀｰﾚｯﾄ.xls]__172_18_67_25__252"/>
      <sheetName val="[ｽﾀｰﾚｯﾄ.xls]________________323"/>
      <sheetName val="[ｽﾀｰﾚｯﾄ.xls]__172_18_67_25__248"/>
      <sheetName val="[ｽﾀｰﾚｯﾄ.xls]________________324"/>
      <sheetName val="[ｽﾀｰﾚｯﾄ.xls]__172_18_67_25__249"/>
      <sheetName val="[ｽﾀｰﾚｯﾄ.xls]__172_18_67_25__250"/>
      <sheetName val="[ｽﾀｰﾚｯﾄ.xls]________________325"/>
      <sheetName val="[ｽﾀｰﾚｯﾄ.xls]________________326"/>
      <sheetName val="[ｽﾀｰﾚｯﾄ.xls]__172_18_67_25__251"/>
      <sheetName val="[ｽﾀｰﾚｯﾄ.xls]__172_18_67_25__255"/>
      <sheetName val="[ｽﾀｰﾚｯﾄ.xls]________________330"/>
      <sheetName val="[ｽﾀｰﾚｯﾄ.xls]__172_18_67_25__254"/>
      <sheetName val="[ｽﾀｰﾚｯﾄ.xls]________________329"/>
      <sheetName val="[ｽﾀｰﾚｯﾄ.xls]_車___ﾀ_ﾚ_ﾄ__注予____7"/>
      <sheetName val="[ｽﾀｰﾚｯﾄ.xls]_車___ﾀ_ﾚ_ﾄ__注予___13"/>
      <sheetName val="[ｽﾀｰﾚｯﾄ.xls]_車___ﾀ_ﾚ_ﾄ__注予____8"/>
      <sheetName val="[ｽﾀｰﾚｯﾄ.xls]_車___ﾀ_ﾚ_ﾄ__注予____9"/>
      <sheetName val="[ｽﾀｰﾚｯﾄ.xls]_車___ﾀ_ﾚ_ﾄ__注予___10"/>
      <sheetName val="[ｽﾀｰﾚｯﾄ.xls]_車___ﾀ_ﾚ_ﾄ__注予___11"/>
      <sheetName val="[ｽﾀｰﾚｯﾄ.xls]_車___ﾀ_ﾚ_ﾄ__注予___12"/>
      <sheetName val="[ｽﾀｰﾚｯﾄ.xls]_車__ｽﾀｰﾚｯﾄ__注予___34"/>
      <sheetName val="[ｽﾀｰﾚｯﾄ.xls]_車__ｽﾀｰﾚｯﾄ__注予___37"/>
      <sheetName val="[ｽﾀｰﾚｯﾄ.xls]_車__ｽﾀｰﾚｯﾄ__注予___36"/>
      <sheetName val="[ｽﾀｰﾚｯﾄ.xls]_車__ｽﾀｰﾚｯﾄ__注予___35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172_18_67_25__257"/>
      <sheetName val="Calendar 2006"/>
      <sheetName val="[ｽﾀｰﾚｯﾄ.xls]_車__ｽ_ｰﾚｯﾄ_受_予測_ｽ_5"/>
      <sheetName val="[ｽﾀｰﾚｯﾄ.xls]_車__ｽ_ｰﾚｯﾄ_受_予測_ｽ_6"/>
      <sheetName val="[ｽﾀｰﾚｯﾄ.xls]_車__ｽ_ｰﾚｯﾄ_受_予測_ｽ_7"/>
      <sheetName val="[ｽﾀｰﾚｯﾄ.xls]__172_18_67_25__258"/>
      <sheetName val="[ｽﾀｰﾚｯﾄ.xls]__172_18_67_25__259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 sheetId="21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/>
      <sheetData sheetId="2501" refreshError="1"/>
      <sheetData sheetId="2502"/>
      <sheetData sheetId="2503" refreshError="1"/>
      <sheetData sheetId="2504"/>
      <sheetData sheetId="2505" refreshError="1"/>
      <sheetData sheetId="2506"/>
      <sheetData sheetId="2507" refreshError="1"/>
      <sheetData sheetId="2508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両仕様"/>
      <sheetName val="車両仕様_x0000_4?_x0000__x0000__x0011__x0000__x0000_"/>
      <sheetName val="車両仕様 _x0000__x0000_?_x0012_?瞳?"/>
      <sheetName val="対米新旧差"/>
      <sheetName val="購入品費入り"/>
      <sheetName val="品名なし"/>
      <sheetName val="Sheet3"/>
      <sheetName val="500以上"/>
      <sheetName val="WARPより"/>
      <sheetName val="aug05"/>
      <sheetName val="jul05"/>
      <sheetName val="RR Diff  Progressive(28-Aug (2)"/>
      <sheetName val="RR Diff  Progressive(4-Sep-03)"/>
      <sheetName val="NICHE"/>
      <sheetName val="CAR"/>
      <sheetName val="COM"/>
      <sheetName val="TMMT"/>
      <sheetName val="TMUK"/>
      <sheetName val="CHRONOLOGY INDEX"/>
      <sheetName val="&lt;"/>
      <sheetName val="TMF"/>
      <sheetName val="SC430"/>
      <sheetName val="CBU"/>
      <sheetName val="&gt;"/>
      <sheetName val="COST REC. DISCREP."/>
      <sheetName val="車両仕様_x0000_ New02㾐"/>
      <sheetName val="車両仕様_x0000__x0000__x0000_ꎨ_x0012_窉瞳㾐"/>
      <sheetName val="アラジン"/>
      <sheetName val="入力用"/>
      <sheetName val="本体価格検討"/>
      <sheetName val="車両仕様 "/>
      <sheetName val="Competitor"/>
      <sheetName val="表紙"/>
      <sheetName val="車両基本情報"/>
      <sheetName val="月別生産台数"/>
      <sheetName val="Sheet1"/>
      <sheetName val="#REF"/>
      <sheetName val="MARCH-APRIL. 03"/>
      <sheetName val="sum_gtm"/>
      <sheetName val="検証確認シート"/>
      <sheetName val="帳票説明"/>
      <sheetName val="車両仕様?4???_x0011_??"/>
      <sheetName val="車両仕様 ???_x0012_?瞳?"/>
      <sheetName val="車両仕様? New02㾐"/>
      <sheetName val="車両仕様???ꎨ_x0012_窉瞳㾐"/>
      <sheetName val="車両仕様?4??_x0011_?"/>
      <sheetName val="車両仕様4??_x0011_?"/>
      <sheetName val="007SS"/>
      <sheetName val="F Lead"/>
      <sheetName val="2005．05．26Iwasaki"/>
      <sheetName val="Corona"/>
      <sheetName val="隠し"/>
      <sheetName val="車両仕様 __x0012__瞳_"/>
      <sheetName val="車両仕様4_"/>
      <sheetName val="ﾃｽﾄﾃﾞｰﾀ一覧"/>
      <sheetName val="車両仕様 ____x0012__瞳_"/>
      <sheetName val="車両仕様_4____x0011___"/>
      <sheetName val="車両仕様_ New02㾐"/>
      <sheetName val="車両仕様___ꎨ_x0012_窉瞳㾐"/>
      <sheetName val="車両ｽﾍﾟｯｸ表"/>
      <sheetName val="NOV"/>
      <sheetName val="D88D CAL"/>
      <sheetName val="Comparison"/>
      <sheetName val="715L Unit Price"/>
      <sheetName val="Oct Truckfest GMAC BC"/>
      <sheetName val="Corolla Gas"/>
      <sheetName val="REPUESTOS LPA"/>
      <sheetName val="TALLER"/>
      <sheetName val="tbContab05"/>
      <sheetName val="車型仕様"/>
      <sheetName val="Distributor &amp; Dealer code"/>
      <sheetName val="T1 &amp; T2 Code"/>
      <sheetName val="All of Part list rev.49"/>
      <sheetName val="All of Part list rev.49 (PNo)"/>
      <sheetName val="REVICED"/>
      <sheetName val="車両仕様_4___x0011__"/>
      <sheetName val="車両仕様4___x0011__"/>
      <sheetName val="parameter"/>
      <sheetName val="TCL1"/>
      <sheetName val="PL_1_2"/>
      <sheetName val="TANI"/>
      <sheetName val="ESSBASE"/>
      <sheetName val="091L"/>
      <sheetName val="200L"/>
      <sheetName val="180L"/>
      <sheetName val="Table"/>
      <sheetName val="02年9月 まとめ 32βＨ"/>
      <sheetName val="11パラメータ"/>
      <sheetName val="保有ﾘｽﾄ"/>
      <sheetName val="MARCH_APRIL_ 03"/>
      <sheetName val="ES UX  27 40.464"/>
      <sheetName val="MASTER FILE"/>
      <sheetName val="Price"/>
      <sheetName val="ﾄﾖﾀUNIT"/>
      <sheetName val="Part No."/>
      <sheetName val="RACK (CB)new"/>
      <sheetName val="001N99"/>
      <sheetName val="479T"/>
      <sheetName val="pre"/>
      <sheetName val="계실5-1"/>
      <sheetName val="%E8%BB%8A%E4%B8%A1%E4%BB%95%E6%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★작성양식"/>
      <sheetName val="仕入住原"/>
      <sheetName val="投資ﾌｫﾛｰ"/>
      <sheetName val="Datos HHRR"/>
      <sheetName val="094W原紙 "/>
      <sheetName val="ヘッダ"/>
      <sheetName val="latest"/>
      <sheetName val="Actual"/>
      <sheetName val="現調化効果"/>
      <sheetName val="日供品"/>
      <sheetName val="方針書表紙"/>
      <sheetName val="Wenger"/>
      <sheetName val="銷售&amp;毛利"/>
      <sheetName val="DATA"/>
      <sheetName val="ｻﾝﾌﾟﾙ取出日程"/>
      <sheetName val="金型申入書ﾃﾞｰﾀ(05.7～)"/>
      <sheetName val="MTRX96"/>
      <sheetName val="NWEA1180"/>
      <sheetName val="原単位表"/>
      <sheetName val="Regional Penetration"/>
      <sheetName val="７月発注分 (VLOOK)"/>
      <sheetName val="DBS040_RPT.RPT"/>
      <sheetName val="Plate_Bumper"/>
      <sheetName val="Plate_Bumper (Summary)"/>
      <sheetName val="PP_LETTER"/>
      <sheetName val="Inpanel"/>
      <sheetName val="Interior Trim"/>
      <sheetName val="Assumptions"/>
      <sheetName val="2005 TKM"/>
      <sheetName val="進度管理表"/>
      <sheetName val="AS"/>
      <sheetName val="FAD Sum"/>
      <sheetName val="Medium"/>
      <sheetName val="Small"/>
      <sheetName val="TR"/>
      <sheetName val="542F"/>
      <sheetName val="投資･工数推移"/>
      <sheetName val="推移"/>
      <sheetName val="RMBSS's Triggered"/>
      <sheetName val="?"/>
      <sheetName val="Avanza"/>
      <sheetName val="Hiace"/>
      <sheetName val="Comm CKD"/>
      <sheetName val="Alphard"/>
      <sheetName val="CPF"/>
      <sheetName val="Parts"/>
      <sheetName val="編集"/>
      <sheetName val="97RAW"/>
      <sheetName val="costing"/>
      <sheetName val="TMMI"/>
      <sheetName val="PAIData"/>
      <sheetName val="諸元表STR58043"/>
      <sheetName val="dongia (2)"/>
      <sheetName val="工数データ"/>
      <sheetName val="S-PLAN"/>
      <sheetName val="①評価項目_メーカー"/>
      <sheetName val="MOTO"/>
      <sheetName val="GMT900 IPC"/>
      <sheetName val="610L611L品番一覧"/>
      <sheetName val="【Input】見積基礎情報（海外生産分)"/>
      <sheetName val="IM-P-L-JB "/>
      <sheetName val="image"/>
      <sheetName val="車両仕様 _x005f_x0000__x005f_x0000___x005f_x0012__瞳_"/>
      <sheetName val="車両仕様_x005f_x0000_4__x005f_x0000__x005f_x0000__x00"/>
      <sheetName val="車両仕様_x005f_x0000_ New02㾐"/>
      <sheetName val="車両仕様_x005f_x0000__x005f_x0000__x005f_x0000_ꎨ_x001"/>
      <sheetName val="車両仕様 ____x005f_x0012__瞳_"/>
      <sheetName val="車両仕様_4____x005f_x0011___"/>
      <sheetName val="車両仕様___ꎨ_x005f_x0012_窉瞳㾐"/>
      <sheetName val="車両仕様_4___x005f_x0011__"/>
      <sheetName val="車両仕様4___x005f_x0011__"/>
      <sheetName val="車両仕様 __x005f_x0012__瞳_"/>
      <sheetName val="性能"/>
      <sheetName val="部品"/>
      <sheetName val="FOList"/>
      <sheetName val="WIP Cal Sheet"/>
      <sheetName val="HORAS_TRAB"/>
      <sheetName val="Resumo_Corolla"/>
      <sheetName val="GASTOS_COROLLA"/>
      <sheetName val="Sheet2"/>
      <sheetName val="NAME"/>
      <sheetName val="ｂB"/>
      <sheetName val="ｶﾛｰﾗ（1）"/>
      <sheetName val="表紙(代表者)"/>
      <sheetName val="TOTAL"/>
      <sheetName val="Proto"/>
      <sheetName val="テーブル"/>
      <sheetName val="６２３Ｔ"/>
      <sheetName val="商品力向上"/>
      <sheetName val="車両仕様_x0000_4?_x0000__x0000_ _x0000__x0000_"/>
      <sheetName val="車両仕様 _x0000__x0000_? ?瞳?"/>
      <sheetName val="車両仕様_x0000__x0000__x0000_ꎨ 窉瞳㾐"/>
      <sheetName val="車両仕様?4??? ??"/>
      <sheetName val="車両仕様 ??? ?瞳?"/>
      <sheetName val="車両仕様???ꎨ 窉瞳㾐"/>
      <sheetName val="車両仕様?4?? ?"/>
      <sheetName val="車両仕様4?? ?"/>
      <sheetName val="車両仕様 _ _瞳_"/>
      <sheetName val="車両仕様 ___ _瞳_"/>
      <sheetName val="車両仕様_4___ __"/>
      <sheetName val="車両仕様___ꎨ 窉瞳㾐"/>
      <sheetName val="車両仕様_4__ _"/>
      <sheetName val="車両仕様4__ _"/>
      <sheetName val="Master Updated(517)"/>
      <sheetName val="545N仕様ﾗﾌ2"/>
      <sheetName val="Supp.List"/>
      <sheetName val="ＦＣ～FT"/>
      <sheetName val="Risk &amp; Opps"/>
      <sheetName val="長計対比"/>
      <sheetName val="NCastalone"/>
      <sheetName val="6770T02"/>
      <sheetName val="加工費"/>
      <sheetName val="車両仕様 嗼1嗼1噌1鲌"/>
      <sheetName val="車両仕様 勜+勜+匬+鲌"/>
      <sheetName val=" PART 479W LHD"/>
      <sheetName val=" PART MYY5A"/>
      <sheetName val="DUTRO"/>
      <sheetName val="Y230"/>
      <sheetName val="MASTER"/>
      <sheetName val="Volumes"/>
      <sheetName val="ﾌﾟﾙﾀﾞｳﾝﾒﾆｭｰ"/>
      <sheetName val="08TMME"/>
      <sheetName val="見積一覧（１案）"/>
      <sheetName val="Reference "/>
      <sheetName val="車両仕様 _x005f_x0000__x005f_x0000_?_x005f_x0012_?瞳?"/>
      <sheetName val="車両仕様_x005f_x0000_4?_x005f_x0000__x005f_x0000__x00"/>
      <sheetName val="車両仕様?4???_x005f_x0011_??"/>
      <sheetName val="車両仕様 ???_x005f_x0012_?瞳?"/>
      <sheetName val="車両仕様???ꎨ_x005f_x0012_窉瞳㾐"/>
      <sheetName val="車両仕様?4??_x005f_x0011_?"/>
      <sheetName val="車両仕様4??_x005f_x0011_?"/>
      <sheetName val="A"/>
      <sheetName val="Tables"/>
      <sheetName val="Pricing overview"/>
      <sheetName val="駆動系1"/>
      <sheetName val="４-２．151項目累積（日本）"/>
      <sheetName val="５-２．151項目累積（北米）"/>
      <sheetName val="５-１．151項目詳細（北米）"/>
      <sheetName val="Main 2"/>
      <sheetName val="Datasheet from R. Hinds"/>
      <sheetName val="ED AND EDOV"/>
      <sheetName val="④要素記号一覧表"/>
      <sheetName val="_"/>
      <sheetName val="START"/>
      <sheetName val="Blue Flag"/>
      <sheetName val="Calc Sheet Budget"/>
      <sheetName val="(5)Individual_DM"/>
      <sheetName val="VCPT"/>
      <sheetName val="promo lists 2011"/>
      <sheetName val="HHB90007_DAT"/>
      <sheetName val="Previous"/>
      <sheetName val="帳票拡大"/>
      <sheetName val="車両仕様_x005f_x0000_4__x005f_x0000__x005f_x0011__x00"/>
      <sheetName val="車両仕様4__x005f_x0000__x005f_x0011__x005f_x0000_"/>
      <sheetName val="車両仕様 _x005f_x005f_x005f_x0000__x005f_x005f_x005f_x0000_"/>
      <sheetName val="車両仕様_x005f_x005f_x005f_x0000_4__x005f_x005f_x0000"/>
      <sheetName val="車両仕様_x005f_x005f_x005f_x0000_ New02㾐"/>
      <sheetName val="車両仕様_x005f_x005f_x005f_x0000__x005f_x005f_x005f_x0000__"/>
      <sheetName val="車両仕様 __x005f_x005f_x005f_x0012__瞳_"/>
      <sheetName val="車両仕様4__x005f_x005f_x005f_x0000__x005f_x005f_x0011"/>
      <sheetName val="車両仕様_4____x005f_x005f_x005f_x0011___"/>
      <sheetName val="車両仕様 ____x005f_x005f_x005f_x0012__瞳_"/>
      <sheetName val="車両仕様___ꎨ_x005f_x005f_x005f_x0012_窉瞳㾐"/>
      <sheetName val="車両仕様_4___x005f_x005f_x005f_x0011__"/>
      <sheetName val="車両仕様4___x005f_x005f_x005f_x0011__"/>
      <sheetName val="車両仕様 _x005f_x005f_x005f_x005f_x005f_x005f_x005f_x0000__"/>
      <sheetName val="車両仕様_x005f_x005f_x005f_x005f_x005f_x005f_x005f_x0000_4_"/>
      <sheetName val="車両仕様_x005f_x005f_x005f_x005f_x005f_x005f_x005f_x0000_ N"/>
      <sheetName val="車両仕様_x005f_x005f_x005f_x005f_x005f_x005f_x005f_x0000__x"/>
      <sheetName val="車両仕様 __x005f_x005f_x005f_x005f_x005f_x005f_x005f_x0012_"/>
      <sheetName val="車両仕様4__x005f_x005f_x005f_x005f_x005f_x005f_x005f_x0000_"/>
      <sheetName val="車両仕様_4____x005f_x005f_x005f_x005f_x005f_x005f_x00"/>
      <sheetName val="車両仕様 ____x005f_x005f_x005f_x005f_x005f_x005f_x001"/>
      <sheetName val="車両仕様___ꎨ_x005f_x005f_x005f_x005f_x005f_x005f_x001"/>
      <sheetName val="車両仕様_4___x005f_x005f_x005f_x005f_x005f_x005f_x001"/>
      <sheetName val="車両仕様4___x005f_x005f_x005f_x005f_x005f_x005f_x0011"/>
      <sheetName val="EFFY_MAZDA"/>
      <sheetName val="NON-FLEET"/>
      <sheetName val="車両仕様_x0000__x0000_毛_x0000_利_x0000__x0000__x0000_"/>
      <sheetName val="車両仕様_x0000_ᵣ逰ᵣ邀ᵣ郰ᵣ"/>
      <sheetName val="車両仕様??毛?利???"/>
      <sheetName val="車両仕様?ᵣ逰ᵣ邀ᵣ郰ᵣ"/>
      <sheetName val="REQUEST_TABLE"/>
      <sheetName val="車両仕様__毛_利___"/>
      <sheetName val="車両仕様_ᵣ逰ᵣ邀ᵣ郰ᵣ"/>
      <sheetName val="PRICE LIST"/>
      <sheetName val="Idx"/>
      <sheetName val="Lookup Table"/>
      <sheetName val="sebelumCR"/>
      <sheetName val="ass'y 12'04-05'05"/>
      <sheetName val="PCD"/>
      <sheetName val="PR"/>
      <sheetName val="393.N"/>
      <sheetName val="CæÊ _x0015_ Op"/>
      <sheetName val="ƒƒCƒ“‰æ–Ê _x0015_ Op"/>
      <sheetName val="メイン画面 _x0015_ Op"/>
      <sheetName val="part"/>
      <sheetName val="797T輸入部品リスト"/>
      <sheetName val="OP-PD"/>
      <sheetName val="CALC"/>
      <sheetName val="設品表01-3-23作成"/>
      <sheetName val="wire"/>
      <sheetName val="EquipmentTrimming Cabin NS"/>
      <sheetName val="設定"/>
      <sheetName val="paramètres"/>
      <sheetName val="C-2"/>
      <sheetName val="他"/>
      <sheetName val="GPP損益実績"/>
      <sheetName val="OTHERS x620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ＣＡＭＹ　ＭⅢ"/>
      <sheetName val="JY134J"/>
      <sheetName val="PA2000"/>
      <sheetName val="ﾘｽﾄ"/>
      <sheetName val="No12 營業成本表 cost1"/>
      <sheetName val="車両仕様 _x005f_x005f_x005f_x005f_x005f_x005f_x005f_x005f_x"/>
      <sheetName val="車両仕様_x005f_x005f_x005f_x005f_x005f_x005f_x005f_x005f_x0"/>
      <sheetName val="車両仕様 __x005f_x005f_x005f_x005f_x005f_x005f_x005f_x005f_"/>
      <sheetName val="車両仕様4__x005f_x005f_x005f_x005f_x005f_x005f_x005f_x005f_"/>
      <sheetName val="車両仕様 ____x005f_x005f_x005f_x005f_x005f_x005f_x005"/>
      <sheetName val="車両仕様___ꎨ_x005f_x005f_x005f_x005f_x005f_x005f_x005"/>
      <sheetName val="車両仕様_4___x005f_x005f_x005f_x005f_x005f_x005f_x005"/>
      <sheetName val="車両仕様4___x005f_x005f_x005f_x005f_x005f_x005f_x005f"/>
      <sheetName val="車両仕様_x0000_4__x0000__x0000__x00"/>
      <sheetName val="車両仕様_x0000__x0000__x0000_ꎨ_x001"/>
      <sheetName val="車両仕様_x0000_4__x0000__x0011__x00"/>
      <sheetName val="車両仕様4__x0000__x0011__x0000_"/>
      <sheetName val="車両仕様 _x005f_x0000__x005f_x0000_"/>
      <sheetName val="車両仕様_x005f_x0000_4__x0000"/>
      <sheetName val="車両仕様_x005f_x0000__x005f_x0000__"/>
      <sheetName val="車両仕様4__x005f_x0000__x0011"/>
      <sheetName val="車両仕様 _x005f_x005f_x005f_x0000__"/>
      <sheetName val="車両仕様_x005f_x005f_x005f_x0000_4_"/>
      <sheetName val="車両仕様_x005f_x005f_x005f_x0000_ N"/>
      <sheetName val="車両仕様_x005f_x005f_x005f_x0000__x"/>
      <sheetName val="車両仕様 __x005f_x005f_x005f_x0012_"/>
      <sheetName val="車両仕様4__x005f_x005f_x005f_x0000_"/>
      <sheetName val="車両仕様_4____x005f_x005f_x00"/>
      <sheetName val="車両仕様 ____x005f_x005f_x001"/>
      <sheetName val="車両仕様___ꎨ_x005f_x005f_x001"/>
      <sheetName val="車両仕様_4___x005f_x005f_x001"/>
      <sheetName val="車両仕様4___x005f_x005f_x0011"/>
      <sheetName val="車両仕様 _x005f_x005f_x005f_x005f_x"/>
      <sheetName val="車両仕様_x005f_x005f_x005f_x005f_x0"/>
      <sheetName val="車両仕様 __x005f_x005f_x005f_x005f_"/>
      <sheetName val="車両仕様4__x005f_x005f_x005f_x005f_"/>
      <sheetName val="車両仕様 ____x005f_x005f_x005"/>
      <sheetName val="車両仕様___ꎨ_x005f_x005f_x005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詳細図2（車体）"/>
      <sheetName val="購入品"/>
      <sheetName val="VIS2006092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ター登録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table"/>
      <sheetName val="ｱﾛｰﾏｰｸ他"/>
      <sheetName val="車両仕様"/>
      <sheetName val="※編集禁止"/>
      <sheetName val="表紙(代表者)"/>
    </sheetNames>
    <definedNames>
      <definedName name="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小島"/>
      <sheetName val="ｱﾛｰﾏｰｸ他"/>
      <sheetName val="table"/>
    </sheetNames>
    <definedNames>
      <definedName name="印刷1"/>
      <definedName name="開く目次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"/>
      <sheetName val="終了分"/>
      <sheetName val="ﾗｲﾝ別ｵｰﾀﾞ一覧(CBU)"/>
      <sheetName val="ﾗｲﾝ別ｵｰﾀﾞ一覧（旧）"/>
      <sheetName val="V･I加工用"/>
      <sheetName val="織機302"/>
      <sheetName val="高岡第2"/>
      <sheetName val="高岡第1"/>
      <sheetName val="配車"/>
      <sheetName val="生産-配車差"/>
      <sheetName val="NBC生配差"/>
      <sheetName val="メモ"/>
      <sheetName val="906N1"/>
      <sheetName val="980N"/>
      <sheetName val="010L(302)Jan."/>
      <sheetName val="010L(1TS)Jan."/>
      <sheetName val="010L(302)Aug."/>
      <sheetName val="010L(1TS)Aug."/>
      <sheetName val="110L"/>
      <sheetName val="年計貼り付け"/>
      <sheetName val="Module1"/>
      <sheetName val="ＷＨ資材"/>
      <sheetName val="03修正コンパクト2"/>
      <sheetName val="基本情報"/>
      <sheetName val="797T輸入部品リスト"/>
      <sheetName val="④手配計画書"/>
    </sheetNames>
    <sheetDataSet>
      <sheetData sheetId="0" refreshError="1">
        <row r="12">
          <cell r="AC12" t="str">
            <v>（ライン別）</v>
          </cell>
          <cell r="AF12" t="str">
            <v>５．コンパクト（NBC系）２００３年修正生産年計</v>
          </cell>
        </row>
        <row r="14">
          <cell r="AF14" t="str">
            <v>2直</v>
          </cell>
          <cell r="AG14">
            <v>21</v>
          </cell>
        </row>
        <row r="15">
          <cell r="AF15" t="str">
            <v>1直</v>
          </cell>
          <cell r="AG15">
            <v>21</v>
          </cell>
        </row>
        <row r="16">
          <cell r="AG16">
            <v>37622</v>
          </cell>
        </row>
        <row r="19">
          <cell r="AC19" t="str">
            <v>高岡第２</v>
          </cell>
          <cell r="AG19">
            <v>0</v>
          </cell>
        </row>
        <row r="20">
          <cell r="AD20" t="str">
            <v>日当たり</v>
          </cell>
          <cell r="AG20">
            <v>0</v>
          </cell>
        </row>
        <row r="21">
          <cell r="AC21" t="str">
            <v>輸 エコー</v>
          </cell>
          <cell r="AG21">
            <v>0</v>
          </cell>
        </row>
        <row r="22">
          <cell r="AD22" t="str">
            <v>日当たり</v>
          </cell>
          <cell r="AG22">
            <v>0</v>
          </cell>
        </row>
        <row r="23">
          <cell r="AC23" t="str">
            <v>国 ファンカーゴ</v>
          </cell>
          <cell r="AG23">
            <v>0</v>
          </cell>
        </row>
        <row r="24">
          <cell r="AC24" t="str">
            <v>輸 ヤリスヴァーソ</v>
          </cell>
          <cell r="AG24">
            <v>0</v>
          </cell>
        </row>
        <row r="25">
          <cell r="AC25" t="str">
            <v>車名</v>
          </cell>
          <cell r="AG25">
            <v>0</v>
          </cell>
        </row>
        <row r="26">
          <cell r="AD26" t="str">
            <v>日当たり</v>
          </cell>
          <cell r="AG26">
            <v>0</v>
          </cell>
        </row>
        <row r="27">
          <cell r="AC27" t="str">
            <v>国 ｂＢ</v>
          </cell>
          <cell r="AG27">
            <v>0</v>
          </cell>
        </row>
        <row r="28">
          <cell r="AC28" t="str">
            <v>輸 ｂＢ</v>
          </cell>
          <cell r="AG28">
            <v>0</v>
          </cell>
        </row>
        <row r="29">
          <cell r="AC29" t="str">
            <v>車名</v>
          </cell>
          <cell r="AG29">
            <v>0</v>
          </cell>
        </row>
        <row r="30">
          <cell r="AD30" t="str">
            <v>日当たり</v>
          </cell>
          <cell r="AG30">
            <v>0</v>
          </cell>
        </row>
        <row r="31">
          <cell r="AC31" t="str">
            <v>国 ９０６Ｎ</v>
          </cell>
          <cell r="AG31">
            <v>0</v>
          </cell>
        </row>
        <row r="32">
          <cell r="AD32" t="str">
            <v>日当たり</v>
          </cell>
          <cell r="AG32">
            <v>0</v>
          </cell>
        </row>
        <row r="33">
          <cell r="AC33" t="str">
            <v>国 ９８０Ｎ</v>
          </cell>
          <cell r="AG33">
            <v>0</v>
          </cell>
        </row>
        <row r="34">
          <cell r="AD34" t="str">
            <v>日当たり</v>
          </cell>
          <cell r="AG34">
            <v>0</v>
          </cell>
        </row>
        <row r="37">
          <cell r="AC37" t="str">
            <v>高岡第１</v>
          </cell>
          <cell r="AG37">
            <v>0</v>
          </cell>
        </row>
        <row r="38">
          <cell r="AD38" t="str">
            <v>日当たり</v>
          </cell>
          <cell r="AG38">
            <v>0</v>
          </cell>
        </row>
        <row r="39">
          <cell r="AC39" t="str">
            <v>国 ヴィッツ</v>
          </cell>
          <cell r="AG39">
            <v>0</v>
          </cell>
        </row>
        <row r="40">
          <cell r="AC40" t="str">
            <v>輸 ヤリス</v>
          </cell>
          <cell r="AG40">
            <v>0</v>
          </cell>
        </row>
        <row r="41">
          <cell r="AC41" t="str">
            <v>０５０N</v>
          </cell>
          <cell r="AG41">
            <v>0</v>
          </cell>
        </row>
        <row r="42">
          <cell r="AD42" t="str">
            <v>日当たり</v>
          </cell>
          <cell r="AG42">
            <v>0</v>
          </cell>
        </row>
        <row r="43">
          <cell r="AC43" t="str">
            <v>国 プラッツ</v>
          </cell>
          <cell r="AG43">
            <v>0</v>
          </cell>
        </row>
        <row r="44">
          <cell r="AC44" t="str">
            <v>輸 エコー</v>
          </cell>
          <cell r="AG44">
            <v>0</v>
          </cell>
        </row>
        <row r="45">
          <cell r="AC45" t="str">
            <v>０８０N</v>
          </cell>
          <cell r="AG45">
            <v>0</v>
          </cell>
        </row>
        <row r="46">
          <cell r="AD46" t="str">
            <v>日当たり</v>
          </cell>
          <cell r="AG46">
            <v>0</v>
          </cell>
        </row>
        <row r="47">
          <cell r="AC47" t="str">
            <v>国 イスト</v>
          </cell>
          <cell r="AG47">
            <v>0</v>
          </cell>
        </row>
        <row r="48">
          <cell r="AC48" t="str">
            <v>輸 イスト</v>
          </cell>
          <cell r="AG48">
            <v>0</v>
          </cell>
        </row>
        <row r="49">
          <cell r="AC49" t="str">
            <v>７１８N</v>
          </cell>
          <cell r="AG49">
            <v>0</v>
          </cell>
        </row>
        <row r="50">
          <cell r="AD50" t="str">
            <v>日当たり</v>
          </cell>
          <cell r="AG50">
            <v>0</v>
          </cell>
        </row>
        <row r="53">
          <cell r="AC53" t="str">
            <v>織機３０２</v>
          </cell>
          <cell r="AG53">
            <v>0</v>
          </cell>
        </row>
        <row r="54">
          <cell r="AD54" t="str">
            <v>日当たり</v>
          </cell>
          <cell r="AG54">
            <v>0</v>
          </cell>
        </row>
        <row r="55">
          <cell r="AC55" t="str">
            <v>国 オープンデッキ</v>
          </cell>
          <cell r="AG55">
            <v>0</v>
          </cell>
        </row>
        <row r="56">
          <cell r="AD56" t="str">
            <v>日当たり</v>
          </cell>
          <cell r="AG56">
            <v>0</v>
          </cell>
        </row>
        <row r="57">
          <cell r="AC57" t="str">
            <v>国 ヴィッツ</v>
          </cell>
          <cell r="AG57">
            <v>0</v>
          </cell>
        </row>
        <row r="58">
          <cell r="AC58" t="str">
            <v>輸 ヤリス</v>
          </cell>
          <cell r="AG58">
            <v>0</v>
          </cell>
        </row>
        <row r="59">
          <cell r="AC59" t="str">
            <v>０５０N</v>
          </cell>
          <cell r="AG59">
            <v>0</v>
          </cell>
        </row>
        <row r="60">
          <cell r="AD60" t="str">
            <v>日当たり</v>
          </cell>
          <cell r="AG60">
            <v>0</v>
          </cell>
        </row>
        <row r="61">
          <cell r="AC61" t="str">
            <v>（車名別）</v>
          </cell>
        </row>
        <row r="62">
          <cell r="AC62" t="str">
            <v>国 ヴィッツ</v>
          </cell>
          <cell r="AG62">
            <v>0</v>
          </cell>
        </row>
        <row r="63">
          <cell r="AC63" t="str">
            <v>輸 ヤリス</v>
          </cell>
          <cell r="AG63">
            <v>0</v>
          </cell>
        </row>
        <row r="64">
          <cell r="AC64" t="str">
            <v>０５０N</v>
          </cell>
          <cell r="AG64">
            <v>0</v>
          </cell>
        </row>
        <row r="65">
          <cell r="AD65" t="str">
            <v>日当たり</v>
          </cell>
          <cell r="AG65">
            <v>0</v>
          </cell>
        </row>
        <row r="66">
          <cell r="AC66" t="str">
            <v>国 プラッツ</v>
          </cell>
          <cell r="AG66">
            <v>0</v>
          </cell>
        </row>
        <row r="67">
          <cell r="AC67" t="str">
            <v>輸 エコー</v>
          </cell>
          <cell r="AG67">
            <v>0</v>
          </cell>
        </row>
        <row r="68">
          <cell r="AC68" t="str">
            <v>０８０Ｎ</v>
          </cell>
          <cell r="AG68">
            <v>0</v>
          </cell>
        </row>
        <row r="69">
          <cell r="AD69" t="str">
            <v>日当たり</v>
          </cell>
          <cell r="AG69">
            <v>0</v>
          </cell>
        </row>
        <row r="70">
          <cell r="AC70" t="str">
            <v>国 イスト</v>
          </cell>
          <cell r="AG70">
            <v>0</v>
          </cell>
        </row>
        <row r="71">
          <cell r="AC71" t="str">
            <v>輸 イスト</v>
          </cell>
          <cell r="AG71">
            <v>0</v>
          </cell>
        </row>
        <row r="72">
          <cell r="AC72" t="str">
            <v>７１８Ｎ</v>
          </cell>
          <cell r="AG72">
            <v>0</v>
          </cell>
        </row>
        <row r="73">
          <cell r="AD73" t="str">
            <v>日当たり</v>
          </cell>
          <cell r="AG73">
            <v>0</v>
          </cell>
        </row>
        <row r="74">
          <cell r="AC74" t="str">
            <v>国 ファンカーゴ</v>
          </cell>
          <cell r="AG74">
            <v>0</v>
          </cell>
        </row>
        <row r="75">
          <cell r="AC75" t="str">
            <v>輸 ヤリスヴァーソ</v>
          </cell>
          <cell r="AG75">
            <v>0</v>
          </cell>
        </row>
        <row r="76">
          <cell r="AC76" t="str">
            <v>０８０Ｎ</v>
          </cell>
          <cell r="AG76">
            <v>0</v>
          </cell>
        </row>
        <row r="77">
          <cell r="AD77" t="str">
            <v>日当たり</v>
          </cell>
          <cell r="AG77">
            <v>0</v>
          </cell>
        </row>
        <row r="78">
          <cell r="AC78" t="str">
            <v>国 ｂＢ</v>
          </cell>
          <cell r="AG78">
            <v>0</v>
          </cell>
        </row>
        <row r="79">
          <cell r="AC79" t="str">
            <v>輸 ｂＢ</v>
          </cell>
          <cell r="AG79">
            <v>0</v>
          </cell>
        </row>
        <row r="80">
          <cell r="AC80" t="str">
            <v>車名</v>
          </cell>
          <cell r="AG80">
            <v>0</v>
          </cell>
        </row>
        <row r="81">
          <cell r="AD81" t="str">
            <v>日当たり</v>
          </cell>
          <cell r="AG81">
            <v>0</v>
          </cell>
        </row>
        <row r="82">
          <cell r="AC82" t="str">
            <v>国 オープンデッキ</v>
          </cell>
          <cell r="AG82">
            <v>0</v>
          </cell>
        </row>
        <row r="83">
          <cell r="AD83" t="str">
            <v>日当たり</v>
          </cell>
          <cell r="AG83">
            <v>0</v>
          </cell>
        </row>
        <row r="84">
          <cell r="AC84" t="str">
            <v>国 ９０６Ｎ</v>
          </cell>
          <cell r="AG84">
            <v>0</v>
          </cell>
        </row>
        <row r="85">
          <cell r="AD85" t="str">
            <v>日当たり</v>
          </cell>
          <cell r="AG85">
            <v>0</v>
          </cell>
        </row>
        <row r="86">
          <cell r="AC86" t="str">
            <v>国 ９８０Ｎ</v>
          </cell>
          <cell r="AG86">
            <v>0</v>
          </cell>
        </row>
        <row r="87">
          <cell r="AD87" t="str">
            <v>日当たり</v>
          </cell>
          <cell r="AG87">
            <v>0</v>
          </cell>
        </row>
        <row r="89">
          <cell r="AC89" t="str">
            <v>国</v>
          </cell>
          <cell r="AE89" t="str">
            <v>国内合計</v>
          </cell>
          <cell r="AG89">
            <v>0</v>
          </cell>
        </row>
        <row r="90">
          <cell r="AD90" t="str">
            <v>日当たり</v>
          </cell>
          <cell r="AG90">
            <v>0</v>
          </cell>
        </row>
        <row r="91">
          <cell r="AC91" t="str">
            <v>輸</v>
          </cell>
          <cell r="AE91" t="str">
            <v>輸出合計</v>
          </cell>
          <cell r="AG91">
            <v>0</v>
          </cell>
        </row>
        <row r="92">
          <cell r="AD92" t="str">
            <v>日当たり</v>
          </cell>
          <cell r="AG9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係部署案内"/>
    </sheetNames>
    <definedNames>
      <definedName name="表紙へ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0E2B-0608-457D-83C0-75F8AB8180BB}">
  <sheetPr>
    <pageSetUpPr fitToPage="1"/>
  </sheetPr>
  <dimension ref="B2:V34"/>
  <sheetViews>
    <sheetView showGridLines="0" tabSelected="1" workbookViewId="0">
      <selection activeCell="H31" sqref="H31"/>
    </sheetView>
  </sheetViews>
  <sheetFormatPr defaultRowHeight="15" x14ac:dyDescent="0.25"/>
  <cols>
    <col min="1" max="1" width="1.7109375" style="13" customWidth="1"/>
    <col min="2" max="2" width="5.7109375" style="19" customWidth="1"/>
    <col min="3" max="5" width="30.7109375" style="13" customWidth="1"/>
    <col min="6" max="8" width="15.7109375" style="20" customWidth="1"/>
    <col min="9" max="9" width="15.7109375" style="13" customWidth="1"/>
    <col min="10" max="10" width="15.7109375" style="19" customWidth="1"/>
    <col min="11" max="11" width="5.7109375" style="13" customWidth="1"/>
    <col min="12" max="13" width="20.7109375" style="29" customWidth="1"/>
    <col min="14" max="14" width="12.7109375" style="30" customWidth="1"/>
    <col min="15" max="20" width="18.7109375" style="30" customWidth="1"/>
    <col min="21" max="22" width="15.7109375" style="30" customWidth="1"/>
    <col min="23" max="30" width="15.7109375" style="13" customWidth="1"/>
    <col min="31" max="16384" width="9.140625" style="13"/>
  </cols>
  <sheetData>
    <row r="2" spans="2:22" ht="23.1" customHeight="1" x14ac:dyDescent="0.25">
      <c r="B2" s="25" t="s">
        <v>71</v>
      </c>
    </row>
    <row r="3" spans="2:22" s="1" customFormat="1" ht="16.5" x14ac:dyDescent="0.25">
      <c r="B3" s="61" t="s">
        <v>0</v>
      </c>
      <c r="C3" s="61" t="s">
        <v>59</v>
      </c>
      <c r="D3" s="63" t="s">
        <v>61</v>
      </c>
      <c r="E3" s="63"/>
      <c r="F3" s="14" t="s">
        <v>10</v>
      </c>
      <c r="G3" s="59" t="s">
        <v>64</v>
      </c>
      <c r="H3" s="60"/>
      <c r="I3" s="51" t="s">
        <v>65</v>
      </c>
      <c r="J3" s="55" t="s">
        <v>78</v>
      </c>
      <c r="L3" s="31"/>
      <c r="M3" s="31"/>
      <c r="N3" s="32"/>
      <c r="O3" s="32"/>
      <c r="P3" s="32"/>
      <c r="Q3" s="32"/>
      <c r="R3" s="32"/>
      <c r="S3" s="32"/>
      <c r="T3" s="32"/>
      <c r="U3" s="32"/>
      <c r="V3" s="32"/>
    </row>
    <row r="4" spans="2:22" s="1" customFormat="1" ht="26.25" thickBot="1" x14ac:dyDescent="0.3">
      <c r="B4" s="62"/>
      <c r="C4" s="62"/>
      <c r="D4" s="23" t="s">
        <v>68</v>
      </c>
      <c r="E4" s="23" t="s">
        <v>11</v>
      </c>
      <c r="F4" s="24" t="s">
        <v>79</v>
      </c>
      <c r="G4" s="57" t="s">
        <v>63</v>
      </c>
      <c r="H4" s="58"/>
      <c r="I4" s="52" t="s">
        <v>72</v>
      </c>
      <c r="J4" s="56"/>
      <c r="L4" s="31"/>
      <c r="M4" s="31"/>
      <c r="N4" s="32"/>
      <c r="O4" s="32"/>
      <c r="P4" s="32"/>
      <c r="Q4" s="32"/>
      <c r="R4" s="32"/>
      <c r="S4" s="32"/>
      <c r="T4" s="32"/>
      <c r="U4" s="32"/>
      <c r="V4" s="32"/>
    </row>
    <row r="5" spans="2:22" ht="15.75" thickTop="1" x14ac:dyDescent="0.25">
      <c r="B5" s="17">
        <v>1</v>
      </c>
      <c r="C5" s="18" t="s">
        <v>74</v>
      </c>
      <c r="D5" s="18" t="s">
        <v>76</v>
      </c>
      <c r="E5" s="18" t="s">
        <v>69</v>
      </c>
      <c r="F5" s="22">
        <v>30</v>
      </c>
      <c r="G5" s="22">
        <v>15500000</v>
      </c>
      <c r="H5" s="53">
        <f>+G5+G6</f>
        <v>31000000</v>
      </c>
      <c r="I5" s="27">
        <f>+G5/F5</f>
        <v>516666.66666666669</v>
      </c>
      <c r="J5" s="48" t="s">
        <v>81</v>
      </c>
      <c r="L5" s="29">
        <v>516666.66666666698</v>
      </c>
      <c r="M5" s="29">
        <f>+L5*30</f>
        <v>15500000.000000009</v>
      </c>
    </row>
    <row r="6" spans="2:22" x14ac:dyDescent="0.25">
      <c r="B6" s="17">
        <v>2</v>
      </c>
      <c r="C6" s="18" t="s">
        <v>74</v>
      </c>
      <c r="D6" s="18" t="s">
        <v>77</v>
      </c>
      <c r="E6" s="18" t="s">
        <v>69</v>
      </c>
      <c r="F6" s="22">
        <v>26</v>
      </c>
      <c r="G6" s="22">
        <v>15500000</v>
      </c>
      <c r="H6" s="54"/>
      <c r="I6" s="27">
        <f>+G6/F6</f>
        <v>596153.84615384613</v>
      </c>
      <c r="J6" s="48" t="s">
        <v>82</v>
      </c>
      <c r="L6" s="29">
        <v>596153.84615384613</v>
      </c>
      <c r="M6" s="29">
        <f>+L6*26</f>
        <v>15500000</v>
      </c>
    </row>
    <row r="7" spans="2:22" x14ac:dyDescent="0.25">
      <c r="B7" s="15">
        <v>3</v>
      </c>
      <c r="C7" s="16" t="s">
        <v>73</v>
      </c>
      <c r="D7" s="16" t="s">
        <v>62</v>
      </c>
      <c r="E7" s="16" t="s">
        <v>69</v>
      </c>
      <c r="F7" s="21">
        <v>30</v>
      </c>
      <c r="G7" s="21">
        <v>1500000</v>
      </c>
      <c r="H7" s="21">
        <f>+G7*3</f>
        <v>4500000</v>
      </c>
      <c r="I7" s="26">
        <f>+H7/F7</f>
        <v>150000</v>
      </c>
      <c r="J7" s="49" t="s">
        <v>83</v>
      </c>
      <c r="L7" s="29">
        <v>150000</v>
      </c>
      <c r="M7" s="29">
        <f>+L7*30</f>
        <v>4500000</v>
      </c>
    </row>
    <row r="8" spans="2:22" x14ac:dyDescent="0.25">
      <c r="B8" s="15">
        <v>4</v>
      </c>
      <c r="C8" s="16" t="s">
        <v>66</v>
      </c>
      <c r="D8" s="16" t="s">
        <v>67</v>
      </c>
      <c r="E8" s="16" t="s">
        <v>70</v>
      </c>
      <c r="F8" s="21">
        <v>4</v>
      </c>
      <c r="G8" s="21">
        <v>1026000</v>
      </c>
      <c r="H8" s="21">
        <f>+G8*F8</f>
        <v>4104000</v>
      </c>
      <c r="I8" s="26">
        <v>1026000</v>
      </c>
      <c r="J8" s="49"/>
      <c r="L8" s="34">
        <v>1026000</v>
      </c>
      <c r="M8" s="34"/>
      <c r="N8" s="33"/>
    </row>
    <row r="9" spans="2:22" x14ac:dyDescent="0.25">
      <c r="E9" s="20"/>
      <c r="I9" s="28"/>
      <c r="J9" s="50"/>
    </row>
    <row r="10" spans="2:22" x14ac:dyDescent="0.25">
      <c r="E10" s="20"/>
      <c r="I10" s="28"/>
      <c r="J10" s="50"/>
    </row>
    <row r="11" spans="2:22" x14ac:dyDescent="0.25">
      <c r="E11" s="20"/>
      <c r="I11" s="28"/>
      <c r="J11" s="50"/>
    </row>
    <row r="12" spans="2:22" x14ac:dyDescent="0.25">
      <c r="E12" s="20"/>
    </row>
    <row r="13" spans="2:22" x14ac:dyDescent="0.25">
      <c r="E13" s="20"/>
    </row>
    <row r="14" spans="2:22" x14ac:dyDescent="0.25">
      <c r="E14" s="20"/>
    </row>
    <row r="15" spans="2:22" x14ac:dyDescent="0.25">
      <c r="E15" s="20"/>
    </row>
    <row r="16" spans="2:22" x14ac:dyDescent="0.25">
      <c r="E16" s="20"/>
    </row>
    <row r="18" spans="8:10" x14ac:dyDescent="0.25">
      <c r="H18" s="20">
        <f>21*150000</f>
        <v>3150000</v>
      </c>
      <c r="J18" s="120">
        <f>21*516667</f>
        <v>10850007</v>
      </c>
    </row>
    <row r="19" spans="8:10" x14ac:dyDescent="0.25">
      <c r="H19" s="20">
        <f>9*150000</f>
        <v>1350000</v>
      </c>
      <c r="J19" s="120">
        <f>21*596154</f>
        <v>12519234</v>
      </c>
    </row>
    <row r="20" spans="8:10" x14ac:dyDescent="0.25">
      <c r="J20" s="121">
        <f>SUM(J18:J19)</f>
        <v>23369241</v>
      </c>
    </row>
    <row r="25" spans="8:10" x14ac:dyDescent="0.25">
      <c r="I25" s="13">
        <f>9*516667</f>
        <v>4650003</v>
      </c>
    </row>
    <row r="26" spans="8:10" x14ac:dyDescent="0.25">
      <c r="I26" s="13">
        <f>5*596154</f>
        <v>2980770</v>
      </c>
    </row>
    <row r="27" spans="8:10" x14ac:dyDescent="0.25">
      <c r="I27" s="13">
        <f>SUM(I25:I26)</f>
        <v>7630773</v>
      </c>
    </row>
    <row r="34" spans="5:5" x14ac:dyDescent="0.25">
      <c r="E34" s="13">
        <f>10333340+516667</f>
        <v>10850007</v>
      </c>
    </row>
  </sheetData>
  <mergeCells count="7">
    <mergeCell ref="H5:H6"/>
    <mergeCell ref="J3:J4"/>
    <mergeCell ref="G4:H4"/>
    <mergeCell ref="G3:H3"/>
    <mergeCell ref="B3:B4"/>
    <mergeCell ref="C3:C4"/>
    <mergeCell ref="D3:E3"/>
  </mergeCells>
  <pageMargins left="0" right="0" top="0" bottom="0" header="0" footer="0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4C4F-E1D7-446C-9708-2AAF8C78B827}">
  <sheetPr>
    <pageSetUpPr fitToPage="1"/>
  </sheetPr>
  <dimension ref="B2:U36"/>
  <sheetViews>
    <sheetView zoomScale="70" zoomScaleNormal="70" zoomScaleSheetLayoutView="70" workbookViewId="0">
      <pane xSplit="6" ySplit="5" topLeftCell="G6" activePane="bottomRight" state="frozen"/>
      <selection activeCell="R16" sqref="R16"/>
      <selection pane="topRight" activeCell="R16" sqref="R16"/>
      <selection pane="bottomLeft" activeCell="R16" sqref="R16"/>
      <selection pane="bottomRight" activeCell="Q26" sqref="Q26"/>
    </sheetView>
  </sheetViews>
  <sheetFormatPr defaultColWidth="9.140625" defaultRowHeight="18.75" x14ac:dyDescent="0.25"/>
  <cols>
    <col min="1" max="1" width="1.7109375" style="2" customWidth="1"/>
    <col min="2" max="3" width="10.7109375" style="2" customWidth="1"/>
    <col min="4" max="4" width="45.71093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30.7109375" style="5" customWidth="1"/>
    <col min="12" max="12" width="25.7109375" style="36" customWidth="1"/>
    <col min="13" max="13" width="25.7109375" style="44" customWidth="1"/>
    <col min="14" max="14" width="1.7109375" style="2" customWidth="1"/>
    <col min="15" max="16" width="9.140625" style="2"/>
    <col min="17" max="17" width="18.7109375" style="2" bestFit="1" customWidth="1"/>
    <col min="18" max="18" width="12" style="2" bestFit="1" customWidth="1"/>
    <col min="19" max="20" width="14.85546875" style="2" bestFit="1" customWidth="1"/>
    <col min="21" max="21" width="12" style="2" bestFit="1" customWidth="1"/>
    <col min="22" max="16384" width="9.140625" style="2"/>
  </cols>
  <sheetData>
    <row r="2" spans="2:21" ht="27" x14ac:dyDescent="0.25">
      <c r="B2" s="73" t="s">
        <v>60</v>
      </c>
      <c r="C2" s="73"/>
      <c r="D2" s="73"/>
      <c r="E2" s="73"/>
      <c r="F2" s="73"/>
      <c r="G2" s="73"/>
      <c r="H2" s="73"/>
      <c r="I2" s="73"/>
      <c r="J2" s="73"/>
      <c r="K2" s="73"/>
      <c r="L2" s="35"/>
      <c r="M2" s="43"/>
    </row>
    <row r="3" spans="2:21" x14ac:dyDescent="0.25">
      <c r="B3" s="3"/>
    </row>
    <row r="4" spans="2:21" ht="20.100000000000001" customHeight="1" x14ac:dyDescent="0.25">
      <c r="B4" s="74" t="s">
        <v>54</v>
      </c>
      <c r="C4" s="74" t="s">
        <v>0</v>
      </c>
      <c r="D4" s="74" t="s">
        <v>2</v>
      </c>
      <c r="E4" s="74" t="s">
        <v>1</v>
      </c>
      <c r="F4" s="74" t="s">
        <v>5</v>
      </c>
      <c r="G4" s="74" t="s">
        <v>12</v>
      </c>
      <c r="H4" s="76" t="s">
        <v>55</v>
      </c>
      <c r="I4" s="78" t="s">
        <v>52</v>
      </c>
      <c r="J4" s="78" t="s">
        <v>53</v>
      </c>
      <c r="K4" s="111" t="s">
        <v>84</v>
      </c>
      <c r="L4" s="42" t="s">
        <v>75</v>
      </c>
      <c r="M4" s="92" t="s">
        <v>80</v>
      </c>
    </row>
    <row r="5" spans="2:21" s="4" customFormat="1" ht="20.100000000000001" customHeight="1" x14ac:dyDescent="0.25">
      <c r="B5" s="75"/>
      <c r="C5" s="75"/>
      <c r="D5" s="75"/>
      <c r="E5" s="75"/>
      <c r="F5" s="75"/>
      <c r="G5" s="75"/>
      <c r="H5" s="77"/>
      <c r="I5" s="79"/>
      <c r="J5" s="79"/>
      <c r="K5" s="82"/>
      <c r="L5" s="40" t="s">
        <v>4</v>
      </c>
      <c r="M5" s="93"/>
    </row>
    <row r="6" spans="2:21" s="6" customFormat="1" ht="30" customHeight="1" x14ac:dyDescent="0.25">
      <c r="B6" s="81" t="s">
        <v>15</v>
      </c>
      <c r="C6" s="7">
        <v>1</v>
      </c>
      <c r="D6" s="8" t="s">
        <v>47</v>
      </c>
      <c r="E6" s="7">
        <v>7091</v>
      </c>
      <c r="F6" s="7" t="s">
        <v>16</v>
      </c>
      <c r="G6" s="7" t="s">
        <v>9</v>
      </c>
      <c r="H6" s="81">
        <v>1</v>
      </c>
      <c r="I6" s="80">
        <v>45145</v>
      </c>
      <c r="J6" s="80">
        <v>45149</v>
      </c>
      <c r="K6" s="102"/>
      <c r="L6" s="70">
        <v>2700000</v>
      </c>
      <c r="M6" s="45">
        <f>+L6/4*1</f>
        <v>675000</v>
      </c>
    </row>
    <row r="7" spans="2:21" s="6" customFormat="1" ht="30" customHeight="1" x14ac:dyDescent="0.25">
      <c r="B7" s="81"/>
      <c r="C7" s="7">
        <v>2</v>
      </c>
      <c r="D7" s="99" t="s">
        <v>50</v>
      </c>
      <c r="E7" s="7">
        <v>13649</v>
      </c>
      <c r="F7" s="7" t="s">
        <v>16</v>
      </c>
      <c r="G7" s="7" t="s">
        <v>9</v>
      </c>
      <c r="H7" s="81"/>
      <c r="I7" s="80"/>
      <c r="J7" s="80"/>
      <c r="K7" s="112">
        <f>+M7/4</f>
        <v>506250</v>
      </c>
      <c r="L7" s="72"/>
      <c r="M7" s="46">
        <f>+L6/4*3</f>
        <v>2025000</v>
      </c>
      <c r="N7" s="6" t="s">
        <v>85</v>
      </c>
    </row>
    <row r="8" spans="2:21" s="6" customFormat="1" ht="30" customHeight="1" x14ac:dyDescent="0.25">
      <c r="B8" s="81"/>
      <c r="C8" s="7">
        <v>3</v>
      </c>
      <c r="D8" s="8" t="s">
        <v>48</v>
      </c>
      <c r="E8" s="7">
        <v>8874</v>
      </c>
      <c r="F8" s="7" t="s">
        <v>17</v>
      </c>
      <c r="G8" s="7" t="s">
        <v>8</v>
      </c>
      <c r="H8" s="81">
        <v>1</v>
      </c>
      <c r="I8" s="80">
        <v>45145</v>
      </c>
      <c r="J8" s="80">
        <v>45149</v>
      </c>
      <c r="K8" s="109"/>
      <c r="L8" s="70">
        <v>2700000</v>
      </c>
      <c r="M8" s="88">
        <v>2700000</v>
      </c>
    </row>
    <row r="9" spans="2:21" s="6" customFormat="1" ht="30" customHeight="1" x14ac:dyDescent="0.25">
      <c r="B9" s="81"/>
      <c r="C9" s="7">
        <v>4</v>
      </c>
      <c r="D9" s="8" t="s">
        <v>49</v>
      </c>
      <c r="E9" s="7">
        <v>1220</v>
      </c>
      <c r="F9" s="7" t="s">
        <v>17</v>
      </c>
      <c r="G9" s="7" t="s">
        <v>8</v>
      </c>
      <c r="H9" s="81"/>
      <c r="I9" s="80"/>
      <c r="J9" s="80"/>
      <c r="K9" s="110"/>
      <c r="L9" s="72"/>
      <c r="M9" s="89"/>
      <c r="P9" s="6" t="s">
        <v>88</v>
      </c>
      <c r="Q9" s="100" t="s">
        <v>89</v>
      </c>
    </row>
    <row r="10" spans="2:21" s="6" customFormat="1" ht="30" customHeight="1" x14ac:dyDescent="0.25">
      <c r="B10" s="94" t="s">
        <v>56</v>
      </c>
      <c r="C10" s="7">
        <v>5</v>
      </c>
      <c r="D10" s="99" t="s">
        <v>51</v>
      </c>
      <c r="E10" s="10">
        <v>12922</v>
      </c>
      <c r="F10" s="11" t="s">
        <v>18</v>
      </c>
      <c r="G10" s="11" t="s">
        <v>7</v>
      </c>
      <c r="H10" s="81">
        <v>1</v>
      </c>
      <c r="I10" s="80">
        <v>45145</v>
      </c>
      <c r="J10" s="80">
        <v>45149</v>
      </c>
      <c r="K10" s="113">
        <f>+L10/4/2</f>
        <v>337500</v>
      </c>
      <c r="L10" s="70">
        <v>2700000</v>
      </c>
      <c r="M10" s="88">
        <v>2700000</v>
      </c>
      <c r="O10" s="117" t="s">
        <v>86</v>
      </c>
      <c r="P10" s="117">
        <v>18</v>
      </c>
      <c r="Q10" s="117">
        <v>8</v>
      </c>
      <c r="R10" s="101">
        <v>675000</v>
      </c>
      <c r="S10" s="101">
        <f>+R10*Q10*4</f>
        <v>21600000</v>
      </c>
      <c r="T10" s="101">
        <v>21600000</v>
      </c>
    </row>
    <row r="11" spans="2:21" s="6" customFormat="1" ht="30" customHeight="1" x14ac:dyDescent="0.25">
      <c r="B11" s="95"/>
      <c r="C11" s="7">
        <v>6</v>
      </c>
      <c r="D11" s="99" t="s">
        <v>19</v>
      </c>
      <c r="E11" s="7">
        <v>751</v>
      </c>
      <c r="F11" s="7" t="s">
        <v>17</v>
      </c>
      <c r="G11" s="7" t="s">
        <v>8</v>
      </c>
      <c r="H11" s="81"/>
      <c r="I11" s="80"/>
      <c r="J11" s="80"/>
      <c r="K11" s="114"/>
      <c r="L11" s="72"/>
      <c r="M11" s="89"/>
      <c r="O11" s="117" t="s">
        <v>87</v>
      </c>
      <c r="P11" s="117">
        <v>2</v>
      </c>
      <c r="Q11" s="118">
        <v>2</v>
      </c>
      <c r="R11" s="101">
        <v>655000</v>
      </c>
      <c r="S11" s="101">
        <f>+R11*Q11*4</f>
        <v>5240000</v>
      </c>
      <c r="T11" s="101">
        <v>5240000</v>
      </c>
    </row>
    <row r="12" spans="2:21" s="6" customFormat="1" ht="30" customHeight="1" x14ac:dyDescent="0.25">
      <c r="B12" s="95"/>
      <c r="C12" s="7">
        <v>7</v>
      </c>
      <c r="D12" s="99" t="s">
        <v>20</v>
      </c>
      <c r="E12" s="7">
        <v>11725</v>
      </c>
      <c r="F12" s="7" t="s">
        <v>21</v>
      </c>
      <c r="G12" s="7" t="s">
        <v>6</v>
      </c>
      <c r="H12" s="81">
        <v>1</v>
      </c>
      <c r="I12" s="80">
        <v>45145</v>
      </c>
      <c r="J12" s="80">
        <v>45149</v>
      </c>
      <c r="K12" s="113">
        <f>+L12/4</f>
        <v>675000</v>
      </c>
      <c r="L12" s="70">
        <v>2700000</v>
      </c>
      <c r="M12" s="88">
        <v>2700000</v>
      </c>
      <c r="R12" s="101"/>
      <c r="S12" s="101">
        <f>SUM(S10:S11)</f>
        <v>26840000</v>
      </c>
      <c r="T12" s="101">
        <f>SUM(T10:T11)</f>
        <v>26840000</v>
      </c>
    </row>
    <row r="13" spans="2:21" s="6" customFormat="1" ht="30" customHeight="1" x14ac:dyDescent="0.25">
      <c r="B13" s="95"/>
      <c r="C13" s="7">
        <v>8</v>
      </c>
      <c r="D13" s="99" t="s">
        <v>22</v>
      </c>
      <c r="E13" s="7">
        <v>13064</v>
      </c>
      <c r="F13" s="7" t="s">
        <v>21</v>
      </c>
      <c r="G13" s="7" t="s">
        <v>6</v>
      </c>
      <c r="H13" s="81"/>
      <c r="I13" s="80"/>
      <c r="J13" s="80"/>
      <c r="K13" s="114"/>
      <c r="L13" s="72"/>
      <c r="M13" s="89"/>
    </row>
    <row r="14" spans="2:21" s="6" customFormat="1" ht="30" customHeight="1" x14ac:dyDescent="0.25">
      <c r="B14" s="95"/>
      <c r="C14" s="7">
        <v>9</v>
      </c>
      <c r="D14" s="99" t="s">
        <v>23</v>
      </c>
      <c r="E14" s="7">
        <v>10635</v>
      </c>
      <c r="F14" s="7" t="s">
        <v>21</v>
      </c>
      <c r="G14" s="7" t="s">
        <v>6</v>
      </c>
      <c r="H14" s="81">
        <v>1</v>
      </c>
      <c r="I14" s="80">
        <v>45145</v>
      </c>
      <c r="J14" s="80">
        <v>45149</v>
      </c>
      <c r="K14" s="115">
        <f>+L14/4</f>
        <v>655000</v>
      </c>
      <c r="L14" s="70">
        <v>2620000</v>
      </c>
      <c r="M14" s="88">
        <v>2620000</v>
      </c>
      <c r="O14" s="6" t="s">
        <v>90</v>
      </c>
      <c r="P14" s="6">
        <v>1</v>
      </c>
      <c r="Q14" s="6">
        <v>1</v>
      </c>
      <c r="R14" s="6">
        <v>506250</v>
      </c>
      <c r="S14" s="6">
        <f>+R14*Q14*4</f>
        <v>2025000</v>
      </c>
      <c r="T14" s="6">
        <v>2025000</v>
      </c>
    </row>
    <row r="15" spans="2:21" s="6" customFormat="1" ht="30" customHeight="1" x14ac:dyDescent="0.25">
      <c r="B15" s="95"/>
      <c r="C15" s="7">
        <v>10</v>
      </c>
      <c r="D15" s="99" t="s">
        <v>24</v>
      </c>
      <c r="E15" s="7">
        <v>5893</v>
      </c>
      <c r="F15" s="7" t="s">
        <v>21</v>
      </c>
      <c r="G15" s="7" t="s">
        <v>6</v>
      </c>
      <c r="H15" s="81"/>
      <c r="I15" s="80"/>
      <c r="J15" s="80"/>
      <c r="K15" s="116"/>
      <c r="L15" s="72"/>
      <c r="M15" s="89"/>
      <c r="U15" s="100"/>
    </row>
    <row r="16" spans="2:21" s="6" customFormat="1" ht="30" customHeight="1" x14ac:dyDescent="0.25">
      <c r="B16" s="95"/>
      <c r="C16" s="7">
        <v>11</v>
      </c>
      <c r="D16" s="99" t="s">
        <v>25</v>
      </c>
      <c r="E16" s="7">
        <v>1146</v>
      </c>
      <c r="F16" s="7" t="s">
        <v>26</v>
      </c>
      <c r="G16" s="7" t="s">
        <v>7</v>
      </c>
      <c r="H16" s="81">
        <v>1</v>
      </c>
      <c r="I16" s="80">
        <v>45145</v>
      </c>
      <c r="J16" s="80">
        <v>45149</v>
      </c>
      <c r="K16" s="115">
        <f t="shared" ref="K16" si="0">+L16/4</f>
        <v>675000</v>
      </c>
      <c r="L16" s="70">
        <v>2700000</v>
      </c>
      <c r="M16" s="88">
        <v>2700000</v>
      </c>
      <c r="R16" s="117" t="s">
        <v>91</v>
      </c>
      <c r="S16" s="117"/>
      <c r="T16" s="119">
        <f>+T12+T14</f>
        <v>28865000</v>
      </c>
    </row>
    <row r="17" spans="2:13" s="6" customFormat="1" ht="30" customHeight="1" x14ac:dyDescent="0.25">
      <c r="B17" s="95"/>
      <c r="C17" s="7">
        <v>12</v>
      </c>
      <c r="D17" s="99" t="s">
        <v>27</v>
      </c>
      <c r="E17" s="7">
        <v>9012</v>
      </c>
      <c r="F17" s="7" t="s">
        <v>21</v>
      </c>
      <c r="G17" s="7" t="s">
        <v>6</v>
      </c>
      <c r="H17" s="81"/>
      <c r="I17" s="80"/>
      <c r="J17" s="80"/>
      <c r="K17" s="116"/>
      <c r="L17" s="72"/>
      <c r="M17" s="89"/>
    </row>
    <row r="18" spans="2:13" s="6" customFormat="1" ht="30" customHeight="1" x14ac:dyDescent="0.25">
      <c r="B18" s="95"/>
      <c r="C18" s="7">
        <v>13</v>
      </c>
      <c r="D18" s="99" t="s">
        <v>28</v>
      </c>
      <c r="E18" s="7">
        <v>16108</v>
      </c>
      <c r="F18" s="7" t="s">
        <v>21</v>
      </c>
      <c r="G18" s="7" t="s">
        <v>6</v>
      </c>
      <c r="H18" s="81">
        <v>1</v>
      </c>
      <c r="I18" s="80">
        <v>45145</v>
      </c>
      <c r="J18" s="80">
        <v>45149</v>
      </c>
      <c r="K18" s="115">
        <f t="shared" ref="K18" si="1">+L18/4</f>
        <v>675000</v>
      </c>
      <c r="L18" s="70">
        <v>2700000</v>
      </c>
      <c r="M18" s="88">
        <v>2700000</v>
      </c>
    </row>
    <row r="19" spans="2:13" s="6" customFormat="1" ht="30" customHeight="1" x14ac:dyDescent="0.25">
      <c r="B19" s="95"/>
      <c r="C19" s="7">
        <v>14</v>
      </c>
      <c r="D19" s="99" t="s">
        <v>29</v>
      </c>
      <c r="E19" s="7">
        <v>9239</v>
      </c>
      <c r="F19" s="7" t="s">
        <v>21</v>
      </c>
      <c r="G19" s="7" t="s">
        <v>6</v>
      </c>
      <c r="H19" s="81"/>
      <c r="I19" s="80"/>
      <c r="J19" s="80"/>
      <c r="K19" s="116"/>
      <c r="L19" s="72"/>
      <c r="M19" s="89"/>
    </row>
    <row r="20" spans="2:13" s="6" customFormat="1" ht="30" customHeight="1" x14ac:dyDescent="0.25">
      <c r="B20" s="95"/>
      <c r="C20" s="7">
        <v>15</v>
      </c>
      <c r="D20" s="99" t="s">
        <v>31</v>
      </c>
      <c r="E20" s="7">
        <v>5745</v>
      </c>
      <c r="F20" s="7" t="s">
        <v>21</v>
      </c>
      <c r="G20" s="7" t="s">
        <v>6</v>
      </c>
      <c r="H20" s="81">
        <v>1</v>
      </c>
      <c r="I20" s="80">
        <v>45145</v>
      </c>
      <c r="J20" s="80">
        <v>45149</v>
      </c>
      <c r="K20" s="115">
        <f t="shared" ref="K20" si="2">+L20/4</f>
        <v>675000</v>
      </c>
      <c r="L20" s="70">
        <v>2700000</v>
      </c>
      <c r="M20" s="88">
        <v>2700000</v>
      </c>
    </row>
    <row r="21" spans="2:13" s="6" customFormat="1" ht="30" customHeight="1" x14ac:dyDescent="0.25">
      <c r="B21" s="95"/>
      <c r="C21" s="7">
        <v>16</v>
      </c>
      <c r="D21" s="99" t="s">
        <v>32</v>
      </c>
      <c r="E21" s="7">
        <v>12476</v>
      </c>
      <c r="F21" s="7" t="s">
        <v>21</v>
      </c>
      <c r="G21" s="7" t="s">
        <v>6</v>
      </c>
      <c r="H21" s="81"/>
      <c r="I21" s="80"/>
      <c r="J21" s="80"/>
      <c r="K21" s="116"/>
      <c r="L21" s="72"/>
      <c r="M21" s="89"/>
    </row>
    <row r="22" spans="2:13" s="6" customFormat="1" ht="30" customHeight="1" x14ac:dyDescent="0.25">
      <c r="B22" s="95"/>
      <c r="C22" s="7">
        <v>17</v>
      </c>
      <c r="D22" s="99" t="s">
        <v>30</v>
      </c>
      <c r="E22" s="7">
        <v>12837</v>
      </c>
      <c r="F22" s="7" t="s">
        <v>21</v>
      </c>
      <c r="G22" s="7" t="s">
        <v>6</v>
      </c>
      <c r="H22" s="81">
        <v>1</v>
      </c>
      <c r="I22" s="80">
        <v>45145</v>
      </c>
      <c r="J22" s="80">
        <v>45149</v>
      </c>
      <c r="K22" s="115">
        <f t="shared" ref="K22" si="3">+L22/4</f>
        <v>675000</v>
      </c>
      <c r="L22" s="70">
        <v>2700000</v>
      </c>
      <c r="M22" s="88">
        <v>2700000</v>
      </c>
    </row>
    <row r="23" spans="2:13" s="6" customFormat="1" ht="30" customHeight="1" x14ac:dyDescent="0.25">
      <c r="B23" s="95"/>
      <c r="C23" s="7">
        <v>18</v>
      </c>
      <c r="D23" s="99" t="s">
        <v>35</v>
      </c>
      <c r="E23" s="7">
        <v>9578</v>
      </c>
      <c r="F23" s="7" t="s">
        <v>26</v>
      </c>
      <c r="G23" s="7" t="s">
        <v>7</v>
      </c>
      <c r="H23" s="81"/>
      <c r="I23" s="80"/>
      <c r="J23" s="80"/>
      <c r="K23" s="116"/>
      <c r="L23" s="72"/>
      <c r="M23" s="89"/>
    </row>
    <row r="24" spans="2:13" s="6" customFormat="1" ht="30" customHeight="1" x14ac:dyDescent="0.25">
      <c r="B24" s="95"/>
      <c r="C24" s="7">
        <v>19</v>
      </c>
      <c r="D24" s="99" t="s">
        <v>33</v>
      </c>
      <c r="E24" s="7" t="s">
        <v>34</v>
      </c>
      <c r="F24" s="7" t="s">
        <v>21</v>
      </c>
      <c r="G24" s="7" t="s">
        <v>6</v>
      </c>
      <c r="H24" s="81">
        <v>1</v>
      </c>
      <c r="I24" s="80">
        <v>45145</v>
      </c>
      <c r="J24" s="80">
        <v>45149</v>
      </c>
      <c r="K24" s="115">
        <f t="shared" ref="K24" si="4">+L24/4</f>
        <v>675000</v>
      </c>
      <c r="L24" s="70">
        <v>2700000</v>
      </c>
      <c r="M24" s="88">
        <v>2700000</v>
      </c>
    </row>
    <row r="25" spans="2:13" s="6" customFormat="1" ht="30" customHeight="1" x14ac:dyDescent="0.25">
      <c r="B25" s="95"/>
      <c r="C25" s="7">
        <v>20</v>
      </c>
      <c r="D25" s="99" t="s">
        <v>36</v>
      </c>
      <c r="E25" s="7">
        <v>5943</v>
      </c>
      <c r="F25" s="7" t="s">
        <v>26</v>
      </c>
      <c r="G25" s="7" t="s">
        <v>7</v>
      </c>
      <c r="H25" s="81"/>
      <c r="I25" s="80"/>
      <c r="J25" s="80"/>
      <c r="K25" s="116"/>
      <c r="L25" s="72"/>
      <c r="M25" s="89"/>
    </row>
    <row r="26" spans="2:13" s="6" customFormat="1" ht="30" customHeight="1" x14ac:dyDescent="0.25">
      <c r="B26" s="95"/>
      <c r="C26" s="7">
        <v>21</v>
      </c>
      <c r="D26" s="99" t="s">
        <v>37</v>
      </c>
      <c r="E26" s="7">
        <v>5395</v>
      </c>
      <c r="F26" s="7" t="s">
        <v>26</v>
      </c>
      <c r="G26" s="7" t="s">
        <v>7</v>
      </c>
      <c r="H26" s="81">
        <v>1</v>
      </c>
      <c r="I26" s="80">
        <v>45145</v>
      </c>
      <c r="J26" s="80">
        <v>45149</v>
      </c>
      <c r="K26" s="115">
        <f t="shared" ref="K26" si="5">+L26/4</f>
        <v>675000</v>
      </c>
      <c r="L26" s="70">
        <v>2700000</v>
      </c>
      <c r="M26" s="88">
        <v>2700000</v>
      </c>
    </row>
    <row r="27" spans="2:13" s="6" customFormat="1" ht="30" customHeight="1" x14ac:dyDescent="0.25">
      <c r="B27" s="96"/>
      <c r="C27" s="7">
        <v>22</v>
      </c>
      <c r="D27" s="99" t="s">
        <v>38</v>
      </c>
      <c r="E27" s="7">
        <v>4852</v>
      </c>
      <c r="F27" s="7" t="s">
        <v>26</v>
      </c>
      <c r="G27" s="7" t="s">
        <v>7</v>
      </c>
      <c r="H27" s="81"/>
      <c r="I27" s="80"/>
      <c r="J27" s="80"/>
      <c r="K27" s="116"/>
      <c r="L27" s="72"/>
      <c r="M27" s="89"/>
    </row>
    <row r="28" spans="2:13" s="6" customFormat="1" ht="30" customHeight="1" x14ac:dyDescent="0.25">
      <c r="B28" s="87" t="s">
        <v>39</v>
      </c>
      <c r="C28" s="7">
        <v>23</v>
      </c>
      <c r="D28" s="99" t="s">
        <v>40</v>
      </c>
      <c r="E28" s="7">
        <v>9450</v>
      </c>
      <c r="F28" s="7" t="s">
        <v>17</v>
      </c>
      <c r="G28" s="7" t="s">
        <v>8</v>
      </c>
      <c r="H28" s="81">
        <v>1</v>
      </c>
      <c r="I28" s="80">
        <v>45145</v>
      </c>
      <c r="J28" s="80">
        <v>45149</v>
      </c>
      <c r="K28" s="115">
        <f>+L28/4/4</f>
        <v>163750</v>
      </c>
      <c r="L28" s="70">
        <v>2620000</v>
      </c>
      <c r="M28" s="88">
        <v>2620000</v>
      </c>
    </row>
    <row r="29" spans="2:13" s="6" customFormat="1" ht="30" customHeight="1" x14ac:dyDescent="0.25">
      <c r="B29" s="87"/>
      <c r="C29" s="7">
        <v>24</v>
      </c>
      <c r="D29" s="99" t="s">
        <v>41</v>
      </c>
      <c r="E29" s="7">
        <v>5421</v>
      </c>
      <c r="F29" s="7" t="s">
        <v>26</v>
      </c>
      <c r="G29" s="7" t="s">
        <v>7</v>
      </c>
      <c r="H29" s="81"/>
      <c r="I29" s="80"/>
      <c r="J29" s="80"/>
      <c r="K29" s="116"/>
      <c r="L29" s="72"/>
      <c r="M29" s="89"/>
    </row>
    <row r="30" spans="2:13" s="6" customFormat="1" ht="30" customHeight="1" x14ac:dyDescent="0.25">
      <c r="B30" s="81" t="s">
        <v>13</v>
      </c>
      <c r="C30" s="10">
        <v>25</v>
      </c>
      <c r="D30" s="9" t="s">
        <v>57</v>
      </c>
      <c r="E30" s="10">
        <v>5825</v>
      </c>
      <c r="F30" s="10" t="s">
        <v>26</v>
      </c>
      <c r="G30" s="10" t="s">
        <v>7</v>
      </c>
      <c r="H30" s="97">
        <v>1</v>
      </c>
      <c r="I30" s="80">
        <v>45145</v>
      </c>
      <c r="J30" s="80">
        <v>45149</v>
      </c>
      <c r="K30" s="104"/>
      <c r="L30" s="70">
        <v>2700000</v>
      </c>
      <c r="M30" s="88">
        <v>2700000</v>
      </c>
    </row>
    <row r="31" spans="2:13" s="6" customFormat="1" ht="30" customHeight="1" x14ac:dyDescent="0.25">
      <c r="B31" s="81"/>
      <c r="C31" s="10">
        <v>26</v>
      </c>
      <c r="D31" s="9" t="s">
        <v>42</v>
      </c>
      <c r="E31" s="10">
        <v>6366</v>
      </c>
      <c r="F31" s="10" t="s">
        <v>17</v>
      </c>
      <c r="G31" s="10" t="s">
        <v>8</v>
      </c>
      <c r="H31" s="98"/>
      <c r="I31" s="80"/>
      <c r="J31" s="80"/>
      <c r="K31" s="105"/>
      <c r="L31" s="72"/>
      <c r="M31" s="89"/>
    </row>
    <row r="32" spans="2:13" s="6" customFormat="1" ht="30" customHeight="1" x14ac:dyDescent="0.25">
      <c r="B32" s="81"/>
      <c r="C32" s="7">
        <v>27</v>
      </c>
      <c r="D32" s="8" t="s">
        <v>58</v>
      </c>
      <c r="E32" s="7">
        <v>3644</v>
      </c>
      <c r="F32" s="7" t="s">
        <v>16</v>
      </c>
      <c r="G32" s="7" t="s">
        <v>9</v>
      </c>
      <c r="H32" s="81">
        <v>1</v>
      </c>
      <c r="I32" s="80">
        <v>45145</v>
      </c>
      <c r="J32" s="85">
        <v>45147</v>
      </c>
      <c r="K32" s="106"/>
      <c r="L32" s="70">
        <v>1270000</v>
      </c>
      <c r="M32" s="45">
        <f>+L32/2</f>
        <v>635000</v>
      </c>
    </row>
    <row r="33" spans="2:13" s="6" customFormat="1" ht="30" customHeight="1" x14ac:dyDescent="0.25">
      <c r="B33" s="7" t="s">
        <v>14</v>
      </c>
      <c r="C33" s="7">
        <v>28</v>
      </c>
      <c r="D33" s="8" t="s">
        <v>46</v>
      </c>
      <c r="E33" s="7">
        <v>1013</v>
      </c>
      <c r="F33" s="7" t="s">
        <v>17</v>
      </c>
      <c r="G33" s="7" t="s">
        <v>8</v>
      </c>
      <c r="H33" s="81"/>
      <c r="I33" s="80"/>
      <c r="J33" s="85"/>
      <c r="K33" s="107"/>
      <c r="L33" s="72"/>
      <c r="M33" s="45">
        <f>+L32/2</f>
        <v>635000</v>
      </c>
    </row>
    <row r="34" spans="2:13" s="6" customFormat="1" ht="30" customHeight="1" x14ac:dyDescent="0.25">
      <c r="B34" s="81" t="s">
        <v>43</v>
      </c>
      <c r="C34" s="7">
        <v>29</v>
      </c>
      <c r="D34" s="8" t="s">
        <v>44</v>
      </c>
      <c r="E34" s="7">
        <v>5557</v>
      </c>
      <c r="F34" s="7" t="s">
        <v>17</v>
      </c>
      <c r="G34" s="7" t="s">
        <v>8</v>
      </c>
      <c r="H34" s="81">
        <v>1</v>
      </c>
      <c r="I34" s="80">
        <v>45145</v>
      </c>
      <c r="J34" s="85">
        <v>45147</v>
      </c>
      <c r="K34" s="103"/>
      <c r="L34" s="70">
        <v>1270000</v>
      </c>
      <c r="M34" s="90">
        <f>+L34</f>
        <v>1270000</v>
      </c>
    </row>
    <row r="35" spans="2:13" s="6" customFormat="1" ht="30" customHeight="1" thickBot="1" x14ac:dyDescent="0.3">
      <c r="B35" s="83"/>
      <c r="C35" s="37">
        <v>30</v>
      </c>
      <c r="D35" s="38" t="s">
        <v>45</v>
      </c>
      <c r="E35" s="37">
        <v>13346</v>
      </c>
      <c r="F35" s="37" t="s">
        <v>17</v>
      </c>
      <c r="G35" s="37" t="s">
        <v>8</v>
      </c>
      <c r="H35" s="83"/>
      <c r="I35" s="84"/>
      <c r="J35" s="86"/>
      <c r="K35" s="108"/>
      <c r="L35" s="71"/>
      <c r="M35" s="91"/>
    </row>
    <row r="36" spans="2:13" s="6" customFormat="1" ht="30" customHeight="1" thickTop="1" x14ac:dyDescent="0.25">
      <c r="B36" s="64" t="s">
        <v>3</v>
      </c>
      <c r="C36" s="65"/>
      <c r="D36" s="65"/>
      <c r="E36" s="65"/>
      <c r="F36" s="65"/>
      <c r="G36" s="66"/>
      <c r="H36" s="39">
        <f>SUM(H6:H35)</f>
        <v>15</v>
      </c>
      <c r="I36" s="67"/>
      <c r="J36" s="68"/>
      <c r="K36" s="69"/>
      <c r="L36" s="41">
        <f>SUM(L6:L35)</f>
        <v>37480000</v>
      </c>
      <c r="M36" s="47">
        <f>SUM(M6:M35)</f>
        <v>37480000</v>
      </c>
    </row>
  </sheetData>
  <mergeCells count="106">
    <mergeCell ref="M28:M29"/>
    <mergeCell ref="M30:M31"/>
    <mergeCell ref="M34:M35"/>
    <mergeCell ref="M4:M5"/>
    <mergeCell ref="B10:B2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B30:B32"/>
    <mergeCell ref="H32:H33"/>
    <mergeCell ref="I32:I33"/>
    <mergeCell ref="J32:J33"/>
    <mergeCell ref="K32:K33"/>
    <mergeCell ref="H30:H31"/>
    <mergeCell ref="I30:I31"/>
    <mergeCell ref="J30:J31"/>
    <mergeCell ref="K30:K31"/>
    <mergeCell ref="B34:B35"/>
    <mergeCell ref="H34:H35"/>
    <mergeCell ref="I34:I35"/>
    <mergeCell ref="J34:J35"/>
    <mergeCell ref="K34:K35"/>
    <mergeCell ref="I10:I11"/>
    <mergeCell ref="J10:J11"/>
    <mergeCell ref="K10:K11"/>
    <mergeCell ref="H12:H13"/>
    <mergeCell ref="I12:I13"/>
    <mergeCell ref="B28:B29"/>
    <mergeCell ref="H28:H29"/>
    <mergeCell ref="I28:I29"/>
    <mergeCell ref="J28:J29"/>
    <mergeCell ref="K28:K29"/>
    <mergeCell ref="H24:H25"/>
    <mergeCell ref="I24:I25"/>
    <mergeCell ref="J24:J25"/>
    <mergeCell ref="K24:K25"/>
    <mergeCell ref="H26:H27"/>
    <mergeCell ref="I26:I27"/>
    <mergeCell ref="J26:J27"/>
    <mergeCell ref="K26:K27"/>
    <mergeCell ref="H20:H21"/>
    <mergeCell ref="I20:I21"/>
    <mergeCell ref="J20:J21"/>
    <mergeCell ref="K20:K21"/>
    <mergeCell ref="H22:H23"/>
    <mergeCell ref="I22:I23"/>
    <mergeCell ref="J22:J23"/>
    <mergeCell ref="K22:K23"/>
    <mergeCell ref="H16:H17"/>
    <mergeCell ref="I16:I17"/>
    <mergeCell ref="J16:J17"/>
    <mergeCell ref="K16:K17"/>
    <mergeCell ref="H18:H19"/>
    <mergeCell ref="I18:I19"/>
    <mergeCell ref="J18:J19"/>
    <mergeCell ref="K18:K19"/>
    <mergeCell ref="H8:H9"/>
    <mergeCell ref="I8:I9"/>
    <mergeCell ref="J8:J9"/>
    <mergeCell ref="K8:K9"/>
    <mergeCell ref="I14:I15"/>
    <mergeCell ref="J14:J15"/>
    <mergeCell ref="K14:K15"/>
    <mergeCell ref="H10:H11"/>
    <mergeCell ref="B2:K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36:G36"/>
    <mergeCell ref="I36:K36"/>
    <mergeCell ref="L34:L3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J12:J13"/>
    <mergeCell ref="K12:K13"/>
    <mergeCell ref="H14:H15"/>
    <mergeCell ref="B6:B9"/>
    <mergeCell ref="H6:H7"/>
    <mergeCell ref="I6:I7"/>
    <mergeCell ref="J6:J7"/>
  </mergeCells>
  <printOptions horizontalCentered="1"/>
  <pageMargins left="0" right="0" top="1" bottom="0" header="1" footer="0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BUDGET PR</vt:lpstr>
      <vt:lpstr>HOTEL</vt:lpstr>
      <vt:lpstr>HOTEL!Print_Area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prd-10</cp:lastModifiedBy>
  <cp:lastPrinted>2023-08-18T06:09:33Z</cp:lastPrinted>
  <dcterms:created xsi:type="dcterms:W3CDTF">2023-06-18T02:33:15Z</dcterms:created>
  <dcterms:modified xsi:type="dcterms:W3CDTF">2023-08-18T09:24:54Z</dcterms:modified>
</cp:coreProperties>
</file>