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P47" i="1" l="1"/>
  <c r="P46" i="1"/>
  <c r="P45" i="1"/>
  <c r="J44" i="1"/>
  <c r="K44" i="1"/>
  <c r="L44" i="1"/>
  <c r="M44" i="1"/>
  <c r="N44" i="1"/>
  <c r="O44" i="1"/>
  <c r="P44" i="1"/>
  <c r="N36" i="1"/>
  <c r="O36" i="1"/>
  <c r="P36" i="1"/>
  <c r="P43" i="1"/>
  <c r="P42" i="1"/>
  <c r="P35" i="1"/>
  <c r="O47" i="1" l="1"/>
  <c r="O46" i="1"/>
  <c r="O45" i="1"/>
  <c r="O43" i="1"/>
  <c r="O42" i="1"/>
  <c r="O35" i="1"/>
  <c r="N45" i="1" l="1"/>
  <c r="N42" i="1"/>
  <c r="N43" i="1" s="1"/>
  <c r="N47" i="1" s="1"/>
  <c r="M42" i="1"/>
  <c r="N35" i="1"/>
  <c r="N46" i="1" l="1"/>
  <c r="M47" i="1"/>
  <c r="M46" i="1"/>
  <c r="M45" i="1"/>
  <c r="M43" i="1"/>
  <c r="M36" i="1"/>
  <c r="M35" i="1"/>
  <c r="L47" i="1" l="1"/>
  <c r="L46" i="1"/>
  <c r="L45" i="1"/>
  <c r="K45" i="1"/>
  <c r="L43" i="1"/>
  <c r="L42" i="1"/>
  <c r="L36" i="1"/>
  <c r="K36" i="1"/>
  <c r="L35" i="1"/>
  <c r="K35" i="1"/>
  <c r="K47" i="1" l="1"/>
  <c r="K46" i="1"/>
  <c r="J46" i="1"/>
  <c r="K43" i="1"/>
  <c r="K42" i="1"/>
  <c r="J45" i="1" l="1"/>
  <c r="J42" i="1"/>
  <c r="J35" i="1"/>
  <c r="I35" i="1"/>
  <c r="I45" i="1" l="1"/>
  <c r="I44" i="1"/>
  <c r="I42" i="1"/>
  <c r="T39" i="1"/>
  <c r="S39" i="1"/>
  <c r="R39" i="1"/>
  <c r="Q39" i="1"/>
  <c r="P39" i="1"/>
  <c r="O39" i="1"/>
  <c r="N39" i="1"/>
  <c r="M39" i="1"/>
  <c r="L39" i="1"/>
  <c r="K39" i="1"/>
  <c r="J39" i="1"/>
  <c r="I39" i="1"/>
  <c r="I46" i="1" s="1"/>
  <c r="J32" i="1"/>
  <c r="J36" i="1" s="1"/>
  <c r="I32" i="1"/>
  <c r="I36" i="1" s="1"/>
  <c r="K32" i="1"/>
  <c r="L32" i="1"/>
  <c r="M32" i="1"/>
  <c r="N32" i="1"/>
  <c r="O32" i="1"/>
  <c r="P32" i="1"/>
  <c r="Q32" i="1"/>
  <c r="R32" i="1"/>
  <c r="S32" i="1"/>
  <c r="T32" i="1"/>
  <c r="D17" i="1"/>
  <c r="D16" i="1"/>
  <c r="D15" i="1"/>
  <c r="D9" i="1"/>
  <c r="D10" i="1"/>
  <c r="D8" i="1"/>
  <c r="I20" i="1"/>
  <c r="I19" i="1"/>
  <c r="I22" i="1" s="1"/>
  <c r="I12" i="1"/>
  <c r="I11" i="1"/>
  <c r="I14" i="1" s="1"/>
  <c r="J18" i="1"/>
  <c r="K18" i="1"/>
  <c r="L18" i="1"/>
  <c r="M18" i="1"/>
  <c r="N18" i="1"/>
  <c r="O18" i="1"/>
  <c r="I18" i="1"/>
  <c r="J10" i="1"/>
  <c r="K10" i="1"/>
  <c r="L10" i="1"/>
  <c r="M10" i="1"/>
  <c r="N10" i="1"/>
  <c r="O10" i="1"/>
  <c r="I10" i="1"/>
  <c r="J43" i="1" l="1"/>
  <c r="J47" i="1"/>
  <c r="I21" i="1"/>
  <c r="I23" i="1" s="1"/>
  <c r="E8" i="1"/>
  <c r="I43" i="1"/>
  <c r="I13" i="1"/>
  <c r="E15" i="1"/>
  <c r="I47" i="1" l="1"/>
  <c r="I26" i="1"/>
  <c r="I15" i="1"/>
  <c r="I24" i="1" s="1"/>
</calcChain>
</file>

<file path=xl/sharedStrings.xml><?xml version="1.0" encoding="utf-8"?>
<sst xmlns="http://schemas.openxmlformats.org/spreadsheetml/2006/main" count="86" uniqueCount="54">
  <si>
    <t>PT SEMARANG AUTOCOMP MANUFACTURING INDONESIA</t>
  </si>
  <si>
    <t>JULI'18</t>
  </si>
  <si>
    <t>SUMUR 1</t>
  </si>
  <si>
    <t>SUMUR 2</t>
  </si>
  <si>
    <t>AGS'18</t>
  </si>
  <si>
    <t>SEPT'18</t>
  </si>
  <si>
    <t>OKT'18</t>
  </si>
  <si>
    <t>NOV'18</t>
  </si>
  <si>
    <t>DES'18</t>
  </si>
  <si>
    <t>JAN'19</t>
  </si>
  <si>
    <t xml:space="preserve"> </t>
  </si>
  <si>
    <t>VOLUME ( M3 )</t>
  </si>
  <si>
    <t>PEMBAYARAN PAJAK AIR ( Rp )</t>
  </si>
  <si>
    <t>TARIF PAJAK PER M3 ( Rp )</t>
  </si>
  <si>
    <t>RATA2 VOLUME ( M3 )</t>
  </si>
  <si>
    <t>RATA2 TARIF PAJAK PER M3 ( Rp )</t>
  </si>
  <si>
    <t>TOTAL VOLUME ( M3 )</t>
  </si>
  <si>
    <t>TOTAL PEMBAYARAN PAJAK AIR ( Rp )</t>
  </si>
  <si>
    <t>RATA2 VOLUME TIAP BULAN ( M3 )</t>
  </si>
  <si>
    <t>RATA2 PEMBAYARAN TIAP BULAN ( Rp )</t>
  </si>
  <si>
    <t>SUMUR 1 &amp; 2</t>
  </si>
  <si>
    <t>TERM  78</t>
  </si>
  <si>
    <t xml:space="preserve">SKEMA  TARIF PAJAK AIR </t>
  </si>
  <si>
    <t>0 - 100</t>
  </si>
  <si>
    <t>HARGA DASAR 
( Rp / M3 )</t>
  </si>
  <si>
    <t>VOLUME 
( M3 )</t>
  </si>
  <si>
    <t>101 - 500</t>
  </si>
  <si>
    <t>501 - 1000</t>
  </si>
  <si>
    <t>TARIF PAJAK
( Rp / M3 )</t>
  </si>
  <si>
    <t>RATA2 TARIF PAJAK
( Rp / M3 )</t>
  </si>
  <si>
    <t>TERM  78  
( s/d APR 19 )</t>
  </si>
  <si>
    <t>TERM  79  
( JUL 19 - JUN 20 )</t>
  </si>
  <si>
    <t xml:space="preserve">  </t>
  </si>
  <si>
    <t>JUL</t>
  </si>
  <si>
    <t>AUG</t>
  </si>
  <si>
    <t>SEP</t>
  </si>
  <si>
    <t>OKT</t>
  </si>
  <si>
    <t>NOV</t>
  </si>
  <si>
    <t>DES</t>
  </si>
  <si>
    <t>JAN</t>
  </si>
  <si>
    <t>FEB</t>
  </si>
  <si>
    <t>MAR</t>
  </si>
  <si>
    <t>APR</t>
  </si>
  <si>
    <t>MEI</t>
  </si>
  <si>
    <t>JUN</t>
  </si>
  <si>
    <t>TERM  79</t>
  </si>
  <si>
    <t>PLAN VOLUME ( M3 )</t>
  </si>
  <si>
    <t>PLAN PEMBAYARAN PAJAK AIR ( Rp )</t>
  </si>
  <si>
    <t>AKTUAL VOLUME ( M3 )</t>
  </si>
  <si>
    <t xml:space="preserve">PLAN TARIF PAJAK PER M3 ( Rp ) </t>
  </si>
  <si>
    <t xml:space="preserve">AKTUAL TARIF PAJAK PER M3 ( Rp ) </t>
  </si>
  <si>
    <t>AKTUAL PEMBAYARAN PAJAK AIR ( Rp )</t>
  </si>
  <si>
    <t>SELISIH / KURANG BAYAR</t>
  </si>
  <si>
    <t>ANALISA  PEMBAYARAN  PAJAK  AIR BAWAH TANAH TERM 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</si>
</sst>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4" fontId="0" fillId="0" borderId="1" xfId="1" applyNumberFormat="1" applyFont="1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center" vertical="top" wrapText="1"/>
    </xf>
    <xf numFmtId="0" fontId="0" fillId="0" borderId="0" xfId="0" applyBorder="1"/>
    <xf numFmtId="2" fontId="0" fillId="0" borderId="0" xfId="0" applyNumberFormat="1" applyBorder="1"/>
    <xf numFmtId="2" fontId="0" fillId="0" borderId="0" xfId="0" applyNumberFormat="1" applyBorder="1" applyAlignment="1">
      <alignment vertical="top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0" fontId="0" fillId="0" borderId="1" xfId="0" quotePrefix="1" applyBorder="1"/>
    <xf numFmtId="164" fontId="0" fillId="0" borderId="1" xfId="1" applyNumberFormat="1" applyFont="1" applyFill="1" applyBorder="1" applyAlignment="1">
      <alignment horizontal="right"/>
    </xf>
    <xf numFmtId="164" fontId="0" fillId="0" borderId="1" xfId="0" applyNumberFormat="1" applyBorder="1"/>
    <xf numFmtId="0" fontId="0" fillId="0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quotePrefix="1" applyBorder="1" applyAlignment="1">
      <alignment vertical="top"/>
    </xf>
    <xf numFmtId="164" fontId="0" fillId="0" borderId="1" xfId="1" applyNumberFormat="1" applyFont="1" applyBorder="1" applyAlignment="1">
      <alignment vertical="top"/>
    </xf>
    <xf numFmtId="0" fontId="0" fillId="0" borderId="0" xfId="0" applyAlignment="1">
      <alignment vertical="top"/>
    </xf>
    <xf numFmtId="1" fontId="0" fillId="0" borderId="1" xfId="0" applyNumberFormat="1" applyBorder="1" applyAlignment="1">
      <alignment vertical="top"/>
    </xf>
    <xf numFmtId="43" fontId="0" fillId="0" borderId="0" xfId="0" applyNumberFormat="1"/>
    <xf numFmtId="0" fontId="0" fillId="0" borderId="1" xfId="0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164" fontId="0" fillId="0" borderId="1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 vertical="top"/>
    </xf>
    <xf numFmtId="164" fontId="0" fillId="0" borderId="1" xfId="1" applyNumberFormat="1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49"/>
  <sheetViews>
    <sheetView tabSelected="1" view="pageBreakPreview" topLeftCell="A28" zoomScale="60" workbookViewId="0">
      <selection activeCell="Q14" sqref="Q14"/>
    </sheetView>
  </sheetViews>
  <sheetFormatPr defaultRowHeight="15" x14ac:dyDescent="0.25"/>
  <cols>
    <col min="1" max="1" width="1.5703125" customWidth="1"/>
    <col min="2" max="2" width="20" customWidth="1"/>
    <col min="3" max="3" width="15.5703125" customWidth="1"/>
    <col min="4" max="4" width="18.28515625" customWidth="1"/>
    <col min="5" max="5" width="16.140625" customWidth="1"/>
    <col min="6" max="6" width="2.7109375" customWidth="1"/>
    <col min="7" max="7" width="14" customWidth="1"/>
    <col min="8" max="8" width="48.85546875" customWidth="1"/>
    <col min="9" max="13" width="11.5703125" bestFit="1" customWidth="1"/>
    <col min="14" max="14" width="12.5703125" bestFit="1" customWidth="1"/>
    <col min="15" max="15" width="11.5703125" bestFit="1" customWidth="1"/>
    <col min="16" max="16" width="12.5703125" bestFit="1" customWidth="1"/>
    <col min="17" max="20" width="10.85546875" customWidth="1"/>
  </cols>
  <sheetData>
    <row r="1" spans="2:16" x14ac:dyDescent="0.25">
      <c r="B1" s="1" t="s">
        <v>0</v>
      </c>
    </row>
    <row r="2" spans="2:16" x14ac:dyDescent="0.25">
      <c r="B2" s="28" t="s">
        <v>53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2:16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2:16" ht="19.5" x14ac:dyDescent="0.3">
      <c r="B4" s="30" t="s">
        <v>22</v>
      </c>
      <c r="C4" s="30"/>
      <c r="D4" s="30"/>
      <c r="E4" s="30"/>
    </row>
    <row r="5" spans="2:16" ht="10.5" customHeight="1" x14ac:dyDescent="0.3">
      <c r="B5" s="14"/>
      <c r="C5" s="14"/>
      <c r="D5" s="14"/>
      <c r="E5" s="14"/>
    </row>
    <row r="6" spans="2:16" ht="33.75" customHeight="1" x14ac:dyDescent="0.25">
      <c r="B6" s="9" t="s">
        <v>30</v>
      </c>
      <c r="C6" s="8"/>
      <c r="D6" s="9"/>
      <c r="E6" s="10"/>
      <c r="I6" s="29" t="s">
        <v>21</v>
      </c>
      <c r="J6" s="29"/>
      <c r="K6" s="29"/>
      <c r="L6" s="29"/>
      <c r="M6" s="29"/>
      <c r="N6" s="29"/>
      <c r="O6" s="29"/>
    </row>
    <row r="7" spans="2:16" ht="45" x14ac:dyDescent="0.25">
      <c r="B7" s="15" t="s">
        <v>25</v>
      </c>
      <c r="C7" s="15" t="s">
        <v>24</v>
      </c>
      <c r="D7" s="16" t="s">
        <v>28</v>
      </c>
      <c r="E7" s="15" t="s">
        <v>29</v>
      </c>
      <c r="I7" s="6" t="s">
        <v>1</v>
      </c>
      <c r="J7" s="6" t="s">
        <v>4</v>
      </c>
      <c r="K7" s="6" t="s">
        <v>5</v>
      </c>
      <c r="L7" s="6" t="s">
        <v>6</v>
      </c>
      <c r="M7" s="6" t="s">
        <v>7</v>
      </c>
      <c r="N7" s="6" t="s">
        <v>8</v>
      </c>
      <c r="O7" s="2" t="s">
        <v>9</v>
      </c>
      <c r="P7" s="11"/>
    </row>
    <row r="8" spans="2:16" s="24" customFormat="1" ht="26.25" customHeight="1" x14ac:dyDescent="0.25">
      <c r="B8" s="22" t="s">
        <v>23</v>
      </c>
      <c r="C8" s="23">
        <v>4150</v>
      </c>
      <c r="D8" s="23">
        <f>C8*0.2</f>
        <v>830</v>
      </c>
      <c r="E8" s="27">
        <f>AVERAGE(D8:D10)</f>
        <v>835</v>
      </c>
      <c r="G8" s="35" t="s">
        <v>2</v>
      </c>
      <c r="H8" s="4" t="s">
        <v>11</v>
      </c>
      <c r="I8" s="23">
        <v>1132</v>
      </c>
      <c r="J8" s="23">
        <v>1100</v>
      </c>
      <c r="K8" s="23">
        <v>874</v>
      </c>
      <c r="L8" s="23">
        <v>806</v>
      </c>
      <c r="M8" s="23">
        <v>689</v>
      </c>
      <c r="N8" s="23">
        <v>641</v>
      </c>
      <c r="O8" s="23">
        <v>302</v>
      </c>
    </row>
    <row r="9" spans="2:16" s="24" customFormat="1" ht="26.25" customHeight="1" x14ac:dyDescent="0.25">
      <c r="B9" s="22" t="s">
        <v>26</v>
      </c>
      <c r="C9" s="23">
        <v>4175</v>
      </c>
      <c r="D9" s="23">
        <f t="shared" ref="D9:D10" si="0">C9*0.2</f>
        <v>835</v>
      </c>
      <c r="E9" s="27"/>
      <c r="G9" s="36"/>
      <c r="H9" s="4" t="s">
        <v>12</v>
      </c>
      <c r="I9" s="23">
        <v>948540</v>
      </c>
      <c r="J9" s="23">
        <v>921500</v>
      </c>
      <c r="K9" s="23">
        <v>731160</v>
      </c>
      <c r="L9" s="23">
        <v>674040</v>
      </c>
      <c r="M9" s="23">
        <v>575760</v>
      </c>
      <c r="N9" s="23">
        <v>535440</v>
      </c>
      <c r="O9" s="23">
        <v>251670</v>
      </c>
    </row>
    <row r="10" spans="2:16" s="24" customFormat="1" ht="26.25" customHeight="1" x14ac:dyDescent="0.25">
      <c r="B10" s="22" t="s">
        <v>27</v>
      </c>
      <c r="C10" s="23">
        <v>4200</v>
      </c>
      <c r="D10" s="23">
        <f t="shared" si="0"/>
        <v>840</v>
      </c>
      <c r="E10" s="27"/>
      <c r="G10" s="36"/>
      <c r="H10" s="4" t="s">
        <v>13</v>
      </c>
      <c r="I10" s="25">
        <f>I9/I8</f>
        <v>837.93286219081267</v>
      </c>
      <c r="J10" s="25">
        <f t="shared" ref="J10:O10" si="1">J9/J8</f>
        <v>837.72727272727275</v>
      </c>
      <c r="K10" s="25">
        <f t="shared" si="1"/>
        <v>836.56750572082376</v>
      </c>
      <c r="L10" s="25">
        <f t="shared" si="1"/>
        <v>836.27791563275434</v>
      </c>
      <c r="M10" s="25">
        <f t="shared" si="1"/>
        <v>835.64586357039184</v>
      </c>
      <c r="N10" s="25">
        <f t="shared" si="1"/>
        <v>835.3198127925117</v>
      </c>
      <c r="O10" s="25">
        <f t="shared" si="1"/>
        <v>833.34437086092714</v>
      </c>
    </row>
    <row r="11" spans="2:16" s="24" customFormat="1" ht="26.25" customHeight="1" x14ac:dyDescent="0.25">
      <c r="B11" s="8"/>
      <c r="C11" s="8"/>
      <c r="D11" s="13"/>
      <c r="E11" s="8"/>
      <c r="G11" s="36"/>
      <c r="H11" s="4" t="s">
        <v>16</v>
      </c>
      <c r="I11" s="39">
        <f>SUM(I8:O8)</f>
        <v>5544</v>
      </c>
      <c r="J11" s="39"/>
      <c r="K11" s="39"/>
      <c r="L11" s="39"/>
      <c r="M11" s="39"/>
      <c r="N11" s="39"/>
      <c r="O11" s="39"/>
    </row>
    <row r="12" spans="2:16" s="24" customFormat="1" ht="26.25" customHeight="1" x14ac:dyDescent="0.25">
      <c r="B12" s="8"/>
      <c r="C12" s="8"/>
      <c r="D12" s="13"/>
      <c r="E12" s="8"/>
      <c r="G12" s="36"/>
      <c r="H12" s="4" t="s">
        <v>17</v>
      </c>
      <c r="I12" s="39">
        <f>SUM(I9:O9)</f>
        <v>4638110</v>
      </c>
      <c r="J12" s="39"/>
      <c r="K12" s="39"/>
      <c r="L12" s="39"/>
      <c r="M12" s="39"/>
      <c r="N12" s="39"/>
      <c r="O12" s="39"/>
    </row>
    <row r="13" spans="2:16" ht="30" x14ac:dyDescent="0.25">
      <c r="B13" s="9" t="s">
        <v>31</v>
      </c>
      <c r="C13" s="8"/>
      <c r="D13" s="9"/>
      <c r="E13" s="10"/>
      <c r="G13" s="36"/>
      <c r="H13" s="3" t="s">
        <v>15</v>
      </c>
      <c r="I13" s="40">
        <f>I12/I11</f>
        <v>836.59992784992789</v>
      </c>
      <c r="J13" s="40"/>
      <c r="K13" s="40"/>
      <c r="L13" s="40"/>
      <c r="M13" s="40"/>
      <c r="N13" s="40"/>
      <c r="O13" s="40"/>
    </row>
    <row r="14" spans="2:16" ht="45" x14ac:dyDescent="0.25">
      <c r="B14" s="15" t="s">
        <v>25</v>
      </c>
      <c r="C14" s="15" t="s">
        <v>24</v>
      </c>
      <c r="D14" s="16" t="s">
        <v>28</v>
      </c>
      <c r="E14" s="15" t="s">
        <v>29</v>
      </c>
      <c r="G14" s="36"/>
      <c r="H14" s="3" t="s">
        <v>18</v>
      </c>
      <c r="I14" s="32">
        <f>I11/7</f>
        <v>792</v>
      </c>
      <c r="J14" s="33"/>
      <c r="K14" s="33"/>
      <c r="L14" s="33"/>
      <c r="M14" s="33"/>
      <c r="N14" s="33"/>
      <c r="O14" s="34"/>
    </row>
    <row r="15" spans="2:16" ht="24" customHeight="1" x14ac:dyDescent="0.25">
      <c r="B15" s="17" t="s">
        <v>23</v>
      </c>
      <c r="C15" s="5">
        <v>12800</v>
      </c>
      <c r="D15" s="5">
        <f>C15*0.2</f>
        <v>2560</v>
      </c>
      <c r="E15" s="27">
        <f>AVERAGE(D15:D17)</f>
        <v>2580</v>
      </c>
      <c r="G15" s="37"/>
      <c r="H15" s="3" t="s">
        <v>19</v>
      </c>
      <c r="I15" s="32">
        <f>I13*I14</f>
        <v>662587.14285714284</v>
      </c>
      <c r="J15" s="33"/>
      <c r="K15" s="33"/>
      <c r="L15" s="33"/>
      <c r="M15" s="33"/>
      <c r="N15" s="33"/>
      <c r="O15" s="34"/>
    </row>
    <row r="16" spans="2:16" ht="24" customHeight="1" x14ac:dyDescent="0.25">
      <c r="B16" s="17" t="s">
        <v>26</v>
      </c>
      <c r="C16" s="5">
        <v>12900</v>
      </c>
      <c r="D16" s="5">
        <f t="shared" ref="D16:D17" si="2">C16*0.2</f>
        <v>2580</v>
      </c>
      <c r="E16" s="27"/>
      <c r="F16" t="s">
        <v>10</v>
      </c>
      <c r="G16" s="35" t="s">
        <v>2</v>
      </c>
      <c r="H16" s="3" t="s">
        <v>11</v>
      </c>
      <c r="I16" s="5">
        <v>898</v>
      </c>
      <c r="J16" s="5">
        <v>918</v>
      </c>
      <c r="K16" s="5">
        <v>763</v>
      </c>
      <c r="L16" s="5">
        <v>700</v>
      </c>
      <c r="M16" s="5">
        <v>598</v>
      </c>
      <c r="N16" s="5">
        <v>556</v>
      </c>
      <c r="O16" s="5">
        <v>681</v>
      </c>
    </row>
    <row r="17" spans="2:20" ht="24" customHeight="1" x14ac:dyDescent="0.25">
      <c r="B17" s="17" t="s">
        <v>27</v>
      </c>
      <c r="C17" s="5">
        <v>13000</v>
      </c>
      <c r="D17" s="5">
        <f t="shared" si="2"/>
        <v>2600</v>
      </c>
      <c r="E17" s="27"/>
      <c r="G17" s="36"/>
      <c r="H17" s="3" t="s">
        <v>12</v>
      </c>
      <c r="I17" s="5">
        <v>751320</v>
      </c>
      <c r="J17" s="5">
        <v>768120</v>
      </c>
      <c r="K17" s="5">
        <v>637920</v>
      </c>
      <c r="L17" s="5">
        <v>585000</v>
      </c>
      <c r="M17" s="5">
        <v>499320</v>
      </c>
      <c r="N17" s="5">
        <v>464040</v>
      </c>
      <c r="O17" s="5">
        <v>569040</v>
      </c>
    </row>
    <row r="18" spans="2:20" ht="24" customHeight="1" x14ac:dyDescent="0.25">
      <c r="B18" s="11"/>
      <c r="C18" s="11"/>
      <c r="D18" s="12"/>
      <c r="E18" s="11"/>
      <c r="G18" s="36"/>
      <c r="H18" s="3" t="s">
        <v>13</v>
      </c>
      <c r="I18" s="5">
        <f>I17/I16</f>
        <v>836.65924276169267</v>
      </c>
      <c r="J18" s="5">
        <f t="shared" ref="J18:O18" si="3">J17/J16</f>
        <v>836.7320261437909</v>
      </c>
      <c r="K18" s="5">
        <f t="shared" si="3"/>
        <v>836.06815203145482</v>
      </c>
      <c r="L18" s="5">
        <f t="shared" si="3"/>
        <v>835.71428571428567</v>
      </c>
      <c r="M18" s="5">
        <f t="shared" si="3"/>
        <v>834.98327759197321</v>
      </c>
      <c r="N18" s="5">
        <f t="shared" si="3"/>
        <v>834.60431654676256</v>
      </c>
      <c r="O18" s="5">
        <f t="shared" si="3"/>
        <v>835.59471365638763</v>
      </c>
    </row>
    <row r="19" spans="2:20" ht="24" customHeight="1" x14ac:dyDescent="0.25">
      <c r="B19" s="11"/>
      <c r="C19" s="11"/>
      <c r="D19" s="12"/>
      <c r="E19" s="11"/>
      <c r="G19" s="36"/>
      <c r="H19" s="3" t="s">
        <v>16</v>
      </c>
      <c r="I19" s="38">
        <f>SUM(I16:O16)</f>
        <v>5114</v>
      </c>
      <c r="J19" s="38"/>
      <c r="K19" s="38"/>
      <c r="L19" s="38"/>
      <c r="M19" s="38"/>
      <c r="N19" s="38"/>
      <c r="O19" s="38"/>
    </row>
    <row r="20" spans="2:20" ht="24" customHeight="1" x14ac:dyDescent="0.25">
      <c r="B20" s="11"/>
      <c r="C20" s="11"/>
      <c r="D20" s="12"/>
      <c r="E20" s="11"/>
      <c r="G20" s="36"/>
      <c r="H20" s="3" t="s">
        <v>17</v>
      </c>
      <c r="I20" s="38">
        <f>SUM(I17:O17)</f>
        <v>4274760</v>
      </c>
      <c r="J20" s="38"/>
      <c r="K20" s="38"/>
      <c r="L20" s="38"/>
      <c r="M20" s="38"/>
      <c r="N20" s="38"/>
      <c r="O20" s="38"/>
    </row>
    <row r="21" spans="2:20" ht="24" customHeight="1" x14ac:dyDescent="0.25">
      <c r="B21" s="11"/>
      <c r="C21" s="11"/>
      <c r="D21" s="12"/>
      <c r="E21" s="11"/>
      <c r="G21" s="36"/>
      <c r="H21" s="3" t="s">
        <v>15</v>
      </c>
      <c r="I21" s="38">
        <f>I20/I19</f>
        <v>835.89362534219788</v>
      </c>
      <c r="J21" s="38"/>
      <c r="K21" s="38"/>
      <c r="L21" s="38"/>
      <c r="M21" s="38"/>
      <c r="N21" s="38"/>
      <c r="O21" s="38"/>
    </row>
    <row r="22" spans="2:20" ht="24" customHeight="1" x14ac:dyDescent="0.25">
      <c r="B22" s="11"/>
      <c r="C22" s="11"/>
      <c r="D22" s="12"/>
      <c r="E22" s="11"/>
      <c r="F22" t="s">
        <v>10</v>
      </c>
      <c r="G22" s="36"/>
      <c r="H22" s="3" t="s">
        <v>18</v>
      </c>
      <c r="I22" s="32">
        <f>I19/7</f>
        <v>730.57142857142856</v>
      </c>
      <c r="J22" s="33"/>
      <c r="K22" s="33"/>
      <c r="L22" s="33"/>
      <c r="M22" s="33"/>
      <c r="N22" s="33"/>
      <c r="O22" s="34"/>
    </row>
    <row r="23" spans="2:20" ht="24" customHeight="1" x14ac:dyDescent="0.25">
      <c r="B23" s="11"/>
      <c r="C23" s="11"/>
      <c r="D23" s="11"/>
      <c r="E23" s="11"/>
      <c r="G23" s="37"/>
      <c r="H23" s="3" t="s">
        <v>19</v>
      </c>
      <c r="I23" s="32">
        <f>I21*I22</f>
        <v>610680</v>
      </c>
      <c r="J23" s="33"/>
      <c r="K23" s="33"/>
      <c r="L23" s="33"/>
      <c r="M23" s="33"/>
      <c r="N23" s="33"/>
      <c r="O23" s="34"/>
    </row>
    <row r="24" spans="2:20" ht="24" customHeight="1" x14ac:dyDescent="0.25">
      <c r="B24" s="11"/>
      <c r="C24" s="11"/>
      <c r="D24" s="11"/>
      <c r="E24" s="11"/>
      <c r="G24" s="27" t="s">
        <v>20</v>
      </c>
      <c r="H24" s="4" t="s">
        <v>19</v>
      </c>
      <c r="I24" s="38">
        <f>(I15+I23)/2</f>
        <v>636633.57142857136</v>
      </c>
      <c r="J24" s="38"/>
      <c r="K24" s="38"/>
      <c r="L24" s="38"/>
      <c r="M24" s="38"/>
      <c r="N24" s="38"/>
      <c r="O24" s="38"/>
    </row>
    <row r="25" spans="2:20" ht="24" customHeight="1" x14ac:dyDescent="0.25">
      <c r="G25" s="27"/>
      <c r="H25" s="4" t="s">
        <v>19</v>
      </c>
      <c r="I25" s="38">
        <v>650000</v>
      </c>
      <c r="J25" s="38"/>
      <c r="K25" s="38"/>
      <c r="L25" s="38"/>
      <c r="M25" s="38"/>
      <c r="N25" s="38"/>
      <c r="O25" s="38"/>
    </row>
    <row r="26" spans="2:20" ht="24" customHeight="1" x14ac:dyDescent="0.25">
      <c r="G26" s="27"/>
      <c r="H26" s="20" t="s">
        <v>14</v>
      </c>
      <c r="I26" s="38">
        <f>I25/I13</f>
        <v>776.95440599727044</v>
      </c>
      <c r="J26" s="38"/>
      <c r="K26" s="38"/>
      <c r="L26" s="38"/>
      <c r="M26" s="38"/>
      <c r="N26" s="38"/>
      <c r="O26" s="38"/>
    </row>
    <row r="27" spans="2:20" x14ac:dyDescent="0.25">
      <c r="H27" s="21"/>
    </row>
    <row r="28" spans="2:20" x14ac:dyDescent="0.25">
      <c r="H28" s="21"/>
      <c r="I28" s="31" t="s">
        <v>45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 spans="2:20" x14ac:dyDescent="0.25">
      <c r="G29" t="s">
        <v>32</v>
      </c>
      <c r="H29" s="21"/>
      <c r="I29" s="7" t="s">
        <v>33</v>
      </c>
      <c r="J29" s="7" t="s">
        <v>34</v>
      </c>
      <c r="K29" s="7" t="s">
        <v>35</v>
      </c>
      <c r="L29" s="7" t="s">
        <v>36</v>
      </c>
      <c r="M29" s="7" t="s">
        <v>37</v>
      </c>
      <c r="N29" s="7" t="s">
        <v>38</v>
      </c>
      <c r="O29" s="7" t="s">
        <v>39</v>
      </c>
      <c r="P29" s="7" t="s">
        <v>40</v>
      </c>
      <c r="Q29" s="7" t="s">
        <v>41</v>
      </c>
      <c r="R29" s="7" t="s">
        <v>42</v>
      </c>
      <c r="S29" s="7" t="s">
        <v>43</v>
      </c>
      <c r="T29" s="7" t="s">
        <v>44</v>
      </c>
    </row>
    <row r="30" spans="2:20" ht="21" customHeight="1" x14ac:dyDescent="0.25">
      <c r="G30" s="27" t="s">
        <v>2</v>
      </c>
      <c r="H30" s="3" t="s">
        <v>46</v>
      </c>
      <c r="I30" s="5">
        <v>776.95440599727044</v>
      </c>
      <c r="J30" s="5">
        <v>776.95440599727044</v>
      </c>
      <c r="K30" s="5">
        <v>776.95440599727044</v>
      </c>
      <c r="L30" s="5">
        <v>776.95440599727044</v>
      </c>
      <c r="M30" s="5">
        <v>776.95440599727044</v>
      </c>
      <c r="N30" s="5">
        <v>776.95440599727044</v>
      </c>
      <c r="O30" s="5">
        <v>776.95440599727044</v>
      </c>
      <c r="P30" s="5">
        <v>776.95440599727044</v>
      </c>
      <c r="Q30" s="5">
        <v>776.95440599727044</v>
      </c>
      <c r="R30" s="5">
        <v>776.95440599727044</v>
      </c>
      <c r="S30" s="5">
        <v>776.95440599727044</v>
      </c>
      <c r="T30" s="5">
        <v>776.95440599727044</v>
      </c>
    </row>
    <row r="31" spans="2:20" ht="21" customHeight="1" x14ac:dyDescent="0.25">
      <c r="G31" s="27"/>
      <c r="H31" s="3" t="s">
        <v>49</v>
      </c>
      <c r="I31" s="5">
        <v>837</v>
      </c>
      <c r="J31" s="5">
        <v>837</v>
      </c>
      <c r="K31" s="5">
        <v>837</v>
      </c>
      <c r="L31" s="5">
        <v>837</v>
      </c>
      <c r="M31" s="5">
        <v>837</v>
      </c>
      <c r="N31" s="5">
        <v>837</v>
      </c>
      <c r="O31" s="5">
        <v>837</v>
      </c>
      <c r="P31" s="5">
        <v>837</v>
      </c>
      <c r="Q31" s="5">
        <v>837</v>
      </c>
      <c r="R31" s="5">
        <v>837</v>
      </c>
      <c r="S31" s="5">
        <v>837</v>
      </c>
      <c r="T31" s="5">
        <v>837</v>
      </c>
    </row>
    <row r="32" spans="2:20" ht="21" customHeight="1" x14ac:dyDescent="0.25">
      <c r="G32" s="27"/>
      <c r="H32" s="3" t="s">
        <v>47</v>
      </c>
      <c r="I32" s="5">
        <f>I30*I31</f>
        <v>650310.83781971538</v>
      </c>
      <c r="J32" s="5">
        <f>J30*J31</f>
        <v>650310.83781971538</v>
      </c>
      <c r="K32" s="5">
        <f t="shared" ref="K32:T32" si="4">K30*K31</f>
        <v>650310.83781971538</v>
      </c>
      <c r="L32" s="5">
        <f t="shared" si="4"/>
        <v>650310.83781971538</v>
      </c>
      <c r="M32" s="5">
        <f t="shared" si="4"/>
        <v>650310.83781971538</v>
      </c>
      <c r="N32" s="5">
        <f t="shared" si="4"/>
        <v>650310.83781971538</v>
      </c>
      <c r="O32" s="5">
        <f t="shared" si="4"/>
        <v>650310.83781971538</v>
      </c>
      <c r="P32" s="5">
        <f t="shared" si="4"/>
        <v>650310.83781971538</v>
      </c>
      <c r="Q32" s="5">
        <f t="shared" si="4"/>
        <v>650310.83781971538</v>
      </c>
      <c r="R32" s="5">
        <f t="shared" si="4"/>
        <v>650310.83781971538</v>
      </c>
      <c r="S32" s="5">
        <f t="shared" si="4"/>
        <v>650310.83781971538</v>
      </c>
      <c r="T32" s="5">
        <f t="shared" si="4"/>
        <v>650310.83781971538</v>
      </c>
    </row>
    <row r="33" spans="7:20" ht="21" customHeight="1" x14ac:dyDescent="0.25">
      <c r="G33" s="27"/>
      <c r="H33" s="20" t="s">
        <v>48</v>
      </c>
      <c r="I33" s="2">
        <v>284</v>
      </c>
      <c r="J33" s="2">
        <v>18</v>
      </c>
      <c r="K33" s="2">
        <v>493</v>
      </c>
      <c r="L33" s="2">
        <v>434</v>
      </c>
      <c r="M33" s="2">
        <v>28</v>
      </c>
      <c r="N33" s="2">
        <v>0</v>
      </c>
      <c r="O33" s="2">
        <v>0</v>
      </c>
      <c r="P33" s="2">
        <v>738</v>
      </c>
      <c r="Q33" s="2"/>
      <c r="R33" s="2"/>
      <c r="S33" s="2"/>
      <c r="T33" s="2"/>
    </row>
    <row r="34" spans="7:20" ht="21" customHeight="1" x14ac:dyDescent="0.25">
      <c r="G34" s="27"/>
      <c r="H34" s="3" t="s">
        <v>50</v>
      </c>
      <c r="I34" s="18">
        <v>2580</v>
      </c>
      <c r="J34" s="18">
        <v>2580</v>
      </c>
      <c r="K34" s="18">
        <v>2580</v>
      </c>
      <c r="L34" s="18">
        <v>2580</v>
      </c>
      <c r="M34" s="18">
        <v>2580</v>
      </c>
      <c r="N34" s="18">
        <v>2580</v>
      </c>
      <c r="O34" s="18">
        <v>2580</v>
      </c>
      <c r="P34" s="18">
        <v>2580</v>
      </c>
      <c r="Q34" s="2"/>
      <c r="R34" s="2"/>
      <c r="S34" s="2"/>
      <c r="T34" s="2"/>
    </row>
    <row r="35" spans="7:20" ht="21" customHeight="1" x14ac:dyDescent="0.25">
      <c r="G35" s="27"/>
      <c r="H35" s="3" t="s">
        <v>51</v>
      </c>
      <c r="I35" s="19">
        <f t="shared" ref="I35:P35" si="5">I33*I34</f>
        <v>732720</v>
      </c>
      <c r="J35" s="19">
        <f t="shared" si="5"/>
        <v>46440</v>
      </c>
      <c r="K35" s="19">
        <f t="shared" si="5"/>
        <v>1271940</v>
      </c>
      <c r="L35" s="19">
        <f t="shared" si="5"/>
        <v>1119720</v>
      </c>
      <c r="M35" s="19">
        <f t="shared" si="5"/>
        <v>72240</v>
      </c>
      <c r="N35" s="19">
        <f t="shared" si="5"/>
        <v>0</v>
      </c>
      <c r="O35" s="19">
        <f t="shared" si="5"/>
        <v>0</v>
      </c>
      <c r="P35" s="19">
        <f t="shared" si="5"/>
        <v>1904040</v>
      </c>
      <c r="Q35" s="2"/>
      <c r="R35" s="2"/>
      <c r="S35" s="2"/>
      <c r="T35" s="2"/>
    </row>
    <row r="36" spans="7:20" ht="21" customHeight="1" x14ac:dyDescent="0.25">
      <c r="G36" s="27"/>
      <c r="H36" s="20" t="s">
        <v>52</v>
      </c>
      <c r="I36" s="19">
        <f>I32-I35</f>
        <v>-82409.16218028462</v>
      </c>
      <c r="J36" s="19">
        <f>J32-J35</f>
        <v>603870.83781971538</v>
      </c>
      <c r="K36" s="19">
        <f>K32-K35</f>
        <v>-621629.16218028462</v>
      </c>
      <c r="L36" s="19">
        <f>L32-L35</f>
        <v>-469409.16218028462</v>
      </c>
      <c r="M36" s="19">
        <f>M32-M35</f>
        <v>578070.83781971538</v>
      </c>
      <c r="N36" s="19">
        <f t="shared" ref="N36:P36" si="6">N32-N35</f>
        <v>650310.83781971538</v>
      </c>
      <c r="O36" s="19">
        <f t="shared" si="6"/>
        <v>650310.83781971538</v>
      </c>
      <c r="P36" s="19">
        <f t="shared" si="6"/>
        <v>-1253729.1621802845</v>
      </c>
      <c r="Q36" s="2"/>
      <c r="R36" s="2"/>
      <c r="S36" s="2"/>
      <c r="T36" s="2"/>
    </row>
    <row r="37" spans="7:20" ht="21" customHeight="1" x14ac:dyDescent="0.25">
      <c r="G37" s="27" t="s">
        <v>3</v>
      </c>
      <c r="H37" s="3" t="s">
        <v>46</v>
      </c>
      <c r="I37" s="5">
        <v>776.95440599727044</v>
      </c>
      <c r="J37" s="5">
        <v>776.95440599727044</v>
      </c>
      <c r="K37" s="5">
        <v>776.95440599727044</v>
      </c>
      <c r="L37" s="5">
        <v>776.95440599727044</v>
      </c>
      <c r="M37" s="5">
        <v>776.95440599727044</v>
      </c>
      <c r="N37" s="5">
        <v>776.95440599727044</v>
      </c>
      <c r="O37" s="5">
        <v>776.95440599727044</v>
      </c>
      <c r="P37" s="5">
        <v>776.95440599727044</v>
      </c>
      <c r="Q37" s="5">
        <v>776.95440599727044</v>
      </c>
      <c r="R37" s="5">
        <v>776.95440599727044</v>
      </c>
      <c r="S37" s="5">
        <v>776.95440599727044</v>
      </c>
      <c r="T37" s="5">
        <v>776.95440599727044</v>
      </c>
    </row>
    <row r="38" spans="7:20" ht="21" customHeight="1" x14ac:dyDescent="0.25">
      <c r="G38" s="27"/>
      <c r="H38" s="3" t="s">
        <v>49</v>
      </c>
      <c r="I38" s="5">
        <v>837</v>
      </c>
      <c r="J38" s="5">
        <v>837</v>
      </c>
      <c r="K38" s="5">
        <v>837</v>
      </c>
      <c r="L38" s="5">
        <v>837</v>
      </c>
      <c r="M38" s="5">
        <v>837</v>
      </c>
      <c r="N38" s="5">
        <v>837</v>
      </c>
      <c r="O38" s="5">
        <v>837</v>
      </c>
      <c r="P38" s="5">
        <v>837</v>
      </c>
      <c r="Q38" s="5">
        <v>837</v>
      </c>
      <c r="R38" s="5">
        <v>837</v>
      </c>
      <c r="S38" s="5">
        <v>837</v>
      </c>
      <c r="T38" s="5">
        <v>837</v>
      </c>
    </row>
    <row r="39" spans="7:20" ht="21" customHeight="1" x14ac:dyDescent="0.25">
      <c r="G39" s="27"/>
      <c r="H39" s="3" t="s">
        <v>47</v>
      </c>
      <c r="I39" s="5">
        <f>I37*I38</f>
        <v>650310.83781971538</v>
      </c>
      <c r="J39" s="5">
        <f>J37*J38</f>
        <v>650310.83781971538</v>
      </c>
      <c r="K39" s="5">
        <f t="shared" ref="K39" si="7">K37*K38</f>
        <v>650310.83781971538</v>
      </c>
      <c r="L39" s="5">
        <f t="shared" ref="L39" si="8">L37*L38</f>
        <v>650310.83781971538</v>
      </c>
      <c r="M39" s="5">
        <f t="shared" ref="M39" si="9">M37*M38</f>
        <v>650310.83781971538</v>
      </c>
      <c r="N39" s="5">
        <f t="shared" ref="N39" si="10">N37*N38</f>
        <v>650310.83781971538</v>
      </c>
      <c r="O39" s="5">
        <f t="shared" ref="O39" si="11">O37*O38</f>
        <v>650310.83781971538</v>
      </c>
      <c r="P39" s="5">
        <f t="shared" ref="P39" si="12">P37*P38</f>
        <v>650310.83781971538</v>
      </c>
      <c r="Q39" s="5">
        <f t="shared" ref="Q39" si="13">Q37*Q38</f>
        <v>650310.83781971538</v>
      </c>
      <c r="R39" s="5">
        <f t="shared" ref="R39" si="14">R37*R38</f>
        <v>650310.83781971538</v>
      </c>
      <c r="S39" s="5">
        <f t="shared" ref="S39" si="15">S37*S38</f>
        <v>650310.83781971538</v>
      </c>
      <c r="T39" s="5">
        <f t="shared" ref="T39" si="16">T37*T38</f>
        <v>650310.83781971538</v>
      </c>
    </row>
    <row r="40" spans="7:20" ht="21" customHeight="1" x14ac:dyDescent="0.25">
      <c r="G40" s="27"/>
      <c r="H40" s="20" t="s">
        <v>48</v>
      </c>
      <c r="I40" s="2">
        <v>838</v>
      </c>
      <c r="J40" s="2">
        <v>644</v>
      </c>
      <c r="K40" s="2">
        <v>638</v>
      </c>
      <c r="L40" s="2">
        <v>614</v>
      </c>
      <c r="M40" s="2">
        <v>376</v>
      </c>
      <c r="N40" s="2">
        <v>394</v>
      </c>
      <c r="O40" s="2">
        <v>354</v>
      </c>
      <c r="P40" s="2">
        <v>490</v>
      </c>
      <c r="Q40" s="2"/>
      <c r="R40" s="2"/>
      <c r="S40" s="2"/>
      <c r="T40" s="2"/>
    </row>
    <row r="41" spans="7:20" ht="21" customHeight="1" x14ac:dyDescent="0.25">
      <c r="G41" s="27"/>
      <c r="H41" s="3" t="s">
        <v>50</v>
      </c>
      <c r="I41" s="18">
        <v>2580</v>
      </c>
      <c r="J41" s="18">
        <v>2580</v>
      </c>
      <c r="K41" s="18">
        <v>2580</v>
      </c>
      <c r="L41" s="18">
        <v>2580</v>
      </c>
      <c r="M41" s="18">
        <v>2580</v>
      </c>
      <c r="N41" s="18">
        <v>2580</v>
      </c>
      <c r="O41" s="18">
        <v>2580</v>
      </c>
      <c r="P41" s="18">
        <v>2580</v>
      </c>
      <c r="Q41" s="2"/>
      <c r="R41" s="2"/>
      <c r="S41" s="2"/>
      <c r="T41" s="2"/>
    </row>
    <row r="42" spans="7:20" ht="21" customHeight="1" x14ac:dyDescent="0.25">
      <c r="G42" s="27"/>
      <c r="H42" s="3" t="s">
        <v>51</v>
      </c>
      <c r="I42" s="19">
        <f t="shared" ref="I42:P42" si="17">I40*I41</f>
        <v>2162040</v>
      </c>
      <c r="J42" s="19">
        <f t="shared" si="17"/>
        <v>1661520</v>
      </c>
      <c r="K42" s="19">
        <f t="shared" si="17"/>
        <v>1646040</v>
      </c>
      <c r="L42" s="19">
        <f t="shared" si="17"/>
        <v>1584120</v>
      </c>
      <c r="M42" s="19">
        <f t="shared" si="17"/>
        <v>970080</v>
      </c>
      <c r="N42" s="19">
        <f t="shared" si="17"/>
        <v>1016520</v>
      </c>
      <c r="O42" s="19">
        <f t="shared" si="17"/>
        <v>913320</v>
      </c>
      <c r="P42" s="19">
        <f t="shared" si="17"/>
        <v>1264200</v>
      </c>
      <c r="Q42" s="2"/>
      <c r="R42" s="2"/>
      <c r="S42" s="2"/>
      <c r="T42" s="2"/>
    </row>
    <row r="43" spans="7:20" ht="21" customHeight="1" x14ac:dyDescent="0.25">
      <c r="G43" s="27"/>
      <c r="H43" s="20" t="s">
        <v>52</v>
      </c>
      <c r="I43" s="19">
        <f t="shared" ref="I43:P43" si="18">I39-I42</f>
        <v>-1511729.1621802845</v>
      </c>
      <c r="J43" s="19">
        <f t="shared" si="18"/>
        <v>-1011209.1621802846</v>
      </c>
      <c r="K43" s="19">
        <f t="shared" si="18"/>
        <v>-995729.16218028462</v>
      </c>
      <c r="L43" s="19">
        <f t="shared" si="18"/>
        <v>-933809.16218028462</v>
      </c>
      <c r="M43" s="19">
        <f t="shared" si="18"/>
        <v>-319769.16218028462</v>
      </c>
      <c r="N43" s="19">
        <f t="shared" si="18"/>
        <v>-366209.16218028462</v>
      </c>
      <c r="O43" s="19">
        <f t="shared" si="18"/>
        <v>-263009.16218028462</v>
      </c>
      <c r="P43" s="19">
        <f t="shared" si="18"/>
        <v>-613889.16218028462</v>
      </c>
      <c r="Q43" s="2"/>
      <c r="R43" s="2"/>
      <c r="S43" s="2"/>
      <c r="T43" s="2"/>
    </row>
    <row r="44" spans="7:20" ht="21" customHeight="1" x14ac:dyDescent="0.25">
      <c r="G44" s="27" t="s">
        <v>20</v>
      </c>
      <c r="H44" s="20" t="s">
        <v>48</v>
      </c>
      <c r="I44" s="2">
        <f>I33+I40</f>
        <v>1122</v>
      </c>
      <c r="J44" s="2">
        <f t="shared" ref="J44:P44" si="19">J33+J40</f>
        <v>662</v>
      </c>
      <c r="K44" s="2">
        <f t="shared" si="19"/>
        <v>1131</v>
      </c>
      <c r="L44" s="2">
        <f t="shared" si="19"/>
        <v>1048</v>
      </c>
      <c r="M44" s="2">
        <f t="shared" si="19"/>
        <v>404</v>
      </c>
      <c r="N44" s="2">
        <f t="shared" si="19"/>
        <v>394</v>
      </c>
      <c r="O44" s="2">
        <f t="shared" si="19"/>
        <v>354</v>
      </c>
      <c r="P44" s="2">
        <f t="shared" si="19"/>
        <v>1228</v>
      </c>
      <c r="Q44" s="2"/>
      <c r="R44" s="2"/>
      <c r="S44" s="2"/>
      <c r="T44" s="2"/>
    </row>
    <row r="45" spans="7:20" ht="21" customHeight="1" x14ac:dyDescent="0.25">
      <c r="G45" s="27"/>
      <c r="H45" s="3" t="s">
        <v>50</v>
      </c>
      <c r="I45" s="19">
        <f t="shared" ref="I45:P45" si="20">I41</f>
        <v>2580</v>
      </c>
      <c r="J45" s="19">
        <f t="shared" si="20"/>
        <v>2580</v>
      </c>
      <c r="K45" s="19">
        <f t="shared" si="20"/>
        <v>2580</v>
      </c>
      <c r="L45" s="19">
        <f t="shared" si="20"/>
        <v>2580</v>
      </c>
      <c r="M45" s="19">
        <f t="shared" si="20"/>
        <v>2580</v>
      </c>
      <c r="N45" s="19">
        <f t="shared" si="20"/>
        <v>2580</v>
      </c>
      <c r="O45" s="19">
        <f t="shared" si="20"/>
        <v>2580</v>
      </c>
      <c r="P45" s="19">
        <f t="shared" si="20"/>
        <v>2580</v>
      </c>
      <c r="Q45" s="2"/>
      <c r="R45" s="2"/>
      <c r="S45" s="2"/>
      <c r="T45" s="2"/>
    </row>
    <row r="46" spans="7:20" ht="21" customHeight="1" x14ac:dyDescent="0.25">
      <c r="G46" s="27"/>
      <c r="H46" s="3" t="s">
        <v>51</v>
      </c>
      <c r="I46" s="19">
        <f t="shared" ref="I46:N46" si="21">I39+I42</f>
        <v>2812350.8378197155</v>
      </c>
      <c r="J46" s="19">
        <f t="shared" si="21"/>
        <v>2311830.8378197155</v>
      </c>
      <c r="K46" s="19">
        <f t="shared" si="21"/>
        <v>2296350.8378197155</v>
      </c>
      <c r="L46" s="19">
        <f t="shared" si="21"/>
        <v>2234430.8378197155</v>
      </c>
      <c r="M46" s="19">
        <f t="shared" si="21"/>
        <v>1620390.8378197155</v>
      </c>
      <c r="N46" s="19">
        <f t="shared" si="21"/>
        <v>1666830.8378197155</v>
      </c>
      <c r="O46" s="19">
        <f>O39+O42</f>
        <v>1563630.8378197155</v>
      </c>
      <c r="P46" s="19">
        <f>P39+P42</f>
        <v>1914510.8378197155</v>
      </c>
      <c r="Q46" s="2"/>
      <c r="R46" s="2"/>
      <c r="S46" s="2"/>
      <c r="T46" s="2"/>
    </row>
    <row r="47" spans="7:20" ht="21" customHeight="1" x14ac:dyDescent="0.25">
      <c r="G47" s="27"/>
      <c r="H47" s="20" t="s">
        <v>52</v>
      </c>
      <c r="I47" s="19">
        <f t="shared" ref="I47:P47" si="22">-I36-I43</f>
        <v>1594138.324360569</v>
      </c>
      <c r="J47" s="19">
        <f t="shared" si="22"/>
        <v>407338.32436056924</v>
      </c>
      <c r="K47" s="19">
        <f t="shared" si="22"/>
        <v>1617358.3243605692</v>
      </c>
      <c r="L47" s="19">
        <f t="shared" si="22"/>
        <v>1403218.3243605692</v>
      </c>
      <c r="M47" s="19">
        <f t="shared" si="22"/>
        <v>-258301.67563943076</v>
      </c>
      <c r="N47" s="19">
        <f t="shared" si="22"/>
        <v>-284101.67563943076</v>
      </c>
      <c r="O47" s="19">
        <f t="shared" si="22"/>
        <v>-387301.67563943076</v>
      </c>
      <c r="P47" s="19">
        <f t="shared" si="22"/>
        <v>1867618.324360569</v>
      </c>
      <c r="Q47" s="2"/>
      <c r="R47" s="2"/>
      <c r="S47" s="2"/>
      <c r="T47" s="2"/>
    </row>
    <row r="49" spans="10:10" x14ac:dyDescent="0.25">
      <c r="J49" s="26"/>
    </row>
  </sheetData>
  <mergeCells count="25">
    <mergeCell ref="I11:O11"/>
    <mergeCell ref="I12:O12"/>
    <mergeCell ref="I13:O13"/>
    <mergeCell ref="I26:O26"/>
    <mergeCell ref="I19:O19"/>
    <mergeCell ref="I20:O20"/>
    <mergeCell ref="I21:O21"/>
    <mergeCell ref="I14:O14"/>
    <mergeCell ref="I15:O15"/>
    <mergeCell ref="G37:G43"/>
    <mergeCell ref="G44:G47"/>
    <mergeCell ref="B2:O3"/>
    <mergeCell ref="I6:O6"/>
    <mergeCell ref="E8:E10"/>
    <mergeCell ref="B4:E4"/>
    <mergeCell ref="E15:E17"/>
    <mergeCell ref="I28:T28"/>
    <mergeCell ref="G30:G36"/>
    <mergeCell ref="I22:O22"/>
    <mergeCell ref="I23:O23"/>
    <mergeCell ref="G8:G15"/>
    <mergeCell ref="G16:G23"/>
    <mergeCell ref="I24:O24"/>
    <mergeCell ref="I25:O25"/>
    <mergeCell ref="G24:G26"/>
  </mergeCells>
  <pageMargins left="0.2" right="0" top="0.25" bottom="0" header="0.3" footer="0.3"/>
  <pageSetup paperSize="9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2020-03-05T03:19:42Z</dcterms:modified>
</cp:coreProperties>
</file>