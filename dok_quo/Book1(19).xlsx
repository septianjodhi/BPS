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62.126.177\sharing sami-130\QA SAMI-30\2. QA-ADMIN\6. BUDGET\Term 83\KONTROL BUDGET TERM 83\"/>
    </mc:Choice>
  </mc:AlternateContent>
  <xr:revisionPtr revIDLastSave="0" documentId="13_ncr:1_{5210E431-6365-4855-9E7B-409E96A1DB7E}" xr6:coauthVersionLast="47" xr6:coauthVersionMax="47" xr10:uidLastSave="{00000000-0000-0000-0000-000000000000}"/>
  <bookViews>
    <workbookView xWindow="-120" yWindow="-120" windowWidth="24240" windowHeight="13140" xr2:uid="{47392088-A46F-4ED1-A0AC-282D509B220A}"/>
  </bookViews>
  <sheets>
    <sheet name="USAGE" sheetId="1" r:id="rId1"/>
  </sheets>
  <definedNames>
    <definedName name="_xlnm.Print_Area" localSheetId="0">USAGE!$B$1:$AG$54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4" i="1" l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9" i="1"/>
  <c r="AH20" i="1"/>
  <c r="AH21" i="1"/>
  <c r="AH22" i="1"/>
  <c r="AH23" i="1"/>
  <c r="AH24" i="1"/>
  <c r="AH25" i="1"/>
  <c r="AH26" i="1"/>
  <c r="AH31" i="1"/>
  <c r="AH32" i="1"/>
  <c r="AH33" i="1"/>
  <c r="AH34" i="1"/>
  <c r="AH36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D51" i="1" s="1"/>
  <c r="AH52" i="1"/>
  <c r="AD52" i="1" s="1"/>
  <c r="AH53" i="1"/>
  <c r="AD53" i="1" s="1"/>
  <c r="AH56" i="1"/>
  <c r="AH57" i="1"/>
  <c r="AH58" i="1"/>
  <c r="AH59" i="1"/>
  <c r="AH60" i="1"/>
  <c r="AH61" i="1"/>
  <c r="AD61" i="1" s="1"/>
  <c r="AH62" i="1"/>
  <c r="AH63" i="1"/>
  <c r="AH64" i="1"/>
  <c r="AH65" i="1"/>
  <c r="AH66" i="1"/>
  <c r="AD66" i="1" s="1"/>
  <c r="AH67" i="1"/>
  <c r="AD67" i="1" s="1"/>
  <c r="AH68" i="1"/>
  <c r="AD68" i="1" s="1"/>
  <c r="AD9" i="1"/>
  <c r="AG23" i="1"/>
  <c r="AD23" i="1" s="1"/>
  <c r="AF23" i="1"/>
  <c r="AC23" i="1"/>
  <c r="AE23" i="1" s="1"/>
  <c r="AG22" i="1"/>
  <c r="AD22" i="1" s="1"/>
  <c r="AF22" i="1"/>
  <c r="AC22" i="1"/>
  <c r="AE22" i="1" s="1"/>
  <c r="AA3" i="1"/>
  <c r="Z3" i="1"/>
  <c r="Y3" i="1"/>
  <c r="AH3" i="1" s="1"/>
  <c r="AG68" i="1"/>
  <c r="AF68" i="1"/>
  <c r="AC68" i="1"/>
  <c r="AE68" i="1" s="1"/>
  <c r="AG67" i="1"/>
  <c r="AF67" i="1"/>
  <c r="AC67" i="1"/>
  <c r="AE67" i="1" s="1"/>
  <c r="AG11" i="1"/>
  <c r="AD11" i="1" s="1"/>
  <c r="AF11" i="1"/>
  <c r="AC11" i="1"/>
  <c r="AE11" i="1" s="1"/>
  <c r="AG66" i="1"/>
  <c r="AF66" i="1"/>
  <c r="AC66" i="1"/>
  <c r="AE66" i="1" s="1"/>
  <c r="AD65" i="1"/>
  <c r="AG65" i="1"/>
  <c r="AF65" i="1"/>
  <c r="AC65" i="1"/>
  <c r="AE65" i="1" s="1"/>
  <c r="K65" i="1"/>
  <c r="I65" i="1"/>
  <c r="G65" i="1"/>
  <c r="AD64" i="1"/>
  <c r="AG64" i="1"/>
  <c r="AF64" i="1"/>
  <c r="AC64" i="1"/>
  <c r="AE64" i="1" s="1"/>
  <c r="AD63" i="1"/>
  <c r="AG63" i="1"/>
  <c r="AF63" i="1"/>
  <c r="AC63" i="1"/>
  <c r="AE63" i="1" s="1"/>
  <c r="AG25" i="1"/>
  <c r="AD25" i="1" s="1"/>
  <c r="AF25" i="1"/>
  <c r="AC25" i="1"/>
  <c r="AE25" i="1" s="1"/>
  <c r="AG24" i="1"/>
  <c r="AD24" i="1" s="1"/>
  <c r="AF24" i="1"/>
  <c r="AC24" i="1"/>
  <c r="AE24" i="1" s="1"/>
  <c r="AG8" i="1"/>
  <c r="AD8" i="1" s="1"/>
  <c r="AF8" i="1"/>
  <c r="AC8" i="1"/>
  <c r="AE8" i="1" s="1"/>
  <c r="AD62" i="1"/>
  <c r="AG62" i="1"/>
  <c r="AF62" i="1"/>
  <c r="AC62" i="1"/>
  <c r="AE62" i="1" s="1"/>
  <c r="M62" i="1"/>
  <c r="AG61" i="1"/>
  <c r="AF61" i="1"/>
  <c r="AC61" i="1"/>
  <c r="AE61" i="1" s="1"/>
  <c r="AG33" i="1"/>
  <c r="AD33" i="1" s="1"/>
  <c r="AF33" i="1"/>
  <c r="AC33" i="1"/>
  <c r="AE33" i="1" s="1"/>
  <c r="AD60" i="1"/>
  <c r="AG60" i="1"/>
  <c r="AF60" i="1"/>
  <c r="AC60" i="1"/>
  <c r="AE60" i="1" s="1"/>
  <c r="AG26" i="1"/>
  <c r="AD26" i="1" s="1"/>
  <c r="AF26" i="1"/>
  <c r="AC26" i="1"/>
  <c r="AE26" i="1" s="1"/>
  <c r="AD59" i="1"/>
  <c r="AG59" i="1"/>
  <c r="AF59" i="1"/>
  <c r="AC59" i="1"/>
  <c r="AE59" i="1" s="1"/>
  <c r="AG32" i="1"/>
  <c r="AD32" i="1" s="1"/>
  <c r="AF32" i="1"/>
  <c r="AC32" i="1"/>
  <c r="AE32" i="1" s="1"/>
  <c r="AD58" i="1"/>
  <c r="AG58" i="1"/>
  <c r="AF58" i="1"/>
  <c r="AC58" i="1"/>
  <c r="AE58" i="1" s="1"/>
  <c r="AD57" i="1"/>
  <c r="AG57" i="1"/>
  <c r="AF57" i="1"/>
  <c r="AC57" i="1"/>
  <c r="AE57" i="1" s="1"/>
  <c r="AD56" i="1"/>
  <c r="AG56" i="1"/>
  <c r="AF56" i="1"/>
  <c r="AC56" i="1"/>
  <c r="AE56" i="1" s="1"/>
  <c r="AG31" i="1"/>
  <c r="AD31" i="1" s="1"/>
  <c r="AF31" i="1"/>
  <c r="AC31" i="1"/>
  <c r="AE31" i="1" s="1"/>
  <c r="AB55" i="1"/>
  <c r="AA55" i="1"/>
  <c r="Y55" i="1"/>
  <c r="AH55" i="1" s="1"/>
  <c r="X55" i="1"/>
  <c r="W55" i="1"/>
  <c r="T55" i="1"/>
  <c r="S55" i="1"/>
  <c r="R55" i="1"/>
  <c r="Q55" i="1"/>
  <c r="O55" i="1"/>
  <c r="N55" i="1"/>
  <c r="M55" i="1"/>
  <c r="L55" i="1"/>
  <c r="K55" i="1"/>
  <c r="AA29" i="1"/>
  <c r="Z29" i="1"/>
  <c r="Y29" i="1"/>
  <c r="AH29" i="1" s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AB35" i="1"/>
  <c r="AA35" i="1"/>
  <c r="Y35" i="1"/>
  <c r="AH35" i="1" s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AB30" i="1"/>
  <c r="AA30" i="1"/>
  <c r="Z30" i="1"/>
  <c r="Y30" i="1"/>
  <c r="AH30" i="1" s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Y54" i="1"/>
  <c r="AC54" i="1" s="1"/>
  <c r="AE54" i="1" s="1"/>
  <c r="X54" i="1"/>
  <c r="W54" i="1"/>
  <c r="V54" i="1"/>
  <c r="U54" i="1"/>
  <c r="T54" i="1"/>
  <c r="S54" i="1"/>
  <c r="Q54" i="1"/>
  <c r="O54" i="1"/>
  <c r="N54" i="1"/>
  <c r="M54" i="1"/>
  <c r="L54" i="1"/>
  <c r="AB28" i="1"/>
  <c r="AA28" i="1"/>
  <c r="Z28" i="1"/>
  <c r="Y28" i="1"/>
  <c r="AH28" i="1" s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AB27" i="1"/>
  <c r="AA27" i="1"/>
  <c r="Z27" i="1"/>
  <c r="Y27" i="1"/>
  <c r="AH27" i="1" s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AG20" i="1"/>
  <c r="AD20" i="1" s="1"/>
  <c r="AF20" i="1"/>
  <c r="AC20" i="1"/>
  <c r="AE20" i="1" s="1"/>
  <c r="AG12" i="1"/>
  <c r="AD12" i="1" s="1"/>
  <c r="AF12" i="1"/>
  <c r="AC12" i="1"/>
  <c r="AE12" i="1" s="1"/>
  <c r="AG13" i="1"/>
  <c r="AD13" i="1" s="1"/>
  <c r="AF13" i="1"/>
  <c r="AC13" i="1"/>
  <c r="AE13" i="1" s="1"/>
  <c r="AG53" i="1"/>
  <c r="AF53" i="1"/>
  <c r="AC53" i="1"/>
  <c r="AE53" i="1" s="1"/>
  <c r="AG9" i="1"/>
  <c r="AF9" i="1"/>
  <c r="AC9" i="1"/>
  <c r="AE9" i="1" s="1"/>
  <c r="AG7" i="1"/>
  <c r="AD7" i="1" s="1"/>
  <c r="AF7" i="1"/>
  <c r="AC7" i="1"/>
  <c r="AE7" i="1" s="1"/>
  <c r="AG15" i="1"/>
  <c r="AD15" i="1" s="1"/>
  <c r="AF15" i="1"/>
  <c r="AC15" i="1"/>
  <c r="AE15" i="1" s="1"/>
  <c r="X15" i="1"/>
  <c r="W15" i="1"/>
  <c r="V15" i="1"/>
  <c r="S15" i="1"/>
  <c r="AG14" i="1"/>
  <c r="AD14" i="1" s="1"/>
  <c r="AF14" i="1"/>
  <c r="AC14" i="1"/>
  <c r="AE14" i="1" s="1"/>
  <c r="AG52" i="1"/>
  <c r="AF52" i="1"/>
  <c r="AC52" i="1"/>
  <c r="AE52" i="1" s="1"/>
  <c r="AG51" i="1"/>
  <c r="AF51" i="1"/>
  <c r="AC51" i="1"/>
  <c r="AE51" i="1" s="1"/>
  <c r="AG16" i="1"/>
  <c r="AD16" i="1" s="1"/>
  <c r="AF16" i="1"/>
  <c r="AC16" i="1"/>
  <c r="AE16" i="1" s="1"/>
  <c r="AG6" i="1"/>
  <c r="AD6" i="1" s="1"/>
  <c r="AF6" i="1"/>
  <c r="AC6" i="1"/>
  <c r="AE6" i="1" s="1"/>
  <c r="AG21" i="1"/>
  <c r="AD21" i="1" s="1"/>
  <c r="AF21" i="1"/>
  <c r="AC21" i="1"/>
  <c r="AE21" i="1" s="1"/>
  <c r="AD50" i="1"/>
  <c r="AG50" i="1"/>
  <c r="AF50" i="1"/>
  <c r="AC50" i="1"/>
  <c r="AE50" i="1" s="1"/>
  <c r="AD49" i="1"/>
  <c r="AG49" i="1"/>
  <c r="AF49" i="1"/>
  <c r="AC49" i="1"/>
  <c r="AE49" i="1" s="1"/>
  <c r="AG4" i="1"/>
  <c r="AD4" i="1" s="1"/>
  <c r="AF4" i="1"/>
  <c r="AC4" i="1"/>
  <c r="AE4" i="1" s="1"/>
  <c r="H4" i="1"/>
  <c r="G4" i="1"/>
  <c r="F4" i="1"/>
  <c r="AB3" i="1"/>
  <c r="X3" i="1"/>
  <c r="W3" i="1"/>
  <c r="V3" i="1"/>
  <c r="U3" i="1"/>
  <c r="T3" i="1"/>
  <c r="S3" i="1"/>
  <c r="R3" i="1"/>
  <c r="Q3" i="1"/>
  <c r="AD48" i="1"/>
  <c r="AG48" i="1"/>
  <c r="AF48" i="1"/>
  <c r="AC48" i="1"/>
  <c r="AE48" i="1" s="1"/>
  <c r="AG10" i="1"/>
  <c r="AD10" i="1" s="1"/>
  <c r="AF10" i="1"/>
  <c r="AC10" i="1"/>
  <c r="AE10" i="1" s="1"/>
  <c r="AG5" i="1"/>
  <c r="AD5" i="1" s="1"/>
  <c r="AF5" i="1"/>
  <c r="AC5" i="1"/>
  <c r="AE5" i="1" s="1"/>
  <c r="AA18" i="1"/>
  <c r="AH18" i="1" s="1"/>
  <c r="Z18" i="1"/>
  <c r="V18" i="1"/>
  <c r="S18" i="1"/>
  <c r="R18" i="1"/>
  <c r="Q18" i="1"/>
  <c r="AG19" i="1"/>
  <c r="AD19" i="1" s="1"/>
  <c r="AF19" i="1"/>
  <c r="AC19" i="1"/>
  <c r="AE19" i="1" s="1"/>
  <c r="AG17" i="1"/>
  <c r="AD17" i="1" s="1"/>
  <c r="AF17" i="1"/>
  <c r="AC17" i="1"/>
  <c r="AE17" i="1" s="1"/>
  <c r="AD47" i="1"/>
  <c r="AG47" i="1"/>
  <c r="AF47" i="1"/>
  <c r="AC47" i="1"/>
  <c r="AE47" i="1" s="1"/>
  <c r="AG34" i="1"/>
  <c r="AD34" i="1" s="1"/>
  <c r="AF34" i="1"/>
  <c r="AC34" i="1"/>
  <c r="AE34" i="1" s="1"/>
  <c r="AD46" i="1"/>
  <c r="AG46" i="1"/>
  <c r="AF46" i="1"/>
  <c r="AC46" i="1"/>
  <c r="AE46" i="1" s="1"/>
  <c r="AD45" i="1"/>
  <c r="AG45" i="1"/>
  <c r="AF45" i="1"/>
  <c r="AC45" i="1"/>
  <c r="AE45" i="1" s="1"/>
  <c r="AD44" i="1"/>
  <c r="AG44" i="1"/>
  <c r="AF44" i="1"/>
  <c r="AC44" i="1"/>
  <c r="AE44" i="1" s="1"/>
  <c r="AD43" i="1"/>
  <c r="AG43" i="1"/>
  <c r="AF43" i="1"/>
  <c r="AC43" i="1"/>
  <c r="AE43" i="1" s="1"/>
  <c r="AG36" i="1"/>
  <c r="AD36" i="1" s="1"/>
  <c r="AF36" i="1"/>
  <c r="AC36" i="1"/>
  <c r="AE36" i="1" s="1"/>
  <c r="AD42" i="1"/>
  <c r="AG42" i="1"/>
  <c r="AF42" i="1"/>
  <c r="AC42" i="1"/>
  <c r="AE42" i="1" s="1"/>
  <c r="AD41" i="1"/>
  <c r="AG41" i="1"/>
  <c r="AF41" i="1"/>
  <c r="AC41" i="1"/>
  <c r="AE41" i="1" s="1"/>
  <c r="AD40" i="1"/>
  <c r="AG40" i="1"/>
  <c r="AF40" i="1"/>
  <c r="AC40" i="1"/>
  <c r="AE40" i="1" s="1"/>
  <c r="AC3" i="1" l="1"/>
  <c r="AE3" i="1" s="1"/>
  <c r="AH54" i="1"/>
  <c r="AG3" i="1"/>
  <c r="AD3" i="1" s="1"/>
  <c r="AF35" i="1"/>
  <c r="AC35" i="1"/>
  <c r="AE35" i="1" s="1"/>
  <c r="AC55" i="1"/>
  <c r="AE55" i="1" s="1"/>
  <c r="AG30" i="1"/>
  <c r="AD30" i="1" s="1"/>
  <c r="AG28" i="1"/>
  <c r="AD28" i="1" s="1"/>
  <c r="AC29" i="1"/>
  <c r="AE29" i="1" s="1"/>
  <c r="AG55" i="1"/>
  <c r="AF55" i="1"/>
  <c r="AF29" i="1"/>
  <c r="AD55" i="1"/>
  <c r="AF27" i="1"/>
  <c r="AC28" i="1"/>
  <c r="AE28" i="1" s="1"/>
  <c r="AF28" i="1"/>
  <c r="AC18" i="1"/>
  <c r="AE18" i="1" s="1"/>
  <c r="AF54" i="1"/>
  <c r="AG35" i="1"/>
  <c r="AD35" i="1" s="1"/>
  <c r="AG54" i="1"/>
  <c r="AD54" i="1"/>
  <c r="AF18" i="1"/>
  <c r="AC27" i="1"/>
  <c r="AE27" i="1" s="1"/>
  <c r="AG18" i="1"/>
  <c r="AD18" i="1" s="1"/>
  <c r="AC30" i="1"/>
  <c r="AE30" i="1" s="1"/>
  <c r="AF3" i="1"/>
  <c r="AG27" i="1"/>
  <c r="AD27" i="1" s="1"/>
  <c r="AG29" i="1"/>
  <c r="AD29" i="1" s="1"/>
  <c r="AF30" i="1"/>
</calcChain>
</file>

<file path=xl/sharedStrings.xml><?xml version="1.0" encoding="utf-8"?>
<sst xmlns="http://schemas.openxmlformats.org/spreadsheetml/2006/main" count="195" uniqueCount="155">
  <si>
    <t>NO ACCOUNT</t>
  </si>
  <si>
    <t>PART NO</t>
  </si>
  <si>
    <t>PART NAME</t>
  </si>
  <si>
    <t>DETAIL PART NAME</t>
  </si>
  <si>
    <t>TOTAL USAGE</t>
  </si>
  <si>
    <t>SAFETY STOCK</t>
  </si>
  <si>
    <t>AVERAGE USAGE</t>
  </si>
  <si>
    <t>MIN</t>
  </si>
  <si>
    <t>MAX</t>
  </si>
  <si>
    <t>LARGE, 2</t>
  </si>
  <si>
    <t>CSB003</t>
  </si>
  <si>
    <t>AMPLAS</t>
  </si>
  <si>
    <t>AMPLAS DUCO C100</t>
  </si>
  <si>
    <t>CSB004</t>
  </si>
  <si>
    <t>AMPLAS DUCO C1000</t>
  </si>
  <si>
    <t>CSB093</t>
  </si>
  <si>
    <t>BAHAN BERBAHAYA</t>
  </si>
  <si>
    <t>BAHAN BERBAHAYA POTASSIUM DICHROMATE K2Cr2O7</t>
  </si>
  <si>
    <t>CSB099</t>
  </si>
  <si>
    <t>BAHAN BERBAHAYA SULFURIC ACID H2SO4</t>
  </si>
  <si>
    <t>TANG004</t>
  </si>
  <si>
    <t>TANG</t>
  </si>
  <si>
    <t>TANG POTONG GRIPS 233.20.001 CABLE SHEARS-165 MM KNIPEX</t>
  </si>
  <si>
    <t>TANG003</t>
  </si>
  <si>
    <t>TANG POTONG 6 INCH SELLERY 88-566</t>
  </si>
  <si>
    <t>TANG005</t>
  </si>
  <si>
    <t>TANG TARIK 5 INCH SELLERY 88-536</t>
  </si>
  <si>
    <t>ARN053</t>
  </si>
  <si>
    <t>ATRIBUT SERAGAM</t>
  </si>
  <si>
    <t>ATRIBUT SERAGAM CELEMEK REMOVEL TOOL</t>
  </si>
  <si>
    <t>TOL102</t>
  </si>
  <si>
    <t>GEMBOK</t>
  </si>
  <si>
    <t>GEMBOK GEMBOK SEDANG</t>
  </si>
  <si>
    <t>ARN033</t>
  </si>
  <si>
    <t>PITA</t>
  </si>
  <si>
    <t>PITA MERAH BESAR</t>
  </si>
  <si>
    <t>PTK210</t>
  </si>
  <si>
    <t>AMPLOP</t>
  </si>
  <si>
    <t>AMPLOP AMPLOP COKLAT BESAR TAMPA KOP</t>
  </si>
  <si>
    <t>act usage di line</t>
  </si>
  <si>
    <t>ATK120</t>
  </si>
  <si>
    <t>BOARD MARKER</t>
  </si>
  <si>
    <t>BOARD MARKER ARTLINE 157 R</t>
  </si>
  <si>
    <t>ATK140</t>
  </si>
  <si>
    <t>SPIDOL</t>
  </si>
  <si>
    <t>SPIDOL ARTLINE 853 OVERHEAD PROJECTION MARKER</t>
  </si>
  <si>
    <t>ATK125</t>
  </si>
  <si>
    <t>MARKER</t>
  </si>
  <si>
    <t>MARKER PERMANENT MARKER AL 70</t>
  </si>
  <si>
    <t>ATK024</t>
  </si>
  <si>
    <t>BALLPOINT</t>
  </si>
  <si>
    <t>BALLPOINT SNOWMAN V7</t>
  </si>
  <si>
    <t>ATK056</t>
  </si>
  <si>
    <t>ISI BALLPOINT</t>
  </si>
  <si>
    <t>ISI BALLPOINT SNOWMAN V1V2</t>
  </si>
  <si>
    <t>ATK001</t>
  </si>
  <si>
    <t>KERTAS</t>
  </si>
  <si>
    <t>KERTAS A3</t>
  </si>
  <si>
    <t>ATK002</t>
  </si>
  <si>
    <t>KERTAS A4 70 GR</t>
  </si>
  <si>
    <t>ATK004</t>
  </si>
  <si>
    <t>KERTAS A4 70 GR WARNA</t>
  </si>
  <si>
    <t>ATK034</t>
  </si>
  <si>
    <t>BUKU</t>
  </si>
  <si>
    <t>BUKU FOLIO 100 PPL</t>
  </si>
  <si>
    <t>ATK038</t>
  </si>
  <si>
    <t>BUKU OKTAVO 100 PPL</t>
  </si>
  <si>
    <t>ATK039</t>
  </si>
  <si>
    <t>BUKU QUARTO 100 PPL</t>
  </si>
  <si>
    <t>ATK041</t>
  </si>
  <si>
    <t>BUKU BUKU SAKU</t>
  </si>
  <si>
    <t>ATK111</t>
  </si>
  <si>
    <t>STABILO</t>
  </si>
  <si>
    <t>STABILO BOSS</t>
  </si>
  <si>
    <t>ATK087</t>
  </si>
  <si>
    <t>PENGHAPUS</t>
  </si>
  <si>
    <t>PENGHAPUS KECIL STAEDLER</t>
  </si>
  <si>
    <t>ATK094</t>
  </si>
  <si>
    <t>POST IT</t>
  </si>
  <si>
    <t>POST IT POST IT 653</t>
  </si>
  <si>
    <t>ATK092</t>
  </si>
  <si>
    <t>POCKET TOP</t>
  </si>
  <si>
    <t>POCKET TOP 2036 ( PORTRAIT )</t>
  </si>
  <si>
    <t>ATK093</t>
  </si>
  <si>
    <t>POCKET TOP A4 VTEC</t>
  </si>
  <si>
    <t>ATK043</t>
  </si>
  <si>
    <t>CLIP</t>
  </si>
  <si>
    <t>CLIP BANTEX PLASTIK 8850</t>
  </si>
  <si>
    <t>ATK051</t>
  </si>
  <si>
    <t>DOUBLE TAPE</t>
  </si>
  <si>
    <t>DOUBLE TAPE DOUBLE TAPE 1/2 ins NACHI</t>
  </si>
  <si>
    <t>ATK052</t>
  </si>
  <si>
    <t>DOUBLE TAPE HIJAU</t>
  </si>
  <si>
    <t>ATK081</t>
  </si>
  <si>
    <t>MIKA LAMINATING</t>
  </si>
  <si>
    <t>MIKA LAMINATING TOHO</t>
  </si>
  <si>
    <t>ATK064</t>
  </si>
  <si>
    <t>ISOLASI</t>
  </si>
  <si>
    <t>ISOLASI 0.5 INS X 25 NACHI</t>
  </si>
  <si>
    <t>ATK155</t>
  </si>
  <si>
    <t>LAKBAN</t>
  </si>
  <si>
    <t>LAKBAN OPP TAPE SIZE 48MM X 45MIC X 72Y BENING</t>
  </si>
  <si>
    <t>PTK013</t>
  </si>
  <si>
    <t>CHEKCSHEET</t>
  </si>
  <si>
    <t>CHEKCSHEET C/S CROSS SECTION BURAM</t>
  </si>
  <si>
    <t>PTK023</t>
  </si>
  <si>
    <t>CHEKCSHEET C/S ON GOING BURAM</t>
  </si>
  <si>
    <t>PTK033</t>
  </si>
  <si>
    <t>CHEKCSHEET C/S SET UP BURAM</t>
  </si>
  <si>
    <t>PTK043</t>
  </si>
  <si>
    <t>CHEKCSHEET C/S VOLTAGE TEST BURAM</t>
  </si>
  <si>
    <t>PTK216</t>
  </si>
  <si>
    <t>CHEKCSHEET C/S END TO END BURAM</t>
  </si>
  <si>
    <t>PTK034</t>
  </si>
  <si>
    <t>CHEKCSHEET C/S JOINT BONDER BURAM</t>
  </si>
  <si>
    <t>PTK217</t>
  </si>
  <si>
    <t>CHEKCSHEET C/S BONDING CRIMPING BURAM</t>
  </si>
  <si>
    <t>PTK132</t>
  </si>
  <si>
    <t>STICKER</t>
  </si>
  <si>
    <t>STICKER DEFECTIVE TAG F/A</t>
  </si>
  <si>
    <t>STICKER DEFECTIVE TAG F/A copy</t>
  </si>
  <si>
    <t>PTK133</t>
  </si>
  <si>
    <t>STICKER DEFECTIVE TAG P/A</t>
  </si>
  <si>
    <t>STICKER DEFECTIVE TAG P/A copy</t>
  </si>
  <si>
    <t>PTK136</t>
  </si>
  <si>
    <t>STICKER GOOD JOB NUMBER</t>
  </si>
  <si>
    <r>
      <t xml:space="preserve">STICKER GOOD JOB NUMBER </t>
    </r>
    <r>
      <rPr>
        <sz val="8"/>
        <color rgb="FFFF0000"/>
        <rFont val="Calibri"/>
        <family val="2"/>
        <scheme val="minor"/>
      </rPr>
      <t>print</t>
    </r>
  </si>
  <si>
    <t>PCG034</t>
  </si>
  <si>
    <t>PLASTIK</t>
  </si>
  <si>
    <t>PLASTIK PLASTIK IMPORTANT POINT 90MM X 90MM</t>
  </si>
  <si>
    <t>PCG021</t>
  </si>
  <si>
    <t>PLASTIK KANBAN JOINT</t>
  </si>
  <si>
    <t>PTK147</t>
  </si>
  <si>
    <t>STICKER R-S</t>
  </si>
  <si>
    <r>
      <t xml:space="preserve">STICKER R-S </t>
    </r>
    <r>
      <rPr>
        <sz val="8"/>
        <color rgb="FFFF0000"/>
        <rFont val="Calibri"/>
        <family val="2"/>
        <scheme val="minor"/>
      </rPr>
      <t>print</t>
    </r>
  </si>
  <si>
    <t>ATK045</t>
  </si>
  <si>
    <t>CLIPBOARD</t>
  </si>
  <si>
    <t>ELC309</t>
  </si>
  <si>
    <t>BATERAI</t>
  </si>
  <si>
    <t>BATERAI SENTER LED SWAT</t>
  </si>
  <si>
    <t>ELC308</t>
  </si>
  <si>
    <t>SENTER</t>
  </si>
  <si>
    <t>SENTER LED SWAT</t>
  </si>
  <si>
    <t>lampu led</t>
  </si>
  <si>
    <t>adaptor</t>
  </si>
  <si>
    <t>49YC000995</t>
  </si>
  <si>
    <t>GONOGO</t>
  </si>
  <si>
    <t>PUSH PIN MERAH</t>
  </si>
  <si>
    <t>CSB113</t>
  </si>
  <si>
    <t>BAHAN BERBAHAYA MALAM</t>
  </si>
  <si>
    <t>ATK057</t>
  </si>
  <si>
    <t>ISI CUTTER</t>
  </si>
  <si>
    <t>ISI CUTTER BESAR</t>
  </si>
  <si>
    <t>BATERAI A2 ABC ALKALINE</t>
  </si>
  <si>
    <t>BATERAI A3 ABC ALKALINE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</si>
</sst>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27">
    <xf numFmtId="0" fontId="0" fillId="0" borderId="0" xfId="0"/>
    <xf numFmtId="0" fontId="5" fillId="2" borderId="1" xfId="2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2" borderId="1" xfId="2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5" fillId="2" borderId="5" xfId="2" applyFont="1" applyFill="1" applyBorder="1" applyAlignment="1" applyProtection="1">
      <alignment horizontal="center" vertical="center"/>
      <protection locked="0"/>
    </xf>
    <xf numFmtId="0" fontId="3" fillId="3" borderId="6" xfId="0" applyFont="1" applyFill="1" applyBorder="1" applyAlignment="1">
      <alignment horizontal="center" vertical="center"/>
    </xf>
    <xf numFmtId="0" fontId="5" fillId="2" borderId="5" xfId="2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64" fontId="0" fillId="0" borderId="6" xfId="1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3" fontId="0" fillId="0" borderId="6" xfId="1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6" fillId="0" borderId="6" xfId="2" applyFont="1" applyBorder="1" applyAlignment="1" applyProtection="1">
      <alignment horizontal="left" vertical="center"/>
      <protection locked="0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6" xfId="2" applyFont="1" applyBorder="1" applyAlignment="1" applyProtection="1">
      <alignment horizontal="left" vertical="center"/>
      <protection locked="0"/>
    </xf>
    <xf numFmtId="164" fontId="2" fillId="0" borderId="6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8" fillId="0" borderId="6" xfId="1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</cellXfs>
  <cellStyles count="3">
    <cellStyle name="Comma" xfId="1" builtinId="3"/>
    <cellStyle name="Normal" xfId="0" builtinId="0"/>
    <cellStyle name="Normal 12" xfId="2" xr:uid="{88CB9875-0E65-4830-B397-6252DBF5AA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43841-5086-44DC-8D3C-F00412E6B51C}">
  <sheetPr>
    <tabColor rgb="FF00B0F0"/>
    <pageSetUpPr fitToPage="1"/>
  </sheetPr>
  <dimension ref="A1:AH154"/>
  <sheetViews>
    <sheetView tabSelected="1" workbookViewId="0">
      <pane xSplit="4" ySplit="2" topLeftCell="Q9" activePane="bottomRight" state="frozen"/>
      <selection pane="topRight" activeCell="E1" sqref="E1"/>
      <selection pane="bottomLeft" activeCell="A3" sqref="A3"/>
      <selection pane="bottomRight" activeCell="AF29" sqref="AF29"/>
    </sheetView>
  </sheetViews>
  <sheetFormatPr defaultColWidth="9.140625" defaultRowHeight="15" x14ac:dyDescent="0.25"/>
  <cols>
    <col min="1" max="1" width="11.7109375" style="6" bestFit="1" customWidth="1"/>
    <col min="2" max="2" width="11.140625" style="6" bestFit="1" customWidth="1"/>
    <col min="3" max="3" width="19.140625" style="6" bestFit="1" customWidth="1"/>
    <col min="4" max="4" width="39.85546875" style="6" bestFit="1" customWidth="1"/>
    <col min="5" max="9" width="9.5703125" style="6" hidden="1" customWidth="1"/>
    <col min="10" max="24" width="0" style="6" hidden="1" customWidth="1"/>
    <col min="25" max="27" width="9.140625" style="6" customWidth="1"/>
    <col min="28" max="28" width="9.140625" style="6" hidden="1" customWidth="1"/>
    <col min="29" max="29" width="9.5703125" style="6" bestFit="1" customWidth="1"/>
    <col min="30" max="30" width="9.140625" style="6" customWidth="1"/>
    <col min="31" max="31" width="9.5703125" style="6" bestFit="1" customWidth="1"/>
    <col min="32" max="33" width="9.140625" style="6"/>
    <col min="34" max="34" width="0" style="6" hidden="1" customWidth="1"/>
    <col min="35" max="16384" width="9.140625" style="6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2">
        <v>81</v>
      </c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2">
        <v>82</v>
      </c>
      <c r="R1" s="3"/>
      <c r="S1" s="3"/>
      <c r="T1" s="3"/>
      <c r="U1" s="3"/>
      <c r="V1" s="3"/>
      <c r="W1" s="3"/>
      <c r="X1" s="3"/>
      <c r="Y1" s="3"/>
      <c r="Z1" s="3"/>
      <c r="AA1" s="3"/>
      <c r="AB1" s="4"/>
      <c r="AC1" s="5" t="s">
        <v>4</v>
      </c>
      <c r="AD1" s="5" t="s">
        <v>5</v>
      </c>
      <c r="AE1" s="5" t="s">
        <v>6</v>
      </c>
      <c r="AF1" s="5" t="s">
        <v>7</v>
      </c>
      <c r="AG1" s="5" t="s">
        <v>8</v>
      </c>
      <c r="AH1" s="5" t="s">
        <v>9</v>
      </c>
    </row>
    <row r="2" spans="1:34" x14ac:dyDescent="0.25">
      <c r="A2" s="7"/>
      <c r="B2" s="7"/>
      <c r="C2" s="7"/>
      <c r="D2" s="7"/>
      <c r="E2" s="8">
        <v>7</v>
      </c>
      <c r="F2" s="8">
        <v>8</v>
      </c>
      <c r="G2" s="8">
        <v>9</v>
      </c>
      <c r="H2" s="8">
        <v>10</v>
      </c>
      <c r="I2" s="8">
        <v>11</v>
      </c>
      <c r="J2" s="8">
        <v>12</v>
      </c>
      <c r="K2" s="8">
        <v>1</v>
      </c>
      <c r="L2" s="8">
        <v>2</v>
      </c>
      <c r="M2" s="8">
        <v>3</v>
      </c>
      <c r="N2" s="8">
        <v>4</v>
      </c>
      <c r="O2" s="8">
        <v>5</v>
      </c>
      <c r="P2" s="8">
        <v>6</v>
      </c>
      <c r="Q2" s="8">
        <v>7</v>
      </c>
      <c r="R2" s="8">
        <v>8</v>
      </c>
      <c r="S2" s="8">
        <v>9</v>
      </c>
      <c r="T2" s="8">
        <v>10</v>
      </c>
      <c r="U2" s="8">
        <v>11</v>
      </c>
      <c r="V2" s="8">
        <v>12</v>
      </c>
      <c r="W2" s="8">
        <v>1</v>
      </c>
      <c r="X2" s="8">
        <v>2</v>
      </c>
      <c r="Y2" s="8">
        <v>3</v>
      </c>
      <c r="Z2" s="8">
        <v>4</v>
      </c>
      <c r="AA2" s="8">
        <v>5</v>
      </c>
      <c r="AB2" s="8">
        <v>6</v>
      </c>
      <c r="AC2" s="9"/>
      <c r="AD2" s="10"/>
      <c r="AE2" s="10"/>
      <c r="AF2" s="10"/>
      <c r="AG2" s="10"/>
      <c r="AH2" s="9"/>
    </row>
    <row r="3" spans="1:34" x14ac:dyDescent="0.25">
      <c r="A3" s="11"/>
      <c r="B3" s="12" t="s">
        <v>58</v>
      </c>
      <c r="C3" s="12" t="s">
        <v>56</v>
      </c>
      <c r="D3" s="12" t="s">
        <v>59</v>
      </c>
      <c r="E3" s="13">
        <v>3</v>
      </c>
      <c r="F3" s="13">
        <v>1</v>
      </c>
      <c r="G3" s="13">
        <v>2</v>
      </c>
      <c r="H3" s="13">
        <v>2</v>
      </c>
      <c r="I3" s="13">
        <v>3</v>
      </c>
      <c r="J3" s="13">
        <v>1</v>
      </c>
      <c r="K3" s="13">
        <v>1</v>
      </c>
      <c r="L3" s="13">
        <v>2</v>
      </c>
      <c r="M3" s="13">
        <v>1</v>
      </c>
      <c r="N3" s="13"/>
      <c r="O3" s="13">
        <v>1</v>
      </c>
      <c r="P3" s="13">
        <v>3</v>
      </c>
      <c r="Q3" s="13">
        <f>(5500+500)/500</f>
        <v>12</v>
      </c>
      <c r="R3" s="13">
        <f>(10843+832)/500</f>
        <v>23.35</v>
      </c>
      <c r="S3" s="13">
        <f>(1000+9140)/500</f>
        <v>20.28</v>
      </c>
      <c r="T3" s="13">
        <f>(9730+597)/500</f>
        <v>20.654</v>
      </c>
      <c r="U3" s="13">
        <f>(11180+500)/500</f>
        <v>23.36</v>
      </c>
      <c r="V3" s="13">
        <f>(7800+2236)/500</f>
        <v>20.071999999999999</v>
      </c>
      <c r="W3" s="13">
        <f>(1025+8810)/500</f>
        <v>19.670000000000002</v>
      </c>
      <c r="X3" s="13">
        <f>(1000+7950)/500</f>
        <v>17.899999999999999</v>
      </c>
      <c r="Y3" s="13">
        <f>(733)/500</f>
        <v>1.466</v>
      </c>
      <c r="Z3" s="13">
        <f>(1112)/500</f>
        <v>2.2240000000000002</v>
      </c>
      <c r="AA3" s="13">
        <f>(340)/500</f>
        <v>0.68</v>
      </c>
      <c r="AB3" s="13">
        <f>(0+1950)/500</f>
        <v>3.9</v>
      </c>
      <c r="AC3" s="14">
        <f>SUM(Y3:AA3)</f>
        <v>4.37</v>
      </c>
      <c r="AD3" s="17">
        <f>AG3</f>
        <v>2.2240000000000002</v>
      </c>
      <c r="AE3" s="16">
        <f>AC3/3</f>
        <v>1.4566666666666668</v>
      </c>
      <c r="AF3" s="17">
        <f>MIN(Y3:AA3)</f>
        <v>0.68</v>
      </c>
      <c r="AG3" s="17">
        <f>MAX(Y3:AA3)</f>
        <v>2.2240000000000002</v>
      </c>
      <c r="AH3" s="6">
        <f>LARGE(Y3:AA3,2)</f>
        <v>1.466</v>
      </c>
    </row>
    <row r="4" spans="1:34" x14ac:dyDescent="0.25">
      <c r="A4" s="11"/>
      <c r="B4" s="12" t="s">
        <v>60</v>
      </c>
      <c r="C4" s="12" t="s">
        <v>56</v>
      </c>
      <c r="D4" s="12" t="s">
        <v>61</v>
      </c>
      <c r="E4" s="13"/>
      <c r="F4" s="13">
        <f>500/500</f>
        <v>1</v>
      </c>
      <c r="G4" s="13">
        <f t="shared" ref="G4:H4" si="0">500/500</f>
        <v>1</v>
      </c>
      <c r="H4" s="13">
        <f t="shared" si="0"/>
        <v>1</v>
      </c>
      <c r="I4" s="13">
        <v>1</v>
      </c>
      <c r="J4" s="13">
        <v>1</v>
      </c>
      <c r="K4" s="13"/>
      <c r="L4" s="13">
        <v>1</v>
      </c>
      <c r="M4" s="13"/>
      <c r="N4" s="13"/>
      <c r="O4" s="13"/>
      <c r="P4" s="13">
        <v>2</v>
      </c>
      <c r="Q4" s="13">
        <v>1</v>
      </c>
      <c r="R4" s="13">
        <v>0</v>
      </c>
      <c r="S4" s="13">
        <v>1</v>
      </c>
      <c r="T4" s="13">
        <v>0</v>
      </c>
      <c r="U4" s="13">
        <v>1</v>
      </c>
      <c r="V4" s="13"/>
      <c r="W4" s="13"/>
      <c r="X4" s="13"/>
      <c r="Y4" s="13">
        <v>1</v>
      </c>
      <c r="Z4" s="13"/>
      <c r="AA4" s="13"/>
      <c r="AB4" s="13"/>
      <c r="AC4" s="14">
        <f>SUM(Y4:AA4)</f>
        <v>1</v>
      </c>
      <c r="AD4" s="17">
        <f t="shared" ref="AD4:AD36" si="1">AG4</f>
        <v>1</v>
      </c>
      <c r="AE4" s="16">
        <f>AC4/3</f>
        <v>0.33333333333333331</v>
      </c>
      <c r="AF4" s="17">
        <f>MIN(Y4:AA4)</f>
        <v>1</v>
      </c>
      <c r="AG4" s="17">
        <f>MAX(Y4:AA4)</f>
        <v>1</v>
      </c>
      <c r="AH4" s="6" t="e">
        <f>LARGE(Y4:AA4,2)</f>
        <v>#NUM!</v>
      </c>
    </row>
    <row r="5" spans="1:34" x14ac:dyDescent="0.25">
      <c r="A5" s="11"/>
      <c r="B5" s="12" t="s">
        <v>49</v>
      </c>
      <c r="C5" s="12" t="s">
        <v>50</v>
      </c>
      <c r="D5" s="12" t="s">
        <v>51</v>
      </c>
      <c r="E5" s="13">
        <v>50</v>
      </c>
      <c r="F5" s="13">
        <v>49</v>
      </c>
      <c r="G5" s="13">
        <v>45</v>
      </c>
      <c r="H5" s="13">
        <v>14</v>
      </c>
      <c r="I5" s="13">
        <v>33</v>
      </c>
      <c r="J5" s="13">
        <v>30</v>
      </c>
      <c r="K5" s="13">
        <v>14</v>
      </c>
      <c r="L5" s="13">
        <v>32</v>
      </c>
      <c r="M5" s="13">
        <v>21</v>
      </c>
      <c r="N5" s="13">
        <v>6</v>
      </c>
      <c r="O5" s="13">
        <v>14</v>
      </c>
      <c r="P5" s="13">
        <v>13</v>
      </c>
      <c r="Q5" s="13">
        <v>16</v>
      </c>
      <c r="R5" s="13">
        <v>25</v>
      </c>
      <c r="S5" s="13">
        <v>10</v>
      </c>
      <c r="T5" s="13">
        <v>16</v>
      </c>
      <c r="U5" s="13">
        <v>15</v>
      </c>
      <c r="V5" s="13">
        <v>14</v>
      </c>
      <c r="W5" s="13">
        <v>12</v>
      </c>
      <c r="X5" s="13">
        <v>12</v>
      </c>
      <c r="Y5" s="13">
        <v>18</v>
      </c>
      <c r="Z5" s="13">
        <v>10</v>
      </c>
      <c r="AA5" s="13">
        <v>17</v>
      </c>
      <c r="AB5" s="13">
        <v>1</v>
      </c>
      <c r="AC5" s="14">
        <f>SUM(Y5:AA5)</f>
        <v>45</v>
      </c>
      <c r="AD5" s="17">
        <f t="shared" si="1"/>
        <v>18</v>
      </c>
      <c r="AE5" s="16">
        <f>AC5/3</f>
        <v>15</v>
      </c>
      <c r="AF5" s="17">
        <f>MIN(Y5:AA5)</f>
        <v>10</v>
      </c>
      <c r="AG5" s="17">
        <f>MAX(Y5:AA5)</f>
        <v>18</v>
      </c>
      <c r="AH5" s="6">
        <f>LARGE(Y5:AA5,2)</f>
        <v>17</v>
      </c>
    </row>
    <row r="6" spans="1:34" x14ac:dyDescent="0.25">
      <c r="A6" s="11"/>
      <c r="B6" s="12" t="s">
        <v>69</v>
      </c>
      <c r="C6" s="12" t="s">
        <v>63</v>
      </c>
      <c r="D6" s="12" t="s">
        <v>70</v>
      </c>
      <c r="E6" s="13"/>
      <c r="F6" s="13">
        <v>3</v>
      </c>
      <c r="G6" s="13">
        <v>2</v>
      </c>
      <c r="H6" s="13">
        <v>1</v>
      </c>
      <c r="I6" s="13">
        <v>1</v>
      </c>
      <c r="J6" s="13">
        <v>3</v>
      </c>
      <c r="K6" s="13">
        <v>1</v>
      </c>
      <c r="L6" s="13"/>
      <c r="M6" s="13">
        <v>1</v>
      </c>
      <c r="N6" s="13">
        <v>2</v>
      </c>
      <c r="O6" s="13"/>
      <c r="P6" s="13"/>
      <c r="Q6" s="13">
        <v>2</v>
      </c>
      <c r="R6" s="13"/>
      <c r="S6" s="13"/>
      <c r="T6" s="13">
        <v>2</v>
      </c>
      <c r="U6" s="13"/>
      <c r="V6" s="13">
        <v>2</v>
      </c>
      <c r="W6" s="13">
        <v>2</v>
      </c>
      <c r="X6" s="13"/>
      <c r="Y6" s="13"/>
      <c r="Z6" s="13">
        <v>1</v>
      </c>
      <c r="AA6" s="13"/>
      <c r="AB6" s="13"/>
      <c r="AC6" s="14">
        <f>SUM(Y6:AA6)</f>
        <v>1</v>
      </c>
      <c r="AD6" s="17">
        <f t="shared" si="1"/>
        <v>1</v>
      </c>
      <c r="AE6" s="16">
        <f>AC6/3</f>
        <v>0.33333333333333331</v>
      </c>
      <c r="AF6" s="17">
        <f>MIN(Y6:AA6)</f>
        <v>1</v>
      </c>
      <c r="AG6" s="17">
        <f>MAX(Y6:AA6)</f>
        <v>1</v>
      </c>
      <c r="AH6" s="6" t="e">
        <f>LARGE(Y6:AA6,2)</f>
        <v>#NUM!</v>
      </c>
    </row>
    <row r="7" spans="1:34" x14ac:dyDescent="0.25">
      <c r="A7" s="11"/>
      <c r="B7" s="12" t="s">
        <v>85</v>
      </c>
      <c r="C7" s="12" t="s">
        <v>86</v>
      </c>
      <c r="D7" s="12" t="s">
        <v>87</v>
      </c>
      <c r="E7" s="13"/>
      <c r="F7" s="13">
        <v>1</v>
      </c>
      <c r="G7" s="13">
        <v>3</v>
      </c>
      <c r="H7" s="13">
        <v>2</v>
      </c>
      <c r="I7" s="13">
        <v>2</v>
      </c>
      <c r="J7" s="13">
        <v>2</v>
      </c>
      <c r="K7" s="13">
        <v>2</v>
      </c>
      <c r="L7" s="13">
        <v>2</v>
      </c>
      <c r="M7" s="13">
        <v>4</v>
      </c>
      <c r="N7" s="13">
        <v>2</v>
      </c>
      <c r="O7" s="13">
        <v>1</v>
      </c>
      <c r="P7" s="13">
        <v>3</v>
      </c>
      <c r="Q7" s="13">
        <v>2</v>
      </c>
      <c r="R7" s="13">
        <v>1</v>
      </c>
      <c r="S7" s="13">
        <v>1</v>
      </c>
      <c r="T7" s="13">
        <v>1</v>
      </c>
      <c r="U7" s="13">
        <v>1</v>
      </c>
      <c r="V7" s="13">
        <v>1</v>
      </c>
      <c r="W7" s="13">
        <v>1</v>
      </c>
      <c r="X7" s="13"/>
      <c r="Y7" s="13"/>
      <c r="Z7" s="13">
        <v>1</v>
      </c>
      <c r="AA7" s="13">
        <v>1</v>
      </c>
      <c r="AB7" s="13"/>
      <c r="AC7" s="14">
        <f>SUM(Y7:AA7)</f>
        <v>2</v>
      </c>
      <c r="AD7" s="17">
        <f t="shared" si="1"/>
        <v>1</v>
      </c>
      <c r="AE7" s="16">
        <f>AC7/3</f>
        <v>0.66666666666666663</v>
      </c>
      <c r="AF7" s="17">
        <f>MIN(Y7:AA7)</f>
        <v>1</v>
      </c>
      <c r="AG7" s="17">
        <f>MAX(Y7:AA7)</f>
        <v>1</v>
      </c>
      <c r="AH7" s="6">
        <f>LARGE(Y7:AA7,2)</f>
        <v>1</v>
      </c>
    </row>
    <row r="8" spans="1:34" x14ac:dyDescent="0.25">
      <c r="A8" s="11"/>
      <c r="B8" s="12" t="s">
        <v>135</v>
      </c>
      <c r="C8" s="18" t="s">
        <v>86</v>
      </c>
      <c r="D8" s="18" t="s">
        <v>136</v>
      </c>
      <c r="E8" s="13"/>
      <c r="F8" s="13">
        <v>2</v>
      </c>
      <c r="G8" s="13"/>
      <c r="H8" s="13"/>
      <c r="I8" s="13">
        <v>1</v>
      </c>
      <c r="J8" s="13"/>
      <c r="K8" s="13"/>
      <c r="L8" s="13"/>
      <c r="M8" s="13">
        <v>1</v>
      </c>
      <c r="N8" s="13"/>
      <c r="O8" s="13"/>
      <c r="P8" s="13"/>
      <c r="Q8" s="13">
        <v>2</v>
      </c>
      <c r="R8" s="13"/>
      <c r="S8" s="13"/>
      <c r="T8" s="13"/>
      <c r="U8" s="13">
        <v>2</v>
      </c>
      <c r="V8" s="13"/>
      <c r="W8" s="13"/>
      <c r="X8" s="13"/>
      <c r="Y8" s="13">
        <v>4</v>
      </c>
      <c r="Z8" s="13"/>
      <c r="AA8" s="13"/>
      <c r="AB8" s="13"/>
      <c r="AC8" s="14">
        <f>SUM(Y8:AA8)</f>
        <v>4</v>
      </c>
      <c r="AD8" s="17">
        <f t="shared" si="1"/>
        <v>4</v>
      </c>
      <c r="AE8" s="16">
        <f>AC8/3</f>
        <v>1.3333333333333333</v>
      </c>
      <c r="AF8" s="17">
        <f>MIN(Y8:AA8)</f>
        <v>4</v>
      </c>
      <c r="AG8" s="17">
        <f>MAX(Y8:AA8)</f>
        <v>4</v>
      </c>
      <c r="AH8" s="6" t="e">
        <f>LARGE(Y8:AA8,2)</f>
        <v>#NUM!</v>
      </c>
    </row>
    <row r="9" spans="1:34" x14ac:dyDescent="0.25">
      <c r="A9" s="11"/>
      <c r="B9" s="12" t="s">
        <v>88</v>
      </c>
      <c r="C9" s="12" t="s">
        <v>89</v>
      </c>
      <c r="D9" s="12" t="s">
        <v>90</v>
      </c>
      <c r="E9" s="13">
        <v>29</v>
      </c>
      <c r="F9" s="13">
        <v>43</v>
      </c>
      <c r="G9" s="13">
        <v>16</v>
      </c>
      <c r="H9" s="13">
        <v>19</v>
      </c>
      <c r="I9" s="13">
        <v>20</v>
      </c>
      <c r="J9" s="13">
        <v>16</v>
      </c>
      <c r="K9" s="13">
        <v>14</v>
      </c>
      <c r="L9" s="13">
        <v>9</v>
      </c>
      <c r="M9" s="13">
        <v>23</v>
      </c>
      <c r="N9" s="13">
        <v>11</v>
      </c>
      <c r="O9" s="13">
        <v>12</v>
      </c>
      <c r="P9" s="13">
        <v>8</v>
      </c>
      <c r="Q9" s="13">
        <v>17</v>
      </c>
      <c r="R9" s="13">
        <v>19</v>
      </c>
      <c r="S9" s="13">
        <v>14</v>
      </c>
      <c r="T9" s="13">
        <v>13</v>
      </c>
      <c r="U9" s="13">
        <v>8</v>
      </c>
      <c r="V9" s="13">
        <v>20</v>
      </c>
      <c r="W9" s="13">
        <v>19</v>
      </c>
      <c r="X9" s="13">
        <v>26</v>
      </c>
      <c r="Y9" s="13">
        <v>16</v>
      </c>
      <c r="Z9" s="13">
        <v>7</v>
      </c>
      <c r="AA9" s="13">
        <v>11</v>
      </c>
      <c r="AB9" s="13">
        <v>1</v>
      </c>
      <c r="AC9" s="14">
        <f>SUM(Y9:AA9)</f>
        <v>34</v>
      </c>
      <c r="AD9" s="17">
        <f t="shared" si="1"/>
        <v>16</v>
      </c>
      <c r="AE9" s="16">
        <f>AC9/3</f>
        <v>11.333333333333334</v>
      </c>
      <c r="AF9" s="17">
        <f>MIN(Y9:AA9)</f>
        <v>7</v>
      </c>
      <c r="AG9" s="17">
        <f>MAX(Y9:AA9)</f>
        <v>16</v>
      </c>
      <c r="AH9" s="6">
        <f>LARGE(Y9:AA9,2)</f>
        <v>11</v>
      </c>
    </row>
    <row r="10" spans="1:34" x14ac:dyDescent="0.25">
      <c r="A10" s="11"/>
      <c r="B10" s="12" t="s">
        <v>52</v>
      </c>
      <c r="C10" s="12" t="s">
        <v>53</v>
      </c>
      <c r="D10" s="12" t="s">
        <v>54</v>
      </c>
      <c r="E10" s="13">
        <v>45</v>
      </c>
      <c r="F10" s="13">
        <v>27</v>
      </c>
      <c r="G10" s="13">
        <v>77</v>
      </c>
      <c r="H10" s="13">
        <v>100</v>
      </c>
      <c r="I10" s="13">
        <v>72</v>
      </c>
      <c r="J10" s="13">
        <v>60</v>
      </c>
      <c r="K10" s="13">
        <v>109</v>
      </c>
      <c r="L10" s="13">
        <v>60</v>
      </c>
      <c r="M10" s="13">
        <v>83</v>
      </c>
      <c r="N10" s="13">
        <v>62</v>
      </c>
      <c r="O10" s="13">
        <v>62</v>
      </c>
      <c r="P10" s="13">
        <v>47</v>
      </c>
      <c r="Q10" s="13">
        <v>92</v>
      </c>
      <c r="R10" s="13">
        <v>72</v>
      </c>
      <c r="S10" s="13">
        <v>85</v>
      </c>
      <c r="T10" s="13">
        <v>76</v>
      </c>
      <c r="U10" s="13">
        <v>86</v>
      </c>
      <c r="V10" s="13">
        <v>74</v>
      </c>
      <c r="W10" s="13">
        <v>78</v>
      </c>
      <c r="X10" s="13">
        <v>70</v>
      </c>
      <c r="Y10" s="13">
        <v>69</v>
      </c>
      <c r="Z10" s="13">
        <v>59</v>
      </c>
      <c r="AA10" s="13">
        <v>80</v>
      </c>
      <c r="AB10" s="13">
        <v>12</v>
      </c>
      <c r="AC10" s="14">
        <f>SUM(Y10:AA10)</f>
        <v>208</v>
      </c>
      <c r="AD10" s="17">
        <f t="shared" si="1"/>
        <v>80</v>
      </c>
      <c r="AE10" s="16">
        <f>AC10/3</f>
        <v>69.333333333333329</v>
      </c>
      <c r="AF10" s="17">
        <f>MIN(Y10:AA10)</f>
        <v>59</v>
      </c>
      <c r="AG10" s="17">
        <f>MAX(Y10:AA10)</f>
        <v>80</v>
      </c>
      <c r="AH10" s="6">
        <f>LARGE(Y10:AA10,2)</f>
        <v>69</v>
      </c>
    </row>
    <row r="11" spans="1:34" x14ac:dyDescent="0.25">
      <c r="A11" s="11"/>
      <c r="B11" s="12" t="s">
        <v>150</v>
      </c>
      <c r="C11" s="18" t="s">
        <v>151</v>
      </c>
      <c r="D11" s="18" t="s">
        <v>152</v>
      </c>
      <c r="E11" s="13"/>
      <c r="F11" s="13"/>
      <c r="G11" s="13"/>
      <c r="H11" s="13">
        <v>1</v>
      </c>
      <c r="I11" s="13"/>
      <c r="J11" s="13"/>
      <c r="K11" s="13">
        <v>1</v>
      </c>
      <c r="L11" s="13"/>
      <c r="M11" s="13"/>
      <c r="N11" s="13"/>
      <c r="O11" s="13"/>
      <c r="P11" s="13"/>
      <c r="Q11" s="13">
        <v>2</v>
      </c>
      <c r="R11" s="13"/>
      <c r="S11" s="13"/>
      <c r="T11" s="13"/>
      <c r="U11" s="13"/>
      <c r="V11" s="13"/>
      <c r="W11" s="13"/>
      <c r="X11" s="13"/>
      <c r="Y11" s="13"/>
      <c r="Z11" s="13">
        <v>1</v>
      </c>
      <c r="AA11" s="13"/>
      <c r="AB11" s="13"/>
      <c r="AC11" s="14">
        <f>SUM(Y11:AA11)</f>
        <v>1</v>
      </c>
      <c r="AD11" s="17">
        <f t="shared" si="1"/>
        <v>1</v>
      </c>
      <c r="AE11" s="16">
        <f>AC11/3</f>
        <v>0.33333333333333331</v>
      </c>
      <c r="AF11" s="17">
        <f>MIN(Y11:AA11)</f>
        <v>1</v>
      </c>
      <c r="AG11" s="17">
        <f>MAX(Y11:AA11)</f>
        <v>1</v>
      </c>
      <c r="AH11" s="6" t="e">
        <f>LARGE(Y11:AA11,2)</f>
        <v>#NUM!</v>
      </c>
    </row>
    <row r="12" spans="1:34" x14ac:dyDescent="0.25">
      <c r="A12" s="11"/>
      <c r="B12" s="12" t="s">
        <v>96</v>
      </c>
      <c r="C12" s="18" t="s">
        <v>97</v>
      </c>
      <c r="D12" s="18" t="s">
        <v>98</v>
      </c>
      <c r="E12" s="13">
        <v>121</v>
      </c>
      <c r="F12" s="13">
        <v>106</v>
      </c>
      <c r="G12" s="13">
        <v>136</v>
      </c>
      <c r="H12" s="13">
        <v>134</v>
      </c>
      <c r="I12" s="13">
        <v>143</v>
      </c>
      <c r="J12" s="13">
        <v>138</v>
      </c>
      <c r="K12" s="13">
        <v>137</v>
      </c>
      <c r="L12" s="13">
        <v>97</v>
      </c>
      <c r="M12" s="13">
        <v>152</v>
      </c>
      <c r="N12" s="13">
        <v>126</v>
      </c>
      <c r="O12" s="13">
        <v>90</v>
      </c>
      <c r="P12" s="13">
        <v>64</v>
      </c>
      <c r="Q12" s="13">
        <v>126</v>
      </c>
      <c r="R12" s="13">
        <v>153</v>
      </c>
      <c r="S12" s="13">
        <v>156</v>
      </c>
      <c r="T12" s="13">
        <v>118</v>
      </c>
      <c r="U12" s="13">
        <v>150</v>
      </c>
      <c r="V12" s="13">
        <v>144</v>
      </c>
      <c r="W12" s="13">
        <v>136</v>
      </c>
      <c r="X12" s="13">
        <v>120</v>
      </c>
      <c r="Y12" s="13">
        <v>134</v>
      </c>
      <c r="Z12" s="13">
        <v>90</v>
      </c>
      <c r="AA12" s="13">
        <v>147</v>
      </c>
      <c r="AB12" s="13">
        <v>28</v>
      </c>
      <c r="AC12" s="14">
        <f>SUM(Y12:AA12)</f>
        <v>371</v>
      </c>
      <c r="AD12" s="17">
        <f t="shared" si="1"/>
        <v>147</v>
      </c>
      <c r="AE12" s="16">
        <f>AC12/3</f>
        <v>123.66666666666667</v>
      </c>
      <c r="AF12" s="17">
        <f>MIN(Y12:AA12)</f>
        <v>90</v>
      </c>
      <c r="AG12" s="17">
        <f>MAX(Y12:AA12)</f>
        <v>147</v>
      </c>
      <c r="AH12" s="6">
        <f>LARGE(Y12:AA12,2)</f>
        <v>134</v>
      </c>
    </row>
    <row r="13" spans="1:34" x14ac:dyDescent="0.25">
      <c r="A13" s="11"/>
      <c r="B13" s="12" t="s">
        <v>93</v>
      </c>
      <c r="C13" s="18" t="s">
        <v>94</v>
      </c>
      <c r="D13" s="18" t="s">
        <v>95</v>
      </c>
      <c r="E13" s="13">
        <v>25</v>
      </c>
      <c r="F13" s="13">
        <v>126</v>
      </c>
      <c r="G13" s="13">
        <v>83</v>
      </c>
      <c r="H13" s="13">
        <v>49</v>
      </c>
      <c r="I13" s="13">
        <v>35</v>
      </c>
      <c r="J13" s="13">
        <v>27</v>
      </c>
      <c r="K13" s="13">
        <v>5</v>
      </c>
      <c r="L13" s="13">
        <v>15</v>
      </c>
      <c r="M13" s="13">
        <v>36</v>
      </c>
      <c r="N13" s="13">
        <v>21</v>
      </c>
      <c r="O13" s="13">
        <v>3</v>
      </c>
      <c r="P13" s="13">
        <v>16</v>
      </c>
      <c r="Q13" s="13">
        <v>10</v>
      </c>
      <c r="R13" s="13">
        <v>17</v>
      </c>
      <c r="S13" s="13">
        <v>37</v>
      </c>
      <c r="T13" s="13">
        <v>14</v>
      </c>
      <c r="U13" s="13">
        <v>35</v>
      </c>
      <c r="V13" s="13">
        <v>34</v>
      </c>
      <c r="W13" s="13">
        <v>7</v>
      </c>
      <c r="X13" s="13">
        <v>36</v>
      </c>
      <c r="Y13" s="13">
        <v>21</v>
      </c>
      <c r="Z13" s="13"/>
      <c r="AA13" s="13"/>
      <c r="AB13" s="13"/>
      <c r="AC13" s="14">
        <f>SUM(Y13:AA13)</f>
        <v>21</v>
      </c>
      <c r="AD13" s="17">
        <f t="shared" si="1"/>
        <v>21</v>
      </c>
      <c r="AE13" s="16">
        <f>AC13/3</f>
        <v>7</v>
      </c>
      <c r="AF13" s="17">
        <f>MIN(Y13:AA13)</f>
        <v>21</v>
      </c>
      <c r="AG13" s="17">
        <f>MAX(Y13:AA13)</f>
        <v>21</v>
      </c>
      <c r="AH13" s="6" t="e">
        <f>LARGE(Y13:AA13,2)</f>
        <v>#NUM!</v>
      </c>
    </row>
    <row r="14" spans="1:34" x14ac:dyDescent="0.25">
      <c r="A14" s="11"/>
      <c r="B14" s="12" t="s">
        <v>80</v>
      </c>
      <c r="C14" s="12" t="s">
        <v>81</v>
      </c>
      <c r="D14" s="12" t="s">
        <v>82</v>
      </c>
      <c r="E14" s="13"/>
      <c r="F14" s="13">
        <v>49</v>
      </c>
      <c r="G14" s="13">
        <v>17</v>
      </c>
      <c r="H14" s="13">
        <v>1</v>
      </c>
      <c r="I14" s="13">
        <v>2</v>
      </c>
      <c r="J14" s="13">
        <v>30</v>
      </c>
      <c r="K14" s="13">
        <v>29</v>
      </c>
      <c r="L14" s="13">
        <v>20</v>
      </c>
      <c r="M14" s="13">
        <v>6</v>
      </c>
      <c r="N14" s="13"/>
      <c r="O14" s="13"/>
      <c r="P14" s="13"/>
      <c r="Q14" s="13"/>
      <c r="R14" s="13">
        <v>28</v>
      </c>
      <c r="S14" s="13">
        <v>4</v>
      </c>
      <c r="T14" s="13">
        <v>23</v>
      </c>
      <c r="U14" s="13">
        <v>4</v>
      </c>
      <c r="V14" s="13"/>
      <c r="W14" s="13">
        <v>112</v>
      </c>
      <c r="X14" s="13">
        <v>10</v>
      </c>
      <c r="Y14" s="13">
        <v>13</v>
      </c>
      <c r="Z14" s="13"/>
      <c r="AA14" s="13"/>
      <c r="AB14" s="13"/>
      <c r="AC14" s="14">
        <f>SUM(Y14:AA14)</f>
        <v>13</v>
      </c>
      <c r="AD14" s="17">
        <f t="shared" si="1"/>
        <v>13</v>
      </c>
      <c r="AE14" s="16">
        <f>AC14/3</f>
        <v>4.333333333333333</v>
      </c>
      <c r="AF14" s="17">
        <f>MIN(Y14:AA14)</f>
        <v>13</v>
      </c>
      <c r="AG14" s="17">
        <f>MAX(Y14:AA14)</f>
        <v>13</v>
      </c>
      <c r="AH14" s="6" t="e">
        <f>LARGE(Y14:AA14,2)</f>
        <v>#NUM!</v>
      </c>
    </row>
    <row r="15" spans="1:34" x14ac:dyDescent="0.25">
      <c r="A15" s="11"/>
      <c r="B15" s="12" t="s">
        <v>83</v>
      </c>
      <c r="C15" s="12" t="s">
        <v>81</v>
      </c>
      <c r="D15" s="12" t="s">
        <v>84</v>
      </c>
      <c r="E15" s="13">
        <v>0</v>
      </c>
      <c r="F15" s="13">
        <v>35</v>
      </c>
      <c r="G15" s="13">
        <v>10</v>
      </c>
      <c r="H15" s="13">
        <v>2</v>
      </c>
      <c r="I15" s="13">
        <v>102</v>
      </c>
      <c r="J15" s="13">
        <v>1</v>
      </c>
      <c r="K15" s="13">
        <v>11</v>
      </c>
      <c r="L15" s="13">
        <v>52</v>
      </c>
      <c r="M15" s="13">
        <v>87</v>
      </c>
      <c r="N15" s="13">
        <v>100</v>
      </c>
      <c r="O15" s="13">
        <v>42</v>
      </c>
      <c r="P15" s="13">
        <v>16</v>
      </c>
      <c r="Q15" s="13">
        <v>24</v>
      </c>
      <c r="R15" s="13"/>
      <c r="S15" s="13">
        <f>30+18</f>
        <v>48</v>
      </c>
      <c r="T15" s="13">
        <v>51</v>
      </c>
      <c r="U15" s="13">
        <v>10</v>
      </c>
      <c r="V15" s="13">
        <f>152+57</f>
        <v>209</v>
      </c>
      <c r="W15" s="13">
        <f>51+8</f>
        <v>59</v>
      </c>
      <c r="X15" s="13">
        <f>1+30</f>
        <v>31</v>
      </c>
      <c r="Y15" s="13"/>
      <c r="Z15" s="13"/>
      <c r="AA15" s="13"/>
      <c r="AB15" s="13"/>
      <c r="AC15" s="14">
        <f>SUM(Y15:AA15)</f>
        <v>0</v>
      </c>
      <c r="AD15" s="17">
        <f t="shared" si="1"/>
        <v>0</v>
      </c>
      <c r="AE15" s="16">
        <f>AC15/3</f>
        <v>0</v>
      </c>
      <c r="AF15" s="17">
        <f>MIN(Y15:AA15)</f>
        <v>0</v>
      </c>
      <c r="AG15" s="17">
        <f>MAX(Y15:AA15)</f>
        <v>0</v>
      </c>
      <c r="AH15" s="6" t="e">
        <f>LARGE(Y15:AA15,2)</f>
        <v>#NUM!</v>
      </c>
    </row>
    <row r="16" spans="1:34" x14ac:dyDescent="0.25">
      <c r="A16" s="11"/>
      <c r="B16" s="12" t="s">
        <v>71</v>
      </c>
      <c r="C16" s="12" t="s">
        <v>72</v>
      </c>
      <c r="D16" s="12" t="s">
        <v>73</v>
      </c>
      <c r="E16" s="13">
        <v>47</v>
      </c>
      <c r="F16" s="13">
        <v>3</v>
      </c>
      <c r="G16" s="13">
        <v>46</v>
      </c>
      <c r="H16" s="13">
        <v>13</v>
      </c>
      <c r="I16" s="13">
        <v>4</v>
      </c>
      <c r="J16" s="13">
        <v>16</v>
      </c>
      <c r="K16" s="13">
        <v>14</v>
      </c>
      <c r="L16" s="13">
        <v>20</v>
      </c>
      <c r="M16" s="13">
        <v>19</v>
      </c>
      <c r="N16" s="13">
        <v>2</v>
      </c>
      <c r="O16" s="13">
        <v>16</v>
      </c>
      <c r="P16" s="13">
        <v>3</v>
      </c>
      <c r="Q16" s="13">
        <v>23</v>
      </c>
      <c r="R16" s="13">
        <v>25</v>
      </c>
      <c r="S16" s="13">
        <v>15</v>
      </c>
      <c r="T16" s="13">
        <v>4</v>
      </c>
      <c r="U16" s="13">
        <v>13</v>
      </c>
      <c r="V16" s="13">
        <v>15</v>
      </c>
      <c r="W16" s="13">
        <v>17</v>
      </c>
      <c r="X16" s="13">
        <v>22</v>
      </c>
      <c r="Y16" s="13">
        <v>19</v>
      </c>
      <c r="Z16" s="13">
        <v>16</v>
      </c>
      <c r="AA16" s="13"/>
      <c r="AB16" s="13"/>
      <c r="AC16" s="14">
        <f>SUM(Y16:AA16)</f>
        <v>35</v>
      </c>
      <c r="AD16" s="17">
        <f t="shared" si="1"/>
        <v>19</v>
      </c>
      <c r="AE16" s="16">
        <f>AC16/3</f>
        <v>11.666666666666666</v>
      </c>
      <c r="AF16" s="17">
        <f>MIN(Y16:AA16)</f>
        <v>16</v>
      </c>
      <c r="AG16" s="17">
        <f>MAX(Y16:AA16)</f>
        <v>19</v>
      </c>
      <c r="AH16" s="6">
        <f>LARGE(Y16:AA16,2)</f>
        <v>16</v>
      </c>
    </row>
    <row r="17" spans="1:34" x14ac:dyDescent="0.25">
      <c r="A17" s="11"/>
      <c r="B17" s="12" t="s">
        <v>40</v>
      </c>
      <c r="C17" s="12" t="s">
        <v>41</v>
      </c>
      <c r="D17" s="12" t="s">
        <v>42</v>
      </c>
      <c r="E17" s="13">
        <v>4</v>
      </c>
      <c r="F17" s="13">
        <v>0</v>
      </c>
      <c r="G17" s="13">
        <v>4</v>
      </c>
      <c r="H17" s="13">
        <v>0</v>
      </c>
      <c r="I17" s="13">
        <v>0</v>
      </c>
      <c r="J17" s="13">
        <v>1</v>
      </c>
      <c r="K17" s="13">
        <v>3</v>
      </c>
      <c r="L17" s="13">
        <v>0</v>
      </c>
      <c r="M17" s="13">
        <v>0</v>
      </c>
      <c r="N17" s="13">
        <v>0</v>
      </c>
      <c r="O17" s="13">
        <v>1</v>
      </c>
      <c r="P17" s="13">
        <v>0</v>
      </c>
      <c r="Q17" s="13">
        <v>1</v>
      </c>
      <c r="R17" s="13">
        <v>2</v>
      </c>
      <c r="S17" s="13">
        <v>1</v>
      </c>
      <c r="T17" s="13">
        <v>1</v>
      </c>
      <c r="U17" s="13">
        <v>1</v>
      </c>
      <c r="V17" s="13">
        <v>1</v>
      </c>
      <c r="W17" s="13"/>
      <c r="X17" s="13"/>
      <c r="Y17" s="13">
        <v>1</v>
      </c>
      <c r="Z17" s="13">
        <v>1</v>
      </c>
      <c r="AA17" s="13">
        <v>1</v>
      </c>
      <c r="AB17" s="13"/>
      <c r="AC17" s="14">
        <f>SUM(Y17:AA17)</f>
        <v>3</v>
      </c>
      <c r="AD17" s="17">
        <f t="shared" si="1"/>
        <v>1</v>
      </c>
      <c r="AE17" s="16">
        <f>AC17/3</f>
        <v>1</v>
      </c>
      <c r="AF17" s="17">
        <f>MIN(Y17:AA17)</f>
        <v>1</v>
      </c>
      <c r="AG17" s="17">
        <f>MAX(Y17:AA17)</f>
        <v>1</v>
      </c>
      <c r="AH17" s="6">
        <f>LARGE(Y17:AA17,2)</f>
        <v>1</v>
      </c>
    </row>
    <row r="18" spans="1:34" x14ac:dyDescent="0.25">
      <c r="A18" s="11"/>
      <c r="B18" s="12" t="s">
        <v>46</v>
      </c>
      <c r="C18" s="12" t="s">
        <v>47</v>
      </c>
      <c r="D18" s="12" t="s">
        <v>48</v>
      </c>
      <c r="E18" s="13">
        <v>67</v>
      </c>
      <c r="F18" s="13">
        <v>122</v>
      </c>
      <c r="G18" s="13">
        <v>94</v>
      </c>
      <c r="H18" s="13">
        <v>91</v>
      </c>
      <c r="I18" s="13">
        <v>124</v>
      </c>
      <c r="J18" s="13">
        <v>88</v>
      </c>
      <c r="K18" s="13">
        <v>93</v>
      </c>
      <c r="L18" s="13">
        <v>66</v>
      </c>
      <c r="M18" s="13">
        <v>93</v>
      </c>
      <c r="N18" s="13">
        <v>78</v>
      </c>
      <c r="O18" s="13">
        <v>74</v>
      </c>
      <c r="P18" s="13">
        <v>54</v>
      </c>
      <c r="Q18" s="13">
        <f>85+2</f>
        <v>87</v>
      </c>
      <c r="R18" s="13">
        <f>84+4</f>
        <v>88</v>
      </c>
      <c r="S18" s="13">
        <f>78+1</f>
        <v>79</v>
      </c>
      <c r="T18" s="13">
        <v>73</v>
      </c>
      <c r="U18" s="13">
        <v>79</v>
      </c>
      <c r="V18" s="13">
        <f>70+16</f>
        <v>86</v>
      </c>
      <c r="W18" s="13">
        <v>98</v>
      </c>
      <c r="X18" s="13">
        <v>73</v>
      </c>
      <c r="Y18" s="13">
        <v>91</v>
      </c>
      <c r="Z18" s="13">
        <f>31+4</f>
        <v>35</v>
      </c>
      <c r="AA18" s="13">
        <f>79+6</f>
        <v>85</v>
      </c>
      <c r="AB18" s="13">
        <v>19</v>
      </c>
      <c r="AC18" s="14">
        <f>SUM(Y18:AA18)</f>
        <v>211</v>
      </c>
      <c r="AD18" s="17">
        <f t="shared" si="1"/>
        <v>91</v>
      </c>
      <c r="AE18" s="16">
        <f>AC18/3</f>
        <v>70.333333333333329</v>
      </c>
      <c r="AF18" s="17">
        <f>MIN(Y18:AA18)</f>
        <v>35</v>
      </c>
      <c r="AG18" s="17">
        <f>MAX(Y18:AA18)</f>
        <v>91</v>
      </c>
      <c r="AH18" s="6">
        <f>LARGE(Y18:AA18,2)</f>
        <v>85</v>
      </c>
    </row>
    <row r="19" spans="1:34" x14ac:dyDescent="0.25">
      <c r="A19" s="11"/>
      <c r="B19" s="12" t="s">
        <v>43</v>
      </c>
      <c r="C19" s="18" t="s">
        <v>44</v>
      </c>
      <c r="D19" s="18" t="s">
        <v>45</v>
      </c>
      <c r="E19" s="13"/>
      <c r="F19" s="13">
        <v>1</v>
      </c>
      <c r="G19" s="13">
        <v>5</v>
      </c>
      <c r="H19" s="13"/>
      <c r="I19" s="13">
        <v>1</v>
      </c>
      <c r="J19" s="13"/>
      <c r="K19" s="13">
        <v>3</v>
      </c>
      <c r="L19" s="13">
        <v>2</v>
      </c>
      <c r="M19" s="13">
        <v>1</v>
      </c>
      <c r="N19" s="13">
        <v>1</v>
      </c>
      <c r="O19" s="13"/>
      <c r="P19" s="13">
        <v>2</v>
      </c>
      <c r="Q19" s="13">
        <v>3</v>
      </c>
      <c r="R19" s="13">
        <v>6</v>
      </c>
      <c r="S19" s="13">
        <v>1</v>
      </c>
      <c r="T19" s="13">
        <v>1</v>
      </c>
      <c r="U19" s="13">
        <v>2</v>
      </c>
      <c r="V19" s="13"/>
      <c r="W19" s="13">
        <v>1</v>
      </c>
      <c r="X19" s="13">
        <v>2</v>
      </c>
      <c r="Y19" s="13">
        <v>1</v>
      </c>
      <c r="Z19" s="13"/>
      <c r="AA19" s="13"/>
      <c r="AB19" s="13"/>
      <c r="AC19" s="14">
        <f>SUM(Y19:AA19)</f>
        <v>1</v>
      </c>
      <c r="AD19" s="17">
        <f t="shared" si="1"/>
        <v>1</v>
      </c>
      <c r="AE19" s="16">
        <f>AC19/3</f>
        <v>0.33333333333333331</v>
      </c>
      <c r="AF19" s="17">
        <f>MIN(Y19:AA19)</f>
        <v>1</v>
      </c>
      <c r="AG19" s="17">
        <f>MAX(Y19:AA19)</f>
        <v>1</v>
      </c>
      <c r="AH19" s="6" t="e">
        <f>LARGE(Y19:AA19,2)</f>
        <v>#NUM!</v>
      </c>
    </row>
    <row r="20" spans="1:34" x14ac:dyDescent="0.25">
      <c r="A20" s="11"/>
      <c r="B20" s="12" t="s">
        <v>99</v>
      </c>
      <c r="C20" s="18" t="s">
        <v>100</v>
      </c>
      <c r="D20" s="18" t="s">
        <v>101</v>
      </c>
      <c r="E20" s="13"/>
      <c r="F20" s="13"/>
      <c r="G20" s="13">
        <v>4</v>
      </c>
      <c r="H20" s="13">
        <v>1</v>
      </c>
      <c r="I20" s="13"/>
      <c r="J20" s="13"/>
      <c r="K20" s="13">
        <v>1</v>
      </c>
      <c r="L20" s="13"/>
      <c r="M20" s="13"/>
      <c r="N20" s="13"/>
      <c r="O20" s="13">
        <v>1</v>
      </c>
      <c r="P20" s="13"/>
      <c r="Q20" s="13">
        <v>2</v>
      </c>
      <c r="R20" s="13">
        <v>1</v>
      </c>
      <c r="S20" s="13">
        <v>3</v>
      </c>
      <c r="T20" s="13">
        <v>1</v>
      </c>
      <c r="U20" s="13">
        <v>1</v>
      </c>
      <c r="V20" s="13"/>
      <c r="W20" s="13">
        <v>2</v>
      </c>
      <c r="X20" s="13"/>
      <c r="Y20" s="13"/>
      <c r="Z20" s="13"/>
      <c r="AA20" s="13">
        <v>1</v>
      </c>
      <c r="AB20" s="13"/>
      <c r="AC20" s="14">
        <f>SUM(Y20:AA20)</f>
        <v>1</v>
      </c>
      <c r="AD20" s="17">
        <f t="shared" si="1"/>
        <v>1</v>
      </c>
      <c r="AE20" s="16">
        <f>AC20/3</f>
        <v>0.33333333333333331</v>
      </c>
      <c r="AF20" s="17">
        <f>MIN(Y20:AA20)</f>
        <v>1</v>
      </c>
      <c r="AG20" s="17">
        <f>MAX(Y20:AA20)</f>
        <v>1</v>
      </c>
      <c r="AH20" s="6" t="e">
        <f>LARGE(Y20:AA20,2)</f>
        <v>#NUM!</v>
      </c>
    </row>
    <row r="21" spans="1:34" x14ac:dyDescent="0.25">
      <c r="A21" s="11"/>
      <c r="B21" s="12" t="s">
        <v>67</v>
      </c>
      <c r="C21" s="12" t="s">
        <v>63</v>
      </c>
      <c r="D21" s="12" t="s">
        <v>68</v>
      </c>
      <c r="E21" s="13">
        <v>3</v>
      </c>
      <c r="F21" s="13">
        <v>5</v>
      </c>
      <c r="G21" s="13">
        <v>8</v>
      </c>
      <c r="H21" s="13">
        <v>3</v>
      </c>
      <c r="I21" s="13">
        <v>3</v>
      </c>
      <c r="J21" s="13">
        <v>1</v>
      </c>
      <c r="K21" s="13">
        <v>5</v>
      </c>
      <c r="L21" s="13">
        <v>2</v>
      </c>
      <c r="M21" s="13">
        <v>2</v>
      </c>
      <c r="N21" s="13">
        <v>1</v>
      </c>
      <c r="O21" s="13">
        <v>3</v>
      </c>
      <c r="P21" s="13">
        <v>1</v>
      </c>
      <c r="Q21" s="13">
        <v>3</v>
      </c>
      <c r="R21" s="13">
        <v>2</v>
      </c>
      <c r="S21" s="13">
        <v>3</v>
      </c>
      <c r="T21" s="13">
        <v>2</v>
      </c>
      <c r="U21" s="13">
        <v>4</v>
      </c>
      <c r="V21" s="13">
        <v>2</v>
      </c>
      <c r="W21" s="13">
        <v>1</v>
      </c>
      <c r="X21" s="13">
        <v>5</v>
      </c>
      <c r="Y21" s="13">
        <v>1</v>
      </c>
      <c r="Z21" s="13">
        <v>1</v>
      </c>
      <c r="AA21" s="13">
        <v>3</v>
      </c>
      <c r="AB21" s="13"/>
      <c r="AC21" s="14">
        <f>SUM(Y21:AA21)</f>
        <v>5</v>
      </c>
      <c r="AD21" s="17">
        <f t="shared" si="1"/>
        <v>3</v>
      </c>
      <c r="AE21" s="16">
        <f>AC21/3</f>
        <v>1.6666666666666667</v>
      </c>
      <c r="AF21" s="17">
        <f>MIN(Y21:AA21)</f>
        <v>1</v>
      </c>
      <c r="AG21" s="17">
        <f>MAX(Y21:AA21)</f>
        <v>3</v>
      </c>
      <c r="AH21" s="6">
        <f>LARGE(Y21:AA21,2)</f>
        <v>1</v>
      </c>
    </row>
    <row r="22" spans="1:34" x14ac:dyDescent="0.25">
      <c r="A22" s="11"/>
      <c r="B22" s="12" t="s">
        <v>10</v>
      </c>
      <c r="C22" s="12" t="s">
        <v>11</v>
      </c>
      <c r="D22" s="12" t="s">
        <v>12</v>
      </c>
      <c r="E22" s="13">
        <v>4</v>
      </c>
      <c r="F22" s="13">
        <v>2</v>
      </c>
      <c r="G22" s="13">
        <v>6</v>
      </c>
      <c r="H22" s="13">
        <v>2</v>
      </c>
      <c r="I22" s="13">
        <v>2</v>
      </c>
      <c r="J22" s="13"/>
      <c r="K22" s="13">
        <v>4</v>
      </c>
      <c r="L22" s="13">
        <v>2</v>
      </c>
      <c r="M22" s="13">
        <v>2</v>
      </c>
      <c r="N22" s="13">
        <v>3</v>
      </c>
      <c r="O22" s="13">
        <v>1</v>
      </c>
      <c r="P22" s="13">
        <v>1</v>
      </c>
      <c r="Q22" s="13">
        <v>4</v>
      </c>
      <c r="R22" s="13">
        <v>6</v>
      </c>
      <c r="S22" s="13">
        <v>6</v>
      </c>
      <c r="T22" s="13">
        <v>5</v>
      </c>
      <c r="U22" s="13">
        <v>6</v>
      </c>
      <c r="V22" s="13">
        <v>4</v>
      </c>
      <c r="W22" s="13">
        <v>6</v>
      </c>
      <c r="X22" s="13">
        <v>2</v>
      </c>
      <c r="Y22" s="13">
        <v>1</v>
      </c>
      <c r="Z22" s="13">
        <v>2</v>
      </c>
      <c r="AA22" s="13">
        <v>2</v>
      </c>
      <c r="AB22" s="13"/>
      <c r="AC22" s="14">
        <f>SUM(Y22:AA22)</f>
        <v>5</v>
      </c>
      <c r="AD22" s="17">
        <f t="shared" si="1"/>
        <v>2</v>
      </c>
      <c r="AE22" s="16">
        <f>AC22/3</f>
        <v>1.6666666666666667</v>
      </c>
      <c r="AF22" s="17">
        <f>MIN(Y22:AA22)</f>
        <v>1</v>
      </c>
      <c r="AG22" s="17">
        <f>MAX(Y22:AA22)</f>
        <v>2</v>
      </c>
      <c r="AH22" s="6">
        <f>LARGE(Y22:AA22,2)</f>
        <v>2</v>
      </c>
    </row>
    <row r="23" spans="1:34" x14ac:dyDescent="0.25">
      <c r="A23" s="11"/>
      <c r="B23" s="12" t="s">
        <v>13</v>
      </c>
      <c r="C23" s="12" t="s">
        <v>11</v>
      </c>
      <c r="D23" s="12" t="s">
        <v>14</v>
      </c>
      <c r="E23" s="13">
        <v>4</v>
      </c>
      <c r="F23" s="13">
        <v>4</v>
      </c>
      <c r="G23" s="13">
        <v>6</v>
      </c>
      <c r="H23" s="13">
        <v>6</v>
      </c>
      <c r="I23" s="13">
        <v>5</v>
      </c>
      <c r="J23" s="13"/>
      <c r="K23" s="13">
        <v>13</v>
      </c>
      <c r="L23" s="13">
        <v>7</v>
      </c>
      <c r="M23" s="13">
        <v>4</v>
      </c>
      <c r="N23" s="13">
        <v>8</v>
      </c>
      <c r="O23" s="13">
        <v>5</v>
      </c>
      <c r="P23" s="13">
        <v>7</v>
      </c>
      <c r="Q23" s="13">
        <v>8</v>
      </c>
      <c r="R23" s="13">
        <v>6</v>
      </c>
      <c r="S23" s="13">
        <v>8</v>
      </c>
      <c r="T23" s="13">
        <v>6</v>
      </c>
      <c r="U23" s="13">
        <v>6</v>
      </c>
      <c r="V23" s="13">
        <v>8</v>
      </c>
      <c r="W23" s="13">
        <v>12</v>
      </c>
      <c r="X23" s="13">
        <v>10</v>
      </c>
      <c r="Y23" s="13">
        <v>2</v>
      </c>
      <c r="Z23" s="13">
        <v>4</v>
      </c>
      <c r="AA23" s="13">
        <v>8</v>
      </c>
      <c r="AB23" s="13"/>
      <c r="AC23" s="14">
        <f t="shared" ref="AC23" si="2">SUM(Y23:AA23)</f>
        <v>14</v>
      </c>
      <c r="AD23" s="17">
        <f t="shared" si="1"/>
        <v>8</v>
      </c>
      <c r="AE23" s="16">
        <f t="shared" ref="AE23" si="3">AC23/3</f>
        <v>4.666666666666667</v>
      </c>
      <c r="AF23" s="17">
        <f t="shared" ref="AF23" si="4">MIN(Y23:AA23)</f>
        <v>2</v>
      </c>
      <c r="AG23" s="17">
        <f t="shared" ref="AG23" si="5">MAX(Y23:AA23)</f>
        <v>8</v>
      </c>
      <c r="AH23" s="6">
        <f t="shared" ref="AH23" si="6">LARGE(Y23:AA23,2)</f>
        <v>4</v>
      </c>
    </row>
    <row r="24" spans="1:34" x14ac:dyDescent="0.25">
      <c r="A24" s="11"/>
      <c r="B24" s="12" t="s">
        <v>137</v>
      </c>
      <c r="C24" s="18" t="s">
        <v>138</v>
      </c>
      <c r="D24" s="18" t="s">
        <v>139</v>
      </c>
      <c r="E24" s="13"/>
      <c r="F24" s="13">
        <v>2</v>
      </c>
      <c r="G24" s="13">
        <v>1</v>
      </c>
      <c r="H24" s="13">
        <v>1</v>
      </c>
      <c r="I24" s="13">
        <v>3</v>
      </c>
      <c r="J24" s="13">
        <v>3</v>
      </c>
      <c r="K24" s="13">
        <v>1</v>
      </c>
      <c r="L24" s="13">
        <v>2</v>
      </c>
      <c r="M24" s="13">
        <v>3</v>
      </c>
      <c r="N24" s="13">
        <v>1</v>
      </c>
      <c r="O24" s="13">
        <v>2</v>
      </c>
      <c r="P24" s="13"/>
      <c r="Q24" s="13">
        <v>1</v>
      </c>
      <c r="R24" s="13">
        <v>2</v>
      </c>
      <c r="S24" s="13"/>
      <c r="T24" s="13">
        <v>5</v>
      </c>
      <c r="U24" s="13">
        <v>2</v>
      </c>
      <c r="V24" s="13">
        <v>2</v>
      </c>
      <c r="W24" s="13"/>
      <c r="X24" s="13"/>
      <c r="Y24" s="13"/>
      <c r="Z24" s="13"/>
      <c r="AA24" s="13">
        <v>1</v>
      </c>
      <c r="AB24" s="13"/>
      <c r="AC24" s="14">
        <f>SUM(Y24:AA24)</f>
        <v>1</v>
      </c>
      <c r="AD24" s="17">
        <f t="shared" si="1"/>
        <v>1</v>
      </c>
      <c r="AE24" s="16">
        <f>AC24/3</f>
        <v>0.33333333333333331</v>
      </c>
      <c r="AF24" s="17">
        <f>MIN(Y24:AA24)</f>
        <v>1</v>
      </c>
      <c r="AG24" s="17">
        <f>MAX(Y24:AA24)</f>
        <v>1</v>
      </c>
      <c r="AH24" s="6" t="e">
        <f>LARGE(Y24:AA24,2)</f>
        <v>#NUM!</v>
      </c>
    </row>
    <row r="25" spans="1:34" x14ac:dyDescent="0.25">
      <c r="A25" s="11"/>
      <c r="B25" s="12" t="s">
        <v>140</v>
      </c>
      <c r="C25" s="12" t="s">
        <v>141</v>
      </c>
      <c r="D25" s="12" t="s">
        <v>142</v>
      </c>
      <c r="E25" s="13"/>
      <c r="F25" s="13">
        <v>6</v>
      </c>
      <c r="G25" s="13"/>
      <c r="H25" s="13"/>
      <c r="I25" s="13">
        <v>2</v>
      </c>
      <c r="J25" s="13">
        <v>1</v>
      </c>
      <c r="K25" s="13">
        <v>1</v>
      </c>
      <c r="L25" s="13">
        <v>1</v>
      </c>
      <c r="M25" s="13"/>
      <c r="N25" s="13"/>
      <c r="O25" s="13">
        <v>1</v>
      </c>
      <c r="P25" s="13"/>
      <c r="Q25" s="13"/>
      <c r="R25" s="13">
        <v>1</v>
      </c>
      <c r="S25" s="13">
        <v>0</v>
      </c>
      <c r="T25" s="13">
        <v>1</v>
      </c>
      <c r="U25" s="13">
        <v>2</v>
      </c>
      <c r="V25" s="13"/>
      <c r="W25" s="13"/>
      <c r="X25" s="13"/>
      <c r="Y25" s="13"/>
      <c r="Z25" s="13"/>
      <c r="AA25" s="13"/>
      <c r="AB25" s="13"/>
      <c r="AC25" s="14">
        <f>SUM(Y25:AA25)</f>
        <v>0</v>
      </c>
      <c r="AD25" s="17">
        <f t="shared" si="1"/>
        <v>0</v>
      </c>
      <c r="AE25" s="16">
        <f>AC25/3</f>
        <v>0</v>
      </c>
      <c r="AF25" s="17">
        <f>MIN(Y25:AA25)</f>
        <v>0</v>
      </c>
      <c r="AG25" s="17">
        <f>MAX(Y25:AA25)</f>
        <v>0</v>
      </c>
      <c r="AH25" s="6" t="e">
        <f>LARGE(Y25:AA25,2)</f>
        <v>#NUM!</v>
      </c>
    </row>
    <row r="26" spans="1:34" x14ac:dyDescent="0.25">
      <c r="A26" s="11"/>
      <c r="B26" s="12" t="s">
        <v>127</v>
      </c>
      <c r="C26" s="12" t="s">
        <v>128</v>
      </c>
      <c r="D26" s="12" t="s">
        <v>129</v>
      </c>
      <c r="E26" s="13">
        <v>6</v>
      </c>
      <c r="F26" s="13"/>
      <c r="G26" s="13">
        <v>4</v>
      </c>
      <c r="H26" s="13">
        <v>2</v>
      </c>
      <c r="I26" s="13">
        <v>20</v>
      </c>
      <c r="J26" s="13">
        <v>55</v>
      </c>
      <c r="K26" s="13">
        <v>16</v>
      </c>
      <c r="L26" s="13"/>
      <c r="M26" s="13"/>
      <c r="N26" s="13">
        <v>8</v>
      </c>
      <c r="O26" s="13"/>
      <c r="P26" s="13">
        <v>8</v>
      </c>
      <c r="Q26" s="13"/>
      <c r="R26" s="13">
        <v>6</v>
      </c>
      <c r="S26" s="13">
        <v>10</v>
      </c>
      <c r="T26" s="13">
        <v>7</v>
      </c>
      <c r="U26" s="13">
        <v>7</v>
      </c>
      <c r="V26" s="13">
        <v>5</v>
      </c>
      <c r="W26" s="13"/>
      <c r="X26" s="13">
        <v>12</v>
      </c>
      <c r="Y26" s="13">
        <v>16</v>
      </c>
      <c r="Z26" s="13"/>
      <c r="AA26" s="13">
        <v>23</v>
      </c>
      <c r="AB26" s="13"/>
      <c r="AC26" s="14">
        <f>SUM(Y26:AA26)</f>
        <v>39</v>
      </c>
      <c r="AD26" s="17">
        <f t="shared" si="1"/>
        <v>23</v>
      </c>
      <c r="AE26" s="16">
        <f>AC26/3</f>
        <v>13</v>
      </c>
      <c r="AF26" s="17">
        <f>MIN(Y26:AA26)</f>
        <v>16</v>
      </c>
      <c r="AG26" s="17">
        <f>MAX(Y26:AA26)</f>
        <v>23</v>
      </c>
      <c r="AH26" s="6">
        <f>LARGE(Y26:AA26,2)</f>
        <v>16</v>
      </c>
    </row>
    <row r="27" spans="1:34" x14ac:dyDescent="0.25">
      <c r="A27" s="11"/>
      <c r="B27" s="12" t="s">
        <v>102</v>
      </c>
      <c r="C27" s="12" t="s">
        <v>103</v>
      </c>
      <c r="D27" s="12" t="s">
        <v>104</v>
      </c>
      <c r="E27" s="13">
        <v>4.166666666666667</v>
      </c>
      <c r="F27" s="13">
        <v>4.416666666666667</v>
      </c>
      <c r="G27" s="13">
        <v>5.25</v>
      </c>
      <c r="H27" s="13">
        <v>6.75</v>
      </c>
      <c r="I27" s="13">
        <v>5.916666666666667</v>
      </c>
      <c r="J27" s="13">
        <v>5.916666666666667</v>
      </c>
      <c r="K27" s="13">
        <f>33500/12/500</f>
        <v>5.583333333333333</v>
      </c>
      <c r="L27" s="13">
        <f>28500/12/500</f>
        <v>4.75</v>
      </c>
      <c r="M27" s="13">
        <f>36500/500/12</f>
        <v>6.083333333333333</v>
      </c>
      <c r="N27" s="13">
        <f>29500/500/12</f>
        <v>4.916666666666667</v>
      </c>
      <c r="O27" s="13">
        <f>24000/500/12</f>
        <v>4</v>
      </c>
      <c r="P27" s="13">
        <f>19500/500/12</f>
        <v>3.25</v>
      </c>
      <c r="Q27" s="13">
        <f>29500/500/12</f>
        <v>4.916666666666667</v>
      </c>
      <c r="R27" s="13">
        <f>39000/500/12</f>
        <v>6.5</v>
      </c>
      <c r="S27" s="13">
        <f>39000/500/12</f>
        <v>6.5</v>
      </c>
      <c r="T27" s="13">
        <f>28000/500/12</f>
        <v>4.666666666666667</v>
      </c>
      <c r="U27" s="13">
        <f>36500/500/12</f>
        <v>6.083333333333333</v>
      </c>
      <c r="V27" s="13">
        <f>28000/500/12</f>
        <v>4.666666666666667</v>
      </c>
      <c r="W27" s="13">
        <f>30500/500/12</f>
        <v>5.083333333333333</v>
      </c>
      <c r="X27" s="13">
        <f>30500/500/12</f>
        <v>5.083333333333333</v>
      </c>
      <c r="Y27" s="13">
        <f>25000/500/12</f>
        <v>4.166666666666667</v>
      </c>
      <c r="Z27" s="13">
        <f>9000/500/12</f>
        <v>1.5</v>
      </c>
      <c r="AA27" s="13">
        <f>34500/500/12</f>
        <v>5.75</v>
      </c>
      <c r="AB27" s="13">
        <f>1000/500/12</f>
        <v>0.16666666666666666</v>
      </c>
      <c r="AC27" s="14">
        <f>SUM(Y27:AA27)</f>
        <v>11.416666666666668</v>
      </c>
      <c r="AD27" s="17">
        <f t="shared" si="1"/>
        <v>5.75</v>
      </c>
      <c r="AE27" s="16">
        <f>AC27/3</f>
        <v>3.8055555555555558</v>
      </c>
      <c r="AF27" s="17">
        <f>MIN(Y27:AA27)</f>
        <v>1.5</v>
      </c>
      <c r="AG27" s="17">
        <f>MAX(Y27:AA27)</f>
        <v>5.75</v>
      </c>
      <c r="AH27" s="6">
        <f>LARGE(Y27:AA27,2)</f>
        <v>4.166666666666667</v>
      </c>
    </row>
    <row r="28" spans="1:34" ht="14.25" customHeight="1" x14ac:dyDescent="0.25">
      <c r="A28" s="11"/>
      <c r="B28" s="12" t="s">
        <v>105</v>
      </c>
      <c r="C28" s="12" t="s">
        <v>103</v>
      </c>
      <c r="D28" s="12" t="s">
        <v>106</v>
      </c>
      <c r="E28" s="13">
        <v>12.166666666666666</v>
      </c>
      <c r="F28" s="13">
        <v>13.166666666666666</v>
      </c>
      <c r="G28" s="13">
        <v>14.166666666666666</v>
      </c>
      <c r="H28" s="13">
        <v>18.333333333333332</v>
      </c>
      <c r="I28" s="13">
        <v>18.5</v>
      </c>
      <c r="J28" s="13">
        <v>16.333333333333332</v>
      </c>
      <c r="K28" s="13">
        <f>49500/500/6</f>
        <v>16.5</v>
      </c>
      <c r="L28" s="13">
        <f>41000/6/500</f>
        <v>13.666666666666666</v>
      </c>
      <c r="M28" s="13">
        <f>52500/6/500</f>
        <v>17.5</v>
      </c>
      <c r="N28" s="13">
        <f>40000/500/6</f>
        <v>13.333333333333334</v>
      </c>
      <c r="O28" s="13">
        <f>34500/500/6</f>
        <v>11.5</v>
      </c>
      <c r="P28" s="13">
        <f>26000/500/6</f>
        <v>8.6666666666666661</v>
      </c>
      <c r="Q28" s="13">
        <f>41000/500/6</f>
        <v>13.666666666666666</v>
      </c>
      <c r="R28" s="13">
        <f>61500/500/6</f>
        <v>20.5</v>
      </c>
      <c r="S28" s="13">
        <f>55000/500/6</f>
        <v>18.333333333333332</v>
      </c>
      <c r="T28" s="13">
        <f>37000/500/6</f>
        <v>12.333333333333334</v>
      </c>
      <c r="U28" s="13">
        <f>46000/500/6</f>
        <v>15.333333333333334</v>
      </c>
      <c r="V28" s="13">
        <f>44500/500/6</f>
        <v>14.833333333333334</v>
      </c>
      <c r="W28" s="13">
        <f>47000/500/6</f>
        <v>15.666666666666666</v>
      </c>
      <c r="X28" s="13">
        <f>39000/500/6</f>
        <v>13</v>
      </c>
      <c r="Y28" s="13">
        <f>42500/500/6</f>
        <v>14.166666666666666</v>
      </c>
      <c r="Z28" s="13">
        <f>24500/500/6</f>
        <v>8.1666666666666661</v>
      </c>
      <c r="AA28" s="13">
        <f>45500/500/6</f>
        <v>15.166666666666666</v>
      </c>
      <c r="AB28" s="13">
        <f>11500/500/6</f>
        <v>3.8333333333333335</v>
      </c>
      <c r="AC28" s="14">
        <f>SUM(Y28:AA28)</f>
        <v>37.5</v>
      </c>
      <c r="AD28" s="17">
        <f t="shared" si="1"/>
        <v>15.166666666666666</v>
      </c>
      <c r="AE28" s="16">
        <f>AC28/3</f>
        <v>12.5</v>
      </c>
      <c r="AF28" s="17">
        <f>MIN(Y28:AA28)</f>
        <v>8.1666666666666661</v>
      </c>
      <c r="AG28" s="17">
        <f>MAX(Y28:AA28)</f>
        <v>15.166666666666666</v>
      </c>
      <c r="AH28" s="6">
        <f>LARGE(Y28:AA28,2)</f>
        <v>14.166666666666666</v>
      </c>
    </row>
    <row r="29" spans="1:34" x14ac:dyDescent="0.25">
      <c r="A29" s="11"/>
      <c r="B29" s="12" t="s">
        <v>113</v>
      </c>
      <c r="C29" s="12" t="s">
        <v>103</v>
      </c>
      <c r="D29" s="12" t="s">
        <v>114</v>
      </c>
      <c r="E29" s="13">
        <v>1</v>
      </c>
      <c r="F29" s="13">
        <v>2</v>
      </c>
      <c r="G29" s="13">
        <v>2.5</v>
      </c>
      <c r="H29" s="13">
        <v>1.1666666666666667</v>
      </c>
      <c r="I29" s="13">
        <v>2.1666666666666665</v>
      </c>
      <c r="J29" s="13">
        <v>1.5</v>
      </c>
      <c r="K29" s="13">
        <f>750/500</f>
        <v>1.5</v>
      </c>
      <c r="L29" s="13">
        <f>12/6</f>
        <v>2</v>
      </c>
      <c r="M29" s="13">
        <f>14/6</f>
        <v>2.3333333333333335</v>
      </c>
      <c r="N29" s="13">
        <f>4500/500/6</f>
        <v>1.5</v>
      </c>
      <c r="O29" s="13">
        <f>2500/500/6</f>
        <v>0.83333333333333337</v>
      </c>
      <c r="P29" s="13">
        <f>3000/500/6</f>
        <v>1</v>
      </c>
      <c r="Q29" s="13">
        <f>5000/500/6</f>
        <v>1.6666666666666667</v>
      </c>
      <c r="R29" s="13">
        <f>3000/500/6</f>
        <v>1</v>
      </c>
      <c r="S29" s="13">
        <f>4500/500/6</f>
        <v>1.5</v>
      </c>
      <c r="T29" s="13">
        <f>4500/500/6</f>
        <v>1.5</v>
      </c>
      <c r="U29" s="13">
        <f>5000/500/6</f>
        <v>1.6666666666666667</v>
      </c>
      <c r="V29" s="13">
        <f>6000/500/6</f>
        <v>2</v>
      </c>
      <c r="W29" s="13">
        <f>5500/500/6</f>
        <v>1.8333333333333333</v>
      </c>
      <c r="X29" s="13">
        <f>6500/500/6</f>
        <v>2.1666666666666665</v>
      </c>
      <c r="Y29" s="13">
        <f>5000/500/6</f>
        <v>1.6666666666666667</v>
      </c>
      <c r="Z29" s="13">
        <f>500/500/6</f>
        <v>0.16666666666666666</v>
      </c>
      <c r="AA29" s="13">
        <f>3000/500/6</f>
        <v>1</v>
      </c>
      <c r="AB29" s="13"/>
      <c r="AC29" s="14">
        <f>SUM(Y29:AA29)</f>
        <v>2.8333333333333335</v>
      </c>
      <c r="AD29" s="17">
        <f t="shared" si="1"/>
        <v>1.6666666666666667</v>
      </c>
      <c r="AE29" s="16">
        <f>AC29/3</f>
        <v>0.94444444444444453</v>
      </c>
      <c r="AF29" s="17">
        <f>MIN(Y29:AA29)</f>
        <v>0.16666666666666666</v>
      </c>
      <c r="AG29" s="17">
        <f>MAX(Y29:AA29)</f>
        <v>1.6666666666666667</v>
      </c>
      <c r="AH29" s="6">
        <f>LARGE(Y29:AA29,2)</f>
        <v>1</v>
      </c>
    </row>
    <row r="30" spans="1:34" x14ac:dyDescent="0.25">
      <c r="A30" s="11"/>
      <c r="B30" s="12" t="s">
        <v>109</v>
      </c>
      <c r="C30" s="12" t="s">
        <v>103</v>
      </c>
      <c r="D30" s="12" t="s">
        <v>110</v>
      </c>
      <c r="E30" s="13">
        <v>0.66666666666666663</v>
      </c>
      <c r="F30" s="13">
        <v>1.1666666666666667</v>
      </c>
      <c r="G30" s="13">
        <v>1.3333333333333333</v>
      </c>
      <c r="H30" s="13">
        <v>2</v>
      </c>
      <c r="I30" s="13">
        <v>1</v>
      </c>
      <c r="J30" s="13">
        <v>1</v>
      </c>
      <c r="K30" s="13">
        <f>5500/500/6</f>
        <v>1.8333333333333333</v>
      </c>
      <c r="L30" s="13">
        <f>750/500</f>
        <v>1.5</v>
      </c>
      <c r="M30" s="13">
        <f>7/6</f>
        <v>1.1666666666666667</v>
      </c>
      <c r="N30" s="13">
        <f>1500/500/6</f>
        <v>0.5</v>
      </c>
      <c r="O30" s="13">
        <f>3000/500/6</f>
        <v>1</v>
      </c>
      <c r="P30" s="13">
        <f>1500/500/6</f>
        <v>0.5</v>
      </c>
      <c r="Q30" s="13">
        <f>4000/500/6</f>
        <v>1.3333333333333333</v>
      </c>
      <c r="R30" s="13">
        <f>2000/500/6</f>
        <v>0.66666666666666663</v>
      </c>
      <c r="S30" s="13">
        <f>4000/500/6</f>
        <v>1.3333333333333333</v>
      </c>
      <c r="T30" s="13">
        <f t="shared" ref="T30" si="7">4000/500/6</f>
        <v>1.3333333333333333</v>
      </c>
      <c r="U30" s="13">
        <f>3000/500/6</f>
        <v>1</v>
      </c>
      <c r="V30" s="13">
        <f>3500/500/6</f>
        <v>1.1666666666666667</v>
      </c>
      <c r="W30" s="13">
        <f>3000/500/6</f>
        <v>1</v>
      </c>
      <c r="X30" s="13">
        <f>2000/500/6</f>
        <v>0.66666666666666663</v>
      </c>
      <c r="Y30" s="13">
        <f>2500/500/6</f>
        <v>0.83333333333333337</v>
      </c>
      <c r="Z30" s="13">
        <f>500/500/6</f>
        <v>0.16666666666666666</v>
      </c>
      <c r="AA30" s="13">
        <f>4000/500/6</f>
        <v>1.3333333333333333</v>
      </c>
      <c r="AB30" s="13">
        <f>1500/500/6</f>
        <v>0.5</v>
      </c>
      <c r="AC30" s="14">
        <f>SUM(Y30:AA30)</f>
        <v>2.333333333333333</v>
      </c>
      <c r="AD30" s="17">
        <f t="shared" si="1"/>
        <v>1.3333333333333333</v>
      </c>
      <c r="AE30" s="16">
        <f>AC30/3</f>
        <v>0.77777777777777768</v>
      </c>
      <c r="AF30" s="17">
        <f>MIN(Y30:AA30)</f>
        <v>0.16666666666666666</v>
      </c>
      <c r="AG30" s="17">
        <f>MAX(Y30:AA30)</f>
        <v>1.3333333333333333</v>
      </c>
      <c r="AH30" s="6">
        <f>LARGE(Y30:AA30,2)</f>
        <v>0.83333333333333337</v>
      </c>
    </row>
    <row r="31" spans="1:34" x14ac:dyDescent="0.25">
      <c r="A31" s="11"/>
      <c r="B31" s="12" t="s">
        <v>117</v>
      </c>
      <c r="C31" s="12" t="s">
        <v>118</v>
      </c>
      <c r="D31" s="12" t="s">
        <v>119</v>
      </c>
      <c r="E31" s="13">
        <v>2175</v>
      </c>
      <c r="F31" s="13">
        <v>2523</v>
      </c>
      <c r="G31" s="13">
        <v>3090</v>
      </c>
      <c r="H31" s="13">
        <v>2398</v>
      </c>
      <c r="I31" s="13">
        <v>1830</v>
      </c>
      <c r="J31" s="13">
        <v>1390</v>
      </c>
      <c r="K31" s="13">
        <v>1817</v>
      </c>
      <c r="L31" s="13">
        <v>1614</v>
      </c>
      <c r="M31" s="13">
        <v>1575</v>
      </c>
      <c r="N31" s="13">
        <v>1127</v>
      </c>
      <c r="O31" s="13">
        <v>698</v>
      </c>
      <c r="P31" s="13">
        <v>655</v>
      </c>
      <c r="Q31" s="13">
        <v>1350</v>
      </c>
      <c r="R31" s="13">
        <v>1173</v>
      </c>
      <c r="S31" s="13">
        <v>1345</v>
      </c>
      <c r="T31" s="13">
        <v>957</v>
      </c>
      <c r="U31" s="13">
        <v>960</v>
      </c>
      <c r="V31" s="13">
        <v>1150</v>
      </c>
      <c r="W31" s="13">
        <v>1105</v>
      </c>
      <c r="X31" s="13">
        <v>1224</v>
      </c>
      <c r="Y31" s="13">
        <v>1136</v>
      </c>
      <c r="Z31" s="13">
        <v>220</v>
      </c>
      <c r="AA31" s="13"/>
      <c r="AB31" s="13"/>
      <c r="AC31" s="14">
        <f>SUM(Y31:AA31)</f>
        <v>1356</v>
      </c>
      <c r="AD31" s="17">
        <f t="shared" si="1"/>
        <v>1136</v>
      </c>
      <c r="AE31" s="16">
        <f>AC31/3</f>
        <v>452</v>
      </c>
      <c r="AF31" s="17">
        <f>MIN(Y31:AA31)</f>
        <v>220</v>
      </c>
      <c r="AG31" s="17">
        <f>MAX(Y31:AA31)</f>
        <v>1136</v>
      </c>
      <c r="AH31" s="6">
        <f>LARGE(Y31:AA31,2)</f>
        <v>220</v>
      </c>
    </row>
    <row r="32" spans="1:34" x14ac:dyDescent="0.25">
      <c r="A32" s="11"/>
      <c r="B32" s="12" t="s">
        <v>124</v>
      </c>
      <c r="C32" s="12" t="s">
        <v>118</v>
      </c>
      <c r="D32" s="12" t="s">
        <v>125</v>
      </c>
      <c r="E32" s="13">
        <v>215</v>
      </c>
      <c r="F32" s="13">
        <v>215</v>
      </c>
      <c r="G32" s="13">
        <v>260</v>
      </c>
      <c r="H32" s="13">
        <v>101</v>
      </c>
      <c r="I32" s="13">
        <v>76</v>
      </c>
      <c r="J32" s="13">
        <v>100</v>
      </c>
      <c r="K32" s="13"/>
      <c r="L32" s="13">
        <v>108</v>
      </c>
      <c r="M32" s="13">
        <v>184</v>
      </c>
      <c r="N32" s="13">
        <v>123</v>
      </c>
      <c r="O32" s="13">
        <v>20</v>
      </c>
      <c r="P32" s="13">
        <v>70</v>
      </c>
      <c r="Q32" s="13">
        <v>31</v>
      </c>
      <c r="R32" s="13">
        <v>29</v>
      </c>
      <c r="S32" s="13">
        <v>5</v>
      </c>
      <c r="T32" s="13">
        <v>40</v>
      </c>
      <c r="U32" s="13">
        <v>80</v>
      </c>
      <c r="V32" s="13">
        <v>45</v>
      </c>
      <c r="W32" s="13">
        <v>25</v>
      </c>
      <c r="X32" s="13">
        <v>121</v>
      </c>
      <c r="Y32" s="13">
        <v>28</v>
      </c>
      <c r="Z32" s="13">
        <v>15</v>
      </c>
      <c r="AA32" s="13">
        <v>15</v>
      </c>
      <c r="AB32" s="13"/>
      <c r="AC32" s="14">
        <f>SUM(Y32:AA32)</f>
        <v>58</v>
      </c>
      <c r="AD32" s="17">
        <f t="shared" si="1"/>
        <v>28</v>
      </c>
      <c r="AE32" s="16">
        <f>AC32/3</f>
        <v>19.333333333333332</v>
      </c>
      <c r="AF32" s="17">
        <f>MIN(Y32:AA32)</f>
        <v>15</v>
      </c>
      <c r="AG32" s="17">
        <f>MAX(Y32:AA32)</f>
        <v>28</v>
      </c>
      <c r="AH32" s="6">
        <f>LARGE(Y32:AA32,2)</f>
        <v>15</v>
      </c>
    </row>
    <row r="33" spans="1:34" x14ac:dyDescent="0.25">
      <c r="A33" s="11"/>
      <c r="B33" s="12" t="s">
        <v>132</v>
      </c>
      <c r="C33" s="18" t="s">
        <v>118</v>
      </c>
      <c r="D33" s="18" t="s">
        <v>133</v>
      </c>
      <c r="E33" s="13"/>
      <c r="F33" s="13">
        <v>25</v>
      </c>
      <c r="G33" s="13">
        <v>15</v>
      </c>
      <c r="H33" s="13">
        <v>53</v>
      </c>
      <c r="I33" s="13">
        <v>81</v>
      </c>
      <c r="J33" s="13">
        <v>2</v>
      </c>
      <c r="K33" s="13"/>
      <c r="L33" s="13"/>
      <c r="M33" s="13">
        <v>1</v>
      </c>
      <c r="N33" s="13">
        <v>5</v>
      </c>
      <c r="O33" s="13"/>
      <c r="P33" s="13">
        <v>1</v>
      </c>
      <c r="Q33" s="13"/>
      <c r="R33" s="13">
        <v>0</v>
      </c>
      <c r="S33" s="13">
        <v>0</v>
      </c>
      <c r="T33" s="13">
        <v>5</v>
      </c>
      <c r="U33" s="13">
        <v>0</v>
      </c>
      <c r="V33" s="13">
        <v>10</v>
      </c>
      <c r="W33" s="13">
        <v>67</v>
      </c>
      <c r="X33" s="13"/>
      <c r="Y33" s="13"/>
      <c r="Z33" s="13">
        <v>10</v>
      </c>
      <c r="AA33" s="13">
        <v>5</v>
      </c>
      <c r="AB33" s="13"/>
      <c r="AC33" s="14">
        <f>SUM(Y33:AA33)</f>
        <v>15</v>
      </c>
      <c r="AD33" s="17">
        <f t="shared" si="1"/>
        <v>10</v>
      </c>
      <c r="AE33" s="16">
        <f>AC33/3</f>
        <v>5</v>
      </c>
      <c r="AF33" s="17">
        <f>MIN(Y33:AA33)</f>
        <v>5</v>
      </c>
      <c r="AG33" s="17">
        <f>MAX(Y33:AA33)</f>
        <v>10</v>
      </c>
      <c r="AH33" s="6">
        <f>LARGE(Y33:AA33,2)</f>
        <v>5</v>
      </c>
    </row>
    <row r="34" spans="1:34" x14ac:dyDescent="0.25">
      <c r="A34" s="11"/>
      <c r="B34" s="12" t="s">
        <v>36</v>
      </c>
      <c r="C34" s="18" t="s">
        <v>37</v>
      </c>
      <c r="D34" s="18" t="s">
        <v>38</v>
      </c>
      <c r="E34" s="13"/>
      <c r="F34" s="13">
        <v>51</v>
      </c>
      <c r="G34" s="13"/>
      <c r="H34" s="13">
        <v>48</v>
      </c>
      <c r="I34" s="13">
        <v>76</v>
      </c>
      <c r="J34" s="13">
        <v>9</v>
      </c>
      <c r="K34" s="13">
        <v>7</v>
      </c>
      <c r="L34" s="13">
        <v>13</v>
      </c>
      <c r="M34" s="13">
        <v>15</v>
      </c>
      <c r="N34" s="13">
        <v>20</v>
      </c>
      <c r="O34" s="13">
        <v>5</v>
      </c>
      <c r="P34" s="13">
        <v>21</v>
      </c>
      <c r="Q34" s="13">
        <v>17</v>
      </c>
      <c r="R34" s="13">
        <v>10</v>
      </c>
      <c r="S34" s="13">
        <v>10</v>
      </c>
      <c r="T34" s="13">
        <v>23</v>
      </c>
      <c r="U34" s="13">
        <v>12</v>
      </c>
      <c r="V34" s="13">
        <v>42</v>
      </c>
      <c r="W34" s="13">
        <v>16</v>
      </c>
      <c r="X34" s="13">
        <v>10</v>
      </c>
      <c r="Y34" s="13">
        <v>66</v>
      </c>
      <c r="Z34" s="13">
        <v>24</v>
      </c>
      <c r="AA34" s="13">
        <v>36</v>
      </c>
      <c r="AB34" s="13"/>
      <c r="AC34" s="14">
        <f>SUM(Y34:AA34)</f>
        <v>126</v>
      </c>
      <c r="AD34" s="17">
        <f t="shared" si="1"/>
        <v>66</v>
      </c>
      <c r="AE34" s="16">
        <f>AC34/3</f>
        <v>42</v>
      </c>
      <c r="AF34" s="17">
        <f>MIN(Y34:AA34)</f>
        <v>24</v>
      </c>
      <c r="AG34" s="17">
        <f>MAX(Y34:AA34)</f>
        <v>66</v>
      </c>
      <c r="AH34" s="6">
        <f>LARGE(Y34:AA34,2)</f>
        <v>36</v>
      </c>
    </row>
    <row r="35" spans="1:34" x14ac:dyDescent="0.25">
      <c r="A35" s="11"/>
      <c r="B35" s="12" t="s">
        <v>111</v>
      </c>
      <c r="C35" s="12" t="s">
        <v>103</v>
      </c>
      <c r="D35" s="12" t="s">
        <v>112</v>
      </c>
      <c r="E35" s="13">
        <v>0.33333333333333331</v>
      </c>
      <c r="F35" s="13">
        <v>0.33333333333333331</v>
      </c>
      <c r="G35" s="13">
        <v>1.5</v>
      </c>
      <c r="H35" s="13">
        <v>2.1666666666666665</v>
      </c>
      <c r="I35" s="13">
        <v>1</v>
      </c>
      <c r="J35" s="13">
        <v>2.3333333333333335</v>
      </c>
      <c r="K35" s="13">
        <f>750/500</f>
        <v>1.5</v>
      </c>
      <c r="L35" s="13">
        <f>333.333333333333/500</f>
        <v>0.66666666666666596</v>
      </c>
      <c r="M35" s="13">
        <f>8/6</f>
        <v>1.3333333333333333</v>
      </c>
      <c r="N35" s="13">
        <f>7000/500/6</f>
        <v>2.3333333333333335</v>
      </c>
      <c r="O35" s="13">
        <f>500/500/6</f>
        <v>0.16666666666666666</v>
      </c>
      <c r="P35" s="13">
        <f>2000/500/6</f>
        <v>0.66666666666666663</v>
      </c>
      <c r="Q35" s="13">
        <f>4000/500/6</f>
        <v>1.3333333333333333</v>
      </c>
      <c r="R35" s="13">
        <f>2500/500/6</f>
        <v>0.83333333333333337</v>
      </c>
      <c r="S35" s="13">
        <f>2500/500/6</f>
        <v>0.83333333333333337</v>
      </c>
      <c r="T35" s="13">
        <f>6500/500/6</f>
        <v>2.1666666666666665</v>
      </c>
      <c r="U35" s="13">
        <f>3500/500/6</f>
        <v>1.1666666666666667</v>
      </c>
      <c r="V35" s="13">
        <f>1500/500/6</f>
        <v>0.5</v>
      </c>
      <c r="W35" s="13">
        <f>1500/500/6</f>
        <v>0.5</v>
      </c>
      <c r="X35" s="13">
        <f>3000/500/6</f>
        <v>1</v>
      </c>
      <c r="Y35" s="13">
        <f>5000/500/6</f>
        <v>1.6666666666666667</v>
      </c>
      <c r="Z35" s="13"/>
      <c r="AA35" s="13">
        <f>4500/500/6</f>
        <v>1.5</v>
      </c>
      <c r="AB35" s="13">
        <f>1500/500/6</f>
        <v>0.5</v>
      </c>
      <c r="AC35" s="14">
        <f>SUM(Y35:AA35)</f>
        <v>3.166666666666667</v>
      </c>
      <c r="AD35" s="17">
        <f t="shared" si="1"/>
        <v>1.6666666666666667</v>
      </c>
      <c r="AE35" s="16">
        <f>AC35/3</f>
        <v>1.0555555555555556</v>
      </c>
      <c r="AF35" s="17">
        <f>MIN(Y35:AA35)</f>
        <v>1.5</v>
      </c>
      <c r="AG35" s="17">
        <f>MAX(Y35:AA35)</f>
        <v>1.6666666666666667</v>
      </c>
      <c r="AH35" s="6">
        <f>LARGE(Y35:AA35,2)</f>
        <v>1.5</v>
      </c>
    </row>
    <row r="36" spans="1:34" x14ac:dyDescent="0.25">
      <c r="A36" s="11"/>
      <c r="B36" s="12" t="s">
        <v>23</v>
      </c>
      <c r="C36" s="12" t="s">
        <v>21</v>
      </c>
      <c r="D36" s="12" t="s">
        <v>24</v>
      </c>
      <c r="E36" s="13"/>
      <c r="F36" s="13">
        <v>3</v>
      </c>
      <c r="G36" s="13">
        <v>1</v>
      </c>
      <c r="H36" s="13"/>
      <c r="I36" s="13"/>
      <c r="J36" s="13"/>
      <c r="K36" s="13"/>
      <c r="L36" s="13"/>
      <c r="M36" s="13">
        <v>1</v>
      </c>
      <c r="N36" s="13"/>
      <c r="O36" s="13"/>
      <c r="P36" s="13"/>
      <c r="Q36" s="13"/>
      <c r="R36" s="13">
        <v>1</v>
      </c>
      <c r="S36" s="13">
        <v>1</v>
      </c>
      <c r="T36" s="13">
        <v>1</v>
      </c>
      <c r="U36" s="13">
        <v>1</v>
      </c>
      <c r="V36" s="13"/>
      <c r="W36" s="13"/>
      <c r="X36" s="13"/>
      <c r="Y36" s="13"/>
      <c r="Z36" s="13"/>
      <c r="AA36" s="13"/>
      <c r="AB36" s="13"/>
      <c r="AC36" s="14">
        <f>SUM(Y36:AA36)</f>
        <v>0</v>
      </c>
      <c r="AD36" s="17">
        <f t="shared" si="1"/>
        <v>0</v>
      </c>
      <c r="AE36" s="16">
        <f>AC36/3</f>
        <v>0</v>
      </c>
      <c r="AF36" s="17">
        <f>MIN(Y36:AA36)</f>
        <v>0</v>
      </c>
      <c r="AG36" s="17">
        <f>MAX(Y36:AA36)</f>
        <v>0</v>
      </c>
      <c r="AH36" s="6" t="e">
        <f>LARGE(Y36:AA36,2)</f>
        <v>#NUM!</v>
      </c>
    </row>
    <row r="37" spans="1:34" x14ac:dyDescent="0.25">
      <c r="A37" s="11"/>
      <c r="B37" s="12"/>
      <c r="C37" s="12"/>
      <c r="D37" s="12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4"/>
      <c r="AD37" s="15"/>
      <c r="AE37" s="16"/>
      <c r="AF37" s="17"/>
      <c r="AG37" s="17"/>
    </row>
    <row r="38" spans="1:34" x14ac:dyDescent="0.25">
      <c r="A38" s="11"/>
      <c r="B38" s="12"/>
      <c r="C38" s="12"/>
      <c r="D38" s="12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4"/>
      <c r="AD38" s="15"/>
      <c r="AE38" s="16"/>
      <c r="AF38" s="17"/>
      <c r="AG38" s="17"/>
    </row>
    <row r="39" spans="1:34" x14ac:dyDescent="0.25">
      <c r="A39" s="11"/>
      <c r="B39" s="12"/>
      <c r="C39" s="12"/>
      <c r="D39" s="12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4"/>
      <c r="AD39" s="15"/>
      <c r="AE39" s="16"/>
      <c r="AF39" s="17"/>
      <c r="AG39" s="17"/>
    </row>
    <row r="40" spans="1:34" x14ac:dyDescent="0.25">
      <c r="A40" s="11"/>
      <c r="B40" s="12" t="s">
        <v>15</v>
      </c>
      <c r="C40" s="12" t="s">
        <v>16</v>
      </c>
      <c r="D40" s="12" t="s">
        <v>17</v>
      </c>
      <c r="E40" s="13">
        <v>4</v>
      </c>
      <c r="F40" s="13"/>
      <c r="G40" s="13"/>
      <c r="H40" s="13">
        <v>4</v>
      </c>
      <c r="I40" s="13"/>
      <c r="J40" s="13">
        <v>0</v>
      </c>
      <c r="K40" s="13">
        <v>4</v>
      </c>
      <c r="L40" s="13">
        <v>0</v>
      </c>
      <c r="M40" s="13"/>
      <c r="N40" s="13">
        <v>4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4">
        <f t="shared" ref="AC40:AC68" si="8">SUM(Y40:AA40)</f>
        <v>0</v>
      </c>
      <c r="AD40" s="15" t="e">
        <f>AH40</f>
        <v>#NUM!</v>
      </c>
      <c r="AE40" s="16">
        <f t="shared" ref="AE40:AE68" si="9">AC40/3</f>
        <v>0</v>
      </c>
      <c r="AF40" s="17">
        <f t="shared" ref="AF40:AF68" si="10">MIN(Y40:AA40)</f>
        <v>0</v>
      </c>
      <c r="AG40" s="17">
        <f t="shared" ref="AG40:AG68" si="11">MAX(Y40:AA40)</f>
        <v>0</v>
      </c>
      <c r="AH40" s="6" t="e">
        <f t="shared" ref="AH40:AH68" si="12">LARGE(Y40:AA40,2)</f>
        <v>#NUM!</v>
      </c>
    </row>
    <row r="41" spans="1:34" x14ac:dyDescent="0.25">
      <c r="A41" s="11"/>
      <c r="B41" s="12" t="s">
        <v>18</v>
      </c>
      <c r="C41" s="12" t="s">
        <v>16</v>
      </c>
      <c r="D41" s="12" t="s">
        <v>19</v>
      </c>
      <c r="E41" s="13"/>
      <c r="F41" s="13">
        <v>1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4">
        <f t="shared" si="8"/>
        <v>0</v>
      </c>
      <c r="AD41" s="15" t="e">
        <f>AH41</f>
        <v>#NUM!</v>
      </c>
      <c r="AE41" s="16">
        <f t="shared" si="9"/>
        <v>0</v>
      </c>
      <c r="AF41" s="17">
        <f t="shared" si="10"/>
        <v>0</v>
      </c>
      <c r="AG41" s="17">
        <f t="shared" si="11"/>
        <v>0</v>
      </c>
      <c r="AH41" s="6" t="e">
        <f t="shared" si="12"/>
        <v>#NUM!</v>
      </c>
    </row>
    <row r="42" spans="1:34" x14ac:dyDescent="0.25">
      <c r="A42" s="11"/>
      <c r="B42" s="12" t="s">
        <v>20</v>
      </c>
      <c r="C42" s="12" t="s">
        <v>21</v>
      </c>
      <c r="D42" s="12" t="s">
        <v>22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4">
        <f t="shared" si="8"/>
        <v>0</v>
      </c>
      <c r="AD42" s="15" t="e">
        <f>AH42</f>
        <v>#NUM!</v>
      </c>
      <c r="AE42" s="16">
        <f t="shared" si="9"/>
        <v>0</v>
      </c>
      <c r="AF42" s="17">
        <f t="shared" si="10"/>
        <v>0</v>
      </c>
      <c r="AG42" s="17">
        <f t="shared" si="11"/>
        <v>0</v>
      </c>
      <c r="AH42" s="6" t="e">
        <f t="shared" si="12"/>
        <v>#NUM!</v>
      </c>
    </row>
    <row r="43" spans="1:34" x14ac:dyDescent="0.25">
      <c r="A43" s="11"/>
      <c r="B43" s="12" t="s">
        <v>25</v>
      </c>
      <c r="C43" s="12" t="s">
        <v>21</v>
      </c>
      <c r="D43" s="12" t="s">
        <v>26</v>
      </c>
      <c r="E43" s="13"/>
      <c r="F43" s="13">
        <v>2</v>
      </c>
      <c r="G43" s="13">
        <v>1</v>
      </c>
      <c r="H43" s="13"/>
      <c r="I43" s="13"/>
      <c r="J43" s="13">
        <v>1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4">
        <f t="shared" si="8"/>
        <v>0</v>
      </c>
      <c r="AD43" s="15" t="e">
        <f>AH43</f>
        <v>#NUM!</v>
      </c>
      <c r="AE43" s="16">
        <f t="shared" si="9"/>
        <v>0</v>
      </c>
      <c r="AF43" s="17">
        <f t="shared" si="10"/>
        <v>0</v>
      </c>
      <c r="AG43" s="17">
        <f t="shared" si="11"/>
        <v>0</v>
      </c>
      <c r="AH43" s="6" t="e">
        <f t="shared" si="12"/>
        <v>#NUM!</v>
      </c>
    </row>
    <row r="44" spans="1:34" x14ac:dyDescent="0.25">
      <c r="A44" s="11"/>
      <c r="B44" s="12" t="s">
        <v>27</v>
      </c>
      <c r="C44" s="12" t="s">
        <v>28</v>
      </c>
      <c r="D44" s="12" t="s">
        <v>29</v>
      </c>
      <c r="E44" s="13"/>
      <c r="F44" s="13">
        <v>1</v>
      </c>
      <c r="G44" s="13"/>
      <c r="H44" s="13"/>
      <c r="I44" s="13"/>
      <c r="J44" s="13"/>
      <c r="K44" s="13"/>
      <c r="L44" s="13"/>
      <c r="M44" s="13">
        <v>1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>
        <v>1</v>
      </c>
      <c r="Z44" s="13"/>
      <c r="AA44" s="13"/>
      <c r="AB44" s="13"/>
      <c r="AC44" s="14">
        <f t="shared" si="8"/>
        <v>1</v>
      </c>
      <c r="AD44" s="15" t="e">
        <f>AH44</f>
        <v>#NUM!</v>
      </c>
      <c r="AE44" s="16">
        <f t="shared" si="9"/>
        <v>0.33333333333333331</v>
      </c>
      <c r="AF44" s="17">
        <f t="shared" si="10"/>
        <v>1</v>
      </c>
      <c r="AG44" s="17">
        <f t="shared" si="11"/>
        <v>1</v>
      </c>
      <c r="AH44" s="6" t="e">
        <f t="shared" si="12"/>
        <v>#NUM!</v>
      </c>
    </row>
    <row r="45" spans="1:34" x14ac:dyDescent="0.25">
      <c r="A45" s="11"/>
      <c r="B45" s="12" t="s">
        <v>30</v>
      </c>
      <c r="C45" s="12" t="s">
        <v>31</v>
      </c>
      <c r="D45" s="12" t="s">
        <v>32</v>
      </c>
      <c r="E45" s="13"/>
      <c r="F45" s="13"/>
      <c r="G45" s="13"/>
      <c r="H45" s="13"/>
      <c r="I45" s="13"/>
      <c r="J45" s="13"/>
      <c r="K45" s="13"/>
      <c r="L45" s="13">
        <v>1</v>
      </c>
      <c r="M45" s="13"/>
      <c r="N45" s="13"/>
      <c r="O45" s="13"/>
      <c r="P45" s="13"/>
      <c r="Q45" s="13"/>
      <c r="R45" s="13"/>
      <c r="S45" s="13">
        <v>1</v>
      </c>
      <c r="T45" s="13"/>
      <c r="U45" s="13"/>
      <c r="V45" s="13"/>
      <c r="W45" s="13"/>
      <c r="X45" s="13"/>
      <c r="Y45" s="13"/>
      <c r="Z45" s="13"/>
      <c r="AA45" s="13"/>
      <c r="AB45" s="13"/>
      <c r="AC45" s="14">
        <f t="shared" si="8"/>
        <v>0</v>
      </c>
      <c r="AD45" s="15" t="e">
        <f>AH45</f>
        <v>#NUM!</v>
      </c>
      <c r="AE45" s="16">
        <f t="shared" si="9"/>
        <v>0</v>
      </c>
      <c r="AF45" s="17">
        <f t="shared" si="10"/>
        <v>0</v>
      </c>
      <c r="AG45" s="17">
        <f t="shared" si="11"/>
        <v>0</v>
      </c>
      <c r="AH45" s="6" t="e">
        <f t="shared" si="12"/>
        <v>#NUM!</v>
      </c>
    </row>
    <row r="46" spans="1:34" x14ac:dyDescent="0.25">
      <c r="A46" s="11"/>
      <c r="B46" s="12" t="s">
        <v>33</v>
      </c>
      <c r="C46" s="12" t="s">
        <v>34</v>
      </c>
      <c r="D46" s="12" t="s">
        <v>35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4">
        <f t="shared" si="8"/>
        <v>0</v>
      </c>
      <c r="AD46" s="15" t="e">
        <f>AH46</f>
        <v>#NUM!</v>
      </c>
      <c r="AE46" s="16">
        <f t="shared" si="9"/>
        <v>0</v>
      </c>
      <c r="AF46" s="17">
        <f t="shared" si="10"/>
        <v>0</v>
      </c>
      <c r="AG46" s="17">
        <f t="shared" si="11"/>
        <v>0</v>
      </c>
      <c r="AH46" s="6" t="e">
        <f t="shared" si="12"/>
        <v>#NUM!</v>
      </c>
    </row>
    <row r="47" spans="1:34" s="23" customFormat="1" x14ac:dyDescent="0.25">
      <c r="A47" s="19" t="s">
        <v>39</v>
      </c>
      <c r="B47" s="20" t="s">
        <v>36</v>
      </c>
      <c r="C47" s="21" t="s">
        <v>37</v>
      </c>
      <c r="D47" s="21" t="s">
        <v>38</v>
      </c>
      <c r="E47" s="22">
        <v>14</v>
      </c>
      <c r="F47" s="22">
        <v>30</v>
      </c>
      <c r="G47" s="22">
        <v>35</v>
      </c>
      <c r="H47" s="22">
        <v>48</v>
      </c>
      <c r="I47" s="22">
        <v>76</v>
      </c>
      <c r="J47" s="22">
        <v>9</v>
      </c>
      <c r="K47" s="22">
        <v>7</v>
      </c>
      <c r="L47" s="22">
        <v>13</v>
      </c>
      <c r="M47" s="22">
        <v>15</v>
      </c>
      <c r="N47" s="22">
        <v>20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14">
        <f t="shared" si="8"/>
        <v>0</v>
      </c>
      <c r="AD47" s="15" t="e">
        <f>AH47</f>
        <v>#NUM!</v>
      </c>
      <c r="AE47" s="16">
        <f t="shared" si="9"/>
        <v>0</v>
      </c>
      <c r="AF47" s="17">
        <f t="shared" si="10"/>
        <v>0</v>
      </c>
      <c r="AG47" s="17">
        <f t="shared" si="11"/>
        <v>0</v>
      </c>
      <c r="AH47" s="6" t="e">
        <f t="shared" si="12"/>
        <v>#NUM!</v>
      </c>
    </row>
    <row r="48" spans="1:34" x14ac:dyDescent="0.25">
      <c r="A48" s="11"/>
      <c r="B48" s="12" t="s">
        <v>55</v>
      </c>
      <c r="C48" s="12" t="s">
        <v>56</v>
      </c>
      <c r="D48" s="12" t="s">
        <v>57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>
        <v>80</v>
      </c>
      <c r="Y48" s="13">
        <v>60</v>
      </c>
      <c r="Z48" s="13"/>
      <c r="AA48" s="13">
        <v>80</v>
      </c>
      <c r="AB48" s="13">
        <v>40</v>
      </c>
      <c r="AC48" s="14">
        <f t="shared" si="8"/>
        <v>140</v>
      </c>
      <c r="AD48" s="15">
        <f>AH48</f>
        <v>60</v>
      </c>
      <c r="AE48" s="16">
        <f t="shared" si="9"/>
        <v>46.666666666666664</v>
      </c>
      <c r="AF48" s="17">
        <f t="shared" si="10"/>
        <v>60</v>
      </c>
      <c r="AG48" s="17">
        <f t="shared" si="11"/>
        <v>80</v>
      </c>
      <c r="AH48" s="6">
        <f t="shared" si="12"/>
        <v>60</v>
      </c>
    </row>
    <row r="49" spans="1:34" x14ac:dyDescent="0.25">
      <c r="A49" s="11"/>
      <c r="B49" s="12" t="s">
        <v>62</v>
      </c>
      <c r="C49" s="12" t="s">
        <v>63</v>
      </c>
      <c r="D49" s="12" t="s">
        <v>64</v>
      </c>
      <c r="E49" s="13"/>
      <c r="F49" s="13"/>
      <c r="G49" s="13"/>
      <c r="H49" s="13"/>
      <c r="I49" s="13"/>
      <c r="J49" s="13">
        <v>1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>
        <v>1</v>
      </c>
      <c r="V49" s="13"/>
      <c r="W49" s="13">
        <v>1</v>
      </c>
      <c r="X49" s="13"/>
      <c r="Y49" s="13"/>
      <c r="Z49" s="13"/>
      <c r="AA49" s="13"/>
      <c r="AB49" s="13"/>
      <c r="AC49" s="14">
        <f t="shared" si="8"/>
        <v>0</v>
      </c>
      <c r="AD49" s="15" t="e">
        <f>AH49</f>
        <v>#NUM!</v>
      </c>
      <c r="AE49" s="16">
        <f t="shared" si="9"/>
        <v>0</v>
      </c>
      <c r="AF49" s="17">
        <f t="shared" si="10"/>
        <v>0</v>
      </c>
      <c r="AG49" s="17">
        <f t="shared" si="11"/>
        <v>0</v>
      </c>
      <c r="AH49" s="6" t="e">
        <f t="shared" si="12"/>
        <v>#NUM!</v>
      </c>
    </row>
    <row r="50" spans="1:34" x14ac:dyDescent="0.25">
      <c r="A50" s="11"/>
      <c r="B50" s="12" t="s">
        <v>65</v>
      </c>
      <c r="C50" s="12" t="s">
        <v>63</v>
      </c>
      <c r="D50" s="12" t="s">
        <v>66</v>
      </c>
      <c r="E50" s="13"/>
      <c r="F50" s="13">
        <v>1</v>
      </c>
      <c r="G50" s="13">
        <v>1</v>
      </c>
      <c r="H50" s="13">
        <v>1</v>
      </c>
      <c r="I50" s="13"/>
      <c r="J50" s="13"/>
      <c r="K50" s="13"/>
      <c r="L50" s="13"/>
      <c r="M50" s="13">
        <v>1</v>
      </c>
      <c r="N50" s="13">
        <v>2</v>
      </c>
      <c r="O50" s="13"/>
      <c r="P50" s="13"/>
      <c r="Q50" s="13"/>
      <c r="R50" s="13"/>
      <c r="S50" s="13">
        <v>2</v>
      </c>
      <c r="T50" s="13">
        <v>0</v>
      </c>
      <c r="U50" s="13">
        <v>0</v>
      </c>
      <c r="V50" s="13"/>
      <c r="W50" s="13">
        <v>1</v>
      </c>
      <c r="X50" s="13"/>
      <c r="Y50" s="13">
        <v>1</v>
      </c>
      <c r="Z50" s="13"/>
      <c r="AA50" s="13"/>
      <c r="AB50" s="13"/>
      <c r="AC50" s="14">
        <f t="shared" si="8"/>
        <v>1</v>
      </c>
      <c r="AD50" s="15" t="e">
        <f>AH50</f>
        <v>#NUM!</v>
      </c>
      <c r="AE50" s="16">
        <f t="shared" si="9"/>
        <v>0.33333333333333331</v>
      </c>
      <c r="AF50" s="17">
        <f t="shared" si="10"/>
        <v>1</v>
      </c>
      <c r="AG50" s="17">
        <f t="shared" si="11"/>
        <v>1</v>
      </c>
      <c r="AH50" s="6" t="e">
        <f t="shared" si="12"/>
        <v>#NUM!</v>
      </c>
    </row>
    <row r="51" spans="1:34" x14ac:dyDescent="0.25">
      <c r="A51" s="11"/>
      <c r="B51" s="12" t="s">
        <v>74</v>
      </c>
      <c r="C51" s="12" t="s">
        <v>75</v>
      </c>
      <c r="D51" s="12" t="s">
        <v>76</v>
      </c>
      <c r="E51" s="13">
        <v>1</v>
      </c>
      <c r="F51" s="13"/>
      <c r="G51" s="13">
        <v>1</v>
      </c>
      <c r="H51" s="13">
        <v>1</v>
      </c>
      <c r="I51" s="13"/>
      <c r="J51" s="13"/>
      <c r="K51" s="13">
        <v>1</v>
      </c>
      <c r="L51" s="13"/>
      <c r="M51" s="13"/>
      <c r="N51" s="13"/>
      <c r="O51" s="13">
        <v>1</v>
      </c>
      <c r="P51" s="13"/>
      <c r="Q51" s="13">
        <v>1</v>
      </c>
      <c r="R51" s="13"/>
      <c r="S51" s="13"/>
      <c r="T51" s="13"/>
      <c r="U51" s="13"/>
      <c r="V51" s="13"/>
      <c r="W51" s="13">
        <v>1</v>
      </c>
      <c r="X51" s="13"/>
      <c r="Y51" s="13"/>
      <c r="Z51" s="13"/>
      <c r="AA51" s="13">
        <v>1</v>
      </c>
      <c r="AB51" s="13"/>
      <c r="AC51" s="14">
        <f t="shared" si="8"/>
        <v>1</v>
      </c>
      <c r="AD51" s="15" t="e">
        <f>AH51</f>
        <v>#NUM!</v>
      </c>
      <c r="AE51" s="16">
        <f t="shared" si="9"/>
        <v>0.33333333333333331</v>
      </c>
      <c r="AF51" s="17">
        <f t="shared" si="10"/>
        <v>1</v>
      </c>
      <c r="AG51" s="17">
        <f t="shared" si="11"/>
        <v>1</v>
      </c>
      <c r="AH51" s="6" t="e">
        <f t="shared" si="12"/>
        <v>#NUM!</v>
      </c>
    </row>
    <row r="52" spans="1:34" x14ac:dyDescent="0.25">
      <c r="A52" s="11"/>
      <c r="B52" s="12" t="s">
        <v>77</v>
      </c>
      <c r="C52" s="12" t="s">
        <v>78</v>
      </c>
      <c r="D52" s="12" t="s">
        <v>79</v>
      </c>
      <c r="E52" s="13">
        <v>1</v>
      </c>
      <c r="F52" s="13"/>
      <c r="G52" s="13">
        <v>1</v>
      </c>
      <c r="H52" s="13">
        <v>1</v>
      </c>
      <c r="I52" s="13"/>
      <c r="J52" s="13"/>
      <c r="K52" s="13"/>
      <c r="L52" s="13">
        <v>1</v>
      </c>
      <c r="M52" s="13">
        <v>1</v>
      </c>
      <c r="N52" s="13"/>
      <c r="O52" s="13">
        <v>1</v>
      </c>
      <c r="P52" s="13"/>
      <c r="Q52" s="13">
        <v>1</v>
      </c>
      <c r="R52" s="13">
        <v>1</v>
      </c>
      <c r="S52" s="13">
        <v>1</v>
      </c>
      <c r="T52" s="13"/>
      <c r="U52" s="13">
        <v>1</v>
      </c>
      <c r="V52" s="13"/>
      <c r="W52" s="13"/>
      <c r="X52" s="13">
        <v>1</v>
      </c>
      <c r="Y52" s="13"/>
      <c r="Z52" s="13">
        <v>1</v>
      </c>
      <c r="AA52" s="13"/>
      <c r="AB52" s="13"/>
      <c r="AC52" s="14">
        <f t="shared" si="8"/>
        <v>1</v>
      </c>
      <c r="AD52" s="15" t="e">
        <f>AH52</f>
        <v>#NUM!</v>
      </c>
      <c r="AE52" s="16">
        <f t="shared" si="9"/>
        <v>0.33333333333333331</v>
      </c>
      <c r="AF52" s="17">
        <f t="shared" si="10"/>
        <v>1</v>
      </c>
      <c r="AG52" s="17">
        <f t="shared" si="11"/>
        <v>1</v>
      </c>
      <c r="AH52" s="6" t="e">
        <f t="shared" si="12"/>
        <v>#NUM!</v>
      </c>
    </row>
    <row r="53" spans="1:34" x14ac:dyDescent="0.25">
      <c r="A53" s="11"/>
      <c r="B53" s="12" t="s">
        <v>91</v>
      </c>
      <c r="C53" s="12" t="s">
        <v>89</v>
      </c>
      <c r="D53" s="12" t="s">
        <v>92</v>
      </c>
      <c r="E53" s="13"/>
      <c r="F53" s="13"/>
      <c r="G53" s="13"/>
      <c r="H53" s="13"/>
      <c r="I53" s="13"/>
      <c r="J53" s="13"/>
      <c r="K53" s="13">
        <v>1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4">
        <f t="shared" si="8"/>
        <v>0</v>
      </c>
      <c r="AD53" s="15" t="e">
        <f>AH53</f>
        <v>#NUM!</v>
      </c>
      <c r="AE53" s="16">
        <f t="shared" si="9"/>
        <v>0</v>
      </c>
      <c r="AF53" s="17">
        <f t="shared" si="10"/>
        <v>0</v>
      </c>
      <c r="AG53" s="17">
        <f t="shared" si="11"/>
        <v>0</v>
      </c>
      <c r="AH53" s="6" t="e">
        <f t="shared" si="12"/>
        <v>#NUM!</v>
      </c>
    </row>
    <row r="54" spans="1:34" x14ac:dyDescent="0.25">
      <c r="A54" s="11"/>
      <c r="B54" s="12" t="s">
        <v>107</v>
      </c>
      <c r="C54" s="12" t="s">
        <v>103</v>
      </c>
      <c r="D54" s="12" t="s">
        <v>108</v>
      </c>
      <c r="E54" s="13">
        <v>0.16666666666666666</v>
      </c>
      <c r="F54" s="13">
        <v>0.5</v>
      </c>
      <c r="G54" s="13">
        <v>0.16666666666666666</v>
      </c>
      <c r="H54" s="13">
        <v>0.16666666666666666</v>
      </c>
      <c r="I54" s="13">
        <v>0.33333333333333331</v>
      </c>
      <c r="J54" s="13">
        <v>0.33333333333333331</v>
      </c>
      <c r="K54" s="13">
        <v>0.16666666666666666</v>
      </c>
      <c r="L54" s="13">
        <f>1000/500/6</f>
        <v>0.33333333333333331</v>
      </c>
      <c r="M54" s="13">
        <f>2000/6/500</f>
        <v>0.66666666666666663</v>
      </c>
      <c r="N54" s="13">
        <f>2000/500/6</f>
        <v>0.66666666666666663</v>
      </c>
      <c r="O54" s="13">
        <f>1000/500/6</f>
        <v>0.33333333333333331</v>
      </c>
      <c r="P54" s="13"/>
      <c r="Q54" s="13">
        <f>500/500/6</f>
        <v>0.16666666666666666</v>
      </c>
      <c r="R54" s="13"/>
      <c r="S54" s="13">
        <f>1000/500/6</f>
        <v>0.33333333333333331</v>
      </c>
      <c r="T54" s="13">
        <f>500/500/6</f>
        <v>0.16666666666666666</v>
      </c>
      <c r="U54" s="13">
        <f>500/500/6</f>
        <v>0.16666666666666666</v>
      </c>
      <c r="V54" s="13">
        <f>500/500/6</f>
        <v>0.16666666666666666</v>
      </c>
      <c r="W54" s="13">
        <f>2000/500/6</f>
        <v>0.66666666666666663</v>
      </c>
      <c r="X54" s="13">
        <f>1500/500/6</f>
        <v>0.5</v>
      </c>
      <c r="Y54" s="13">
        <f>1000/500/6</f>
        <v>0.33333333333333331</v>
      </c>
      <c r="Z54" s="13"/>
      <c r="AA54" s="13"/>
      <c r="AB54" s="13"/>
      <c r="AC54" s="14">
        <f t="shared" si="8"/>
        <v>0.33333333333333331</v>
      </c>
      <c r="AD54" s="15" t="e">
        <f>AH54</f>
        <v>#NUM!</v>
      </c>
      <c r="AE54" s="16">
        <f t="shared" si="9"/>
        <v>0.1111111111111111</v>
      </c>
      <c r="AF54" s="17">
        <f t="shared" si="10"/>
        <v>0.33333333333333331</v>
      </c>
      <c r="AG54" s="17">
        <f t="shared" si="11"/>
        <v>0.33333333333333331</v>
      </c>
      <c r="AH54" s="6" t="e">
        <f t="shared" si="12"/>
        <v>#NUM!</v>
      </c>
    </row>
    <row r="55" spans="1:34" x14ac:dyDescent="0.25">
      <c r="A55" s="11"/>
      <c r="B55" s="12" t="s">
        <v>115</v>
      </c>
      <c r="C55" s="18" t="s">
        <v>103</v>
      </c>
      <c r="D55" s="18" t="s">
        <v>116</v>
      </c>
      <c r="E55" s="13">
        <v>0.5</v>
      </c>
      <c r="F55" s="13">
        <v>0</v>
      </c>
      <c r="G55" s="13">
        <v>0.33333333333333331</v>
      </c>
      <c r="H55" s="13">
        <v>0.16666666666666666</v>
      </c>
      <c r="I55" s="13">
        <v>0</v>
      </c>
      <c r="J55" s="13">
        <v>0</v>
      </c>
      <c r="K55" s="13">
        <f>83.3333333333333/500</f>
        <v>0.1666666666666666</v>
      </c>
      <c r="L55" s="13">
        <f>166.666666666667/500</f>
        <v>0.33333333333333398</v>
      </c>
      <c r="M55" s="13">
        <f>1/6</f>
        <v>0.16666666666666666</v>
      </c>
      <c r="N55" s="13">
        <f>1/6</f>
        <v>0.16666666666666666</v>
      </c>
      <c r="O55" s="13">
        <f>1/6</f>
        <v>0.16666666666666666</v>
      </c>
      <c r="P55" s="13"/>
      <c r="Q55" s="13">
        <f>1000/500/6</f>
        <v>0.33333333333333331</v>
      </c>
      <c r="R55" s="13">
        <f>500/500/6</f>
        <v>0.16666666666666666</v>
      </c>
      <c r="S55" s="13">
        <f>1000/500/6</f>
        <v>0.33333333333333331</v>
      </c>
      <c r="T55" s="13">
        <f>500/500/6</f>
        <v>0.16666666666666666</v>
      </c>
      <c r="U55" s="13"/>
      <c r="V55" s="13"/>
      <c r="W55" s="13">
        <f>500/500/6</f>
        <v>0.16666666666666666</v>
      </c>
      <c r="X55" s="13">
        <f>500/500/6</f>
        <v>0.16666666666666666</v>
      </c>
      <c r="Y55" s="13">
        <f>1000/500/6</f>
        <v>0.33333333333333331</v>
      </c>
      <c r="Z55" s="13"/>
      <c r="AA55" s="13">
        <f t="shared" ref="AA55:AB55" si="13">500/500/6</f>
        <v>0.16666666666666666</v>
      </c>
      <c r="AB55" s="13">
        <f t="shared" si="13"/>
        <v>0.16666666666666666</v>
      </c>
      <c r="AC55" s="14">
        <f t="shared" si="8"/>
        <v>0.5</v>
      </c>
      <c r="AD55" s="15">
        <f>AH55</f>
        <v>0.16666666666666666</v>
      </c>
      <c r="AE55" s="16">
        <f t="shared" si="9"/>
        <v>0.16666666666666666</v>
      </c>
      <c r="AF55" s="17">
        <f t="shared" si="10"/>
        <v>0.16666666666666666</v>
      </c>
      <c r="AG55" s="17">
        <f t="shared" si="11"/>
        <v>0.33333333333333331</v>
      </c>
      <c r="AH55" s="6">
        <f t="shared" si="12"/>
        <v>0.16666666666666666</v>
      </c>
    </row>
    <row r="56" spans="1:34" x14ac:dyDescent="0.25">
      <c r="A56" s="11"/>
      <c r="B56" s="12" t="s">
        <v>117</v>
      </c>
      <c r="C56" s="12" t="s">
        <v>118</v>
      </c>
      <c r="D56" s="12" t="s">
        <v>120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>
        <v>3021</v>
      </c>
      <c r="R56" s="13">
        <v>1190</v>
      </c>
      <c r="S56" s="13">
        <v>1410</v>
      </c>
      <c r="T56" s="13">
        <v>940</v>
      </c>
      <c r="U56" s="13"/>
      <c r="V56" s="13"/>
      <c r="W56" s="13"/>
      <c r="X56" s="13"/>
      <c r="Y56" s="13"/>
      <c r="Z56" s="13"/>
      <c r="AA56" s="13"/>
      <c r="AB56" s="13"/>
      <c r="AC56" s="14">
        <f t="shared" si="8"/>
        <v>0</v>
      </c>
      <c r="AD56" s="15" t="e">
        <f>AH56</f>
        <v>#NUM!</v>
      </c>
      <c r="AE56" s="16">
        <f t="shared" si="9"/>
        <v>0</v>
      </c>
      <c r="AF56" s="17">
        <f t="shared" si="10"/>
        <v>0</v>
      </c>
      <c r="AG56" s="17">
        <f t="shared" si="11"/>
        <v>0</v>
      </c>
      <c r="AH56" s="6" t="e">
        <f t="shared" si="12"/>
        <v>#NUM!</v>
      </c>
    </row>
    <row r="57" spans="1:34" x14ac:dyDescent="0.25">
      <c r="A57" s="11"/>
      <c r="B57" s="12" t="s">
        <v>121</v>
      </c>
      <c r="C57" s="12" t="s">
        <v>118</v>
      </c>
      <c r="D57" s="12" t="s">
        <v>122</v>
      </c>
      <c r="E57" s="13"/>
      <c r="F57" s="13"/>
      <c r="G57" s="13"/>
      <c r="H57" s="13"/>
      <c r="I57" s="13"/>
      <c r="J57" s="13">
        <v>0</v>
      </c>
      <c r="K57" s="13">
        <v>161</v>
      </c>
      <c r="L57" s="13">
        <v>35</v>
      </c>
      <c r="M57" s="13">
        <v>10</v>
      </c>
      <c r="N57" s="13">
        <v>50</v>
      </c>
      <c r="O57" s="13"/>
      <c r="P57" s="13">
        <v>50</v>
      </c>
      <c r="Q57" s="13"/>
      <c r="R57" s="13"/>
      <c r="S57" s="13">
        <v>0</v>
      </c>
      <c r="T57" s="13">
        <v>0</v>
      </c>
      <c r="U57" s="13">
        <v>128</v>
      </c>
      <c r="V57" s="13"/>
      <c r="W57" s="13"/>
      <c r="X57" s="13"/>
      <c r="Y57" s="13"/>
      <c r="Z57" s="13"/>
      <c r="AA57" s="13"/>
      <c r="AB57" s="13"/>
      <c r="AC57" s="14">
        <f t="shared" si="8"/>
        <v>0</v>
      </c>
      <c r="AD57" s="15" t="e">
        <f>AH57</f>
        <v>#NUM!</v>
      </c>
      <c r="AE57" s="16">
        <f t="shared" si="9"/>
        <v>0</v>
      </c>
      <c r="AF57" s="17">
        <f t="shared" si="10"/>
        <v>0</v>
      </c>
      <c r="AG57" s="17">
        <f t="shared" si="11"/>
        <v>0</v>
      </c>
      <c r="AH57" s="6" t="e">
        <f t="shared" si="12"/>
        <v>#NUM!</v>
      </c>
    </row>
    <row r="58" spans="1:34" x14ac:dyDescent="0.25">
      <c r="A58" s="11"/>
      <c r="B58" s="12" t="s">
        <v>121</v>
      </c>
      <c r="C58" s="12" t="s">
        <v>118</v>
      </c>
      <c r="D58" s="12" t="s">
        <v>123</v>
      </c>
      <c r="E58" s="13"/>
      <c r="F58" s="13"/>
      <c r="G58" s="13"/>
      <c r="H58" s="13"/>
      <c r="I58" s="13"/>
      <c r="J58" s="13">
        <v>0</v>
      </c>
      <c r="K58" s="13">
        <v>161</v>
      </c>
      <c r="L58" s="13">
        <v>35</v>
      </c>
      <c r="M58" s="13">
        <v>10</v>
      </c>
      <c r="N58" s="13">
        <v>50</v>
      </c>
      <c r="O58" s="13"/>
      <c r="P58" s="13">
        <v>50</v>
      </c>
      <c r="Q58" s="13"/>
      <c r="R58" s="13">
        <v>26</v>
      </c>
      <c r="S58" s="13">
        <v>0</v>
      </c>
      <c r="T58" s="13">
        <v>0</v>
      </c>
      <c r="U58" s="13">
        <v>10</v>
      </c>
      <c r="V58" s="13"/>
      <c r="W58" s="13"/>
      <c r="X58" s="13"/>
      <c r="Y58" s="13"/>
      <c r="Z58" s="13"/>
      <c r="AA58" s="13"/>
      <c r="AB58" s="13"/>
      <c r="AC58" s="14">
        <f t="shared" si="8"/>
        <v>0</v>
      </c>
      <c r="AD58" s="15" t="e">
        <f>AH58</f>
        <v>#NUM!</v>
      </c>
      <c r="AE58" s="16">
        <f t="shared" si="9"/>
        <v>0</v>
      </c>
      <c r="AF58" s="17">
        <f t="shared" si="10"/>
        <v>0</v>
      </c>
      <c r="AG58" s="17">
        <f t="shared" si="11"/>
        <v>0</v>
      </c>
      <c r="AH58" s="6" t="e">
        <f t="shared" si="12"/>
        <v>#NUM!</v>
      </c>
    </row>
    <row r="59" spans="1:34" x14ac:dyDescent="0.25">
      <c r="A59" s="11"/>
      <c r="B59" s="12" t="s">
        <v>124</v>
      </c>
      <c r="C59" s="12" t="s">
        <v>118</v>
      </c>
      <c r="D59" s="12" t="s">
        <v>126</v>
      </c>
      <c r="E59" s="13">
        <v>215</v>
      </c>
      <c r="F59" s="13"/>
      <c r="G59" s="13"/>
      <c r="H59" s="13"/>
      <c r="I59" s="13"/>
      <c r="J59" s="13"/>
      <c r="K59" s="13"/>
      <c r="L59" s="13">
        <v>65</v>
      </c>
      <c r="M59" s="13">
        <v>165</v>
      </c>
      <c r="N59" s="13">
        <v>97</v>
      </c>
      <c r="O59" s="13"/>
      <c r="P59" s="13">
        <v>50</v>
      </c>
      <c r="Q59" s="13">
        <v>60</v>
      </c>
      <c r="R59" s="13">
        <v>40</v>
      </c>
      <c r="S59" s="13">
        <v>40</v>
      </c>
      <c r="T59" s="13">
        <v>16</v>
      </c>
      <c r="U59" s="13"/>
      <c r="V59" s="13"/>
      <c r="W59" s="13">
        <v>40</v>
      </c>
      <c r="X59" s="13">
        <v>5</v>
      </c>
      <c r="Y59" s="13"/>
      <c r="Z59" s="13"/>
      <c r="AA59" s="13"/>
      <c r="AB59" s="13"/>
      <c r="AC59" s="14">
        <f t="shared" si="8"/>
        <v>0</v>
      </c>
      <c r="AD59" s="15" t="e">
        <f>AH59</f>
        <v>#NUM!</v>
      </c>
      <c r="AE59" s="16">
        <f t="shared" si="9"/>
        <v>0</v>
      </c>
      <c r="AF59" s="17">
        <f t="shared" si="10"/>
        <v>0</v>
      </c>
      <c r="AG59" s="17">
        <f t="shared" si="11"/>
        <v>0</v>
      </c>
      <c r="AH59" s="6" t="e">
        <f t="shared" si="12"/>
        <v>#NUM!</v>
      </c>
    </row>
    <row r="60" spans="1:34" x14ac:dyDescent="0.25">
      <c r="A60" s="11"/>
      <c r="B60" s="12" t="s">
        <v>130</v>
      </c>
      <c r="C60" s="18" t="s">
        <v>128</v>
      </c>
      <c r="D60" s="18" t="s">
        <v>131</v>
      </c>
      <c r="E60" s="13"/>
      <c r="F60" s="13">
        <v>17</v>
      </c>
      <c r="G60" s="13"/>
      <c r="H60" s="13"/>
      <c r="I60" s="13"/>
      <c r="J60" s="13"/>
      <c r="K60" s="13">
        <v>1</v>
      </c>
      <c r="L60" s="13"/>
      <c r="M60" s="13"/>
      <c r="N60" s="13"/>
      <c r="O60" s="13"/>
      <c r="P60" s="13"/>
      <c r="Q60" s="13">
        <v>8</v>
      </c>
      <c r="R60" s="13">
        <v>16</v>
      </c>
      <c r="S60" s="13">
        <v>10</v>
      </c>
      <c r="T60" s="13">
        <v>0</v>
      </c>
      <c r="U60" s="13">
        <v>0</v>
      </c>
      <c r="V60" s="13">
        <v>0</v>
      </c>
      <c r="W60" s="13"/>
      <c r="X60" s="13"/>
      <c r="Y60" s="13"/>
      <c r="Z60" s="13"/>
      <c r="AA60" s="13">
        <v>3</v>
      </c>
      <c r="AB60" s="13"/>
      <c r="AC60" s="14">
        <f t="shared" si="8"/>
        <v>3</v>
      </c>
      <c r="AD60" s="15" t="e">
        <f>AH60</f>
        <v>#NUM!</v>
      </c>
      <c r="AE60" s="16">
        <f t="shared" si="9"/>
        <v>1</v>
      </c>
      <c r="AF60" s="17">
        <f t="shared" si="10"/>
        <v>3</v>
      </c>
      <c r="AG60" s="17">
        <f t="shared" si="11"/>
        <v>3</v>
      </c>
      <c r="AH60" s="6" t="e">
        <f t="shared" si="12"/>
        <v>#NUM!</v>
      </c>
    </row>
    <row r="61" spans="1:34" x14ac:dyDescent="0.25">
      <c r="A61" s="11"/>
      <c r="B61" s="12" t="s">
        <v>132</v>
      </c>
      <c r="C61" s="18" t="s">
        <v>118</v>
      </c>
      <c r="D61" s="18" t="s">
        <v>134</v>
      </c>
      <c r="E61" s="13"/>
      <c r="F61" s="13"/>
      <c r="G61" s="13"/>
      <c r="H61" s="13"/>
      <c r="I61" s="13"/>
      <c r="J61" s="13"/>
      <c r="K61" s="13"/>
      <c r="L61" s="13"/>
      <c r="M61" s="13">
        <v>24</v>
      </c>
      <c r="N61" s="13">
        <v>5</v>
      </c>
      <c r="O61" s="13">
        <v>5</v>
      </c>
      <c r="P61" s="13">
        <v>30</v>
      </c>
      <c r="Q61" s="13">
        <v>10</v>
      </c>
      <c r="R61" s="13">
        <v>10</v>
      </c>
      <c r="S61" s="13"/>
      <c r="T61" s="13">
        <v>18</v>
      </c>
      <c r="U61" s="13">
        <v>5</v>
      </c>
      <c r="V61" s="13"/>
      <c r="W61" s="13">
        <v>18</v>
      </c>
      <c r="X61" s="13">
        <v>5</v>
      </c>
      <c r="Y61" s="13">
        <v>67</v>
      </c>
      <c r="Z61" s="13">
        <v>50</v>
      </c>
      <c r="AA61" s="13"/>
      <c r="AB61" s="13"/>
      <c r="AC61" s="14">
        <f t="shared" si="8"/>
        <v>117</v>
      </c>
      <c r="AD61" s="15">
        <f>AH61</f>
        <v>50</v>
      </c>
      <c r="AE61" s="16">
        <f t="shared" si="9"/>
        <v>39</v>
      </c>
      <c r="AF61" s="17">
        <f t="shared" si="10"/>
        <v>50</v>
      </c>
      <c r="AG61" s="17">
        <f t="shared" si="11"/>
        <v>67</v>
      </c>
      <c r="AH61" s="6">
        <f t="shared" si="12"/>
        <v>50</v>
      </c>
    </row>
    <row r="62" spans="1:34" s="23" customFormat="1" x14ac:dyDescent="0.25">
      <c r="A62" s="19" t="s">
        <v>39</v>
      </c>
      <c r="B62" s="20" t="s">
        <v>132</v>
      </c>
      <c r="C62" s="21" t="s">
        <v>118</v>
      </c>
      <c r="D62" s="21" t="s">
        <v>133</v>
      </c>
      <c r="E62" s="22">
        <v>14</v>
      </c>
      <c r="F62" s="22">
        <v>30</v>
      </c>
      <c r="G62" s="22">
        <v>35</v>
      </c>
      <c r="H62" s="13">
        <v>53</v>
      </c>
      <c r="I62" s="24">
        <v>81</v>
      </c>
      <c r="J62" s="24">
        <v>2</v>
      </c>
      <c r="K62" s="22"/>
      <c r="L62" s="22"/>
      <c r="M62" s="13">
        <f>1+24</f>
        <v>25</v>
      </c>
      <c r="N62" s="22">
        <v>10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14">
        <f t="shared" si="8"/>
        <v>0</v>
      </c>
      <c r="AD62" s="15" t="e">
        <f>AH62</f>
        <v>#NUM!</v>
      </c>
      <c r="AE62" s="16">
        <f t="shared" si="9"/>
        <v>0</v>
      </c>
      <c r="AF62" s="17">
        <f t="shared" si="10"/>
        <v>0</v>
      </c>
      <c r="AG62" s="17">
        <f t="shared" si="11"/>
        <v>0</v>
      </c>
      <c r="AH62" s="6" t="e">
        <f t="shared" si="12"/>
        <v>#NUM!</v>
      </c>
    </row>
    <row r="63" spans="1:34" x14ac:dyDescent="0.25">
      <c r="A63" s="11"/>
      <c r="B63" s="12"/>
      <c r="C63" s="12"/>
      <c r="D63" s="12" t="s">
        <v>143</v>
      </c>
      <c r="E63" s="13"/>
      <c r="F63" s="13"/>
      <c r="G63" s="13"/>
      <c r="H63" s="13">
        <v>20</v>
      </c>
      <c r="I63" s="13"/>
      <c r="J63" s="13">
        <v>10</v>
      </c>
      <c r="K63" s="13">
        <v>5</v>
      </c>
      <c r="L63" s="13">
        <v>0</v>
      </c>
      <c r="M63" s="13">
        <v>16</v>
      </c>
      <c r="N63" s="13">
        <v>15</v>
      </c>
      <c r="O63" s="13"/>
      <c r="P63" s="13"/>
      <c r="Q63" s="13"/>
      <c r="R63" s="13"/>
      <c r="S63" s="13">
        <v>20</v>
      </c>
      <c r="T63" s="13"/>
      <c r="U63" s="13">
        <v>10</v>
      </c>
      <c r="V63" s="13"/>
      <c r="W63" s="13"/>
      <c r="X63" s="13"/>
      <c r="Y63" s="13"/>
      <c r="Z63" s="13"/>
      <c r="AA63" s="13"/>
      <c r="AB63" s="13"/>
      <c r="AC63" s="14">
        <f t="shared" si="8"/>
        <v>0</v>
      </c>
      <c r="AD63" s="15" t="e">
        <f>AH63</f>
        <v>#NUM!</v>
      </c>
      <c r="AE63" s="16">
        <f t="shared" si="9"/>
        <v>0</v>
      </c>
      <c r="AF63" s="17">
        <f t="shared" si="10"/>
        <v>0</v>
      </c>
      <c r="AG63" s="17">
        <f t="shared" si="11"/>
        <v>0</v>
      </c>
      <c r="AH63" s="6" t="e">
        <f t="shared" si="12"/>
        <v>#NUM!</v>
      </c>
    </row>
    <row r="64" spans="1:34" x14ac:dyDescent="0.25">
      <c r="A64" s="11"/>
      <c r="B64" s="12"/>
      <c r="C64" s="12"/>
      <c r="D64" s="12" t="s">
        <v>144</v>
      </c>
      <c r="E64" s="13"/>
      <c r="F64" s="13"/>
      <c r="G64" s="13"/>
      <c r="H64" s="13">
        <v>4</v>
      </c>
      <c r="I64" s="13"/>
      <c r="J64" s="13">
        <v>2</v>
      </c>
      <c r="K64" s="13">
        <v>1</v>
      </c>
      <c r="L64" s="13">
        <v>0</v>
      </c>
      <c r="M64" s="13">
        <v>4</v>
      </c>
      <c r="N64" s="13">
        <v>3</v>
      </c>
      <c r="O64" s="13"/>
      <c r="P64" s="13"/>
      <c r="Q64" s="13"/>
      <c r="R64" s="13"/>
      <c r="S64" s="13">
        <v>4</v>
      </c>
      <c r="T64" s="13"/>
      <c r="U64" s="13">
        <v>2</v>
      </c>
      <c r="V64" s="13"/>
      <c r="W64" s="13"/>
      <c r="X64" s="13"/>
      <c r="Y64" s="13"/>
      <c r="Z64" s="13"/>
      <c r="AA64" s="13">
        <v>2</v>
      </c>
      <c r="AB64" s="13"/>
      <c r="AC64" s="14">
        <f t="shared" si="8"/>
        <v>2</v>
      </c>
      <c r="AD64" s="15" t="e">
        <f>AH64</f>
        <v>#NUM!</v>
      </c>
      <c r="AE64" s="16">
        <f t="shared" si="9"/>
        <v>0.66666666666666663</v>
      </c>
      <c r="AF64" s="17">
        <f t="shared" si="10"/>
        <v>2</v>
      </c>
      <c r="AG64" s="17">
        <f t="shared" si="11"/>
        <v>2</v>
      </c>
      <c r="AH64" s="6" t="e">
        <f t="shared" si="12"/>
        <v>#NUM!</v>
      </c>
    </row>
    <row r="65" spans="1:34" x14ac:dyDescent="0.25">
      <c r="A65" s="11"/>
      <c r="B65" s="12" t="s">
        <v>145</v>
      </c>
      <c r="C65" s="18" t="s">
        <v>146</v>
      </c>
      <c r="D65" s="18" t="s">
        <v>147</v>
      </c>
      <c r="E65" s="13">
        <v>1</v>
      </c>
      <c r="F65" s="13">
        <v>2</v>
      </c>
      <c r="G65" s="13">
        <f>1+1</f>
        <v>2</v>
      </c>
      <c r="H65" s="13"/>
      <c r="I65" s="13">
        <f>0+1</f>
        <v>1</v>
      </c>
      <c r="J65" s="13"/>
      <c r="K65" s="13">
        <f>1+3</f>
        <v>4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4">
        <f t="shared" si="8"/>
        <v>0</v>
      </c>
      <c r="AD65" s="15" t="e">
        <f>AH65</f>
        <v>#NUM!</v>
      </c>
      <c r="AE65" s="16">
        <f t="shared" si="9"/>
        <v>0</v>
      </c>
      <c r="AF65" s="17">
        <f t="shared" si="10"/>
        <v>0</v>
      </c>
      <c r="AG65" s="17">
        <f t="shared" si="11"/>
        <v>0</v>
      </c>
      <c r="AH65" s="6" t="e">
        <f t="shared" si="12"/>
        <v>#NUM!</v>
      </c>
    </row>
    <row r="66" spans="1:34" x14ac:dyDescent="0.25">
      <c r="A66" s="11"/>
      <c r="B66" s="12" t="s">
        <v>148</v>
      </c>
      <c r="C66" s="18" t="s">
        <v>16</v>
      </c>
      <c r="D66" s="18" t="s">
        <v>149</v>
      </c>
      <c r="E66" s="13"/>
      <c r="F66" s="13">
        <v>1</v>
      </c>
      <c r="G66" s="13"/>
      <c r="H66" s="13"/>
      <c r="I66" s="13"/>
      <c r="J66" s="13"/>
      <c r="K66" s="13"/>
      <c r="L66" s="13">
        <v>1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4">
        <f t="shared" si="8"/>
        <v>0</v>
      </c>
      <c r="AD66" s="15" t="e">
        <f>AH66</f>
        <v>#NUM!</v>
      </c>
      <c r="AE66" s="16">
        <f t="shared" si="9"/>
        <v>0</v>
      </c>
      <c r="AF66" s="17">
        <f t="shared" si="10"/>
        <v>0</v>
      </c>
      <c r="AG66" s="17">
        <f t="shared" si="11"/>
        <v>0</v>
      </c>
      <c r="AH66" s="6" t="e">
        <f t="shared" si="12"/>
        <v>#NUM!</v>
      </c>
    </row>
    <row r="67" spans="1:34" x14ac:dyDescent="0.25">
      <c r="A67" s="11"/>
      <c r="B67" s="12"/>
      <c r="C67" s="18" t="s">
        <v>138</v>
      </c>
      <c r="D67" s="18" t="s">
        <v>153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>
        <v>1</v>
      </c>
      <c r="T67" s="13"/>
      <c r="U67" s="13">
        <v>2</v>
      </c>
      <c r="V67" s="13"/>
      <c r="W67" s="13"/>
      <c r="X67" s="13"/>
      <c r="Y67" s="13"/>
      <c r="Z67" s="13">
        <v>1</v>
      </c>
      <c r="AA67" s="13">
        <v>1</v>
      </c>
      <c r="AB67" s="13"/>
      <c r="AC67" s="14">
        <f t="shared" si="8"/>
        <v>2</v>
      </c>
      <c r="AD67" s="15">
        <f>AH67</f>
        <v>1</v>
      </c>
      <c r="AE67" s="16">
        <f t="shared" si="9"/>
        <v>0.66666666666666663</v>
      </c>
      <c r="AF67" s="17">
        <f t="shared" si="10"/>
        <v>1</v>
      </c>
      <c r="AG67" s="17">
        <f t="shared" si="11"/>
        <v>1</v>
      </c>
      <c r="AH67" s="6">
        <f t="shared" si="12"/>
        <v>1</v>
      </c>
    </row>
    <row r="68" spans="1:34" x14ac:dyDescent="0.25">
      <c r="A68" s="11"/>
      <c r="B68" s="12"/>
      <c r="C68" s="18" t="s">
        <v>138</v>
      </c>
      <c r="D68" s="18" t="s">
        <v>154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>
        <v>0</v>
      </c>
      <c r="T68" s="13">
        <v>0</v>
      </c>
      <c r="U68" s="13">
        <v>1</v>
      </c>
      <c r="V68" s="13"/>
      <c r="W68" s="13"/>
      <c r="X68" s="13"/>
      <c r="Y68" s="13"/>
      <c r="Z68" s="13"/>
      <c r="AA68" s="13">
        <v>2</v>
      </c>
      <c r="AB68" s="13">
        <v>2</v>
      </c>
      <c r="AC68" s="14">
        <f t="shared" si="8"/>
        <v>2</v>
      </c>
      <c r="AD68" s="15" t="e">
        <f>AH68</f>
        <v>#NUM!</v>
      </c>
      <c r="AE68" s="16">
        <f t="shared" si="9"/>
        <v>0.66666666666666663</v>
      </c>
      <c r="AF68" s="17">
        <f t="shared" si="10"/>
        <v>2</v>
      </c>
      <c r="AG68" s="17">
        <f t="shared" si="11"/>
        <v>2</v>
      </c>
      <c r="AH68" s="6" t="e">
        <f t="shared" si="12"/>
        <v>#NUM!</v>
      </c>
    </row>
    <row r="69" spans="1:34" x14ac:dyDescent="0.25">
      <c r="A69" s="11"/>
      <c r="B69" s="12"/>
      <c r="C69" s="12"/>
      <c r="D69" s="12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25"/>
      <c r="AD69" s="15"/>
      <c r="AE69" s="13"/>
      <c r="AF69" s="15"/>
      <c r="AG69" s="15"/>
    </row>
    <row r="70" spans="1:34" x14ac:dyDescent="0.25">
      <c r="A70" s="11"/>
      <c r="B70" s="12"/>
      <c r="C70" s="12"/>
      <c r="D70" s="12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25"/>
      <c r="AD70" s="15"/>
      <c r="AE70" s="13"/>
      <c r="AF70" s="15"/>
      <c r="AG70" s="15"/>
    </row>
    <row r="71" spans="1:34" x14ac:dyDescent="0.25">
      <c r="A71" s="11"/>
      <c r="B71" s="12"/>
      <c r="C71" s="18"/>
      <c r="D71" s="18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25"/>
      <c r="AD71" s="15"/>
      <c r="AE71" s="13"/>
      <c r="AF71" s="15"/>
      <c r="AG71" s="15"/>
    </row>
    <row r="72" spans="1:34" x14ac:dyDescent="0.25">
      <c r="A72" s="11"/>
      <c r="B72" s="12"/>
      <c r="C72" s="12"/>
      <c r="D72" s="12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25"/>
      <c r="AD72" s="15"/>
      <c r="AE72" s="13"/>
      <c r="AF72" s="15"/>
      <c r="AG72" s="15"/>
    </row>
    <row r="73" spans="1:34" x14ac:dyDescent="0.25">
      <c r="A73" s="11"/>
      <c r="B73" s="12"/>
      <c r="C73" s="12"/>
      <c r="D73" s="12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25"/>
      <c r="AD73" s="15"/>
      <c r="AE73" s="13"/>
      <c r="AF73" s="15"/>
      <c r="AG73" s="15"/>
    </row>
    <row r="74" spans="1:34" x14ac:dyDescent="0.25">
      <c r="A74" s="11"/>
      <c r="B74" s="12"/>
      <c r="C74" s="12"/>
      <c r="D74" s="12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25"/>
      <c r="AD74" s="15"/>
      <c r="AE74" s="13"/>
      <c r="AF74" s="15"/>
      <c r="AG74" s="15"/>
    </row>
    <row r="75" spans="1:34" x14ac:dyDescent="0.25">
      <c r="A75" s="11"/>
      <c r="B75" s="12"/>
      <c r="C75" s="12"/>
      <c r="D75" s="12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25"/>
      <c r="AD75" s="15"/>
      <c r="AE75" s="13"/>
      <c r="AF75" s="15"/>
      <c r="AG75" s="15"/>
    </row>
    <row r="76" spans="1:34" x14ac:dyDescent="0.25">
      <c r="A76" s="11"/>
      <c r="B76" s="12"/>
      <c r="C76" s="12"/>
      <c r="D76" s="12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25"/>
      <c r="AD76" s="15"/>
      <c r="AE76" s="13"/>
      <c r="AF76" s="15"/>
      <c r="AG76" s="15"/>
    </row>
    <row r="77" spans="1:34" x14ac:dyDescent="0.25">
      <c r="A77" s="11"/>
      <c r="B77" s="12"/>
      <c r="C77" s="12"/>
      <c r="D77" s="12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25"/>
      <c r="AD77" s="15"/>
      <c r="AE77" s="13"/>
      <c r="AF77" s="15"/>
      <c r="AG77" s="15"/>
    </row>
    <row r="78" spans="1:34" x14ac:dyDescent="0.25">
      <c r="A78" s="11"/>
      <c r="B78" s="12"/>
      <c r="C78" s="12"/>
      <c r="D78" s="12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25"/>
      <c r="AD78" s="15"/>
      <c r="AE78" s="13"/>
      <c r="AF78" s="15"/>
      <c r="AG78" s="15"/>
    </row>
    <row r="79" spans="1:34" x14ac:dyDescent="0.25">
      <c r="A79" s="11"/>
      <c r="B79" s="12"/>
      <c r="C79" s="12"/>
      <c r="D79" s="12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25"/>
      <c r="AD79" s="15"/>
      <c r="AE79" s="13"/>
      <c r="AF79" s="15"/>
      <c r="AG79" s="15"/>
    </row>
    <row r="80" spans="1:34" x14ac:dyDescent="0.25">
      <c r="A80" s="11"/>
      <c r="B80" s="12"/>
      <c r="C80" s="12"/>
      <c r="D80" s="12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25"/>
      <c r="AD80" s="15"/>
      <c r="AE80" s="13"/>
      <c r="AF80" s="15"/>
      <c r="AG80" s="15"/>
    </row>
    <row r="81" spans="1:33" x14ac:dyDescent="0.25">
      <c r="A81" s="11"/>
      <c r="B81" s="12"/>
      <c r="C81" s="12"/>
      <c r="D81" s="12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25"/>
      <c r="AD81" s="15"/>
      <c r="AE81" s="13"/>
      <c r="AF81" s="15"/>
      <c r="AG81" s="15"/>
    </row>
    <row r="82" spans="1:33" x14ac:dyDescent="0.25">
      <c r="A82" s="11"/>
      <c r="B82" s="12"/>
      <c r="C82" s="12"/>
      <c r="D82" s="12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25"/>
      <c r="AD82" s="15"/>
      <c r="AE82" s="13"/>
      <c r="AF82" s="15"/>
      <c r="AG82" s="15"/>
    </row>
    <row r="83" spans="1:33" x14ac:dyDescent="0.25">
      <c r="A83" s="11"/>
      <c r="B83" s="12"/>
      <c r="C83" s="12"/>
      <c r="D83" s="12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25"/>
      <c r="AD83" s="15"/>
      <c r="AE83" s="13"/>
      <c r="AF83" s="15"/>
      <c r="AG83" s="15"/>
    </row>
    <row r="84" spans="1:33" x14ac:dyDescent="0.25">
      <c r="A84" s="11"/>
      <c r="B84" s="12"/>
      <c r="C84" s="12"/>
      <c r="D84" s="12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25"/>
      <c r="AD84" s="15"/>
      <c r="AE84" s="13"/>
      <c r="AF84" s="15"/>
      <c r="AG84" s="15"/>
    </row>
    <row r="85" spans="1:33" x14ac:dyDescent="0.25">
      <c r="A85" s="11"/>
      <c r="B85" s="12"/>
      <c r="C85" s="12"/>
      <c r="D85" s="12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25"/>
      <c r="AD85" s="15"/>
      <c r="AE85" s="13"/>
      <c r="AF85" s="15"/>
      <c r="AG85" s="15"/>
    </row>
    <row r="86" spans="1:33" x14ac:dyDescent="0.25">
      <c r="A86" s="11"/>
      <c r="B86" s="12"/>
      <c r="C86" s="12"/>
      <c r="D86" s="12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25"/>
      <c r="AD86" s="15"/>
      <c r="AE86" s="13"/>
      <c r="AF86" s="15"/>
      <c r="AG86" s="15"/>
    </row>
    <row r="87" spans="1:33" x14ac:dyDescent="0.25">
      <c r="A87" s="11"/>
      <c r="B87" s="12"/>
      <c r="C87" s="12"/>
      <c r="D87" s="12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25"/>
      <c r="AD87" s="15"/>
      <c r="AE87" s="13"/>
      <c r="AF87" s="15"/>
      <c r="AG87" s="15"/>
    </row>
    <row r="88" spans="1:33" x14ac:dyDescent="0.25">
      <c r="A88" s="11"/>
      <c r="B88" s="12"/>
      <c r="C88" s="12"/>
      <c r="D88" s="12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25"/>
      <c r="AD88" s="15"/>
      <c r="AE88" s="13"/>
      <c r="AF88" s="15"/>
      <c r="AG88" s="15"/>
    </row>
    <row r="89" spans="1:33" x14ac:dyDescent="0.25">
      <c r="A89" s="11"/>
      <c r="B89" s="12"/>
      <c r="C89" s="18"/>
      <c r="D89" s="18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25"/>
      <c r="AD89" s="15"/>
      <c r="AE89" s="13"/>
      <c r="AF89" s="15"/>
      <c r="AG89" s="15"/>
    </row>
    <row r="90" spans="1:33" x14ac:dyDescent="0.25">
      <c r="A90" s="11"/>
      <c r="B90" s="12"/>
      <c r="C90" s="18"/>
      <c r="D90" s="18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25"/>
      <c r="AD90" s="15"/>
      <c r="AE90" s="13"/>
      <c r="AF90" s="15"/>
      <c r="AG90" s="15"/>
    </row>
    <row r="91" spans="1:33" x14ac:dyDescent="0.25">
      <c r="A91" s="11"/>
      <c r="B91" s="12"/>
      <c r="C91" s="18"/>
      <c r="D91" s="18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25"/>
      <c r="AD91" s="15"/>
      <c r="AE91" s="13"/>
      <c r="AF91" s="15"/>
      <c r="AG91" s="15"/>
    </row>
    <row r="92" spans="1:33" x14ac:dyDescent="0.25">
      <c r="A92" s="11"/>
      <c r="B92" s="12"/>
      <c r="C92" s="12"/>
      <c r="D92" s="12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25"/>
      <c r="AD92" s="15"/>
      <c r="AE92" s="13"/>
      <c r="AF92" s="15"/>
      <c r="AG92" s="15"/>
    </row>
    <row r="93" spans="1:33" x14ac:dyDescent="0.25">
      <c r="A93" s="11"/>
      <c r="B93" s="12"/>
      <c r="C93" s="12"/>
      <c r="D93" s="12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25"/>
      <c r="AD93" s="15"/>
      <c r="AE93" s="13"/>
      <c r="AF93" s="15"/>
      <c r="AG93" s="15"/>
    </row>
    <row r="94" spans="1:33" x14ac:dyDescent="0.25">
      <c r="A94" s="11"/>
      <c r="B94" s="12"/>
      <c r="C94" s="12"/>
      <c r="D94" s="12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25"/>
      <c r="AD94" s="15"/>
      <c r="AE94" s="13"/>
      <c r="AF94" s="15"/>
      <c r="AG94" s="15"/>
    </row>
    <row r="95" spans="1:33" x14ac:dyDescent="0.25">
      <c r="A95" s="11"/>
      <c r="B95" s="12"/>
      <c r="C95" s="12"/>
      <c r="D95" s="12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25"/>
      <c r="AD95" s="15"/>
      <c r="AE95" s="13"/>
      <c r="AF95" s="15"/>
      <c r="AG95" s="15"/>
    </row>
    <row r="96" spans="1:33" x14ac:dyDescent="0.25">
      <c r="A96" s="11"/>
      <c r="B96" s="12"/>
      <c r="C96" s="12"/>
      <c r="D96" s="12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25"/>
      <c r="AD96" s="15"/>
      <c r="AE96" s="13"/>
      <c r="AF96" s="15"/>
      <c r="AG96" s="15"/>
    </row>
    <row r="97" spans="1:33" x14ac:dyDescent="0.25">
      <c r="A97" s="11"/>
      <c r="B97" s="12"/>
      <c r="C97" s="12"/>
      <c r="D97" s="12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25"/>
      <c r="AD97" s="15"/>
      <c r="AE97" s="13"/>
      <c r="AF97" s="15"/>
      <c r="AG97" s="15"/>
    </row>
    <row r="98" spans="1:33" x14ac:dyDescent="0.25">
      <c r="A98" s="11"/>
      <c r="B98" s="12"/>
      <c r="C98" s="18"/>
      <c r="D98" s="18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25"/>
      <c r="AD98" s="15"/>
      <c r="AE98" s="13"/>
      <c r="AF98" s="15"/>
      <c r="AG98" s="15"/>
    </row>
    <row r="99" spans="1:33" x14ac:dyDescent="0.25">
      <c r="A99" s="11"/>
      <c r="B99" s="12"/>
      <c r="C99" s="12"/>
      <c r="D99" s="12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25"/>
      <c r="AD99" s="15"/>
      <c r="AE99" s="13"/>
      <c r="AF99" s="15"/>
      <c r="AG99" s="15"/>
    </row>
    <row r="100" spans="1:33" x14ac:dyDescent="0.25">
      <c r="A100" s="11"/>
      <c r="B100" s="12"/>
      <c r="C100" s="12"/>
      <c r="D100" s="12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25"/>
      <c r="AD100" s="15"/>
      <c r="AE100" s="13"/>
      <c r="AF100" s="15"/>
      <c r="AG100" s="15"/>
    </row>
    <row r="101" spans="1:33" x14ac:dyDescent="0.25">
      <c r="A101" s="11"/>
      <c r="B101" s="12"/>
      <c r="C101" s="12"/>
      <c r="D101" s="12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25"/>
      <c r="AD101" s="15"/>
      <c r="AE101" s="13"/>
      <c r="AF101" s="15"/>
      <c r="AG101" s="15"/>
    </row>
    <row r="102" spans="1:33" x14ac:dyDescent="0.25">
      <c r="A102" s="11"/>
      <c r="B102" s="12"/>
      <c r="C102" s="12"/>
      <c r="D102" s="12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25"/>
      <c r="AD102" s="15"/>
      <c r="AE102" s="13"/>
      <c r="AF102" s="15"/>
      <c r="AG102" s="15"/>
    </row>
    <row r="103" spans="1:33" x14ac:dyDescent="0.25">
      <c r="A103" s="11"/>
      <c r="B103" s="12"/>
      <c r="C103" s="18"/>
      <c r="D103" s="18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25"/>
      <c r="AD103" s="15"/>
      <c r="AE103" s="13"/>
      <c r="AF103" s="15"/>
      <c r="AG103" s="15"/>
    </row>
    <row r="104" spans="1:33" x14ac:dyDescent="0.25">
      <c r="A104" s="11"/>
      <c r="B104" s="12"/>
      <c r="C104" s="18"/>
      <c r="D104" s="18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25"/>
      <c r="AD104" s="15"/>
      <c r="AE104" s="13"/>
      <c r="AF104" s="15"/>
      <c r="AG104" s="15"/>
    </row>
    <row r="105" spans="1:33" x14ac:dyDescent="0.25">
      <c r="A105" s="11"/>
      <c r="B105" s="12"/>
      <c r="C105" s="18"/>
      <c r="D105" s="18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25"/>
      <c r="AD105" s="15"/>
      <c r="AE105" s="13"/>
      <c r="AF105" s="15"/>
      <c r="AG105" s="15"/>
    </row>
    <row r="106" spans="1:33" x14ac:dyDescent="0.25">
      <c r="A106" s="11"/>
      <c r="B106" s="12"/>
      <c r="C106" s="18"/>
      <c r="D106" s="18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25"/>
      <c r="AD106" s="15"/>
      <c r="AE106" s="13"/>
      <c r="AF106" s="15"/>
      <c r="AG106" s="15"/>
    </row>
    <row r="107" spans="1:33" x14ac:dyDescent="0.25">
      <c r="A107" s="11"/>
      <c r="B107" s="12"/>
      <c r="C107" s="12"/>
      <c r="D107" s="12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25"/>
      <c r="AD107" s="15"/>
      <c r="AE107" s="13"/>
      <c r="AF107" s="15"/>
      <c r="AG107" s="15"/>
    </row>
    <row r="108" spans="1:33" x14ac:dyDescent="0.25">
      <c r="A108" s="11"/>
      <c r="B108" s="12"/>
      <c r="C108" s="12"/>
      <c r="D108" s="12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25"/>
      <c r="AD108" s="15"/>
      <c r="AE108" s="13"/>
      <c r="AF108" s="15"/>
      <c r="AG108" s="15"/>
    </row>
    <row r="109" spans="1:33" x14ac:dyDescent="0.25">
      <c r="A109" s="11"/>
      <c r="B109" s="12"/>
      <c r="C109" s="12"/>
      <c r="D109" s="12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25"/>
      <c r="AD109" s="15"/>
      <c r="AE109" s="13"/>
      <c r="AF109" s="15"/>
      <c r="AG109" s="15"/>
    </row>
    <row r="110" spans="1:33" x14ac:dyDescent="0.25">
      <c r="A110" s="11"/>
      <c r="B110" s="12"/>
      <c r="C110" s="18"/>
      <c r="D110" s="18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25"/>
      <c r="AD110" s="15"/>
      <c r="AE110" s="13"/>
      <c r="AF110" s="15"/>
      <c r="AG110" s="15"/>
    </row>
    <row r="111" spans="1:33" x14ac:dyDescent="0.25">
      <c r="A111" s="11"/>
      <c r="B111" s="12"/>
      <c r="C111" s="18"/>
      <c r="D111" s="18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25"/>
      <c r="AD111" s="15"/>
      <c r="AE111" s="13"/>
      <c r="AF111" s="15"/>
      <c r="AG111" s="15"/>
    </row>
    <row r="112" spans="1:33" x14ac:dyDescent="0.25">
      <c r="A112" s="11"/>
      <c r="B112" s="12"/>
      <c r="C112" s="18"/>
      <c r="D112" s="18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25"/>
      <c r="AD112" s="15"/>
      <c r="AE112" s="13"/>
      <c r="AF112" s="15"/>
      <c r="AG112" s="15"/>
    </row>
    <row r="113" spans="1:33" x14ac:dyDescent="0.25">
      <c r="A113" s="11"/>
      <c r="B113" s="12"/>
      <c r="C113" s="18"/>
      <c r="D113" s="18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25"/>
      <c r="AD113" s="15"/>
      <c r="AE113" s="13"/>
      <c r="AF113" s="15"/>
      <c r="AG113" s="15"/>
    </row>
    <row r="114" spans="1:33" x14ac:dyDescent="0.25">
      <c r="A114" s="11"/>
      <c r="B114" s="12"/>
      <c r="C114" s="12"/>
      <c r="D114" s="12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25"/>
      <c r="AD114" s="15"/>
      <c r="AE114" s="13"/>
      <c r="AF114" s="15"/>
      <c r="AG114" s="15"/>
    </row>
    <row r="115" spans="1:33" x14ac:dyDescent="0.25">
      <c r="A115" s="11"/>
      <c r="B115" s="12"/>
      <c r="C115" s="12"/>
      <c r="D115" s="12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25"/>
      <c r="AD115" s="15"/>
      <c r="AE115" s="13"/>
      <c r="AF115" s="15"/>
      <c r="AG115" s="15"/>
    </row>
    <row r="116" spans="1:33" x14ac:dyDescent="0.25">
      <c r="A116" s="11"/>
      <c r="B116" s="12"/>
      <c r="C116" s="18"/>
      <c r="D116" s="18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25"/>
      <c r="AD116" s="15"/>
      <c r="AE116" s="13"/>
      <c r="AF116" s="15"/>
      <c r="AG116" s="15"/>
    </row>
    <row r="117" spans="1:33" x14ac:dyDescent="0.25">
      <c r="A117" s="11"/>
      <c r="B117" s="12"/>
      <c r="C117" s="12"/>
      <c r="D117" s="12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25"/>
      <c r="AD117" s="15"/>
      <c r="AE117" s="13"/>
      <c r="AF117" s="15"/>
      <c r="AG117" s="15"/>
    </row>
    <row r="118" spans="1:33" x14ac:dyDescent="0.25">
      <c r="A118" s="11"/>
      <c r="B118" s="12"/>
      <c r="C118" s="12"/>
      <c r="D118" s="12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25"/>
      <c r="AD118" s="15"/>
      <c r="AE118" s="13"/>
      <c r="AF118" s="15"/>
      <c r="AG118" s="15"/>
    </row>
    <row r="119" spans="1:33" x14ac:dyDescent="0.25">
      <c r="A119" s="11"/>
      <c r="B119" s="12"/>
      <c r="C119" s="12"/>
      <c r="D119" s="12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25"/>
      <c r="AD119" s="15"/>
      <c r="AE119" s="13"/>
      <c r="AF119" s="15"/>
      <c r="AG119" s="15"/>
    </row>
    <row r="120" spans="1:33" x14ac:dyDescent="0.25">
      <c r="A120" s="11"/>
      <c r="B120" s="12"/>
      <c r="C120" s="12"/>
      <c r="D120" s="12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25"/>
      <c r="AD120" s="15"/>
      <c r="AE120" s="13"/>
      <c r="AF120" s="15"/>
      <c r="AG120" s="15"/>
    </row>
    <row r="121" spans="1:33" x14ac:dyDescent="0.25">
      <c r="A121" s="11"/>
      <c r="B121" s="12"/>
      <c r="C121" s="12"/>
      <c r="D121" s="12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25"/>
      <c r="AD121" s="15"/>
      <c r="AE121" s="13"/>
      <c r="AF121" s="15"/>
      <c r="AG121" s="15"/>
    </row>
    <row r="122" spans="1:33" x14ac:dyDescent="0.25">
      <c r="A122" s="11"/>
      <c r="B122" s="12"/>
      <c r="C122" s="12"/>
      <c r="D122" s="12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25"/>
      <c r="AD122" s="15"/>
      <c r="AE122" s="13"/>
      <c r="AF122" s="15"/>
      <c r="AG122" s="15"/>
    </row>
    <row r="123" spans="1:33" x14ac:dyDescent="0.25">
      <c r="A123" s="11"/>
      <c r="B123" s="12"/>
      <c r="C123" s="12"/>
      <c r="D123" s="12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25"/>
      <c r="AD123" s="15"/>
      <c r="AE123" s="13"/>
      <c r="AF123" s="15"/>
      <c r="AG123" s="15"/>
    </row>
    <row r="124" spans="1:33" x14ac:dyDescent="0.25">
      <c r="A124" s="11"/>
      <c r="B124" s="12"/>
      <c r="C124" s="12"/>
      <c r="D124" s="12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25"/>
      <c r="AD124" s="15"/>
      <c r="AE124" s="13"/>
      <c r="AF124" s="15"/>
      <c r="AG124" s="15"/>
    </row>
    <row r="125" spans="1:33" x14ac:dyDescent="0.25">
      <c r="A125" s="11"/>
      <c r="B125" s="12"/>
      <c r="C125" s="12"/>
      <c r="D125" s="12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25"/>
      <c r="AD125" s="15"/>
      <c r="AE125" s="13"/>
      <c r="AF125" s="15"/>
      <c r="AG125" s="15"/>
    </row>
    <row r="126" spans="1:33" x14ac:dyDescent="0.25">
      <c r="A126" s="11"/>
      <c r="B126" s="12"/>
      <c r="C126" s="12"/>
      <c r="D126" s="12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25"/>
      <c r="AD126" s="15"/>
      <c r="AE126" s="13"/>
      <c r="AF126" s="15"/>
      <c r="AG126" s="15"/>
    </row>
    <row r="127" spans="1:33" x14ac:dyDescent="0.25">
      <c r="A127" s="11"/>
      <c r="B127" s="12"/>
      <c r="C127" s="12"/>
      <c r="D127" s="12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25"/>
      <c r="AD127" s="15"/>
      <c r="AE127" s="13"/>
      <c r="AF127" s="15"/>
      <c r="AG127" s="15"/>
    </row>
    <row r="128" spans="1:33" x14ac:dyDescent="0.25">
      <c r="A128" s="11"/>
      <c r="B128" s="12"/>
      <c r="C128" s="12"/>
      <c r="D128" s="12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25"/>
      <c r="AD128" s="15"/>
      <c r="AE128" s="13"/>
      <c r="AF128" s="15"/>
      <c r="AG128" s="15"/>
    </row>
    <row r="129" spans="1:33" x14ac:dyDescent="0.25">
      <c r="A129" s="11"/>
      <c r="B129" s="12"/>
      <c r="C129" s="12"/>
      <c r="D129" s="12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25"/>
      <c r="AD129" s="15"/>
      <c r="AE129" s="13"/>
      <c r="AF129" s="15"/>
      <c r="AG129" s="15"/>
    </row>
    <row r="130" spans="1:33" x14ac:dyDescent="0.25">
      <c r="A130" s="11"/>
      <c r="B130" s="12"/>
      <c r="C130" s="12"/>
      <c r="D130" s="12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25"/>
      <c r="AD130" s="15"/>
      <c r="AE130" s="13"/>
      <c r="AF130" s="15"/>
      <c r="AG130" s="15"/>
    </row>
    <row r="131" spans="1:33" x14ac:dyDescent="0.25">
      <c r="A131" s="11"/>
      <c r="B131" s="12"/>
      <c r="C131" s="12"/>
      <c r="D131" s="12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25"/>
      <c r="AD131" s="15"/>
      <c r="AE131" s="13"/>
      <c r="AF131" s="15"/>
      <c r="AG131" s="15"/>
    </row>
    <row r="132" spans="1:33" x14ac:dyDescent="0.25">
      <c r="A132" s="11"/>
      <c r="B132" s="12"/>
      <c r="C132" s="12"/>
      <c r="D132" s="12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25"/>
      <c r="AD132" s="15"/>
      <c r="AE132" s="13"/>
      <c r="AF132" s="15"/>
      <c r="AG132" s="15"/>
    </row>
    <row r="133" spans="1:33" x14ac:dyDescent="0.25">
      <c r="A133" s="11"/>
      <c r="B133" s="12"/>
      <c r="C133" s="12"/>
      <c r="D133" s="12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25"/>
      <c r="AD133" s="15"/>
      <c r="AE133" s="13"/>
      <c r="AF133" s="15"/>
      <c r="AG133" s="15"/>
    </row>
    <row r="134" spans="1:33" x14ac:dyDescent="0.25">
      <c r="A134" s="11"/>
      <c r="B134" s="12"/>
      <c r="C134" s="18"/>
      <c r="D134" s="18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25"/>
      <c r="AD134" s="15"/>
      <c r="AE134" s="13"/>
      <c r="AF134" s="15"/>
      <c r="AG134" s="15"/>
    </row>
    <row r="135" spans="1:33" x14ac:dyDescent="0.25">
      <c r="A135" s="11"/>
      <c r="B135" s="12"/>
      <c r="C135" s="18"/>
      <c r="D135" s="18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25"/>
      <c r="AD135" s="15"/>
      <c r="AE135" s="13"/>
      <c r="AF135" s="15"/>
      <c r="AG135" s="15"/>
    </row>
    <row r="136" spans="1:33" x14ac:dyDescent="0.25">
      <c r="A136" s="11"/>
      <c r="B136" s="12"/>
      <c r="C136" s="18"/>
      <c r="D136" s="18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25"/>
      <c r="AD136" s="15"/>
      <c r="AE136" s="13"/>
      <c r="AF136" s="15"/>
      <c r="AG136" s="15"/>
    </row>
    <row r="137" spans="1:33" x14ac:dyDescent="0.25">
      <c r="A137" s="11"/>
      <c r="B137" s="12"/>
      <c r="C137" s="12"/>
      <c r="D137" s="12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25"/>
      <c r="AD137" s="15"/>
      <c r="AE137" s="13"/>
      <c r="AF137" s="15"/>
      <c r="AG137" s="15"/>
    </row>
    <row r="138" spans="1:33" x14ac:dyDescent="0.25">
      <c r="A138" s="11"/>
      <c r="B138" s="12"/>
      <c r="C138" s="12"/>
      <c r="D138" s="12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25"/>
      <c r="AD138" s="15"/>
      <c r="AE138" s="13"/>
      <c r="AF138" s="15"/>
      <c r="AG138" s="15"/>
    </row>
    <row r="139" spans="1:33" x14ac:dyDescent="0.25">
      <c r="A139" s="11"/>
      <c r="B139" s="12"/>
      <c r="C139" s="12"/>
      <c r="D139" s="12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25"/>
      <c r="AD139" s="15"/>
      <c r="AE139" s="13"/>
      <c r="AF139" s="15"/>
      <c r="AG139" s="15"/>
    </row>
    <row r="140" spans="1:33" x14ac:dyDescent="0.25">
      <c r="A140" s="11"/>
      <c r="B140" s="12"/>
      <c r="C140" s="12"/>
      <c r="D140" s="12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25"/>
      <c r="AD140" s="15"/>
      <c r="AE140" s="13"/>
      <c r="AF140" s="15"/>
      <c r="AG140" s="15"/>
    </row>
    <row r="141" spans="1:33" x14ac:dyDescent="0.25">
      <c r="A141" s="11"/>
      <c r="B141" s="12"/>
      <c r="C141" s="12"/>
      <c r="D141" s="12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25"/>
      <c r="AD141" s="15"/>
      <c r="AE141" s="13"/>
      <c r="AF141" s="15"/>
      <c r="AG141" s="15"/>
    </row>
    <row r="142" spans="1:33" x14ac:dyDescent="0.25">
      <c r="A142" s="11"/>
      <c r="B142" s="12"/>
      <c r="C142" s="12"/>
      <c r="D142" s="12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25"/>
      <c r="AD142" s="15"/>
      <c r="AE142" s="13"/>
      <c r="AF142" s="15"/>
      <c r="AG142" s="15"/>
    </row>
    <row r="143" spans="1:33" x14ac:dyDescent="0.25">
      <c r="A143" s="11"/>
      <c r="B143" s="12"/>
      <c r="C143" s="18"/>
      <c r="D143" s="18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25"/>
      <c r="AD143" s="15"/>
      <c r="AE143" s="13"/>
      <c r="AF143" s="15"/>
      <c r="AG143" s="15"/>
    </row>
    <row r="144" spans="1:33" x14ac:dyDescent="0.25">
      <c r="A144" s="11"/>
      <c r="B144" s="12"/>
      <c r="C144" s="12"/>
      <c r="D144" s="12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25"/>
      <c r="AD144" s="15"/>
      <c r="AE144" s="13"/>
      <c r="AF144" s="15"/>
      <c r="AG144" s="15"/>
    </row>
    <row r="145" spans="1:33" x14ac:dyDescent="0.25">
      <c r="A145" s="11"/>
      <c r="B145" s="12"/>
      <c r="C145" s="12"/>
      <c r="D145" s="12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25"/>
      <c r="AD145" s="15"/>
      <c r="AE145" s="13"/>
      <c r="AF145" s="15"/>
      <c r="AG145" s="15"/>
    </row>
    <row r="146" spans="1:33" x14ac:dyDescent="0.25">
      <c r="A146" s="11"/>
      <c r="B146" s="12"/>
      <c r="C146" s="12"/>
      <c r="D146" s="12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25"/>
      <c r="AD146" s="15"/>
      <c r="AE146" s="13"/>
      <c r="AF146" s="15"/>
      <c r="AG146" s="15"/>
    </row>
    <row r="147" spans="1:33" x14ac:dyDescent="0.25">
      <c r="A147" s="11"/>
      <c r="B147" s="12"/>
      <c r="C147" s="12"/>
      <c r="D147" s="12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25"/>
      <c r="AD147" s="15"/>
      <c r="AE147" s="13"/>
      <c r="AF147" s="15"/>
      <c r="AG147" s="15"/>
    </row>
    <row r="148" spans="1:33" x14ac:dyDescent="0.25">
      <c r="A148" s="11"/>
      <c r="B148" s="12"/>
      <c r="C148" s="18"/>
      <c r="D148" s="18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25"/>
      <c r="AD148" s="15"/>
      <c r="AE148" s="13"/>
      <c r="AF148" s="15"/>
      <c r="AG148" s="15"/>
    </row>
    <row r="149" spans="1:33" x14ac:dyDescent="0.25">
      <c r="A149" s="11"/>
      <c r="B149" s="12"/>
      <c r="C149" s="18"/>
      <c r="D149" s="18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25"/>
      <c r="AD149" s="15"/>
      <c r="AE149" s="13"/>
      <c r="AF149" s="15"/>
      <c r="AG149" s="15"/>
    </row>
    <row r="150" spans="1:33" x14ac:dyDescent="0.25">
      <c r="A150" s="11"/>
      <c r="B150" s="12"/>
      <c r="C150" s="18"/>
      <c r="D150" s="18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25"/>
      <c r="AD150" s="15"/>
      <c r="AE150" s="13"/>
      <c r="AF150" s="15"/>
      <c r="AG150" s="15"/>
    </row>
    <row r="151" spans="1:33" x14ac:dyDescent="0.25">
      <c r="A151" s="11"/>
      <c r="B151" s="12"/>
      <c r="C151" s="18"/>
      <c r="D151" s="18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25"/>
      <c r="AD151" s="15"/>
      <c r="AE151" s="13"/>
      <c r="AF151" s="15"/>
      <c r="AG151" s="15"/>
    </row>
    <row r="152" spans="1:33" x14ac:dyDescent="0.25">
      <c r="A152" s="11"/>
      <c r="B152" s="12"/>
      <c r="C152" s="12"/>
      <c r="D152" s="12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25"/>
      <c r="AD152" s="15"/>
      <c r="AE152" s="13"/>
      <c r="AF152" s="15"/>
      <c r="AG152" s="15"/>
    </row>
    <row r="153" spans="1:33" x14ac:dyDescent="0.25">
      <c r="A153" s="11"/>
      <c r="B153" s="12"/>
      <c r="C153" s="12"/>
      <c r="D153" s="12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25"/>
      <c r="AD153" s="15"/>
      <c r="AE153" s="13"/>
      <c r="AF153" s="15"/>
      <c r="AG153" s="15"/>
    </row>
    <row r="154" spans="1:33" x14ac:dyDescent="0.25">
      <c r="AE154" s="26"/>
    </row>
  </sheetData>
  <mergeCells count="8">
    <mergeCell ref="AG1:AG2"/>
    <mergeCell ref="AH1:AH2"/>
    <mergeCell ref="E1:P1"/>
    <mergeCell ref="Q1:AB1"/>
    <mergeCell ref="AC1:AC2"/>
    <mergeCell ref="AD1:AD2"/>
    <mergeCell ref="AE1:AE2"/>
    <mergeCell ref="AF1:AF2"/>
  </mergeCells>
  <printOptions horizontalCentered="1"/>
  <pageMargins left="0.2" right="0.2" top="0.2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USAGE</vt:lpstr>
      <vt:lpstr>USAGE!Print_Area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QA-03</dc:creator>
  <cp:lastModifiedBy>QA-03</cp:lastModifiedBy>
  <dcterms:created xsi:type="dcterms:W3CDTF">2023-06-24T07:07:09Z</dcterms:created>
  <dcterms:modified xsi:type="dcterms:W3CDTF">2023-06-24T07:33:00Z</dcterms:modified>
</cp:coreProperties>
</file>