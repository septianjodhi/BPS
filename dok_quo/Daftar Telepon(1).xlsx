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62.126.70\sharing data sami-55\0. TERM 84\Telekomunikasi\"/>
    </mc:Choice>
  </mc:AlternateContent>
  <bookViews>
    <workbookView xWindow="0" yWindow="0" windowWidth="21600" windowHeight="9180"/>
  </bookViews>
  <sheets>
    <sheet name="DATA TELEPON Term 83" sheetId="1" r:id="rId1"/>
  </sheets>
  <definedNames>
    <definedName name="_xlnm._FilterDatabase" localSheetId="0" hidden="1">'DATA TELEPON Term 83'!$B$29:$I$134</definedName>
    <definedName name="_xlnm.Print_Area" localSheetId="0">'DATA TELEPON Term 83'!$B$137:$L$152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51" i="1" l="1"/>
  <c r="L154" i="1"/>
  <c r="K154" i="1"/>
  <c r="J154" i="1"/>
  <c r="L152" i="1"/>
  <c r="K152" i="1"/>
  <c r="J152" i="1"/>
  <c r="K151" i="1"/>
  <c r="J151" i="1"/>
  <c r="L134" i="1"/>
  <c r="K134" i="1"/>
  <c r="J134" i="1"/>
  <c r="U69" i="1"/>
  <c r="S69" i="1"/>
  <c r="L59" i="1"/>
  <c r="L135" i="1" s="1"/>
  <c r="K59" i="1"/>
  <c r="K135" i="1" s="1"/>
  <c r="J59" i="1"/>
  <c r="J135" i="1" s="1"/>
  <c r="L25" i="1"/>
  <c r="L26" i="1" s="1"/>
  <c r="K25" i="1"/>
  <c r="K26" i="1" s="1"/>
  <c r="J25" i="1"/>
  <c r="J26" i="1" s="1"/>
  <c r="L16" i="1"/>
  <c r="K16" i="1"/>
  <c r="J16" i="1"/>
</calcChain>
</file>

<file path=xl/sharedStrings.xml><?xml version="1.0" encoding="utf-8"?>
<sst xmlns="http://schemas.openxmlformats.org/spreadsheetml/2006/main" count="609" uniqueCount="295">
  <si>
    <t xml:space="preserve">DATA TELPON </t>
  </si>
  <si>
    <t>NOTE : Bulan dibawah adalah bulan penggunaan telepon, yang kemudian ditagihkan di bulan depan.</t>
  </si>
  <si>
    <t>NO</t>
  </si>
  <si>
    <t>PROVIDER</t>
  </si>
  <si>
    <t>NO.TELP</t>
  </si>
  <si>
    <t>FUNGSI</t>
  </si>
  <si>
    <t>POSISI</t>
  </si>
  <si>
    <t>DEPT/SEC</t>
  </si>
  <si>
    <t>USER</t>
  </si>
  <si>
    <t>April 2024</t>
  </si>
  <si>
    <t>Mei 2024</t>
  </si>
  <si>
    <t>Juni 2024</t>
  </si>
  <si>
    <t>TELKOM</t>
  </si>
  <si>
    <t>INCOMING</t>
  </si>
  <si>
    <t>SERVER</t>
  </si>
  <si>
    <t>ALL</t>
  </si>
  <si>
    <t>TANGGAL DEBIT</t>
  </si>
  <si>
    <t>NO TELP</t>
  </si>
  <si>
    <t>AMOUNT</t>
  </si>
  <si>
    <t>OUT GOING/ INCOMING</t>
  </si>
  <si>
    <t>FAX</t>
  </si>
  <si>
    <t>TOTAL</t>
  </si>
  <si>
    <t>GRAND TOTAL PEMAKAIAN PERBULAN</t>
  </si>
  <si>
    <t>MATRIX</t>
  </si>
  <si>
    <t>081567706243</t>
  </si>
  <si>
    <t>-</t>
  </si>
  <si>
    <t>081567706276</t>
  </si>
  <si>
    <t>081567706278</t>
  </si>
  <si>
    <t>THREE</t>
  </si>
  <si>
    <t>0895-3531-01102</t>
  </si>
  <si>
    <t>0895-3531-01101</t>
  </si>
  <si>
    <t>TELKOMSEL</t>
  </si>
  <si>
    <t>0811-1793-263</t>
  </si>
  <si>
    <t>0811-1793-264</t>
  </si>
  <si>
    <t>DAFTAR HP OPERASIONAL LOKAL MEMBER</t>
  </si>
  <si>
    <t>DEPT. / SECT.</t>
  </si>
  <si>
    <t>NAMA</t>
  </si>
  <si>
    <t>JABATAN</t>
  </si>
  <si>
    <t>Telkomsel</t>
  </si>
  <si>
    <t>0811-2960-499</t>
  </si>
  <si>
    <t>Operasional Umum</t>
  </si>
  <si>
    <t>PP</t>
  </si>
  <si>
    <t>ANS</t>
  </si>
  <si>
    <t>CSPV</t>
  </si>
  <si>
    <t>001488593031</t>
  </si>
  <si>
    <t>0811-2960-492</t>
  </si>
  <si>
    <t>LOG</t>
  </si>
  <si>
    <t>LOG / PPC</t>
  </si>
  <si>
    <t>WHY</t>
  </si>
  <si>
    <t>001488391372</t>
  </si>
  <si>
    <t>0811-2960-491</t>
  </si>
  <si>
    <t>LOG / MPC</t>
  </si>
  <si>
    <t>SWD</t>
  </si>
  <si>
    <t>001488576134</t>
  </si>
  <si>
    <t>0811-2967-022</t>
  </si>
  <si>
    <t>Internet</t>
  </si>
  <si>
    <t>DFM</t>
  </si>
  <si>
    <t>MIS</t>
  </si>
  <si>
    <t>001487852289</t>
  </si>
  <si>
    <t>0811-2729-699</t>
  </si>
  <si>
    <t>LOG / EXIM</t>
  </si>
  <si>
    <t>FERI</t>
  </si>
  <si>
    <t>ADM</t>
  </si>
  <si>
    <t>001488593072</t>
  </si>
  <si>
    <t>INTERNET</t>
  </si>
  <si>
    <t>0811-2901-223</t>
  </si>
  <si>
    <t>BEACUKAI</t>
  </si>
  <si>
    <t>diputus</t>
  </si>
  <si>
    <t>0812-2866-223</t>
  </si>
  <si>
    <t>PGA/GA</t>
  </si>
  <si>
    <t>SECURITY BBF</t>
  </si>
  <si>
    <t>0811-2653-030</t>
  </si>
  <si>
    <t>PGA / GA</t>
  </si>
  <si>
    <t>BUDI / WAIS</t>
  </si>
  <si>
    <t>LL / ADM</t>
  </si>
  <si>
    <t>001488176744</t>
  </si>
  <si>
    <t>0811-2785-222</t>
  </si>
  <si>
    <t>HP Personal</t>
  </si>
  <si>
    <t>PGA/GS</t>
  </si>
  <si>
    <t>SITI MUKAROMAH</t>
  </si>
  <si>
    <t>LL</t>
  </si>
  <si>
    <t>001488375962</t>
  </si>
  <si>
    <t>0811-2720-095</t>
  </si>
  <si>
    <t>Internet Back Up</t>
  </si>
  <si>
    <t>PGA/IT</t>
  </si>
  <si>
    <t xml:space="preserve">IT </t>
  </si>
  <si>
    <t>AKA / AFK</t>
  </si>
  <si>
    <t>001488373175</t>
  </si>
  <si>
    <t>0811-2960-495</t>
  </si>
  <si>
    <t>EXIM</t>
  </si>
  <si>
    <t>NADHIFATUN</t>
  </si>
  <si>
    <t>001487621150</t>
  </si>
  <si>
    <t>0811-2729-987</t>
  </si>
  <si>
    <t>PE</t>
  </si>
  <si>
    <t>PE / MTP</t>
  </si>
  <si>
    <t>PURCHASING / KURNIA</t>
  </si>
  <si>
    <t>001488409278</t>
  </si>
  <si>
    <t>0811-2960-490</t>
  </si>
  <si>
    <t>YYS</t>
  </si>
  <si>
    <t>MGR</t>
  </si>
  <si>
    <t>001488409217</t>
  </si>
  <si>
    <t>0811-2912-976</t>
  </si>
  <si>
    <t>QA</t>
  </si>
  <si>
    <t>QA / RCV</t>
  </si>
  <si>
    <t>JOKO PAMUNGKAS</t>
  </si>
  <si>
    <t>001487802775</t>
  </si>
  <si>
    <t>0811-2960-494</t>
  </si>
  <si>
    <t>FEP</t>
  </si>
  <si>
    <t>SPV</t>
  </si>
  <si>
    <t>001487702845</t>
  </si>
  <si>
    <t>0811-2960-493</t>
  </si>
  <si>
    <t>LOG / LD</t>
  </si>
  <si>
    <t>TOY</t>
  </si>
  <si>
    <t>0811-2912-975</t>
  </si>
  <si>
    <t>LOG / LIS</t>
  </si>
  <si>
    <t>AHM</t>
  </si>
  <si>
    <t>0811-2960-487</t>
  </si>
  <si>
    <t>AZP</t>
  </si>
  <si>
    <t>001488576133</t>
  </si>
  <si>
    <t>0811-2960-489</t>
  </si>
  <si>
    <t>ESP</t>
  </si>
  <si>
    <t>0811-2792-233</t>
  </si>
  <si>
    <t>LOG / WHS CANDI</t>
  </si>
  <si>
    <t>Andung / Saefudin</t>
  </si>
  <si>
    <t>0811-2912-977</t>
  </si>
  <si>
    <t>LOG / WHS TF</t>
  </si>
  <si>
    <t>Sobirin / Sudrajad</t>
  </si>
  <si>
    <t>001487852304</t>
  </si>
  <si>
    <t>0811-2710-125</t>
  </si>
  <si>
    <t>SECURITY TF</t>
  </si>
  <si>
    <t>001488715164</t>
  </si>
  <si>
    <t>0811-2763-767</t>
  </si>
  <si>
    <t>MGR PRD</t>
  </si>
  <si>
    <t>PRD</t>
  </si>
  <si>
    <t>AMU</t>
  </si>
  <si>
    <t>001488176748</t>
  </si>
  <si>
    <t>0811-2763-766</t>
  </si>
  <si>
    <t>MGR QA</t>
  </si>
  <si>
    <t>ANG</t>
  </si>
  <si>
    <t>Asistant MGR</t>
  </si>
  <si>
    <t>001488176747</t>
  </si>
  <si>
    <t>0811-2763-765</t>
  </si>
  <si>
    <t>MGR PGA</t>
  </si>
  <si>
    <t>PGA</t>
  </si>
  <si>
    <t>AWI</t>
  </si>
  <si>
    <t>001488176746</t>
  </si>
  <si>
    <t>0811-2763-763</t>
  </si>
  <si>
    <t>SM FA</t>
  </si>
  <si>
    <t>FA</t>
  </si>
  <si>
    <t>BRI</t>
  </si>
  <si>
    <t>Senior MGR</t>
  </si>
  <si>
    <t>001488176745</t>
  </si>
  <si>
    <t>0811-2947-364</t>
  </si>
  <si>
    <t>EAS</t>
  </si>
  <si>
    <t>0811-2944-570</t>
  </si>
  <si>
    <t>PAN</t>
  </si>
  <si>
    <t>WFH</t>
  </si>
  <si>
    <t>Indosat</t>
  </si>
  <si>
    <t>FARIS YATIMAH</t>
  </si>
  <si>
    <t>SPV-GA-GS</t>
  </si>
  <si>
    <t>SLAMET TIMBUL</t>
  </si>
  <si>
    <t>SPV-LEGAL</t>
  </si>
  <si>
    <t>WENING INDRIYATI]</t>
  </si>
  <si>
    <t>RIYANTI</t>
  </si>
  <si>
    <t>LL-LEGAL</t>
  </si>
  <si>
    <t>SETYO WATI NINGSIH</t>
  </si>
  <si>
    <t>ES-SHE</t>
  </si>
  <si>
    <t>LL-GA-GS</t>
  </si>
  <si>
    <t>NUNING DIAN PERTIWI</t>
  </si>
  <si>
    <t>SPV-PED</t>
  </si>
  <si>
    <t xml:space="preserve">WFH </t>
  </si>
  <si>
    <t>Agus 20</t>
  </si>
  <si>
    <t>Nov 20</t>
  </si>
  <si>
    <t xml:space="preserve">Jan </t>
  </si>
  <si>
    <t xml:space="preserve"> Feb </t>
  </si>
  <si>
    <t xml:space="preserve">Mar </t>
  </si>
  <si>
    <t>INDOSAT</t>
  </si>
  <si>
    <t>ROFIUL MUAYATI</t>
  </si>
  <si>
    <t>SPV-FA</t>
  </si>
  <si>
    <t xml:space="preserve">MEI </t>
  </si>
  <si>
    <t>SPV FA</t>
  </si>
  <si>
    <t>AFRILIATI</t>
  </si>
  <si>
    <t>FA/ACC</t>
  </si>
  <si>
    <t>YULI</t>
  </si>
  <si>
    <t>LL FA</t>
  </si>
  <si>
    <t>LILIS</t>
  </si>
  <si>
    <t>PRASETYO WIBOWO</t>
  </si>
  <si>
    <t>Slamet Timbul</t>
  </si>
  <si>
    <t>SPV Legal</t>
  </si>
  <si>
    <t>PD</t>
  </si>
  <si>
    <t>Myh. Syarifudin</t>
  </si>
  <si>
    <t>RCV</t>
  </si>
  <si>
    <t>Kurniati</t>
  </si>
  <si>
    <t>Adm</t>
  </si>
  <si>
    <t>MTP</t>
  </si>
  <si>
    <t>Kurnia</t>
  </si>
  <si>
    <t>Afif</t>
  </si>
  <si>
    <t>And</t>
  </si>
  <si>
    <t>PeD</t>
  </si>
  <si>
    <t>M. SYARIFUDIN</t>
  </si>
  <si>
    <t>EKA ASRAFINA</t>
  </si>
  <si>
    <t>ALFI MUSMAWATI</t>
  </si>
  <si>
    <t>LIZA ADITYA</t>
  </si>
  <si>
    <t>085802999520</t>
  </si>
  <si>
    <t xml:space="preserve">Nurul Zuni </t>
  </si>
  <si>
    <t>082134298840</t>
  </si>
  <si>
    <t>Nuning Dian Pertiwi</t>
  </si>
  <si>
    <t>081392607963</t>
  </si>
  <si>
    <t>XL</t>
  </si>
  <si>
    <t>087744474745</t>
  </si>
  <si>
    <t>GA</t>
  </si>
  <si>
    <t>Siti mukaromah</t>
  </si>
  <si>
    <t>Syarifudin</t>
  </si>
  <si>
    <t>Erwin Dwi P</t>
  </si>
  <si>
    <t>Maulvi B.M</t>
  </si>
  <si>
    <t>IT</t>
  </si>
  <si>
    <t>AFK</t>
  </si>
  <si>
    <t>Elang</t>
  </si>
  <si>
    <t>Wais</t>
  </si>
  <si>
    <t>PPC</t>
  </si>
  <si>
    <t>Andriana W</t>
  </si>
  <si>
    <t>Ahmad Maulana</t>
  </si>
  <si>
    <t>Deddy Yudha</t>
  </si>
  <si>
    <t>Ari Widiyani</t>
  </si>
  <si>
    <t xml:space="preserve">Gita </t>
  </si>
  <si>
    <t>GITA SAVITRI</t>
  </si>
  <si>
    <t>NZA</t>
  </si>
  <si>
    <t>SRI SUYAMI</t>
  </si>
  <si>
    <t>AYU</t>
  </si>
  <si>
    <t xml:space="preserve">ASTI </t>
  </si>
  <si>
    <t>ISTINI</t>
  </si>
  <si>
    <t>PD-DE</t>
  </si>
  <si>
    <t>MIR'ATUL H</t>
  </si>
  <si>
    <t>PGA/LEGAL</t>
  </si>
  <si>
    <t>MRU</t>
  </si>
  <si>
    <t>NDP</t>
  </si>
  <si>
    <t>PGA/PED</t>
  </si>
  <si>
    <t>SYARIFUDIN</t>
  </si>
  <si>
    <t>PWI</t>
  </si>
  <si>
    <t>NANDRA ADITYA</t>
  </si>
  <si>
    <t>MBM</t>
  </si>
  <si>
    <t>RMU</t>
  </si>
  <si>
    <t>MIRATUL H</t>
  </si>
  <si>
    <t>RIZA</t>
  </si>
  <si>
    <t>AKA</t>
  </si>
  <si>
    <t>ALIF</t>
  </si>
  <si>
    <t>ADIT</t>
  </si>
  <si>
    <t>AFRY</t>
  </si>
  <si>
    <t>JUMLAH WFH</t>
  </si>
  <si>
    <t xml:space="preserve">SUB TOTAL </t>
  </si>
  <si>
    <t xml:space="preserve">DAFTAR HP OPERASIONAL EXPATRIATE </t>
  </si>
  <si>
    <t>0811-2840-313</t>
  </si>
  <si>
    <t>GM</t>
  </si>
  <si>
    <t xml:space="preserve">MIMURA TEPPEI </t>
  </si>
  <si>
    <t>Factory Manager</t>
  </si>
  <si>
    <t>0811-2840-312</t>
  </si>
  <si>
    <t>GONDA KATSUHITO</t>
  </si>
  <si>
    <t>001488066130</t>
  </si>
  <si>
    <t>0811-2800-4225</t>
  </si>
  <si>
    <t xml:space="preserve">LOG </t>
  </si>
  <si>
    <t>YUJI YAMADA</t>
  </si>
  <si>
    <t>0811-2916-220</t>
  </si>
  <si>
    <t>KENTA KURODA</t>
  </si>
  <si>
    <t>0811-2850-937</t>
  </si>
  <si>
    <t>KISHIMOTO SHINICHI</t>
  </si>
  <si>
    <t>0811-2949-690</t>
  </si>
  <si>
    <t xml:space="preserve">IPAD MIMURA TEPPEI </t>
  </si>
  <si>
    <t>0811-2949-736</t>
  </si>
  <si>
    <t>SUZUKI YUICHIRO</t>
  </si>
  <si>
    <t>0811-2830-661</t>
  </si>
  <si>
    <t>OPS. DIRECTOR</t>
  </si>
  <si>
    <t>KAWASAKI NOZOMI</t>
  </si>
  <si>
    <t>Presdir</t>
  </si>
  <si>
    <t>AUTO DEBT</t>
  </si>
  <si>
    <t>0811-2947-355</t>
  </si>
  <si>
    <t>KATO KENTA</t>
  </si>
  <si>
    <t>0811-2947-358</t>
  </si>
  <si>
    <t>MTC</t>
  </si>
  <si>
    <t>YAMAMOTO TORU</t>
  </si>
  <si>
    <t>0811-2947-370</t>
  </si>
  <si>
    <t>JUMLAH</t>
  </si>
  <si>
    <t>FIX LINE</t>
  </si>
  <si>
    <t>HP</t>
  </si>
  <si>
    <t>001488066143</t>
  </si>
  <si>
    <t>001488066145</t>
  </si>
  <si>
    <t>001488066146</t>
  </si>
  <si>
    <t>001488066147</t>
  </si>
  <si>
    <t>001488066148</t>
  </si>
  <si>
    <t>001488066149</t>
  </si>
  <si>
    <t>001488066150</t>
  </si>
  <si>
    <t>001488066151</t>
  </si>
  <si>
    <t>001488066152</t>
  </si>
  <si>
    <t>001488028665</t>
  </si>
  <si>
    <t>001488066131</t>
  </si>
  <si>
    <t>00488342302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</si>
</sst>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_-* #,##0_-;\-* #,##0_-;_-* &quot;-&quot;_-;_-@_-"/>
    <numFmt numFmtId="165" formatCode="[$-409]mmm\-yy;@"/>
    <numFmt numFmtId="166" formatCode="_(* #,##0.0_);_(* \(#,##0.0\);_(* &quot;-&quot;??_);_(@_)"/>
    <numFmt numFmtId="167" formatCode="_-* #,##0.0_-;\-* #,##0.0_-;_-* &quot;-&quot;?_-;_-@_-"/>
    <numFmt numFmtId="168" formatCode="_(* #,##0_);_(* \(#,##0\);_(* &quot;-&quot;??_);_(@_)"/>
    <numFmt numFmtId="169" formatCode="_(* #,##0.0_);_(* \(#,##0.0\);_(* &quot;-&quot;?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 val="double"/>
      <sz val="26"/>
      <color theme="1"/>
      <name val="Algerian"/>
      <family val="5"/>
    </font>
    <font>
      <b/>
      <i/>
      <sz val="14"/>
      <color rgb="FF0070C0"/>
      <name val="Calibri"/>
      <family val="2"/>
      <scheme val="minor"/>
    </font>
    <font>
      <u val="double"/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9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u/>
      <sz val="2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name val="Calibri"/>
      <family val="2"/>
      <scheme val="minor"/>
    </font>
    <font>
      <b/>
      <sz val="16"/>
      <color theme="1"/>
      <name val="Aharoni"/>
      <charset val="177"/>
    </font>
  </fonts>
  <fills count="12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72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166" fontId="7" fillId="0" borderId="2" xfId="1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66" fontId="7" fillId="4" borderId="2" xfId="1" applyNumberFormat="1" applyFont="1" applyFill="1" applyBorder="1" applyAlignment="1">
      <alignment vertical="center"/>
    </xf>
    <xf numFmtId="15" fontId="10" fillId="0" borderId="9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vertical="center"/>
    </xf>
    <xf numFmtId="4" fontId="10" fillId="0" borderId="10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166" fontId="7" fillId="5" borderId="2" xfId="1" applyNumberFormat="1" applyFont="1" applyFill="1" applyBorder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4" fontId="9" fillId="6" borderId="10" xfId="0" applyNumberFormat="1" applyFont="1" applyFill="1" applyBorder="1" applyAlignment="1">
      <alignment horizontal="right" vertical="center"/>
    </xf>
    <xf numFmtId="0" fontId="7" fillId="0" borderId="12" xfId="0" applyFont="1" applyBorder="1" applyAlignment="1">
      <alignment horizontal="center" vertical="center"/>
    </xf>
    <xf numFmtId="0" fontId="11" fillId="7" borderId="3" xfId="0" applyFont="1" applyFill="1" applyBorder="1" applyAlignment="1">
      <alignment horizontal="left" vertical="center"/>
    </xf>
    <xf numFmtId="0" fontId="11" fillId="7" borderId="13" xfId="0" applyFont="1" applyFill="1" applyBorder="1" applyAlignment="1">
      <alignment horizontal="left" vertical="center"/>
    </xf>
    <xf numFmtId="0" fontId="11" fillId="7" borderId="4" xfId="0" applyFont="1" applyFill="1" applyBorder="1" applyAlignment="1">
      <alignment horizontal="left" vertical="center"/>
    </xf>
    <xf numFmtId="166" fontId="11" fillId="7" borderId="2" xfId="1" applyNumberFormat="1" applyFont="1" applyFill="1" applyBorder="1" applyAlignment="1">
      <alignment vertical="center"/>
    </xf>
    <xf numFmtId="167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4" fontId="7" fillId="0" borderId="2" xfId="2" quotePrefix="1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2" xfId="0" quotePrefix="1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168" fontId="7" fillId="0" borderId="2" xfId="1" applyNumberFormat="1" applyFont="1" applyFill="1" applyBorder="1" applyAlignment="1">
      <alignment vertical="center"/>
    </xf>
    <xf numFmtId="164" fontId="7" fillId="0" borderId="2" xfId="2" applyFont="1" applyFill="1" applyBorder="1" applyAlignment="1">
      <alignment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3" fillId="5" borderId="3" xfId="0" applyFont="1" applyFill="1" applyBorder="1" applyAlignment="1">
      <alignment horizontal="left" vertical="center"/>
    </xf>
    <xf numFmtId="0" fontId="13" fillId="5" borderId="13" xfId="0" applyFont="1" applyFill="1" applyBorder="1" applyAlignment="1">
      <alignment horizontal="left" vertical="center"/>
    </xf>
    <xf numFmtId="0" fontId="13" fillId="5" borderId="4" xfId="0" applyFont="1" applyFill="1" applyBorder="1" applyAlignment="1">
      <alignment horizontal="left" vertical="center"/>
    </xf>
    <xf numFmtId="166" fontId="14" fillId="5" borderId="2" xfId="1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7" fillId="8" borderId="14" xfId="0" applyFont="1" applyFill="1" applyBorder="1" applyAlignment="1">
      <alignment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vertical="center"/>
    </xf>
    <xf numFmtId="0" fontId="0" fillId="8" borderId="0" xfId="0" applyFill="1" applyAlignment="1">
      <alignment vertical="center"/>
    </xf>
    <xf numFmtId="0" fontId="15" fillId="9" borderId="14" xfId="0" applyFont="1" applyFill="1" applyBorder="1" applyAlignment="1">
      <alignment vertical="center"/>
    </xf>
    <xf numFmtId="0" fontId="15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vertical="center"/>
    </xf>
    <xf numFmtId="0" fontId="16" fillId="9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164" fontId="12" fillId="9" borderId="2" xfId="2" quotePrefix="1" applyFont="1" applyFill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2" fillId="9" borderId="2" xfId="0" applyFont="1" applyFill="1" applyBorder="1" applyAlignment="1">
      <alignment horizontal="left" vertical="center"/>
    </xf>
    <xf numFmtId="0" fontId="12" fillId="9" borderId="2" xfId="0" applyFont="1" applyFill="1" applyBorder="1" applyAlignment="1">
      <alignment horizontal="center" vertical="center"/>
    </xf>
    <xf numFmtId="168" fontId="0" fillId="0" borderId="2" xfId="1" quotePrefix="1" applyNumberFormat="1" applyFont="1" applyFill="1" applyBorder="1" applyAlignment="1">
      <alignment vertical="center"/>
    </xf>
    <xf numFmtId="164" fontId="0" fillId="0" borderId="2" xfId="2" quotePrefix="1" applyFont="1" applyFill="1" applyBorder="1" applyAlignment="1">
      <alignment vertical="center"/>
    </xf>
    <xf numFmtId="0" fontId="0" fillId="0" borderId="0" xfId="0" quotePrefix="1" applyAlignment="1">
      <alignment vertical="center"/>
    </xf>
    <xf numFmtId="164" fontId="0" fillId="0" borderId="2" xfId="2" applyFont="1" applyBorder="1" applyAlignment="1">
      <alignment vertical="center"/>
    </xf>
    <xf numFmtId="0" fontId="0" fillId="5" borderId="0" xfId="0" applyFill="1" applyAlignment="1">
      <alignment vertical="center"/>
    </xf>
    <xf numFmtId="0" fontId="12" fillId="9" borderId="2" xfId="0" applyFont="1" applyFill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168" fontId="17" fillId="0" borderId="2" xfId="1" applyNumberFormat="1" applyFont="1" applyFill="1" applyBorder="1" applyAlignment="1">
      <alignment vertical="center"/>
    </xf>
    <xf numFmtId="169" fontId="0" fillId="0" borderId="0" xfId="0" applyNumberFormat="1" applyAlignment="1">
      <alignment vertical="center"/>
    </xf>
    <xf numFmtId="168" fontId="0" fillId="0" borderId="0" xfId="0" applyNumberFormat="1" applyAlignment="1">
      <alignment vertical="center"/>
    </xf>
    <xf numFmtId="164" fontId="12" fillId="0" borderId="2" xfId="2" quotePrefix="1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164" fontId="12" fillId="0" borderId="15" xfId="2" quotePrefix="1" applyFont="1" applyFill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15" xfId="0" applyFont="1" applyBorder="1" applyAlignment="1">
      <alignment horizontal="center" vertical="center"/>
    </xf>
    <xf numFmtId="0" fontId="12" fillId="9" borderId="15" xfId="0" applyFont="1" applyFill="1" applyBorder="1" applyAlignment="1">
      <alignment horizontal="left" vertical="center"/>
    </xf>
    <xf numFmtId="0" fontId="12" fillId="9" borderId="15" xfId="0" applyFont="1" applyFill="1" applyBorder="1" applyAlignment="1">
      <alignment horizontal="center" vertical="center"/>
    </xf>
    <xf numFmtId="168" fontId="11" fillId="10" borderId="2" xfId="1" applyNumberFormat="1" applyFont="1" applyFill="1" applyBorder="1" applyAlignment="1">
      <alignment vertical="center"/>
    </xf>
    <xf numFmtId="164" fontId="11" fillId="10" borderId="2" xfId="2" applyFont="1" applyFill="1" applyBorder="1" applyAlignment="1">
      <alignment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168" fontId="0" fillId="0" borderId="0" xfId="1" applyNumberFormat="1" applyFont="1" applyFill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165" fontId="6" fillId="2" borderId="0" xfId="2" quotePrefix="1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4" fontId="12" fillId="0" borderId="13" xfId="2" quotePrefix="1" applyFont="1" applyFill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7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7" fillId="0" borderId="13" xfId="0" quotePrefix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7" fillId="0" borderId="13" xfId="0" quotePrefix="1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7" fillId="0" borderId="15" xfId="0" quotePrefix="1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3" fontId="0" fillId="0" borderId="2" xfId="1" applyFont="1" applyFill="1" applyBorder="1" applyAlignment="1">
      <alignment vertical="center"/>
    </xf>
    <xf numFmtId="43" fontId="0" fillId="0" borderId="0" xfId="1" applyFont="1" applyFill="1" applyBorder="1" applyAlignment="1">
      <alignment vertical="center"/>
    </xf>
    <xf numFmtId="0" fontId="7" fillId="0" borderId="14" xfId="0" applyFont="1" applyBorder="1" applyAlignment="1">
      <alignment horizontal="center" vertical="center"/>
    </xf>
    <xf numFmtId="164" fontId="12" fillId="0" borderId="1" xfId="2" quotePrefix="1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20" fillId="5" borderId="3" xfId="0" applyFont="1" applyFill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  <xf numFmtId="43" fontId="2" fillId="10" borderId="2" xfId="1" applyFont="1" applyFill="1" applyBorder="1" applyAlignment="1">
      <alignment vertical="center"/>
    </xf>
    <xf numFmtId="168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1" fillId="5" borderId="14" xfId="0" applyFont="1" applyFill="1" applyBorder="1" applyAlignment="1">
      <alignment horizontal="center" vertical="center"/>
    </xf>
    <xf numFmtId="0" fontId="22" fillId="5" borderId="13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43" fontId="2" fillId="10" borderId="0" xfId="0" applyNumberFormat="1" applyFont="1" applyFill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0" borderId="2" xfId="2" quotePrefix="1" applyNumberFormat="1" applyFont="1" applyFill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164" fontId="0" fillId="10" borderId="2" xfId="2" quotePrefix="1" applyFont="1" applyFill="1" applyBorder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64" fontId="0" fillId="10" borderId="12" xfId="2" quotePrefix="1" applyFont="1" applyFill="1" applyBorder="1" applyAlignment="1">
      <alignment vertical="center"/>
    </xf>
    <xf numFmtId="0" fontId="21" fillId="5" borderId="2" xfId="0" applyFont="1" applyFill="1" applyBorder="1" applyAlignment="1">
      <alignment horizontal="center" vertical="center"/>
    </xf>
    <xf numFmtId="168" fontId="11" fillId="5" borderId="12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23" fillId="0" borderId="2" xfId="0" applyFont="1" applyBorder="1" applyAlignment="1">
      <alignment horizontal="left" vertical="center"/>
    </xf>
    <xf numFmtId="168" fontId="0" fillId="0" borderId="0" xfId="0" applyNumberFormat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165" fontId="6" fillId="11" borderId="2" xfId="2" quotePrefix="1" applyNumberFormat="1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14" fillId="11" borderId="2" xfId="0" applyFont="1" applyFill="1" applyBorder="1" applyAlignment="1">
      <alignment horizontal="center" vertical="center"/>
    </xf>
    <xf numFmtId="0" fontId="14" fillId="11" borderId="0" xfId="0" applyFont="1" applyFill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  <pageSetUpPr fitToPage="1"/>
  </sheetPr>
  <dimension ref="B1:AO251"/>
  <sheetViews>
    <sheetView tabSelected="1" zoomScale="80" zoomScaleNormal="80" zoomScaleSheetLayoutView="80"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I9" sqref="I9"/>
    </sheetView>
  </sheetViews>
  <sheetFormatPr defaultRowHeight="15"/>
  <cols>
    <col min="1" max="1" width="1.7109375" style="15" customWidth="1"/>
    <col min="2" max="2" width="5.7109375" style="15" customWidth="1"/>
    <col min="3" max="3" width="15.7109375" style="162" customWidth="1"/>
    <col min="4" max="4" width="20.7109375" style="15" customWidth="1"/>
    <col min="5" max="5" width="28" style="15" hidden="1" customWidth="1"/>
    <col min="6" max="6" width="26.28515625" style="15" hidden="1" customWidth="1"/>
    <col min="7" max="7" width="18.7109375" style="15" customWidth="1"/>
    <col min="8" max="8" width="25.7109375" style="15" customWidth="1"/>
    <col min="9" max="9" width="17.85546875" style="15" customWidth="1"/>
    <col min="10" max="12" width="17.7109375" style="15" customWidth="1"/>
    <col min="13" max="13" width="15.28515625" style="15" customWidth="1"/>
    <col min="14" max="14" width="15.5703125" style="15" customWidth="1"/>
    <col min="15" max="15" width="13.5703125" style="15" bestFit="1" customWidth="1"/>
    <col min="16" max="16" width="22.85546875" style="15" customWidth="1"/>
    <col min="17" max="17" width="16.7109375" style="15" customWidth="1"/>
    <col min="18" max="18" width="11.85546875" style="15" bestFit="1" customWidth="1"/>
    <col min="19" max="19" width="10.85546875" style="15" bestFit="1" customWidth="1"/>
    <col min="20" max="20" width="14.140625" style="15" bestFit="1" customWidth="1"/>
    <col min="21" max="21" width="10.5703125" style="15" bestFit="1" customWidth="1"/>
    <col min="22" max="16384" width="9.140625" style="15"/>
  </cols>
  <sheetData>
    <row r="1" spans="2:16" s="5" customFormat="1" ht="39.950000000000003" customHeight="1">
      <c r="B1" s="1" t="s">
        <v>0</v>
      </c>
      <c r="C1" s="2"/>
      <c r="D1" s="1"/>
      <c r="E1" s="1"/>
      <c r="F1" s="1"/>
      <c r="G1" s="3" t="s">
        <v>1</v>
      </c>
      <c r="H1" s="3"/>
      <c r="I1" s="3"/>
      <c r="J1" s="4"/>
      <c r="K1" s="4"/>
      <c r="L1" s="4"/>
    </row>
    <row r="2" spans="2:16" s="7" customFormat="1" ht="30" customHeight="1" thickBot="1">
      <c r="B2" s="165" t="s">
        <v>2</v>
      </c>
      <c r="C2" s="165" t="s">
        <v>3</v>
      </c>
      <c r="D2" s="165" t="s">
        <v>4</v>
      </c>
      <c r="E2" s="165" t="s">
        <v>5</v>
      </c>
      <c r="F2" s="165" t="s">
        <v>6</v>
      </c>
      <c r="G2" s="166" t="s">
        <v>7</v>
      </c>
      <c r="H2" s="167"/>
      <c r="I2" s="165" t="s">
        <v>8</v>
      </c>
      <c r="J2" s="168" t="s">
        <v>9</v>
      </c>
      <c r="K2" s="168" t="s">
        <v>10</v>
      </c>
      <c r="L2" s="168" t="s">
        <v>11</v>
      </c>
    </row>
    <row r="3" spans="2:16" ht="20.100000000000001" customHeight="1" thickBot="1">
      <c r="B3" s="8">
        <v>1</v>
      </c>
      <c r="C3" s="9" t="s">
        <v>12</v>
      </c>
      <c r="D3" s="10">
        <v>8665182</v>
      </c>
      <c r="E3" s="11" t="s">
        <v>13</v>
      </c>
      <c r="F3" s="11" t="s">
        <v>14</v>
      </c>
      <c r="G3" s="12" t="s">
        <v>15</v>
      </c>
      <c r="H3" s="13"/>
      <c r="I3" s="11" t="s">
        <v>15</v>
      </c>
      <c r="J3" s="14">
        <v>123442</v>
      </c>
      <c r="K3" s="14">
        <v>56721</v>
      </c>
      <c r="L3" s="14"/>
      <c r="N3" s="16" t="s">
        <v>16</v>
      </c>
      <c r="O3" s="17" t="s">
        <v>17</v>
      </c>
      <c r="P3" s="17" t="s">
        <v>18</v>
      </c>
    </row>
    <row r="4" spans="2:16" ht="20.100000000000001" customHeight="1" thickBot="1">
      <c r="B4" s="8">
        <v>2</v>
      </c>
      <c r="C4" s="18"/>
      <c r="D4" s="19">
        <v>8665207</v>
      </c>
      <c r="E4" s="8" t="s">
        <v>19</v>
      </c>
      <c r="F4" s="8" t="s">
        <v>14</v>
      </c>
      <c r="G4" s="20" t="s">
        <v>15</v>
      </c>
      <c r="H4" s="21"/>
      <c r="I4" s="22" t="s">
        <v>15</v>
      </c>
      <c r="J4" s="23"/>
      <c r="K4" s="23"/>
      <c r="L4" s="23"/>
      <c r="N4" s="24">
        <v>45423</v>
      </c>
      <c r="O4" s="25">
        <v>24008665178</v>
      </c>
      <c r="P4" s="26">
        <v>56721</v>
      </c>
    </row>
    <row r="5" spans="2:16" ht="20.100000000000001" customHeight="1" thickBot="1">
      <c r="B5" s="8">
        <v>3</v>
      </c>
      <c r="C5" s="18"/>
      <c r="D5" s="27">
        <v>8665178</v>
      </c>
      <c r="E5" s="8" t="s">
        <v>20</v>
      </c>
      <c r="F5" s="8" t="s">
        <v>14</v>
      </c>
      <c r="G5" s="28" t="s">
        <v>15</v>
      </c>
      <c r="H5" s="29"/>
      <c r="I5" s="8" t="s">
        <v>15</v>
      </c>
      <c r="J5" s="14">
        <v>56721</v>
      </c>
      <c r="K5" s="14">
        <v>56721</v>
      </c>
      <c r="L5" s="14"/>
      <c r="N5" s="24">
        <v>45423</v>
      </c>
      <c r="O5" s="25">
        <v>24008665182</v>
      </c>
      <c r="P5" s="26">
        <v>123442</v>
      </c>
    </row>
    <row r="6" spans="2:16" ht="20.100000000000001" customHeight="1" thickBot="1">
      <c r="B6" s="8">
        <v>4</v>
      </c>
      <c r="C6" s="18"/>
      <c r="D6" s="19">
        <v>8665747</v>
      </c>
      <c r="E6" s="8" t="s">
        <v>19</v>
      </c>
      <c r="F6" s="8" t="s">
        <v>14</v>
      </c>
      <c r="G6" s="20" t="s">
        <v>15</v>
      </c>
      <c r="H6" s="21"/>
      <c r="I6" s="22" t="s">
        <v>15</v>
      </c>
      <c r="J6" s="23"/>
      <c r="K6" s="23"/>
      <c r="L6" s="23"/>
      <c r="N6" s="24">
        <v>45423</v>
      </c>
      <c r="O6" s="25">
        <v>24008665744</v>
      </c>
      <c r="P6" s="26">
        <v>53391</v>
      </c>
    </row>
    <row r="7" spans="2:16" ht="20.100000000000001" customHeight="1" thickBot="1">
      <c r="B7" s="8">
        <v>5</v>
      </c>
      <c r="C7" s="18"/>
      <c r="D7" s="30">
        <v>8665740</v>
      </c>
      <c r="E7" s="31" t="s">
        <v>19</v>
      </c>
      <c r="F7" s="31" t="s">
        <v>14</v>
      </c>
      <c r="G7" s="32" t="s">
        <v>15</v>
      </c>
      <c r="H7" s="33"/>
      <c r="I7" s="8" t="s">
        <v>15</v>
      </c>
      <c r="J7" s="34">
        <v>116782</v>
      </c>
      <c r="K7" s="34">
        <v>53391</v>
      </c>
      <c r="L7" s="34"/>
      <c r="N7" s="24">
        <v>45423</v>
      </c>
      <c r="O7" s="25">
        <v>24008665743</v>
      </c>
      <c r="P7" s="26">
        <v>53391</v>
      </c>
    </row>
    <row r="8" spans="2:16" ht="20.100000000000001" customHeight="1" thickBot="1">
      <c r="B8" s="8">
        <v>6</v>
      </c>
      <c r="C8" s="18"/>
      <c r="D8" s="19">
        <v>8665749</v>
      </c>
      <c r="E8" s="8" t="s">
        <v>19</v>
      </c>
      <c r="F8" s="8" t="s">
        <v>14</v>
      </c>
      <c r="G8" s="20" t="s">
        <v>15</v>
      </c>
      <c r="H8" s="21"/>
      <c r="I8" s="22" t="s">
        <v>15</v>
      </c>
      <c r="J8" s="23"/>
      <c r="K8" s="23"/>
      <c r="L8" s="23"/>
      <c r="N8" s="24">
        <v>45423</v>
      </c>
      <c r="O8" s="25">
        <v>24008665742</v>
      </c>
      <c r="P8" s="26">
        <v>53391</v>
      </c>
    </row>
    <row r="9" spans="2:16" ht="20.100000000000001" customHeight="1" thickBot="1">
      <c r="B9" s="8">
        <v>7</v>
      </c>
      <c r="C9" s="18"/>
      <c r="D9" s="19">
        <v>8665748</v>
      </c>
      <c r="E9" s="8" t="s">
        <v>19</v>
      </c>
      <c r="F9" s="8" t="s">
        <v>14</v>
      </c>
      <c r="G9" s="20" t="s">
        <v>15</v>
      </c>
      <c r="H9" s="21"/>
      <c r="I9" s="22" t="s">
        <v>15</v>
      </c>
      <c r="J9" s="23"/>
      <c r="K9" s="23"/>
      <c r="L9" s="23"/>
      <c r="N9" s="24">
        <v>45423</v>
      </c>
      <c r="O9" s="25">
        <v>24008665745</v>
      </c>
      <c r="P9" s="26">
        <v>79487</v>
      </c>
    </row>
    <row r="10" spans="2:16" ht="20.100000000000001" customHeight="1" thickBot="1">
      <c r="B10" s="8">
        <v>8</v>
      </c>
      <c r="C10" s="18"/>
      <c r="D10" s="30">
        <v>8665745</v>
      </c>
      <c r="E10" s="31" t="s">
        <v>19</v>
      </c>
      <c r="F10" s="31" t="s">
        <v>14</v>
      </c>
      <c r="G10" s="32" t="s">
        <v>15</v>
      </c>
      <c r="H10" s="33"/>
      <c r="I10" s="8" t="s">
        <v>15</v>
      </c>
      <c r="J10" s="34">
        <v>79487</v>
      </c>
      <c r="K10" s="34">
        <v>59262</v>
      </c>
      <c r="L10" s="34"/>
      <c r="N10" s="24">
        <v>45423</v>
      </c>
      <c r="O10" s="25">
        <v>24008665740</v>
      </c>
      <c r="P10" s="26">
        <v>116782</v>
      </c>
    </row>
    <row r="11" spans="2:16" ht="20.100000000000001" customHeight="1" thickBot="1">
      <c r="B11" s="8">
        <v>9</v>
      </c>
      <c r="C11" s="18"/>
      <c r="D11" s="27">
        <v>8665744</v>
      </c>
      <c r="E11" s="8" t="s">
        <v>19</v>
      </c>
      <c r="F11" s="8" t="s">
        <v>14</v>
      </c>
      <c r="G11" s="28" t="s">
        <v>15</v>
      </c>
      <c r="H11" s="29"/>
      <c r="I11" s="8" t="s">
        <v>15</v>
      </c>
      <c r="J11" s="14">
        <v>53391</v>
      </c>
      <c r="K11" s="14">
        <v>53391</v>
      </c>
      <c r="L11" s="14"/>
      <c r="N11" s="24">
        <v>45423</v>
      </c>
      <c r="O11" s="25">
        <v>24008665741</v>
      </c>
      <c r="P11" s="26">
        <v>53391</v>
      </c>
    </row>
    <row r="12" spans="2:16" ht="20.100000000000001" customHeight="1" thickBot="1">
      <c r="B12" s="8">
        <v>10</v>
      </c>
      <c r="C12" s="18"/>
      <c r="D12" s="27">
        <v>8665741</v>
      </c>
      <c r="E12" s="8" t="s">
        <v>19</v>
      </c>
      <c r="F12" s="8" t="s">
        <v>14</v>
      </c>
      <c r="G12" s="28" t="s">
        <v>15</v>
      </c>
      <c r="H12" s="29"/>
      <c r="I12" s="8" t="s">
        <v>15</v>
      </c>
      <c r="J12" s="14">
        <v>53391</v>
      </c>
      <c r="K12" s="14">
        <v>53391</v>
      </c>
      <c r="L12" s="14"/>
      <c r="N12" s="35" t="s">
        <v>21</v>
      </c>
      <c r="O12" s="36"/>
      <c r="P12" s="37">
        <v>589996</v>
      </c>
    </row>
    <row r="13" spans="2:16" ht="20.100000000000001" customHeight="1">
      <c r="B13" s="8">
        <v>11</v>
      </c>
      <c r="C13" s="18"/>
      <c r="D13" s="19">
        <v>8665746</v>
      </c>
      <c r="E13" s="8" t="s">
        <v>19</v>
      </c>
      <c r="F13" s="8" t="s">
        <v>14</v>
      </c>
      <c r="G13" s="20" t="s">
        <v>15</v>
      </c>
      <c r="H13" s="21"/>
      <c r="I13" s="22" t="s">
        <v>15</v>
      </c>
      <c r="J13" s="23"/>
      <c r="K13" s="23"/>
      <c r="L13" s="23"/>
      <c r="O13"/>
      <c r="P13"/>
    </row>
    <row r="14" spans="2:16" ht="15.75">
      <c r="B14" s="8">
        <v>12</v>
      </c>
      <c r="C14" s="18"/>
      <c r="D14" s="27">
        <v>8665743</v>
      </c>
      <c r="E14" s="8" t="s">
        <v>19</v>
      </c>
      <c r="F14" s="8" t="s">
        <v>14</v>
      </c>
      <c r="G14" s="28" t="s">
        <v>15</v>
      </c>
      <c r="H14" s="29"/>
      <c r="I14" s="8" t="s">
        <v>15</v>
      </c>
      <c r="J14" s="14">
        <v>53391</v>
      </c>
      <c r="K14" s="14">
        <v>53391</v>
      </c>
      <c r="L14" s="14"/>
      <c r="O14"/>
      <c r="P14"/>
    </row>
    <row r="15" spans="2:16" ht="20.100000000000001" customHeight="1">
      <c r="B15" s="8">
        <v>13</v>
      </c>
      <c r="C15" s="38"/>
      <c r="D15" s="27">
        <v>8665742</v>
      </c>
      <c r="E15" s="8" t="s">
        <v>19</v>
      </c>
      <c r="F15" s="8" t="s">
        <v>14</v>
      </c>
      <c r="G15" s="28" t="s">
        <v>15</v>
      </c>
      <c r="H15" s="29"/>
      <c r="I15" s="8" t="s">
        <v>15</v>
      </c>
      <c r="J15" s="14">
        <v>53391</v>
      </c>
      <c r="K15" s="14">
        <v>53391</v>
      </c>
      <c r="L15" s="14"/>
    </row>
    <row r="16" spans="2:16" s="44" customFormat="1" ht="20.100000000000001" customHeight="1">
      <c r="B16" s="39" t="s">
        <v>22</v>
      </c>
      <c r="C16" s="40"/>
      <c r="D16" s="40"/>
      <c r="E16" s="40"/>
      <c r="F16" s="40"/>
      <c r="G16" s="40"/>
      <c r="H16" s="40"/>
      <c r="I16" s="41"/>
      <c r="J16" s="42">
        <f>SUM(J3:J15)</f>
        <v>589996</v>
      </c>
      <c r="K16" s="42">
        <f>SUM(K3:K15)</f>
        <v>439659</v>
      </c>
      <c r="L16" s="42">
        <f>SUM(L3:L15)</f>
        <v>0</v>
      </c>
      <c r="M16" s="43"/>
    </row>
    <row r="17" spans="2:15" ht="20.100000000000001" hidden="1" customHeight="1">
      <c r="B17" s="8">
        <v>14</v>
      </c>
      <c r="C17" s="9" t="s">
        <v>23</v>
      </c>
      <c r="D17" s="45" t="s">
        <v>24</v>
      </c>
      <c r="E17" s="8" t="s">
        <v>19</v>
      </c>
      <c r="F17" s="8" t="s">
        <v>14</v>
      </c>
      <c r="G17" s="28" t="s">
        <v>25</v>
      </c>
      <c r="H17" s="29"/>
      <c r="I17" s="8" t="s">
        <v>25</v>
      </c>
      <c r="J17" s="46"/>
      <c r="K17" s="46"/>
      <c r="L17" s="46"/>
    </row>
    <row r="18" spans="2:15" ht="20.100000000000001" hidden="1" customHeight="1">
      <c r="B18" s="8">
        <v>15</v>
      </c>
      <c r="C18" s="18"/>
      <c r="D18" s="45" t="s">
        <v>26</v>
      </c>
      <c r="E18" s="8" t="s">
        <v>19</v>
      </c>
      <c r="F18" s="8" t="s">
        <v>14</v>
      </c>
      <c r="G18" s="28"/>
      <c r="H18" s="29"/>
      <c r="I18" s="8" t="s">
        <v>25</v>
      </c>
      <c r="J18" s="46"/>
      <c r="K18" s="46"/>
      <c r="L18" s="46"/>
    </row>
    <row r="19" spans="2:15" ht="20.100000000000001" hidden="1" customHeight="1">
      <c r="B19" s="8">
        <v>16</v>
      </c>
      <c r="C19" s="38"/>
      <c r="D19" s="45" t="s">
        <v>27</v>
      </c>
      <c r="E19" s="8" t="s">
        <v>19</v>
      </c>
      <c r="F19" s="8" t="s">
        <v>14</v>
      </c>
      <c r="G19" s="28" t="s">
        <v>25</v>
      </c>
      <c r="H19" s="29"/>
      <c r="I19" s="8" t="s">
        <v>25</v>
      </c>
      <c r="J19" s="46"/>
      <c r="K19" s="46"/>
      <c r="L19" s="46"/>
    </row>
    <row r="20" spans="2:15" s="44" customFormat="1" ht="20.100000000000001" hidden="1" customHeight="1">
      <c r="B20" s="39" t="s">
        <v>22</v>
      </c>
      <c r="C20" s="40"/>
      <c r="D20" s="40"/>
      <c r="E20" s="40"/>
      <c r="F20" s="40"/>
      <c r="G20" s="40"/>
      <c r="H20" s="40"/>
      <c r="I20" s="41"/>
      <c r="J20" s="42"/>
      <c r="K20" s="42"/>
      <c r="L20" s="42"/>
    </row>
    <row r="21" spans="2:15" ht="20.100000000000001" customHeight="1">
      <c r="B21" s="8">
        <v>13</v>
      </c>
      <c r="C21" s="47" t="s">
        <v>28</v>
      </c>
      <c r="D21" s="48" t="s">
        <v>29</v>
      </c>
      <c r="E21" s="8" t="s">
        <v>19</v>
      </c>
      <c r="F21" s="8" t="s">
        <v>14</v>
      </c>
      <c r="G21" s="28" t="s">
        <v>25</v>
      </c>
      <c r="H21" s="29"/>
      <c r="I21" s="49"/>
      <c r="J21" s="51">
        <v>150000</v>
      </c>
      <c r="K21" s="51">
        <v>149463</v>
      </c>
      <c r="L21" s="51"/>
    </row>
    <row r="22" spans="2:15" ht="20.100000000000001" customHeight="1">
      <c r="B22" s="8">
        <v>14</v>
      </c>
      <c r="C22" s="52"/>
      <c r="D22" s="48" t="s">
        <v>30</v>
      </c>
      <c r="E22" s="8" t="s">
        <v>19</v>
      </c>
      <c r="F22" s="8" t="s">
        <v>14</v>
      </c>
      <c r="G22" s="28" t="s">
        <v>25</v>
      </c>
      <c r="H22" s="29"/>
      <c r="I22" s="49"/>
      <c r="J22" s="50">
        <v>150000</v>
      </c>
      <c r="K22" s="50">
        <v>150000</v>
      </c>
      <c r="L22" s="50"/>
    </row>
    <row r="23" spans="2:15" ht="20.100000000000001" customHeight="1">
      <c r="B23" s="8">
        <v>15</v>
      </c>
      <c r="C23" s="53" t="s">
        <v>31</v>
      </c>
      <c r="D23" s="48" t="s">
        <v>32</v>
      </c>
      <c r="E23" s="8" t="s">
        <v>19</v>
      </c>
      <c r="F23" s="8" t="s">
        <v>14</v>
      </c>
      <c r="G23" s="28" t="s">
        <v>25</v>
      </c>
      <c r="H23" s="29"/>
      <c r="I23" s="49"/>
      <c r="J23" s="50">
        <v>150182</v>
      </c>
      <c r="K23" s="50">
        <v>149339</v>
      </c>
      <c r="L23" s="50"/>
    </row>
    <row r="24" spans="2:15" ht="20.100000000000001" customHeight="1">
      <c r="B24" s="8">
        <v>16</v>
      </c>
      <c r="C24" s="54"/>
      <c r="D24" s="48" t="s">
        <v>33</v>
      </c>
      <c r="E24" s="8" t="s">
        <v>19</v>
      </c>
      <c r="F24" s="8" t="s">
        <v>14</v>
      </c>
      <c r="G24" s="28" t="s">
        <v>25</v>
      </c>
      <c r="H24" s="29"/>
      <c r="I24" s="49"/>
      <c r="J24" s="50">
        <v>441584</v>
      </c>
      <c r="K24" s="50">
        <v>354384</v>
      </c>
      <c r="L24" s="50"/>
    </row>
    <row r="25" spans="2:15" s="44" customFormat="1" ht="20.100000000000001" customHeight="1">
      <c r="B25" s="39" t="s">
        <v>22</v>
      </c>
      <c r="C25" s="40"/>
      <c r="D25" s="40"/>
      <c r="E25" s="40"/>
      <c r="F25" s="40"/>
      <c r="G25" s="40"/>
      <c r="H25" s="40"/>
      <c r="I25" s="41"/>
      <c r="J25" s="42">
        <f t="shared" ref="J25:L25" si="0">SUM(J21:J24)</f>
        <v>891766</v>
      </c>
      <c r="K25" s="42">
        <f t="shared" si="0"/>
        <v>803186</v>
      </c>
      <c r="L25" s="42">
        <f t="shared" si="0"/>
        <v>0</v>
      </c>
    </row>
    <row r="26" spans="2:15" s="59" customFormat="1" ht="30" customHeight="1">
      <c r="B26" s="55" t="s">
        <v>22</v>
      </c>
      <c r="C26" s="56"/>
      <c r="D26" s="56"/>
      <c r="E26" s="56"/>
      <c r="F26" s="56"/>
      <c r="G26" s="56"/>
      <c r="H26" s="56"/>
      <c r="I26" s="57"/>
      <c r="J26" s="58">
        <f t="shared" ref="J26:L26" si="1">J25+J16</f>
        <v>1481762</v>
      </c>
      <c r="K26" s="58">
        <f t="shared" si="1"/>
        <v>1242845</v>
      </c>
      <c r="L26" s="58">
        <f t="shared" si="1"/>
        <v>0</v>
      </c>
    </row>
    <row r="27" spans="2:15" s="63" customFormat="1" ht="15.75">
      <c r="B27" s="60"/>
      <c r="C27" s="61"/>
      <c r="D27" s="62"/>
      <c r="E27" s="62"/>
      <c r="F27" s="62"/>
      <c r="G27" s="62"/>
      <c r="H27" s="62"/>
      <c r="I27" s="62"/>
    </row>
    <row r="28" spans="2:15" s="67" customFormat="1" ht="39.950000000000003" customHeight="1">
      <c r="B28" s="64" t="s">
        <v>34</v>
      </c>
      <c r="C28" s="65"/>
      <c r="D28" s="66"/>
      <c r="E28" s="66"/>
      <c r="F28" s="66"/>
      <c r="G28" s="66"/>
      <c r="H28" s="66"/>
      <c r="I28" s="66"/>
    </row>
    <row r="29" spans="2:15" s="68" customFormat="1" ht="30" customHeight="1">
      <c r="B29" s="165" t="s">
        <v>2</v>
      </c>
      <c r="C29" s="165" t="s">
        <v>3</v>
      </c>
      <c r="D29" s="165" t="s">
        <v>4</v>
      </c>
      <c r="E29" s="165" t="s">
        <v>5</v>
      </c>
      <c r="F29" s="165" t="s">
        <v>7</v>
      </c>
      <c r="G29" s="165" t="s">
        <v>35</v>
      </c>
      <c r="H29" s="169" t="s">
        <v>36</v>
      </c>
      <c r="I29" s="165" t="s">
        <v>37</v>
      </c>
      <c r="J29" s="168" t="s">
        <v>9</v>
      </c>
      <c r="K29" s="168" t="s">
        <v>10</v>
      </c>
      <c r="L29" s="168" t="s">
        <v>11</v>
      </c>
    </row>
    <row r="30" spans="2:15" ht="20.100000000000001" customHeight="1">
      <c r="B30" s="8">
        <v>1</v>
      </c>
      <c r="C30" s="8" t="s">
        <v>38</v>
      </c>
      <c r="D30" s="69" t="s">
        <v>39</v>
      </c>
      <c r="E30" s="70" t="s">
        <v>40</v>
      </c>
      <c r="F30" s="70" t="s">
        <v>41</v>
      </c>
      <c r="G30" s="8" t="s">
        <v>41</v>
      </c>
      <c r="H30" s="71" t="s">
        <v>42</v>
      </c>
      <c r="I30" s="72" t="s">
        <v>43</v>
      </c>
      <c r="J30" s="74">
        <v>55500</v>
      </c>
      <c r="K30" s="74">
        <v>55500</v>
      </c>
      <c r="L30" s="74">
        <v>55500</v>
      </c>
      <c r="M30" s="75" t="s">
        <v>44</v>
      </c>
    </row>
    <row r="31" spans="2:15" ht="20.100000000000001" customHeight="1">
      <c r="B31" s="8">
        <v>2</v>
      </c>
      <c r="C31" s="8" t="s">
        <v>38</v>
      </c>
      <c r="D31" s="69" t="s">
        <v>45</v>
      </c>
      <c r="E31" s="70" t="s">
        <v>40</v>
      </c>
      <c r="F31" s="70" t="s">
        <v>46</v>
      </c>
      <c r="G31" s="8" t="s">
        <v>47</v>
      </c>
      <c r="H31" s="71" t="s">
        <v>48</v>
      </c>
      <c r="I31" s="72" t="s">
        <v>43</v>
      </c>
      <c r="J31" s="76">
        <v>66788</v>
      </c>
      <c r="K31" s="76">
        <v>65490</v>
      </c>
      <c r="L31" s="76">
        <v>65490</v>
      </c>
      <c r="M31" s="75" t="s">
        <v>49</v>
      </c>
      <c r="O31" s="77"/>
    </row>
    <row r="32" spans="2:15" ht="20.100000000000001" customHeight="1">
      <c r="B32" s="8">
        <v>3</v>
      </c>
      <c r="C32" s="8" t="s">
        <v>38</v>
      </c>
      <c r="D32" s="69" t="s">
        <v>50</v>
      </c>
      <c r="E32" s="70" t="s">
        <v>40</v>
      </c>
      <c r="F32" s="70" t="s">
        <v>46</v>
      </c>
      <c r="G32" s="8" t="s">
        <v>51</v>
      </c>
      <c r="H32" s="71" t="s">
        <v>52</v>
      </c>
      <c r="I32" s="72" t="s">
        <v>43</v>
      </c>
      <c r="J32" s="74">
        <v>55500</v>
      </c>
      <c r="K32" s="74">
        <v>55500</v>
      </c>
      <c r="L32" s="74">
        <v>55500</v>
      </c>
      <c r="M32" s="75" t="s">
        <v>53</v>
      </c>
    </row>
    <row r="33" spans="2:20" ht="20.100000000000001" customHeight="1">
      <c r="B33" s="8">
        <v>4</v>
      </c>
      <c r="C33" s="72" t="s">
        <v>38</v>
      </c>
      <c r="D33" s="69" t="s">
        <v>54</v>
      </c>
      <c r="E33" s="71" t="s">
        <v>55</v>
      </c>
      <c r="F33" s="78" t="s">
        <v>56</v>
      </c>
      <c r="G33" s="72" t="s">
        <v>25</v>
      </c>
      <c r="H33" s="71" t="s">
        <v>57</v>
      </c>
      <c r="I33" s="72" t="s">
        <v>56</v>
      </c>
      <c r="J33" s="76">
        <v>111000</v>
      </c>
      <c r="K33" s="76">
        <v>111000</v>
      </c>
      <c r="L33" s="76">
        <v>111000</v>
      </c>
      <c r="M33" s="75" t="s">
        <v>58</v>
      </c>
    </row>
    <row r="34" spans="2:20" ht="20.100000000000001" customHeight="1">
      <c r="B34" s="8">
        <v>5</v>
      </c>
      <c r="C34" s="79" t="s">
        <v>38</v>
      </c>
      <c r="D34" s="69" t="s">
        <v>59</v>
      </c>
      <c r="E34" s="49" t="s">
        <v>40</v>
      </c>
      <c r="F34" s="49" t="s">
        <v>46</v>
      </c>
      <c r="G34" s="79" t="s">
        <v>60</v>
      </c>
      <c r="H34" s="80" t="s">
        <v>61</v>
      </c>
      <c r="I34" s="79" t="s">
        <v>62</v>
      </c>
      <c r="J34" s="76">
        <v>69419</v>
      </c>
      <c r="K34" s="76">
        <v>72816</v>
      </c>
      <c r="L34" s="76">
        <v>68786</v>
      </c>
      <c r="M34" s="75" t="s">
        <v>63</v>
      </c>
    </row>
    <row r="35" spans="2:20" ht="20.100000000000001" customHeight="1">
      <c r="B35" s="8">
        <v>6</v>
      </c>
      <c r="C35" s="79" t="s">
        <v>64</v>
      </c>
      <c r="D35" s="69" t="s">
        <v>65</v>
      </c>
      <c r="E35" s="49" t="s">
        <v>40</v>
      </c>
      <c r="F35" s="49" t="s">
        <v>46</v>
      </c>
      <c r="G35" s="79" t="s">
        <v>66</v>
      </c>
      <c r="H35" s="80" t="s">
        <v>25</v>
      </c>
      <c r="I35" s="79" t="s">
        <v>25</v>
      </c>
      <c r="J35" s="81" t="s">
        <v>67</v>
      </c>
      <c r="K35" s="81" t="s">
        <v>67</v>
      </c>
      <c r="L35" s="81" t="s">
        <v>67</v>
      </c>
      <c r="O35" s="77"/>
    </row>
    <row r="36" spans="2:20" ht="20.100000000000001" customHeight="1">
      <c r="B36" s="8">
        <v>7</v>
      </c>
      <c r="C36" s="79" t="s">
        <v>38</v>
      </c>
      <c r="D36" s="69" t="s">
        <v>68</v>
      </c>
      <c r="E36" s="49" t="s">
        <v>40</v>
      </c>
      <c r="F36" s="49" t="s">
        <v>69</v>
      </c>
      <c r="G36" s="79" t="s">
        <v>70</v>
      </c>
      <c r="H36" s="80" t="s">
        <v>25</v>
      </c>
      <c r="I36" s="79" t="s">
        <v>25</v>
      </c>
      <c r="J36" s="81" t="s">
        <v>67</v>
      </c>
      <c r="K36" s="81" t="s">
        <v>67</v>
      </c>
      <c r="L36" s="81" t="s">
        <v>67</v>
      </c>
      <c r="T36" s="82"/>
    </row>
    <row r="37" spans="2:20" ht="20.100000000000001" customHeight="1">
      <c r="B37" s="8">
        <v>8</v>
      </c>
      <c r="C37" s="72" t="s">
        <v>38</v>
      </c>
      <c r="D37" s="69" t="s">
        <v>71</v>
      </c>
      <c r="E37" s="78" t="s">
        <v>40</v>
      </c>
      <c r="F37" s="78" t="s">
        <v>69</v>
      </c>
      <c r="G37" s="72" t="s">
        <v>72</v>
      </c>
      <c r="H37" s="71" t="s">
        <v>73</v>
      </c>
      <c r="I37" s="72" t="s">
        <v>74</v>
      </c>
      <c r="J37" s="81">
        <v>62426</v>
      </c>
      <c r="K37" s="81">
        <v>55500</v>
      </c>
      <c r="L37" s="81">
        <v>56332</v>
      </c>
      <c r="M37" s="75" t="s">
        <v>75</v>
      </c>
    </row>
    <row r="38" spans="2:20" ht="20.100000000000001" customHeight="1">
      <c r="B38" s="8">
        <v>9</v>
      </c>
      <c r="C38" s="8" t="s">
        <v>38</v>
      </c>
      <c r="D38" s="69" t="s">
        <v>76</v>
      </c>
      <c r="E38" s="70" t="s">
        <v>77</v>
      </c>
      <c r="F38" s="70" t="s">
        <v>69</v>
      </c>
      <c r="G38" s="8" t="s">
        <v>78</v>
      </c>
      <c r="H38" s="71" t="s">
        <v>79</v>
      </c>
      <c r="I38" s="72" t="s">
        <v>80</v>
      </c>
      <c r="J38" s="73">
        <v>55500</v>
      </c>
      <c r="K38" s="73">
        <v>55500</v>
      </c>
      <c r="L38" s="73">
        <v>55500</v>
      </c>
      <c r="M38" s="75" t="s">
        <v>81</v>
      </c>
    </row>
    <row r="39" spans="2:20" ht="20.100000000000001" customHeight="1">
      <c r="B39" s="8">
        <v>10</v>
      </c>
      <c r="C39" s="72" t="s">
        <v>64</v>
      </c>
      <c r="D39" s="69" t="s">
        <v>82</v>
      </c>
      <c r="E39" s="78" t="s">
        <v>83</v>
      </c>
      <c r="F39" s="78" t="s">
        <v>84</v>
      </c>
      <c r="G39" s="72" t="s">
        <v>85</v>
      </c>
      <c r="H39" s="71" t="s">
        <v>86</v>
      </c>
      <c r="I39" s="72" t="s">
        <v>25</v>
      </c>
      <c r="J39" s="81">
        <v>111000</v>
      </c>
      <c r="K39" s="81">
        <v>111000</v>
      </c>
      <c r="L39" s="81">
        <v>111000</v>
      </c>
      <c r="M39" s="75" t="s">
        <v>87</v>
      </c>
    </row>
    <row r="40" spans="2:20" ht="20.100000000000001" customHeight="1">
      <c r="B40" s="8">
        <v>11</v>
      </c>
      <c r="C40" s="8" t="s">
        <v>38</v>
      </c>
      <c r="D40" s="69" t="s">
        <v>88</v>
      </c>
      <c r="E40" s="70" t="s">
        <v>40</v>
      </c>
      <c r="F40" s="70" t="s">
        <v>46</v>
      </c>
      <c r="G40" s="8" t="s">
        <v>89</v>
      </c>
      <c r="H40" s="80" t="s">
        <v>90</v>
      </c>
      <c r="I40" s="79" t="s">
        <v>80</v>
      </c>
      <c r="J40" s="74">
        <v>57098</v>
      </c>
      <c r="K40" s="74">
        <v>89532</v>
      </c>
      <c r="L40" s="74">
        <v>57231</v>
      </c>
      <c r="M40" s="75" t="s">
        <v>91</v>
      </c>
      <c r="O40" s="77"/>
    </row>
    <row r="41" spans="2:20" ht="20.100000000000001" customHeight="1">
      <c r="B41" s="8">
        <v>12</v>
      </c>
      <c r="C41" s="8" t="s">
        <v>38</v>
      </c>
      <c r="D41" s="69" t="s">
        <v>92</v>
      </c>
      <c r="E41" s="70" t="s">
        <v>40</v>
      </c>
      <c r="F41" s="70" t="s">
        <v>93</v>
      </c>
      <c r="G41" s="8" t="s">
        <v>94</v>
      </c>
      <c r="H41" s="80" t="s">
        <v>95</v>
      </c>
      <c r="I41" s="79" t="s">
        <v>80</v>
      </c>
      <c r="J41" s="76">
        <v>55500</v>
      </c>
      <c r="K41" s="76">
        <v>55500</v>
      </c>
      <c r="L41" s="76">
        <v>93162</v>
      </c>
      <c r="M41" s="75" t="s">
        <v>96</v>
      </c>
    </row>
    <row r="42" spans="2:20" ht="20.100000000000001" customHeight="1">
      <c r="B42" s="8">
        <v>13</v>
      </c>
      <c r="C42" s="8" t="s">
        <v>38</v>
      </c>
      <c r="D42" s="69" t="s">
        <v>97</v>
      </c>
      <c r="E42" s="70" t="s">
        <v>40</v>
      </c>
      <c r="F42" s="70" t="s">
        <v>46</v>
      </c>
      <c r="G42" s="8" t="s">
        <v>46</v>
      </c>
      <c r="H42" s="80" t="s">
        <v>98</v>
      </c>
      <c r="I42" s="79" t="s">
        <v>99</v>
      </c>
      <c r="J42" s="76">
        <v>111000</v>
      </c>
      <c r="K42" s="76">
        <v>111000</v>
      </c>
      <c r="L42" s="76">
        <v>111407</v>
      </c>
      <c r="M42" s="75" t="s">
        <v>100</v>
      </c>
      <c r="O42" s="77"/>
    </row>
    <row r="43" spans="2:20" ht="20.25" customHeight="1">
      <c r="B43" s="8">
        <v>14</v>
      </c>
      <c r="C43" s="79" t="s">
        <v>38</v>
      </c>
      <c r="D43" s="69" t="s">
        <v>101</v>
      </c>
      <c r="E43" s="49" t="s">
        <v>40</v>
      </c>
      <c r="F43" s="49" t="s">
        <v>102</v>
      </c>
      <c r="G43" s="79" t="s">
        <v>103</v>
      </c>
      <c r="H43" s="80" t="s">
        <v>104</v>
      </c>
      <c r="I43" s="79" t="s">
        <v>80</v>
      </c>
      <c r="J43" s="74">
        <v>55500</v>
      </c>
      <c r="K43" s="74">
        <v>55500</v>
      </c>
      <c r="L43" s="74">
        <v>55500</v>
      </c>
      <c r="M43" s="75" t="s">
        <v>105</v>
      </c>
      <c r="O43" s="77"/>
    </row>
    <row r="44" spans="2:20" ht="20.100000000000001" customHeight="1">
      <c r="B44" s="8">
        <v>15</v>
      </c>
      <c r="C44" s="8" t="s">
        <v>38</v>
      </c>
      <c r="D44" s="69" t="s">
        <v>106</v>
      </c>
      <c r="E44" s="70" t="s">
        <v>40</v>
      </c>
      <c r="F44" s="70" t="s">
        <v>46</v>
      </c>
      <c r="G44" s="8" t="s">
        <v>60</v>
      </c>
      <c r="H44" s="80" t="s">
        <v>107</v>
      </c>
      <c r="I44" s="79" t="s">
        <v>108</v>
      </c>
      <c r="J44" s="76">
        <v>55500</v>
      </c>
      <c r="K44" s="76">
        <v>75579</v>
      </c>
      <c r="L44" s="76">
        <v>69971</v>
      </c>
      <c r="M44" s="75" t="s">
        <v>109</v>
      </c>
    </row>
    <row r="45" spans="2:20" ht="20.100000000000001" customHeight="1">
      <c r="B45" s="8">
        <v>16</v>
      </c>
      <c r="C45" s="8" t="s">
        <v>38</v>
      </c>
      <c r="D45" s="69" t="s">
        <v>110</v>
      </c>
      <c r="E45" s="70" t="s">
        <v>40</v>
      </c>
      <c r="F45" s="70" t="s">
        <v>46</v>
      </c>
      <c r="G45" s="8" t="s">
        <v>111</v>
      </c>
      <c r="H45" s="80" t="s">
        <v>112</v>
      </c>
      <c r="I45" s="79" t="s">
        <v>108</v>
      </c>
      <c r="J45" s="74">
        <v>55500</v>
      </c>
      <c r="K45" s="74">
        <v>55500</v>
      </c>
      <c r="L45" s="74">
        <v>55500</v>
      </c>
      <c r="M45" s="75" t="s">
        <v>294</v>
      </c>
      <c r="Q45" s="83"/>
    </row>
    <row r="46" spans="2:20" ht="20.100000000000001" customHeight="1">
      <c r="B46" s="8">
        <v>17</v>
      </c>
      <c r="C46" s="72" t="s">
        <v>38</v>
      </c>
      <c r="D46" s="69" t="s">
        <v>113</v>
      </c>
      <c r="E46" s="78" t="s">
        <v>40</v>
      </c>
      <c r="F46" s="78" t="s">
        <v>46</v>
      </c>
      <c r="G46" s="72" t="s">
        <v>114</v>
      </c>
      <c r="H46" s="71" t="s">
        <v>115</v>
      </c>
      <c r="I46" s="72" t="s">
        <v>108</v>
      </c>
      <c r="J46" s="81" t="s">
        <v>67</v>
      </c>
      <c r="K46" s="81" t="s">
        <v>67</v>
      </c>
      <c r="L46" s="81" t="s">
        <v>67</v>
      </c>
    </row>
    <row r="47" spans="2:20" ht="20.100000000000001" customHeight="1">
      <c r="B47" s="8">
        <v>18</v>
      </c>
      <c r="C47" s="8" t="s">
        <v>38</v>
      </c>
      <c r="D47" s="69" t="s">
        <v>116</v>
      </c>
      <c r="E47" s="70" t="s">
        <v>40</v>
      </c>
      <c r="F47" s="70" t="s">
        <v>102</v>
      </c>
      <c r="G47" s="8" t="s">
        <v>102</v>
      </c>
      <c r="H47" s="71" t="s">
        <v>117</v>
      </c>
      <c r="I47" s="72" t="s">
        <v>108</v>
      </c>
      <c r="J47" s="73">
        <v>55500</v>
      </c>
      <c r="K47" s="73">
        <v>55500</v>
      </c>
      <c r="L47" s="73">
        <v>55500</v>
      </c>
      <c r="M47" s="75" t="s">
        <v>118</v>
      </c>
    </row>
    <row r="48" spans="2:20" ht="20.100000000000001" customHeight="1">
      <c r="B48" s="8">
        <v>19</v>
      </c>
      <c r="C48" s="8" t="s">
        <v>38</v>
      </c>
      <c r="D48" s="69" t="s">
        <v>119</v>
      </c>
      <c r="E48" s="70" t="s">
        <v>40</v>
      </c>
      <c r="F48" s="70" t="s">
        <v>102</v>
      </c>
      <c r="G48" s="8" t="s">
        <v>102</v>
      </c>
      <c r="H48" s="71" t="s">
        <v>120</v>
      </c>
      <c r="I48" s="72" t="s">
        <v>43</v>
      </c>
      <c r="J48" s="81" t="s">
        <v>67</v>
      </c>
      <c r="K48" s="81" t="s">
        <v>67</v>
      </c>
      <c r="L48" s="81" t="s">
        <v>67</v>
      </c>
      <c r="O48" s="77"/>
    </row>
    <row r="49" spans="2:15" ht="20.100000000000001" customHeight="1">
      <c r="B49" s="8">
        <v>20</v>
      </c>
      <c r="C49" s="72" t="s">
        <v>38</v>
      </c>
      <c r="D49" s="69" t="s">
        <v>121</v>
      </c>
      <c r="E49" s="78" t="s">
        <v>40</v>
      </c>
      <c r="F49" s="78" t="s">
        <v>46</v>
      </c>
      <c r="G49" s="72" t="s">
        <v>122</v>
      </c>
      <c r="H49" s="71" t="s">
        <v>123</v>
      </c>
      <c r="I49" s="72" t="s">
        <v>62</v>
      </c>
      <c r="J49" s="81" t="s">
        <v>67</v>
      </c>
      <c r="K49" s="81" t="s">
        <v>67</v>
      </c>
      <c r="L49" s="81" t="s">
        <v>67</v>
      </c>
    </row>
    <row r="50" spans="2:15" ht="20.100000000000001" customHeight="1">
      <c r="B50" s="8">
        <v>21</v>
      </c>
      <c r="C50" s="79" t="s">
        <v>38</v>
      </c>
      <c r="D50" s="84" t="s">
        <v>124</v>
      </c>
      <c r="E50" s="49" t="s">
        <v>40</v>
      </c>
      <c r="F50" s="49" t="s">
        <v>46</v>
      </c>
      <c r="G50" s="79" t="s">
        <v>125</v>
      </c>
      <c r="H50" s="71" t="s">
        <v>126</v>
      </c>
      <c r="I50" s="72" t="s">
        <v>80</v>
      </c>
      <c r="J50" s="74">
        <v>55500</v>
      </c>
      <c r="K50" s="74">
        <v>55500</v>
      </c>
      <c r="L50" s="74">
        <v>55500</v>
      </c>
      <c r="M50" s="75" t="s">
        <v>127</v>
      </c>
      <c r="O50" s="77"/>
    </row>
    <row r="51" spans="2:15" ht="20.100000000000001" customHeight="1">
      <c r="B51" s="8">
        <v>22</v>
      </c>
      <c r="C51" s="79" t="s">
        <v>38</v>
      </c>
      <c r="D51" s="84" t="s">
        <v>128</v>
      </c>
      <c r="E51" s="49" t="s">
        <v>40</v>
      </c>
      <c r="F51" s="49" t="s">
        <v>69</v>
      </c>
      <c r="G51" s="79" t="s">
        <v>129</v>
      </c>
      <c r="H51" s="71" t="s">
        <v>25</v>
      </c>
      <c r="I51" s="72" t="s">
        <v>25</v>
      </c>
      <c r="J51" s="74">
        <v>59940</v>
      </c>
      <c r="K51" s="74">
        <v>55500</v>
      </c>
      <c r="L51" s="74">
        <v>55500</v>
      </c>
      <c r="M51" s="75" t="s">
        <v>130</v>
      </c>
    </row>
    <row r="52" spans="2:15" ht="20.100000000000001" customHeight="1">
      <c r="B52" s="8">
        <v>23</v>
      </c>
      <c r="C52" s="79" t="s">
        <v>38</v>
      </c>
      <c r="D52" s="84" t="s">
        <v>131</v>
      </c>
      <c r="E52" s="49" t="s">
        <v>40</v>
      </c>
      <c r="F52" s="49" t="s">
        <v>132</v>
      </c>
      <c r="G52" s="79" t="s">
        <v>133</v>
      </c>
      <c r="H52" s="71" t="s">
        <v>134</v>
      </c>
      <c r="I52" s="72" t="s">
        <v>99</v>
      </c>
      <c r="J52" s="76">
        <v>141425</v>
      </c>
      <c r="K52" s="76">
        <v>146742</v>
      </c>
      <c r="L52" s="76">
        <v>141414</v>
      </c>
      <c r="M52" s="75" t="s">
        <v>135</v>
      </c>
    </row>
    <row r="53" spans="2:15" ht="20.100000000000001" customHeight="1">
      <c r="B53" s="8">
        <v>24</v>
      </c>
      <c r="C53" s="79" t="s">
        <v>38</v>
      </c>
      <c r="D53" s="84" t="s">
        <v>136</v>
      </c>
      <c r="E53" s="49" t="s">
        <v>40</v>
      </c>
      <c r="F53" s="49" t="s">
        <v>137</v>
      </c>
      <c r="G53" s="79" t="s">
        <v>102</v>
      </c>
      <c r="H53" s="71" t="s">
        <v>138</v>
      </c>
      <c r="I53" s="72" t="s">
        <v>139</v>
      </c>
      <c r="J53" s="76">
        <v>111000</v>
      </c>
      <c r="K53" s="76">
        <v>111000</v>
      </c>
      <c r="L53" s="76">
        <v>111000</v>
      </c>
      <c r="M53" s="75" t="s">
        <v>140</v>
      </c>
    </row>
    <row r="54" spans="2:15" ht="20.100000000000001" customHeight="1">
      <c r="B54" s="8">
        <v>25</v>
      </c>
      <c r="C54" s="79" t="s">
        <v>38</v>
      </c>
      <c r="D54" s="84" t="s">
        <v>141</v>
      </c>
      <c r="E54" s="49" t="s">
        <v>40</v>
      </c>
      <c r="F54" s="49" t="s">
        <v>142</v>
      </c>
      <c r="G54" s="79" t="s">
        <v>143</v>
      </c>
      <c r="H54" s="71" t="s">
        <v>144</v>
      </c>
      <c r="I54" s="72" t="s">
        <v>99</v>
      </c>
      <c r="J54" s="76">
        <v>111000</v>
      </c>
      <c r="K54" s="76">
        <v>111000</v>
      </c>
      <c r="L54" s="76">
        <v>111000</v>
      </c>
      <c r="M54" s="75" t="s">
        <v>145</v>
      </c>
    </row>
    <row r="55" spans="2:15" ht="21" customHeight="1">
      <c r="B55" s="8">
        <v>26</v>
      </c>
      <c r="C55" s="79" t="s">
        <v>38</v>
      </c>
      <c r="D55" s="84" t="s">
        <v>146</v>
      </c>
      <c r="E55" s="49" t="s">
        <v>40</v>
      </c>
      <c r="F55" s="49" t="s">
        <v>147</v>
      </c>
      <c r="G55" s="79" t="s">
        <v>148</v>
      </c>
      <c r="H55" s="71" t="s">
        <v>149</v>
      </c>
      <c r="I55" s="72" t="s">
        <v>150</v>
      </c>
      <c r="J55" s="76">
        <v>111000</v>
      </c>
      <c r="K55" s="76">
        <v>111000</v>
      </c>
      <c r="L55" s="76">
        <v>111000</v>
      </c>
      <c r="M55" s="75" t="s">
        <v>151</v>
      </c>
      <c r="N55" s="83"/>
    </row>
    <row r="56" spans="2:15" ht="21" hidden="1" customHeight="1">
      <c r="B56" s="85"/>
      <c r="C56" s="79"/>
      <c r="D56" s="86"/>
      <c r="E56" s="87"/>
      <c r="F56" s="87"/>
      <c r="G56" s="88"/>
      <c r="H56" s="89"/>
      <c r="I56" s="90"/>
      <c r="J56" s="92"/>
      <c r="K56" s="92"/>
      <c r="L56" s="92"/>
      <c r="M56" s="75"/>
      <c r="N56" s="83"/>
    </row>
    <row r="57" spans="2:15" ht="21" customHeight="1">
      <c r="B57" s="85">
        <v>27</v>
      </c>
      <c r="C57" s="79" t="s">
        <v>38</v>
      </c>
      <c r="D57" s="84" t="s">
        <v>152</v>
      </c>
      <c r="E57" s="49"/>
      <c r="F57" s="49"/>
      <c r="G57" s="79" t="s">
        <v>93</v>
      </c>
      <c r="H57" s="71" t="s">
        <v>153</v>
      </c>
      <c r="I57" s="72" t="s">
        <v>139</v>
      </c>
      <c r="J57" s="76">
        <v>111000</v>
      </c>
      <c r="K57" s="76">
        <v>111000</v>
      </c>
      <c r="L57" s="76">
        <v>111000</v>
      </c>
      <c r="M57" s="75" t="s">
        <v>289</v>
      </c>
      <c r="N57" s="83"/>
    </row>
    <row r="58" spans="2:15" ht="21" customHeight="1">
      <c r="B58" s="85">
        <v>28</v>
      </c>
      <c r="C58" s="79" t="s">
        <v>38</v>
      </c>
      <c r="D58" s="84" t="s">
        <v>154</v>
      </c>
      <c r="E58" s="49"/>
      <c r="F58" s="49"/>
      <c r="G58" s="79" t="s">
        <v>93</v>
      </c>
      <c r="H58" s="71" t="s">
        <v>155</v>
      </c>
      <c r="I58" s="72" t="s">
        <v>139</v>
      </c>
      <c r="J58" s="76">
        <v>111000</v>
      </c>
      <c r="K58" s="76">
        <v>111000</v>
      </c>
      <c r="L58" s="76">
        <v>111000</v>
      </c>
      <c r="M58" s="75" t="s">
        <v>292</v>
      </c>
      <c r="N58" s="83"/>
    </row>
    <row r="59" spans="2:15" ht="20.100000000000001" customHeight="1">
      <c r="B59" s="85"/>
      <c r="C59" s="93" t="s">
        <v>21</v>
      </c>
      <c r="D59" s="94"/>
      <c r="E59" s="94"/>
      <c r="F59" s="94"/>
      <c r="G59" s="94"/>
      <c r="H59" s="94"/>
      <c r="I59" s="94"/>
      <c r="J59" s="91">
        <f>SUM(J30:J58)</f>
        <v>1844596</v>
      </c>
      <c r="K59" s="91">
        <f>SUM(K30:K58)</f>
        <v>1893159</v>
      </c>
      <c r="L59" s="91">
        <f>SUM(L30:L58)</f>
        <v>1884793</v>
      </c>
    </row>
    <row r="60" spans="2:15" ht="21" hidden="1">
      <c r="B60" s="95" t="s">
        <v>156</v>
      </c>
      <c r="C60" s="96"/>
      <c r="D60" s="96"/>
      <c r="E60" s="96"/>
      <c r="F60" s="96"/>
      <c r="G60" s="96"/>
      <c r="H60" s="96"/>
      <c r="I60" s="96"/>
      <c r="J60" s="98"/>
      <c r="K60" s="98"/>
      <c r="L60" s="98"/>
    </row>
    <row r="61" spans="2:15" ht="15.75" hidden="1">
      <c r="B61" s="99">
        <v>1</v>
      </c>
      <c r="C61" s="100" t="s">
        <v>157</v>
      </c>
      <c r="D61" s="100"/>
      <c r="E61" s="100"/>
      <c r="F61" s="100"/>
      <c r="G61" s="100"/>
      <c r="H61" s="101" t="s">
        <v>158</v>
      </c>
      <c r="I61" s="100" t="s">
        <v>159</v>
      </c>
    </row>
    <row r="62" spans="2:15" ht="15.75" hidden="1">
      <c r="B62" s="8">
        <v>2</v>
      </c>
      <c r="C62" s="79" t="s">
        <v>38</v>
      </c>
      <c r="D62" s="79"/>
      <c r="E62" s="79"/>
      <c r="F62" s="79"/>
      <c r="G62" s="79"/>
      <c r="H62" s="80" t="s">
        <v>160</v>
      </c>
      <c r="I62" s="79" t="s">
        <v>161</v>
      </c>
    </row>
    <row r="63" spans="2:15" ht="15.75" hidden="1">
      <c r="B63" s="8">
        <v>3</v>
      </c>
      <c r="C63" s="79" t="s">
        <v>38</v>
      </c>
      <c r="D63" s="79"/>
      <c r="E63" s="79"/>
      <c r="F63" s="79"/>
      <c r="G63" s="79"/>
      <c r="H63" s="80" t="s">
        <v>162</v>
      </c>
      <c r="I63" s="79" t="s">
        <v>159</v>
      </c>
    </row>
    <row r="64" spans="2:15" ht="15.75" hidden="1">
      <c r="B64" s="8">
        <v>4</v>
      </c>
      <c r="C64" s="79" t="s">
        <v>38</v>
      </c>
      <c r="D64" s="79"/>
      <c r="E64" s="79"/>
      <c r="F64" s="79"/>
      <c r="G64" s="79"/>
      <c r="H64" s="80" t="s">
        <v>163</v>
      </c>
      <c r="I64" s="79" t="s">
        <v>164</v>
      </c>
    </row>
    <row r="65" spans="2:21" ht="15.75" hidden="1">
      <c r="B65" s="8">
        <v>5</v>
      </c>
      <c r="C65" s="79">
        <v>3</v>
      </c>
      <c r="D65" s="79"/>
      <c r="E65" s="79"/>
      <c r="F65" s="79"/>
      <c r="G65" s="79"/>
      <c r="H65" s="80" t="s">
        <v>165</v>
      </c>
      <c r="I65" s="79" t="s">
        <v>166</v>
      </c>
    </row>
    <row r="66" spans="2:21" ht="15.75" hidden="1">
      <c r="B66" s="8">
        <v>6</v>
      </c>
      <c r="C66" s="79" t="s">
        <v>38</v>
      </c>
      <c r="D66" s="79"/>
      <c r="E66" s="79"/>
      <c r="F66" s="79"/>
      <c r="G66" s="79"/>
      <c r="H66" s="80" t="s">
        <v>79</v>
      </c>
      <c r="I66" s="79" t="s">
        <v>167</v>
      </c>
    </row>
    <row r="67" spans="2:21" ht="15.75" hidden="1">
      <c r="B67" s="8">
        <v>7</v>
      </c>
      <c r="C67" s="79" t="s">
        <v>38</v>
      </c>
      <c r="D67" s="79"/>
      <c r="E67" s="79"/>
      <c r="F67" s="79"/>
      <c r="G67" s="79"/>
      <c r="H67" s="80" t="s">
        <v>168</v>
      </c>
      <c r="I67" s="79" t="s">
        <v>169</v>
      </c>
      <c r="S67" s="15" t="s">
        <v>170</v>
      </c>
    </row>
    <row r="68" spans="2:21" ht="15.75" hidden="1">
      <c r="B68" s="8"/>
      <c r="C68" s="102"/>
      <c r="D68" s="103"/>
      <c r="E68" s="103"/>
      <c r="F68" s="103"/>
      <c r="G68" s="103"/>
      <c r="H68" s="104"/>
      <c r="I68" s="105"/>
      <c r="Q68" s="75" t="s">
        <v>171</v>
      </c>
      <c r="R68" s="75" t="s">
        <v>172</v>
      </c>
      <c r="S68" s="82" t="s">
        <v>173</v>
      </c>
      <c r="T68" s="75" t="s">
        <v>174</v>
      </c>
      <c r="U68" s="75" t="s">
        <v>175</v>
      </c>
    </row>
    <row r="69" spans="2:21" ht="21" hidden="1">
      <c r="B69" s="8"/>
      <c r="C69" s="95" t="s">
        <v>156</v>
      </c>
      <c r="D69" s="96"/>
      <c r="E69" s="96"/>
      <c r="F69" s="96"/>
      <c r="G69" s="96"/>
      <c r="H69" s="96"/>
      <c r="I69" s="97"/>
      <c r="Q69" s="106">
        <v>806665</v>
      </c>
      <c r="R69" s="106">
        <v>2016666</v>
      </c>
      <c r="S69" s="106">
        <f>618600+496900</f>
        <v>1115500</v>
      </c>
      <c r="T69" s="106">
        <v>448000</v>
      </c>
      <c r="U69" s="106">
        <f>102000+102000+63500+40000+70000</f>
        <v>377500</v>
      </c>
    </row>
    <row r="70" spans="2:21" ht="15.75" hidden="1">
      <c r="B70" s="8">
        <v>1</v>
      </c>
      <c r="C70" s="79" t="s">
        <v>176</v>
      </c>
      <c r="D70" s="79"/>
      <c r="E70" s="79"/>
      <c r="F70" s="79"/>
      <c r="G70" s="79"/>
      <c r="H70" s="80" t="s">
        <v>177</v>
      </c>
      <c r="I70" s="79" t="s">
        <v>178</v>
      </c>
    </row>
    <row r="71" spans="2:21" ht="15.75" hidden="1">
      <c r="B71" s="8">
        <v>2</v>
      </c>
      <c r="C71" s="79" t="s">
        <v>38</v>
      </c>
      <c r="D71" s="79"/>
      <c r="E71" s="79"/>
      <c r="F71" s="79"/>
      <c r="G71" s="79"/>
      <c r="H71" s="80" t="s">
        <v>179</v>
      </c>
      <c r="I71" s="79" t="s">
        <v>180</v>
      </c>
    </row>
    <row r="72" spans="2:21" ht="15.75" hidden="1">
      <c r="B72" s="8">
        <v>3</v>
      </c>
      <c r="C72" s="79" t="s">
        <v>176</v>
      </c>
      <c r="D72" s="79"/>
      <c r="E72" s="103"/>
      <c r="F72" s="103"/>
      <c r="G72" s="79"/>
      <c r="H72" s="80" t="s">
        <v>181</v>
      </c>
      <c r="I72" s="105" t="s">
        <v>182</v>
      </c>
    </row>
    <row r="73" spans="2:21" ht="15.75" hidden="1">
      <c r="B73" s="8">
        <v>4</v>
      </c>
      <c r="C73" s="79" t="s">
        <v>176</v>
      </c>
      <c r="D73" s="79"/>
      <c r="E73" s="103"/>
      <c r="F73" s="103"/>
      <c r="G73" s="79"/>
      <c r="H73" s="80" t="s">
        <v>183</v>
      </c>
      <c r="I73" s="105" t="s">
        <v>184</v>
      </c>
    </row>
    <row r="74" spans="2:21" ht="15.75" hidden="1">
      <c r="B74" s="8">
        <v>5</v>
      </c>
      <c r="C74" s="79" t="s">
        <v>176</v>
      </c>
      <c r="D74" s="79"/>
      <c r="E74" s="103"/>
      <c r="F74" s="103"/>
      <c r="G74" s="79"/>
      <c r="H74" s="80" t="s">
        <v>185</v>
      </c>
      <c r="I74" s="105" t="s">
        <v>182</v>
      </c>
    </row>
    <row r="75" spans="2:21" ht="15.75" hidden="1">
      <c r="B75" s="8">
        <v>6</v>
      </c>
      <c r="C75" s="79" t="s">
        <v>38</v>
      </c>
      <c r="D75" s="79"/>
      <c r="E75" s="103"/>
      <c r="F75" s="103"/>
      <c r="G75" s="79"/>
      <c r="H75" s="80" t="s">
        <v>186</v>
      </c>
      <c r="I75" s="105" t="s">
        <v>180</v>
      </c>
    </row>
    <row r="76" spans="2:21" ht="15.75" hidden="1">
      <c r="B76" s="8"/>
      <c r="C76" s="79"/>
      <c r="D76" s="79"/>
      <c r="E76" s="103"/>
      <c r="F76" s="103"/>
      <c r="G76" s="79"/>
      <c r="H76" s="79"/>
      <c r="I76" s="105"/>
    </row>
    <row r="77" spans="2:21" ht="15.75" hidden="1">
      <c r="B77" s="28" t="s">
        <v>21</v>
      </c>
      <c r="C77" s="107"/>
      <c r="D77" s="107"/>
      <c r="E77" s="107"/>
      <c r="F77" s="107"/>
      <c r="G77" s="107"/>
      <c r="H77" s="107"/>
      <c r="I77" s="29"/>
    </row>
    <row r="78" spans="2:21" ht="20.100000000000001" hidden="1" customHeight="1">
      <c r="B78" s="6" t="s">
        <v>2</v>
      </c>
      <c r="C78" s="6" t="s">
        <v>3</v>
      </c>
      <c r="D78" s="6" t="s">
        <v>4</v>
      </c>
      <c r="E78" s="108"/>
      <c r="F78" s="108"/>
      <c r="G78" s="109" t="s">
        <v>7</v>
      </c>
      <c r="H78" s="109"/>
      <c r="I78" s="6" t="s">
        <v>8</v>
      </c>
      <c r="J78" s="110"/>
      <c r="K78" s="110"/>
      <c r="L78" s="110"/>
    </row>
    <row r="79" spans="2:21" ht="20.100000000000001" hidden="1" customHeight="1">
      <c r="B79" s="111">
        <v>1</v>
      </c>
      <c r="C79" s="103" t="s">
        <v>38</v>
      </c>
      <c r="D79" s="112"/>
      <c r="E79" s="108"/>
      <c r="F79" s="108"/>
      <c r="G79" s="113" t="s">
        <v>143</v>
      </c>
      <c r="H79" s="114" t="s">
        <v>187</v>
      </c>
      <c r="I79" s="115" t="s">
        <v>188</v>
      </c>
    </row>
    <row r="80" spans="2:21" ht="20.100000000000001" hidden="1" customHeight="1">
      <c r="B80" s="111">
        <v>2</v>
      </c>
      <c r="C80" s="103"/>
      <c r="D80" s="112"/>
      <c r="E80" s="108"/>
      <c r="F80" s="108"/>
      <c r="G80" s="103" t="s">
        <v>189</v>
      </c>
      <c r="H80" s="104" t="s">
        <v>190</v>
      </c>
      <c r="I80" s="105" t="s">
        <v>80</v>
      </c>
    </row>
    <row r="81" spans="2:14" ht="20.100000000000001" hidden="1" customHeight="1">
      <c r="B81" s="111">
        <v>3</v>
      </c>
      <c r="C81" s="103"/>
      <c r="D81" s="112"/>
      <c r="E81" s="108"/>
      <c r="F81" s="108"/>
      <c r="G81" s="103" t="s">
        <v>191</v>
      </c>
      <c r="H81" s="104" t="s">
        <v>192</v>
      </c>
      <c r="I81" s="105" t="s">
        <v>193</v>
      </c>
    </row>
    <row r="82" spans="2:14" ht="20.100000000000001" hidden="1" customHeight="1">
      <c r="B82" s="111">
        <v>4</v>
      </c>
      <c r="C82" s="103"/>
      <c r="D82" s="112"/>
      <c r="E82" s="108"/>
      <c r="F82" s="108"/>
      <c r="G82" s="103" t="s">
        <v>194</v>
      </c>
      <c r="H82" s="104" t="s">
        <v>195</v>
      </c>
      <c r="I82" s="105" t="s">
        <v>80</v>
      </c>
    </row>
    <row r="83" spans="2:14" ht="19.5" hidden="1" customHeight="1">
      <c r="B83" s="111">
        <v>5</v>
      </c>
      <c r="C83" s="103"/>
      <c r="D83" s="112"/>
      <c r="E83" s="108"/>
      <c r="F83" s="108"/>
      <c r="G83" s="103" t="s">
        <v>194</v>
      </c>
      <c r="H83" s="104" t="s">
        <v>196</v>
      </c>
      <c r="I83" s="105" t="s">
        <v>197</v>
      </c>
    </row>
    <row r="84" spans="2:14" ht="20.100000000000001" hidden="1" customHeight="1">
      <c r="B84" s="111">
        <v>1</v>
      </c>
      <c r="C84" s="103"/>
      <c r="D84" s="112"/>
      <c r="E84" s="108"/>
      <c r="F84" s="108"/>
      <c r="G84" s="103" t="s">
        <v>198</v>
      </c>
      <c r="H84" s="104" t="s">
        <v>168</v>
      </c>
      <c r="I84" s="105" t="s">
        <v>108</v>
      </c>
    </row>
    <row r="85" spans="2:14" ht="20.100000000000001" hidden="1" customHeight="1">
      <c r="B85" s="111">
        <v>2</v>
      </c>
      <c r="C85" s="103"/>
      <c r="D85" s="112"/>
      <c r="E85" s="108"/>
      <c r="F85" s="108"/>
      <c r="G85" s="103" t="s">
        <v>189</v>
      </c>
      <c r="H85" s="104" t="s">
        <v>199</v>
      </c>
      <c r="I85" s="105" t="s">
        <v>80</v>
      </c>
    </row>
    <row r="86" spans="2:14" ht="20.100000000000001" hidden="1" customHeight="1">
      <c r="B86" s="111"/>
      <c r="C86" s="103"/>
      <c r="D86" s="112"/>
      <c r="E86" s="108"/>
      <c r="F86" s="108"/>
      <c r="G86" s="103" t="s">
        <v>194</v>
      </c>
      <c r="H86" s="104" t="s">
        <v>200</v>
      </c>
      <c r="I86" s="105"/>
    </row>
    <row r="87" spans="2:14" ht="20.100000000000001" hidden="1" customHeight="1">
      <c r="B87" s="111"/>
      <c r="C87" s="103"/>
      <c r="D87" s="112"/>
      <c r="E87" s="108"/>
      <c r="F87" s="108"/>
      <c r="G87" s="103" t="s">
        <v>194</v>
      </c>
      <c r="H87" s="104" t="s">
        <v>201</v>
      </c>
      <c r="I87" s="105"/>
      <c r="M87" s="82"/>
    </row>
    <row r="88" spans="2:14" ht="20.100000000000001" hidden="1" customHeight="1">
      <c r="B88" s="111"/>
      <c r="C88" s="103"/>
      <c r="D88" s="112"/>
      <c r="E88" s="108"/>
      <c r="F88" s="108"/>
      <c r="G88" s="103" t="s">
        <v>194</v>
      </c>
      <c r="H88" s="104" t="s">
        <v>202</v>
      </c>
      <c r="I88" s="105"/>
    </row>
    <row r="89" spans="2:14" ht="20.100000000000001" hidden="1" customHeight="1">
      <c r="B89" s="111"/>
      <c r="C89" s="103"/>
      <c r="D89" s="112"/>
      <c r="E89" s="108"/>
      <c r="F89" s="108"/>
      <c r="G89" s="103" t="s">
        <v>194</v>
      </c>
      <c r="H89" s="104" t="s">
        <v>201</v>
      </c>
      <c r="I89" s="105"/>
    </row>
    <row r="90" spans="2:14" ht="20.100000000000001" hidden="1" customHeight="1">
      <c r="B90" s="116" t="s">
        <v>21</v>
      </c>
      <c r="C90" s="117"/>
      <c r="D90" s="117"/>
      <c r="E90" s="117"/>
      <c r="F90" s="117"/>
      <c r="G90" s="117"/>
      <c r="H90" s="117"/>
      <c r="I90" s="118"/>
    </row>
    <row r="91" spans="2:14" ht="20.100000000000001" hidden="1" customHeight="1">
      <c r="B91" s="119">
        <v>1</v>
      </c>
      <c r="C91" s="120" t="s">
        <v>157</v>
      </c>
      <c r="D91" s="121" t="s">
        <v>203</v>
      </c>
      <c r="E91" s="122"/>
      <c r="F91" s="122"/>
      <c r="G91" s="122" t="s">
        <v>194</v>
      </c>
      <c r="H91" s="122" t="s">
        <v>204</v>
      </c>
      <c r="I91" s="123"/>
    </row>
    <row r="92" spans="2:14" ht="20.100000000000001" hidden="1" customHeight="1">
      <c r="B92" s="119">
        <v>1</v>
      </c>
      <c r="C92" s="120" t="s">
        <v>38</v>
      </c>
      <c r="D92" s="121" t="s">
        <v>205</v>
      </c>
      <c r="E92" s="122"/>
      <c r="F92" s="122"/>
      <c r="G92" s="122" t="s">
        <v>198</v>
      </c>
      <c r="H92" s="122" t="s">
        <v>206</v>
      </c>
      <c r="I92" s="123"/>
      <c r="N92" s="83"/>
    </row>
    <row r="93" spans="2:14" ht="20.100000000000001" hidden="1" customHeight="1">
      <c r="B93" s="119">
        <v>3</v>
      </c>
      <c r="C93" s="120" t="s">
        <v>38</v>
      </c>
      <c r="D93" s="124" t="s">
        <v>207</v>
      </c>
      <c r="E93" s="122"/>
      <c r="F93" s="122"/>
      <c r="G93" s="122" t="s">
        <v>143</v>
      </c>
      <c r="H93" s="122" t="s">
        <v>187</v>
      </c>
      <c r="I93" s="123"/>
      <c r="N93" s="83"/>
    </row>
    <row r="94" spans="2:14" ht="20.100000000000001" hidden="1" customHeight="1">
      <c r="B94" s="119">
        <v>2</v>
      </c>
      <c r="C94" s="120" t="s">
        <v>208</v>
      </c>
      <c r="D94" s="124" t="s">
        <v>209</v>
      </c>
      <c r="E94" s="122"/>
      <c r="F94" s="122"/>
      <c r="G94" s="122" t="s">
        <v>210</v>
      </c>
      <c r="H94" s="122" t="s">
        <v>211</v>
      </c>
      <c r="I94" s="123"/>
      <c r="N94" s="83"/>
    </row>
    <row r="95" spans="2:14" ht="20.100000000000001" hidden="1" customHeight="1">
      <c r="B95" s="119">
        <v>3</v>
      </c>
      <c r="C95" s="120"/>
      <c r="D95" s="124"/>
      <c r="E95" s="122"/>
      <c r="F95" s="122"/>
      <c r="G95" s="122" t="s">
        <v>189</v>
      </c>
      <c r="H95" s="122" t="s">
        <v>212</v>
      </c>
      <c r="I95" s="123"/>
      <c r="N95" s="83"/>
    </row>
    <row r="96" spans="2:14" ht="20.100000000000001" hidden="1" customHeight="1">
      <c r="B96" s="119"/>
      <c r="C96" s="120"/>
      <c r="D96" s="124"/>
      <c r="E96" s="122"/>
      <c r="F96" s="122"/>
      <c r="G96" s="122" t="s">
        <v>133</v>
      </c>
      <c r="H96" s="122" t="s">
        <v>213</v>
      </c>
      <c r="I96" s="123"/>
      <c r="N96" s="83"/>
    </row>
    <row r="97" spans="2:14" ht="20.100000000000001" hidden="1" customHeight="1">
      <c r="B97" s="119"/>
      <c r="C97" s="120"/>
      <c r="D97" s="124"/>
      <c r="E97" s="122"/>
      <c r="F97" s="122"/>
      <c r="G97" s="122" t="s">
        <v>148</v>
      </c>
      <c r="H97" s="122" t="s">
        <v>214</v>
      </c>
      <c r="I97" s="123"/>
      <c r="N97" s="83"/>
    </row>
    <row r="98" spans="2:14" ht="20.100000000000001" hidden="1" customHeight="1">
      <c r="B98" s="119"/>
      <c r="C98" s="120"/>
      <c r="D98" s="124"/>
      <c r="E98" s="122"/>
      <c r="F98" s="122"/>
      <c r="G98" s="122" t="s">
        <v>215</v>
      </c>
      <c r="H98" s="122" t="s">
        <v>216</v>
      </c>
      <c r="I98" s="123"/>
      <c r="N98" s="83"/>
    </row>
    <row r="99" spans="2:14" ht="20.100000000000001" hidden="1" customHeight="1">
      <c r="B99" s="119"/>
      <c r="C99" s="120"/>
      <c r="D99" s="124"/>
      <c r="E99" s="122"/>
      <c r="F99" s="122"/>
      <c r="G99" s="122" t="s">
        <v>215</v>
      </c>
      <c r="H99" s="122" t="s">
        <v>217</v>
      </c>
      <c r="I99" s="123"/>
      <c r="N99" s="83"/>
    </row>
    <row r="100" spans="2:14" ht="20.100000000000001" hidden="1" customHeight="1">
      <c r="B100" s="119"/>
      <c r="C100" s="120"/>
      <c r="D100" s="124"/>
      <c r="E100" s="122"/>
      <c r="F100" s="122"/>
      <c r="G100" s="122" t="s">
        <v>210</v>
      </c>
      <c r="H100" s="122" t="s">
        <v>218</v>
      </c>
      <c r="I100" s="123"/>
      <c r="N100" s="83"/>
    </row>
    <row r="101" spans="2:14" ht="20.100000000000001" hidden="1" customHeight="1">
      <c r="B101" s="119"/>
      <c r="C101" s="120"/>
      <c r="D101" s="124"/>
      <c r="E101" s="122"/>
      <c r="F101" s="122"/>
      <c r="G101" s="122" t="s">
        <v>219</v>
      </c>
      <c r="H101" s="122" t="s">
        <v>220</v>
      </c>
      <c r="I101" s="123"/>
      <c r="N101" s="83"/>
    </row>
    <row r="102" spans="2:14" ht="20.100000000000001" hidden="1" customHeight="1">
      <c r="B102" s="119"/>
      <c r="C102" s="120"/>
      <c r="D102" s="124"/>
      <c r="E102" s="122"/>
      <c r="F102" s="122"/>
      <c r="G102" s="122" t="s">
        <v>219</v>
      </c>
      <c r="H102" s="122" t="s">
        <v>221</v>
      </c>
      <c r="I102" s="123"/>
      <c r="N102" s="83"/>
    </row>
    <row r="103" spans="2:14" ht="20.100000000000001" hidden="1" customHeight="1">
      <c r="B103" s="119"/>
      <c r="C103" s="120"/>
      <c r="D103" s="124"/>
      <c r="E103" s="122"/>
      <c r="F103" s="122"/>
      <c r="G103" s="122" t="s">
        <v>210</v>
      </c>
      <c r="H103" s="122" t="s">
        <v>222</v>
      </c>
      <c r="I103" s="123"/>
      <c r="N103" s="83"/>
    </row>
    <row r="104" spans="2:14" ht="20.100000000000001" hidden="1" customHeight="1">
      <c r="B104" s="119"/>
      <c r="C104" s="120"/>
      <c r="D104" s="124"/>
      <c r="E104" s="122"/>
      <c r="F104" s="122"/>
      <c r="G104" s="122" t="s">
        <v>102</v>
      </c>
      <c r="H104" s="122" t="s">
        <v>223</v>
      </c>
      <c r="I104" s="123"/>
      <c r="N104" s="83"/>
    </row>
    <row r="105" spans="2:14" ht="20.100000000000001" hidden="1" customHeight="1">
      <c r="B105" s="125"/>
      <c r="C105" s="126"/>
      <c r="D105" s="127"/>
      <c r="E105" s="128"/>
      <c r="F105" s="128"/>
      <c r="G105" s="128" t="s">
        <v>219</v>
      </c>
      <c r="H105" s="128" t="s">
        <v>224</v>
      </c>
      <c r="I105" s="129"/>
      <c r="N105" s="83"/>
    </row>
    <row r="106" spans="2:14" ht="24.95" hidden="1" customHeight="1">
      <c r="B106" s="130">
        <v>1</v>
      </c>
      <c r="C106" s="130"/>
      <c r="D106" s="131"/>
      <c r="E106" s="8"/>
      <c r="F106" s="8"/>
      <c r="G106" s="8" t="s">
        <v>225</v>
      </c>
      <c r="H106" s="8" t="s">
        <v>46</v>
      </c>
      <c r="I106" s="132"/>
      <c r="N106" s="83"/>
    </row>
    <row r="107" spans="2:14" ht="24.95" hidden="1" customHeight="1">
      <c r="B107" s="130">
        <v>2</v>
      </c>
      <c r="C107" s="130"/>
      <c r="D107" s="131"/>
      <c r="E107" s="8"/>
      <c r="F107" s="8"/>
      <c r="G107" s="8" t="s">
        <v>226</v>
      </c>
      <c r="H107" s="8" t="s">
        <v>93</v>
      </c>
      <c r="I107" s="132"/>
      <c r="N107" s="83"/>
    </row>
    <row r="108" spans="2:14" ht="24.95" hidden="1" customHeight="1">
      <c r="B108" s="130">
        <v>3</v>
      </c>
      <c r="C108" s="130"/>
      <c r="D108" s="131"/>
      <c r="E108" s="8"/>
      <c r="F108" s="8"/>
      <c r="G108" s="8" t="s">
        <v>181</v>
      </c>
      <c r="H108" s="8" t="s">
        <v>148</v>
      </c>
      <c r="I108" s="132"/>
      <c r="N108" s="83"/>
    </row>
    <row r="109" spans="2:14" ht="24.95" hidden="1" customHeight="1">
      <c r="B109" s="130">
        <v>4</v>
      </c>
      <c r="C109" s="130"/>
      <c r="D109" s="131"/>
      <c r="E109" s="8"/>
      <c r="F109" s="8"/>
      <c r="G109" s="8" t="s">
        <v>227</v>
      </c>
      <c r="H109" s="8" t="s">
        <v>46</v>
      </c>
      <c r="I109" s="132"/>
      <c r="N109" s="83"/>
    </row>
    <row r="110" spans="2:14" ht="24.95" hidden="1" customHeight="1">
      <c r="B110" s="130">
        <v>5</v>
      </c>
      <c r="C110" s="130"/>
      <c r="D110" s="131"/>
      <c r="E110" s="8"/>
      <c r="F110" s="8"/>
      <c r="G110" s="8" t="s">
        <v>228</v>
      </c>
      <c r="H110" s="8" t="s">
        <v>148</v>
      </c>
      <c r="I110" s="132"/>
      <c r="J110" s="83"/>
      <c r="K110" s="83"/>
      <c r="L110" s="83"/>
      <c r="N110" s="83"/>
    </row>
    <row r="111" spans="2:14" ht="24.95" hidden="1" customHeight="1">
      <c r="B111" s="130">
        <v>6</v>
      </c>
      <c r="C111" s="130"/>
      <c r="D111" s="131"/>
      <c r="E111" s="8"/>
      <c r="F111" s="8"/>
      <c r="G111" s="8" t="s">
        <v>229</v>
      </c>
      <c r="H111" s="8" t="s">
        <v>219</v>
      </c>
      <c r="I111" s="132"/>
      <c r="J111" s="83"/>
      <c r="K111" s="83"/>
      <c r="L111" s="83"/>
      <c r="N111" s="83"/>
    </row>
    <row r="112" spans="2:14" ht="24.95" hidden="1" customHeight="1">
      <c r="B112" s="130">
        <v>7</v>
      </c>
      <c r="C112" s="130"/>
      <c r="D112" s="131"/>
      <c r="E112" s="8"/>
      <c r="F112" s="8"/>
      <c r="G112" s="8" t="s">
        <v>230</v>
      </c>
      <c r="H112" s="8" t="s">
        <v>231</v>
      </c>
      <c r="I112" s="132"/>
      <c r="J112" s="83"/>
      <c r="K112" s="83"/>
      <c r="L112" s="83"/>
      <c r="N112" s="83"/>
    </row>
    <row r="113" spans="2:15" ht="24.95" hidden="1" customHeight="1">
      <c r="B113" s="130">
        <v>8</v>
      </c>
      <c r="C113" s="130"/>
      <c r="D113" s="131"/>
      <c r="E113" s="8"/>
      <c r="F113" s="8"/>
      <c r="G113" s="8" t="s">
        <v>232</v>
      </c>
      <c r="H113" s="8" t="s">
        <v>148</v>
      </c>
      <c r="I113" s="132"/>
      <c r="J113" s="83"/>
      <c r="K113" s="83"/>
      <c r="L113" s="83"/>
      <c r="N113" s="83"/>
    </row>
    <row r="114" spans="2:15" ht="24.95" hidden="1" customHeight="1">
      <c r="B114" s="130">
        <v>9</v>
      </c>
      <c r="C114" s="130"/>
      <c r="D114" s="131"/>
      <c r="E114" s="8"/>
      <c r="F114" s="8"/>
      <c r="G114" s="8" t="s">
        <v>181</v>
      </c>
      <c r="H114" s="8" t="s">
        <v>148</v>
      </c>
      <c r="I114" s="132"/>
      <c r="J114" s="83"/>
      <c r="K114" s="83"/>
      <c r="L114" s="83"/>
      <c r="N114" s="83"/>
    </row>
    <row r="115" spans="2:15" ht="24.95" hidden="1" customHeight="1">
      <c r="B115" s="130">
        <v>10</v>
      </c>
      <c r="C115" s="130"/>
      <c r="D115" s="131"/>
      <c r="E115" s="8"/>
      <c r="F115" s="8"/>
      <c r="G115" s="8" t="s">
        <v>163</v>
      </c>
      <c r="H115" s="8" t="s">
        <v>233</v>
      </c>
      <c r="I115" s="132"/>
      <c r="J115" s="83"/>
      <c r="K115" s="83"/>
      <c r="L115" s="83"/>
      <c r="N115" s="83"/>
    </row>
    <row r="116" spans="2:15" ht="24.95" hidden="1" customHeight="1">
      <c r="B116" s="130">
        <v>11</v>
      </c>
      <c r="C116" s="130"/>
      <c r="D116" s="131"/>
      <c r="E116" s="8"/>
      <c r="F116" s="8"/>
      <c r="G116" s="8" t="s">
        <v>234</v>
      </c>
      <c r="H116" s="8" t="s">
        <v>148</v>
      </c>
      <c r="I116" s="132"/>
      <c r="J116" s="83"/>
      <c r="K116" s="83"/>
      <c r="L116" s="83"/>
      <c r="N116" s="83"/>
    </row>
    <row r="117" spans="2:15" ht="24.95" hidden="1" customHeight="1">
      <c r="B117" s="130">
        <v>12</v>
      </c>
      <c r="C117" s="130"/>
      <c r="D117" s="131"/>
      <c r="E117" s="8"/>
      <c r="F117" s="8"/>
      <c r="G117" s="8" t="s">
        <v>235</v>
      </c>
      <c r="H117" s="8" t="s">
        <v>236</v>
      </c>
      <c r="I117" s="132"/>
      <c r="J117" s="83"/>
      <c r="K117" s="83"/>
      <c r="L117" s="83"/>
      <c r="N117" s="83"/>
    </row>
    <row r="118" spans="2:15" ht="24.95" hidden="1" customHeight="1">
      <c r="B118" s="130">
        <v>13</v>
      </c>
      <c r="C118" s="130"/>
      <c r="D118" s="131"/>
      <c r="E118" s="8"/>
      <c r="F118" s="8"/>
      <c r="G118" s="8" t="s">
        <v>237</v>
      </c>
      <c r="H118" s="8" t="s">
        <v>231</v>
      </c>
      <c r="I118" s="132"/>
      <c r="J118" s="83"/>
      <c r="K118" s="83"/>
      <c r="L118" s="83"/>
      <c r="N118" s="83"/>
    </row>
    <row r="119" spans="2:15" ht="24.95" hidden="1" customHeight="1">
      <c r="B119" s="130">
        <v>14</v>
      </c>
      <c r="C119" s="130"/>
      <c r="D119" s="131"/>
      <c r="E119" s="8"/>
      <c r="F119" s="8"/>
      <c r="G119" s="8" t="s">
        <v>238</v>
      </c>
      <c r="H119" s="8" t="s">
        <v>148</v>
      </c>
      <c r="I119" s="132"/>
      <c r="J119" s="83"/>
      <c r="K119" s="83"/>
      <c r="L119" s="83"/>
      <c r="N119" s="83"/>
    </row>
    <row r="120" spans="2:15" ht="24.95" hidden="1" customHeight="1">
      <c r="B120" s="130">
        <v>15</v>
      </c>
      <c r="C120" s="130"/>
      <c r="D120" s="131"/>
      <c r="E120" s="8"/>
      <c r="F120" s="111"/>
      <c r="G120" s="8" t="s">
        <v>239</v>
      </c>
      <c r="H120" s="8" t="s">
        <v>215</v>
      </c>
      <c r="I120" s="132"/>
      <c r="J120" s="83"/>
      <c r="K120" s="83"/>
      <c r="L120" s="83"/>
      <c r="N120" s="83"/>
    </row>
    <row r="121" spans="2:15" ht="24.95" hidden="1" customHeight="1">
      <c r="B121" s="130">
        <v>16</v>
      </c>
      <c r="C121" s="133"/>
      <c r="D121" s="131"/>
      <c r="E121" s="134"/>
      <c r="F121" s="134"/>
      <c r="G121" s="8" t="s">
        <v>185</v>
      </c>
      <c r="H121" s="8" t="s">
        <v>148</v>
      </c>
      <c r="I121" s="132"/>
      <c r="J121" s="83"/>
      <c r="K121" s="83"/>
      <c r="L121" s="83"/>
      <c r="N121" s="83"/>
    </row>
    <row r="122" spans="2:15" ht="18.75" hidden="1">
      <c r="B122" s="130">
        <v>17</v>
      </c>
      <c r="C122" s="133"/>
      <c r="D122" s="131"/>
      <c r="E122" s="134"/>
      <c r="F122" s="134"/>
      <c r="G122" s="8" t="s">
        <v>240</v>
      </c>
      <c r="H122" s="8" t="s">
        <v>148</v>
      </c>
      <c r="I122" s="132"/>
      <c r="J122" s="83"/>
      <c r="K122" s="83"/>
      <c r="L122" s="83"/>
      <c r="N122" s="83"/>
    </row>
    <row r="123" spans="2:15" ht="18.75" hidden="1">
      <c r="B123" s="130">
        <v>18</v>
      </c>
      <c r="C123" s="133"/>
      <c r="D123" s="131"/>
      <c r="E123" s="134"/>
      <c r="F123" s="134"/>
      <c r="G123" s="8" t="s">
        <v>183</v>
      </c>
      <c r="H123" s="8" t="s">
        <v>148</v>
      </c>
      <c r="I123" s="132"/>
      <c r="J123" s="83"/>
      <c r="K123" s="83"/>
      <c r="L123" s="83"/>
      <c r="N123" s="83"/>
    </row>
    <row r="124" spans="2:15" ht="18.75" hidden="1">
      <c r="B124" s="130">
        <v>19</v>
      </c>
      <c r="C124" s="133"/>
      <c r="D124" s="131"/>
      <c r="E124" s="134"/>
      <c r="F124" s="134"/>
      <c r="G124" s="8" t="s">
        <v>241</v>
      </c>
      <c r="H124" s="8" t="s">
        <v>148</v>
      </c>
      <c r="I124" s="132"/>
      <c r="J124" s="83"/>
      <c r="K124" s="83"/>
      <c r="L124" s="83"/>
      <c r="N124" s="83"/>
    </row>
    <row r="125" spans="2:15" ht="18.75" hidden="1">
      <c r="B125" s="130">
        <v>20</v>
      </c>
      <c r="C125" s="133"/>
      <c r="D125" s="131"/>
      <c r="E125" s="134"/>
      <c r="F125" s="134"/>
      <c r="G125" s="8" t="s">
        <v>242</v>
      </c>
      <c r="H125" s="8" t="s">
        <v>148</v>
      </c>
      <c r="I125" s="132"/>
      <c r="J125" s="83"/>
      <c r="K125" s="83"/>
      <c r="L125" s="83"/>
      <c r="N125" s="83"/>
    </row>
    <row r="126" spans="2:15" ht="22.5" hidden="1" customHeight="1">
      <c r="B126" s="8">
        <v>1</v>
      </c>
      <c r="C126" s="79"/>
      <c r="D126" s="84"/>
      <c r="E126" s="49"/>
      <c r="F126" s="49"/>
      <c r="G126" s="79" t="s">
        <v>215</v>
      </c>
      <c r="H126" s="79" t="s">
        <v>243</v>
      </c>
      <c r="I126" s="79"/>
      <c r="J126" s="136"/>
      <c r="K126" s="136"/>
      <c r="L126" s="136"/>
      <c r="O126" s="83"/>
    </row>
    <row r="127" spans="2:15" ht="27.75" hidden="1" customHeight="1">
      <c r="B127" s="8">
        <v>2</v>
      </c>
      <c r="C127" s="79"/>
      <c r="D127" s="84"/>
      <c r="E127" s="49"/>
      <c r="F127" s="49"/>
      <c r="G127" s="79" t="s">
        <v>148</v>
      </c>
      <c r="H127" s="79" t="s">
        <v>228</v>
      </c>
      <c r="I127" s="79"/>
      <c r="J127" s="136"/>
      <c r="K127" s="136"/>
      <c r="L127" s="136"/>
    </row>
    <row r="128" spans="2:15" ht="27.75" hidden="1" customHeight="1">
      <c r="B128" s="137">
        <v>1</v>
      </c>
      <c r="C128" s="113"/>
      <c r="D128" s="138"/>
      <c r="E128" s="139"/>
      <c r="F128" s="139"/>
      <c r="G128" s="113" t="s">
        <v>148</v>
      </c>
      <c r="H128" s="113" t="s">
        <v>234</v>
      </c>
      <c r="I128" s="115"/>
      <c r="J128" s="136"/>
      <c r="K128" s="136"/>
      <c r="L128" s="136"/>
    </row>
    <row r="129" spans="2:15" ht="27.75" hidden="1" customHeight="1">
      <c r="B129" s="137">
        <v>1</v>
      </c>
      <c r="C129" s="113"/>
      <c r="D129" s="138"/>
      <c r="E129" s="139"/>
      <c r="F129" s="139"/>
      <c r="G129" s="113" t="s">
        <v>215</v>
      </c>
      <c r="H129" s="113" t="s">
        <v>244</v>
      </c>
      <c r="I129" s="115"/>
      <c r="J129" s="135"/>
      <c r="K129" s="135"/>
      <c r="L129" s="135"/>
    </row>
    <row r="130" spans="2:15" ht="27.75" hidden="1" customHeight="1">
      <c r="B130" s="137">
        <v>2</v>
      </c>
      <c r="C130" s="113"/>
      <c r="D130" s="138"/>
      <c r="E130" s="139"/>
      <c r="F130" s="139"/>
      <c r="G130" s="113" t="s">
        <v>215</v>
      </c>
      <c r="H130" s="113" t="s">
        <v>245</v>
      </c>
      <c r="I130" s="115"/>
      <c r="J130" s="135"/>
      <c r="K130" s="135"/>
      <c r="L130" s="135"/>
    </row>
    <row r="131" spans="2:15" ht="27.75" hidden="1" customHeight="1">
      <c r="B131" s="137">
        <v>3</v>
      </c>
      <c r="C131" s="113"/>
      <c r="D131" s="138"/>
      <c r="E131" s="139"/>
      <c r="F131" s="139"/>
      <c r="G131" s="113" t="s">
        <v>215</v>
      </c>
      <c r="H131" s="113" t="s">
        <v>246</v>
      </c>
      <c r="I131" s="115"/>
      <c r="J131" s="135"/>
      <c r="K131" s="135"/>
      <c r="L131" s="135"/>
    </row>
    <row r="132" spans="2:15" ht="27.75" hidden="1" customHeight="1">
      <c r="B132" s="137">
        <v>4</v>
      </c>
      <c r="C132" s="113"/>
      <c r="D132" s="138"/>
      <c r="E132" s="139"/>
      <c r="F132" s="139"/>
      <c r="G132" s="113" t="s">
        <v>215</v>
      </c>
      <c r="H132" s="113" t="s">
        <v>243</v>
      </c>
      <c r="I132" s="115"/>
      <c r="J132" s="135"/>
      <c r="K132" s="135"/>
      <c r="L132" s="135"/>
    </row>
    <row r="133" spans="2:15" ht="27.75" hidden="1" customHeight="1">
      <c r="B133" s="137">
        <v>5</v>
      </c>
      <c r="C133" s="113"/>
      <c r="D133" s="138"/>
      <c r="E133" s="139"/>
      <c r="F133" s="139"/>
      <c r="G133" s="113" t="s">
        <v>148</v>
      </c>
      <c r="H133" s="113" t="s">
        <v>247</v>
      </c>
      <c r="I133" s="115"/>
      <c r="J133" s="135"/>
      <c r="K133" s="135"/>
      <c r="L133" s="135"/>
    </row>
    <row r="134" spans="2:15" s="145" customFormat="1" ht="30" hidden="1" customHeight="1">
      <c r="B134" s="140" t="s">
        <v>248</v>
      </c>
      <c r="C134" s="141"/>
      <c r="D134" s="141"/>
      <c r="E134" s="141"/>
      <c r="F134" s="141"/>
      <c r="G134" s="141"/>
      <c r="H134" s="141"/>
      <c r="I134" s="142"/>
      <c r="J134" s="143">
        <f t="shared" ref="J134:L134" si="2">SUM(J129:J133)</f>
        <v>0</v>
      </c>
      <c r="K134" s="143">
        <f t="shared" si="2"/>
        <v>0</v>
      </c>
      <c r="L134" s="143">
        <f t="shared" si="2"/>
        <v>0</v>
      </c>
      <c r="M134" s="144"/>
    </row>
    <row r="135" spans="2:15" s="145" customFormat="1" ht="30" hidden="1" customHeight="1">
      <c r="B135" s="146"/>
      <c r="C135" s="147" t="s">
        <v>249</v>
      </c>
      <c r="D135" s="147"/>
      <c r="E135" s="147"/>
      <c r="F135" s="147"/>
      <c r="G135" s="147"/>
      <c r="H135" s="147"/>
      <c r="I135" s="148"/>
      <c r="J135" s="149">
        <f t="shared" ref="J135:L135" si="3">J59+J134</f>
        <v>1844596</v>
      </c>
      <c r="K135" s="149">
        <f t="shared" si="3"/>
        <v>1893159</v>
      </c>
      <c r="L135" s="149">
        <f t="shared" si="3"/>
        <v>1884793</v>
      </c>
    </row>
    <row r="136" spans="2:15" s="63" customFormat="1" ht="15.75" hidden="1">
      <c r="B136" s="60"/>
      <c r="C136" s="61"/>
      <c r="D136" s="62"/>
      <c r="E136" s="62"/>
      <c r="F136" s="62"/>
      <c r="G136" s="62"/>
      <c r="H136" s="62"/>
      <c r="I136" s="62"/>
    </row>
    <row r="137" spans="2:15" s="152" customFormat="1" ht="39.950000000000003" customHeight="1">
      <c r="B137" s="150" t="s">
        <v>250</v>
      </c>
      <c r="C137" s="151"/>
      <c r="D137" s="150"/>
      <c r="E137" s="150"/>
      <c r="F137" s="150"/>
      <c r="G137" s="150"/>
      <c r="H137" s="150"/>
      <c r="I137" s="150"/>
    </row>
    <row r="138" spans="2:15" s="68" customFormat="1" ht="30" customHeight="1">
      <c r="B138" s="170" t="s">
        <v>2</v>
      </c>
      <c r="C138" s="170" t="s">
        <v>3</v>
      </c>
      <c r="D138" s="170" t="s">
        <v>4</v>
      </c>
      <c r="E138" s="170" t="s">
        <v>5</v>
      </c>
      <c r="F138" s="170" t="s">
        <v>7</v>
      </c>
      <c r="G138" s="170" t="s">
        <v>35</v>
      </c>
      <c r="H138" s="171" t="s">
        <v>36</v>
      </c>
      <c r="I138" s="170" t="s">
        <v>37</v>
      </c>
      <c r="J138" s="168" t="s">
        <v>9</v>
      </c>
      <c r="K138" s="168" t="s">
        <v>11</v>
      </c>
      <c r="L138" s="168" t="s">
        <v>11</v>
      </c>
    </row>
    <row r="139" spans="2:15" ht="24.95" customHeight="1">
      <c r="B139" s="8">
        <v>1</v>
      </c>
      <c r="C139" s="79" t="s">
        <v>38</v>
      </c>
      <c r="D139" s="153" t="s">
        <v>251</v>
      </c>
      <c r="E139" s="49"/>
      <c r="F139" s="49"/>
      <c r="G139" s="79" t="s">
        <v>252</v>
      </c>
      <c r="H139" s="80" t="s">
        <v>253</v>
      </c>
      <c r="I139" s="79" t="s">
        <v>254</v>
      </c>
      <c r="J139" s="76">
        <v>246420</v>
      </c>
      <c r="K139" s="76">
        <v>257790</v>
      </c>
      <c r="L139" s="76">
        <v>2215528</v>
      </c>
      <c r="M139" s="75" t="s">
        <v>293</v>
      </c>
    </row>
    <row r="140" spans="2:15" ht="24.95" customHeight="1">
      <c r="B140" s="8">
        <v>2</v>
      </c>
      <c r="C140" s="79" t="s">
        <v>38</v>
      </c>
      <c r="D140" s="153" t="s">
        <v>255</v>
      </c>
      <c r="E140" s="49"/>
      <c r="F140" s="49"/>
      <c r="G140" s="79" t="s">
        <v>102</v>
      </c>
      <c r="H140" s="80" t="s">
        <v>256</v>
      </c>
      <c r="I140" s="79" t="s">
        <v>150</v>
      </c>
      <c r="J140" s="74">
        <v>222000</v>
      </c>
      <c r="K140" s="74">
        <v>332256</v>
      </c>
      <c r="L140" s="74">
        <v>355417</v>
      </c>
      <c r="M140" s="75" t="s">
        <v>257</v>
      </c>
      <c r="O140" s="83"/>
    </row>
    <row r="141" spans="2:15" ht="24.95" customHeight="1">
      <c r="B141" s="8">
        <v>3</v>
      </c>
      <c r="C141" s="79" t="s">
        <v>38</v>
      </c>
      <c r="D141" s="153" t="s">
        <v>258</v>
      </c>
      <c r="E141" s="49"/>
      <c r="F141" s="49"/>
      <c r="G141" s="79" t="s">
        <v>259</v>
      </c>
      <c r="H141" s="80" t="s">
        <v>260</v>
      </c>
      <c r="I141" s="79" t="s">
        <v>150</v>
      </c>
      <c r="J141" s="76">
        <v>190301</v>
      </c>
      <c r="K141" s="76">
        <v>166809</v>
      </c>
      <c r="L141" s="76">
        <v>235802</v>
      </c>
      <c r="M141" s="75" t="s">
        <v>291</v>
      </c>
    </row>
    <row r="142" spans="2:15" ht="24.95" hidden="1" customHeight="1">
      <c r="B142" s="8"/>
      <c r="C142" s="79"/>
      <c r="D142" s="153" t="s">
        <v>261</v>
      </c>
      <c r="E142" s="49"/>
      <c r="F142" s="49"/>
      <c r="G142" s="79" t="s">
        <v>259</v>
      </c>
      <c r="H142" s="80" t="s">
        <v>262</v>
      </c>
      <c r="I142" s="79"/>
      <c r="J142" s="76"/>
      <c r="K142" s="76"/>
      <c r="L142" s="76"/>
      <c r="M142" s="75"/>
    </row>
    <row r="143" spans="2:15" ht="24.95" customHeight="1">
      <c r="B143" s="8">
        <v>4</v>
      </c>
      <c r="C143" s="79" t="s">
        <v>38</v>
      </c>
      <c r="D143" s="153" t="s">
        <v>263</v>
      </c>
      <c r="E143" s="49"/>
      <c r="F143" s="49"/>
      <c r="G143" s="79" t="s">
        <v>41</v>
      </c>
      <c r="H143" s="80" t="s">
        <v>264</v>
      </c>
      <c r="I143" s="79" t="s">
        <v>150</v>
      </c>
      <c r="J143" s="76">
        <v>775410</v>
      </c>
      <c r="K143" s="76">
        <v>572000</v>
      </c>
      <c r="L143" s="76">
        <v>622000</v>
      </c>
      <c r="M143" s="75" t="s">
        <v>283</v>
      </c>
      <c r="O143" s="83"/>
    </row>
    <row r="144" spans="2:15" ht="24.95" customHeight="1">
      <c r="B144" s="8">
        <v>5</v>
      </c>
      <c r="C144" s="79" t="s">
        <v>38</v>
      </c>
      <c r="D144" s="153" t="s">
        <v>265</v>
      </c>
      <c r="E144" s="49"/>
      <c r="F144" s="49"/>
      <c r="G144" s="79" t="s">
        <v>252</v>
      </c>
      <c r="H144" s="80" t="s">
        <v>266</v>
      </c>
      <c r="I144" s="79" t="s">
        <v>254</v>
      </c>
      <c r="J144" s="76">
        <v>83250</v>
      </c>
      <c r="K144" s="76">
        <v>83250</v>
      </c>
      <c r="L144" s="76">
        <v>83250</v>
      </c>
      <c r="M144" s="75" t="s">
        <v>284</v>
      </c>
    </row>
    <row r="145" spans="2:13" ht="24.95" customHeight="1">
      <c r="B145" s="8">
        <v>6</v>
      </c>
      <c r="C145" s="79" t="s">
        <v>38</v>
      </c>
      <c r="D145" s="153" t="s">
        <v>267</v>
      </c>
      <c r="E145" s="49"/>
      <c r="F145" s="49"/>
      <c r="G145" s="79" t="s">
        <v>133</v>
      </c>
      <c r="H145" s="80" t="s">
        <v>268</v>
      </c>
      <c r="I145" s="79" t="s">
        <v>150</v>
      </c>
      <c r="J145" s="74">
        <v>222000</v>
      </c>
      <c r="K145" s="74">
        <v>222000</v>
      </c>
      <c r="L145" s="74">
        <v>222000</v>
      </c>
      <c r="M145" s="75" t="s">
        <v>285</v>
      </c>
    </row>
    <row r="146" spans="2:13" ht="24.95" customHeight="1">
      <c r="B146" s="8">
        <v>7</v>
      </c>
      <c r="C146" s="79" t="s">
        <v>38</v>
      </c>
      <c r="D146" s="153" t="s">
        <v>269</v>
      </c>
      <c r="E146" s="49"/>
      <c r="F146" s="49"/>
      <c r="G146" s="79" t="s">
        <v>270</v>
      </c>
      <c r="H146" s="80" t="s">
        <v>271</v>
      </c>
      <c r="I146" s="79" t="s">
        <v>272</v>
      </c>
      <c r="J146" s="76">
        <v>249999</v>
      </c>
      <c r="K146" s="76">
        <v>222000</v>
      </c>
      <c r="L146" s="76">
        <v>222000</v>
      </c>
      <c r="M146" s="75" t="s">
        <v>286</v>
      </c>
    </row>
    <row r="147" spans="2:13" ht="24.95" hidden="1" customHeight="1">
      <c r="B147" s="8">
        <v>8</v>
      </c>
      <c r="C147" s="154" t="s">
        <v>273</v>
      </c>
      <c r="D147" s="154"/>
      <c r="E147" s="154"/>
      <c r="F147" s="154"/>
      <c r="G147" s="154"/>
      <c r="H147" s="154"/>
      <c r="I147" s="154"/>
      <c r="J147" s="155"/>
      <c r="K147" s="155"/>
      <c r="L147" s="155"/>
      <c r="M147" s="75"/>
    </row>
    <row r="148" spans="2:13" ht="24.95" customHeight="1">
      <c r="B148" s="8">
        <v>8</v>
      </c>
      <c r="C148" s="79" t="s">
        <v>38</v>
      </c>
      <c r="D148" s="153" t="s">
        <v>274</v>
      </c>
      <c r="E148" s="49"/>
      <c r="F148" s="49"/>
      <c r="G148" s="79" t="s">
        <v>93</v>
      </c>
      <c r="H148" s="80" t="s">
        <v>275</v>
      </c>
      <c r="I148" s="79" t="s">
        <v>150</v>
      </c>
      <c r="J148" s="76">
        <v>405305</v>
      </c>
      <c r="K148" s="76">
        <v>307801</v>
      </c>
      <c r="L148" s="76">
        <v>492604</v>
      </c>
      <c r="M148" s="75" t="s">
        <v>288</v>
      </c>
    </row>
    <row r="149" spans="2:13" ht="24.95" customHeight="1">
      <c r="B149" s="8">
        <v>9</v>
      </c>
      <c r="C149" s="79" t="s">
        <v>38</v>
      </c>
      <c r="D149" s="153" t="s">
        <v>276</v>
      </c>
      <c r="E149" s="49"/>
      <c r="F149" s="49"/>
      <c r="G149" s="79" t="s">
        <v>277</v>
      </c>
      <c r="H149" s="80" t="s">
        <v>278</v>
      </c>
      <c r="I149" s="79" t="s">
        <v>150</v>
      </c>
      <c r="J149" s="74">
        <v>225330</v>
      </c>
      <c r="K149" s="74">
        <v>235320</v>
      </c>
      <c r="L149" s="74">
        <v>265790</v>
      </c>
      <c r="M149" s="75" t="s">
        <v>287</v>
      </c>
    </row>
    <row r="150" spans="2:13" ht="24.95" customHeight="1">
      <c r="B150" s="8">
        <v>10</v>
      </c>
      <c r="C150" s="79" t="s">
        <v>38</v>
      </c>
      <c r="D150" s="153" t="s">
        <v>279</v>
      </c>
      <c r="E150" s="49"/>
      <c r="F150" s="49"/>
      <c r="G150" s="79" t="s">
        <v>270</v>
      </c>
      <c r="H150" s="80" t="s">
        <v>271</v>
      </c>
      <c r="I150" s="79" t="s">
        <v>272</v>
      </c>
      <c r="J150" s="76">
        <v>83250</v>
      </c>
      <c r="K150" s="76">
        <v>83250</v>
      </c>
      <c r="L150" s="76">
        <v>83250</v>
      </c>
      <c r="M150" s="75" t="s">
        <v>290</v>
      </c>
    </row>
    <row r="151" spans="2:13" ht="22.5" customHeight="1">
      <c r="B151" s="8"/>
      <c r="C151" s="156" t="s">
        <v>273</v>
      </c>
      <c r="D151" s="157"/>
      <c r="E151" s="157"/>
      <c r="F151" s="157"/>
      <c r="G151" s="157"/>
      <c r="H151" s="158"/>
      <c r="I151" s="79"/>
      <c r="J151" s="159">
        <f>SUM(J139:J150)</f>
        <v>2703265</v>
      </c>
      <c r="K151" s="159">
        <f>SUM(K139:K150)</f>
        <v>2482476</v>
      </c>
      <c r="L151" s="159">
        <f>SUM(L139:L150)</f>
        <v>4797641</v>
      </c>
      <c r="M151" s="75"/>
    </row>
    <row r="152" spans="2:13" ht="30" customHeight="1">
      <c r="B152" s="160" t="s">
        <v>280</v>
      </c>
      <c r="C152" s="160"/>
      <c r="D152" s="160"/>
      <c r="E152" s="160"/>
      <c r="F152" s="160"/>
      <c r="G152" s="160"/>
      <c r="H152" s="160"/>
      <c r="I152" s="160"/>
      <c r="J152" s="161">
        <f>SUM(J139:J150)</f>
        <v>2703265</v>
      </c>
      <c r="K152" s="161">
        <f>SUM(K139:K150)</f>
        <v>2482476</v>
      </c>
      <c r="L152" s="161">
        <f>SUM(L139:L150)</f>
        <v>4797641</v>
      </c>
    </row>
    <row r="153" spans="2:13" ht="19.5" customHeight="1"/>
    <row r="154" spans="2:13" s="162" customFormat="1" ht="30" customHeight="1">
      <c r="H154" s="163" t="s">
        <v>281</v>
      </c>
      <c r="I154" s="163"/>
      <c r="J154" s="164">
        <f t="shared" ref="J154:L154" si="4">1950000+1350000+300000</f>
        <v>3600000</v>
      </c>
      <c r="K154" s="164">
        <f t="shared" si="4"/>
        <v>3600000</v>
      </c>
      <c r="L154" s="164">
        <f t="shared" si="4"/>
        <v>3600000</v>
      </c>
    </row>
    <row r="155" spans="2:13" s="162" customFormat="1" ht="30" customHeight="1">
      <c r="H155" s="163" t="s">
        <v>282</v>
      </c>
      <c r="I155" s="163"/>
      <c r="J155" s="164">
        <v>1300000</v>
      </c>
      <c r="K155" s="164">
        <v>1300000</v>
      </c>
      <c r="L155" s="164">
        <v>1300000</v>
      </c>
    </row>
    <row r="156" spans="2:13" s="162" customFormat="1" ht="30" customHeight="1">
      <c r="H156" s="163" t="s">
        <v>21</v>
      </c>
      <c r="I156" s="163"/>
      <c r="J156" s="164">
        <v>264000</v>
      </c>
      <c r="K156" s="164">
        <v>264000</v>
      </c>
      <c r="L156" s="164">
        <v>264000</v>
      </c>
    </row>
    <row r="157" spans="2:13" s="162" customFormat="1" ht="30" customHeight="1"/>
    <row r="158" spans="2:13" ht="30" customHeight="1">
      <c r="J158" s="164"/>
      <c r="K158" s="164"/>
      <c r="L158" s="164"/>
    </row>
    <row r="159" spans="2:13" ht="30" customHeight="1">
      <c r="J159" s="164"/>
      <c r="K159" s="164"/>
      <c r="L159" s="164"/>
    </row>
    <row r="160" spans="2:13" ht="30" customHeight="1">
      <c r="J160" s="164"/>
      <c r="K160" s="164"/>
      <c r="L160" s="164"/>
    </row>
    <row r="161" spans="10:12" ht="30" customHeight="1">
      <c r="J161" s="164"/>
      <c r="K161" s="164"/>
      <c r="L161" s="164"/>
    </row>
    <row r="162" spans="10:12" ht="30" customHeight="1">
      <c r="J162" s="83"/>
      <c r="K162" s="83"/>
      <c r="L162" s="83"/>
    </row>
    <row r="163" spans="10:12" ht="30" customHeight="1">
      <c r="J163" s="83"/>
      <c r="K163" s="83"/>
      <c r="L163" s="83"/>
    </row>
    <row r="164" spans="10:12" ht="30" customHeight="1"/>
    <row r="165" spans="10:12" ht="30" customHeight="1"/>
    <row r="166" spans="10:12" ht="30" customHeight="1"/>
    <row r="167" spans="10:12" ht="30" customHeight="1"/>
    <row r="168" spans="10:12" ht="30" customHeight="1"/>
    <row r="169" spans="10:12" ht="30" customHeight="1"/>
    <row r="170" spans="10:12" ht="30" customHeight="1"/>
    <row r="171" spans="10:12" ht="30" customHeight="1"/>
    <row r="172" spans="10:12" ht="30" customHeight="1"/>
    <row r="173" spans="10:12" ht="30" customHeight="1"/>
    <row r="174" spans="10:12" ht="30" customHeight="1"/>
    <row r="175" spans="10:12" ht="30" customHeight="1"/>
    <row r="176" spans="10:12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</sheetData>
  <mergeCells count="45">
    <mergeCell ref="B152:I152"/>
    <mergeCell ref="H154:I154"/>
    <mergeCell ref="H155:I155"/>
    <mergeCell ref="H156:I156"/>
    <mergeCell ref="G78:H78"/>
    <mergeCell ref="B90:I90"/>
    <mergeCell ref="B134:I134"/>
    <mergeCell ref="C135:H135"/>
    <mergeCell ref="C147:I147"/>
    <mergeCell ref="C151:H151"/>
    <mergeCell ref="B25:I25"/>
    <mergeCell ref="B26:I26"/>
    <mergeCell ref="C59:I59"/>
    <mergeCell ref="B60:I60"/>
    <mergeCell ref="C69:I69"/>
    <mergeCell ref="B77:I77"/>
    <mergeCell ref="B20:I20"/>
    <mergeCell ref="C21:C22"/>
    <mergeCell ref="G21:H21"/>
    <mergeCell ref="G22:H22"/>
    <mergeCell ref="C23:C24"/>
    <mergeCell ref="G23:H23"/>
    <mergeCell ref="G24:H24"/>
    <mergeCell ref="G15:H15"/>
    <mergeCell ref="B16:I16"/>
    <mergeCell ref="C17:C19"/>
    <mergeCell ref="G17:H17"/>
    <mergeCell ref="G18:H18"/>
    <mergeCell ref="G19:H19"/>
    <mergeCell ref="G10:H10"/>
    <mergeCell ref="G11:H11"/>
    <mergeCell ref="G12:H12"/>
    <mergeCell ref="N12:O12"/>
    <mergeCell ref="G13:H13"/>
    <mergeCell ref="G14:H14"/>
    <mergeCell ref="G1:I1"/>
    <mergeCell ref="G2:H2"/>
    <mergeCell ref="C3:C15"/>
    <mergeCell ref="G3:H3"/>
    <mergeCell ref="G4:H4"/>
    <mergeCell ref="G5:H5"/>
    <mergeCell ref="G6:H6"/>
    <mergeCell ref="G7:H7"/>
    <mergeCell ref="G8:H8"/>
    <mergeCell ref="G9:H9"/>
  </mergeCells>
  <printOptions horizontalCentered="1"/>
  <pageMargins left="0" right="0.39370078740157483" top="0.39370078740157483" bottom="0.39370078740157483" header="0.39370078740157483" footer="0.39370078740157483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TELEPON Term 83</vt:lpstr>
      <vt:lpstr>'DATA TELEPON Term 83'!Print_Area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GA-05</dc:creator>
  <cp:lastModifiedBy>GA-05</cp:lastModifiedBy>
  <cp:lastPrinted>2024-07-23T04:13:53Z</cp:lastPrinted>
  <dcterms:created xsi:type="dcterms:W3CDTF">2024-07-23T03:16:39Z</dcterms:created>
  <dcterms:modified xsi:type="dcterms:W3CDTF">2024-07-23T04:14:44Z</dcterms:modified>
</cp:coreProperties>
</file>